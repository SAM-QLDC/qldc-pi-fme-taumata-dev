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qldc-pi-fme-taumata-dev\deliverables\"/>
    </mc:Choice>
  </mc:AlternateContent>
  <xr:revisionPtr revIDLastSave="0" documentId="13_ncr:1_{F8B4612C-805E-4360-921D-5B7C7164956C}" xr6:coauthVersionLast="47" xr6:coauthVersionMax="47" xr10:uidLastSave="{00000000-0000-0000-0000-000000000000}"/>
  <bookViews>
    <workbookView xWindow="-105" yWindow="0" windowWidth="14610" windowHeight="17385" firstSheet="2" activeTab="2" xr2:uid="{12F1A800-535F-4074-9610-6F3C9C3A139D}"/>
  </bookViews>
  <sheets>
    <sheet name="Funding Impact Statement" sheetId="63" r:id="rId1"/>
    <sheet name="Financial Information" sheetId="13" r:id="rId2"/>
    <sheet name="Non-Financial Information" sheetId="65" r:id="rId3"/>
    <sheet name="export" sheetId="66" r:id="rId4"/>
  </sheets>
  <externalReferences>
    <externalReference r:id="rId5"/>
    <externalReference r:id="rId6"/>
    <externalReference r:id="rId7"/>
    <externalReference r:id="rId8"/>
  </externalReferences>
  <definedNames>
    <definedName name="__123Graph_A" hidden="1">[1]Results!$A$48:$A$148</definedName>
    <definedName name="__123Graph_AGraph1" hidden="1">'[2]S Curve Calculator'!$D$7:$D$33</definedName>
    <definedName name="__123Graph_AGraph2" hidden="1">'[2]S Curve Calculator'!$D$7:$D$58</definedName>
    <definedName name="__123Graph_AGraph3" hidden="1">'[2]S Curve Calculator'!$D$7:$D$108</definedName>
    <definedName name="__123Graph_AGraph4" hidden="1">'[2]S Curve Calculator'!$D$7:$D$158</definedName>
    <definedName name="__123Graph_AGraph5" hidden="1">'[2]S Curve Calculator'!$D$7:$D$257</definedName>
    <definedName name="__123Graph_AGraph6" hidden="1">'[2]S Curve Calculator'!$D$7:$D$408</definedName>
    <definedName name="__123Graph_AGraph7" hidden="1">'[2]S Curve Calculator'!$D$7:$D$18</definedName>
    <definedName name="__123Graph_APLOT" hidden="1">[1]Results!$A$48:$A$148</definedName>
    <definedName name="__123Graph_APLOT1" hidden="1">[1]Results!$D$48:$D$148</definedName>
    <definedName name="__123Graph_X" hidden="1">[1]Results!$B$48:$B$148</definedName>
    <definedName name="__123Graph_XGraph1" hidden="1">'[2]S Curve Calculator'!$A$7:$A$33</definedName>
    <definedName name="__123Graph_XGraph2" hidden="1">'[2]S Curve Calculator'!$A$7:$A$58</definedName>
    <definedName name="__123Graph_XGraph3" hidden="1">'[2]S Curve Calculator'!$A$7:$A$108</definedName>
    <definedName name="__123Graph_XGraph4" hidden="1">'[2]S Curve Calculator'!$A$7:$A$158</definedName>
    <definedName name="__123Graph_XGraph5" hidden="1">'[2]S Curve Calculator'!$A$7:$A$257</definedName>
    <definedName name="__123Graph_XGraph6" hidden="1">'[2]S Curve Calculator'!$A$7:$A$408</definedName>
    <definedName name="__123Graph_XGraph7" hidden="1">'[2]S Curve Calculator'!$A$7:$A$18</definedName>
    <definedName name="__123Graph_XPLOT" hidden="1">[1]Results!$B$48:$B$148</definedName>
    <definedName name="__123Graph_XPLOT1" hidden="1">[1]Results!$B$48:$B$148</definedName>
    <definedName name="_AtRisk_FitDataRange_FIT_55B6E_1F43B" hidden="1">#REF!</definedName>
    <definedName name="_AtRisk_FitDataRange_FIT_852F7_A675C" hidden="1">#REF!</definedName>
    <definedName name="_AtRisk_FitDataRange_FIT_97B6D_32861" hidden="1">#REF!</definedName>
    <definedName name="_AtRisk_FitDataRange_FIT_ABC93_4360A" hidden="1">#REF!</definedName>
    <definedName name="_AtRisk_FitDataRange_FIT_ED13A_D63B6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1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3</definedName>
    <definedName name="_AtRisk_SimSetting_StdRecalcWithoutRiskStaticPercentile" hidden="1">0.9</definedName>
    <definedName name="_xlnm._FilterDatabase" hidden="1">#REF!</definedName>
    <definedName name="_Order1" hidden="1">255</definedName>
    <definedName name="_Order2" hidden="1">255</definedName>
    <definedName name="_Parse_Out" hidden="1">#REF!</definedName>
    <definedName name="a" hidden="1">#REF!</definedName>
    <definedName name="aa" hidden="1">#REF!</definedName>
    <definedName name="anscount" hidden="1">1</definedName>
    <definedName name="asd" hidden="1">#REF!</definedName>
    <definedName name="cash" hidden="1">#REF!</definedName>
    <definedName name="CATS.Project" hidden="1">"Q8022"</definedName>
    <definedName name="CBWorkbookPriority" hidden="1">-2005962078</definedName>
    <definedName name="CheckTolerance">0.0001</definedName>
    <definedName name="CIQWBGuid" hidden="1">"f1f7927e-d673-40bc-9d25-c44fcc512f3a"</definedName>
    <definedName name="CIQWBInfo" hidden="1">"{ ""CIQVersion"":""9.51.3510.3078"" }"</definedName>
    <definedName name="Data_switch">#REF!</definedName>
    <definedName name="DaysYr">#REF!</definedName>
    <definedName name="ddd" hidden="1">#REF!</definedName>
    <definedName name="DiY">365</definedName>
    <definedName name="ErrorTolerance">0.00001</definedName>
    <definedName name="FY_end">#REF!</definedName>
    <definedName name="Header1" hidden="1">IF(COUNTA(#REF!)=0,0,INDEX(#REF!,MATCH(ROW(#REF!),#REF!,TRUE)))+1</definedName>
    <definedName name="Header2" hidden="1">[3]!Header1-1 &amp; "." &amp; MAX(1,COUNTA(INDEX(#REF!,MATCH([3]!Header1-1,#REF!,FALSE)):#REF!))</definedName>
    <definedName name="Hundred">#REF!</definedName>
    <definedName name="IQ_ADDIN" hidden="1">"AUTO"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"11/13/2023 20:25:56"</definedName>
    <definedName name="IQ_NTM">6000</definedName>
    <definedName name="IQ_OPENED55" hidden="1">1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LargeNegative">-9999</definedName>
    <definedName name="List_ActualForecast">#REF!</definedName>
    <definedName name="List_ThreeWatersDebtInput">'[4]Model Inputs'!$H$96</definedName>
    <definedName name="MasterCheck">#REF!</definedName>
    <definedName name="Millions">1000000</definedName>
    <definedName name="MiP" localSheetId="0">'Funding Impact Statement'!#REF!</definedName>
    <definedName name="MiP" localSheetId="2">'Non-Financial Information'!#REF!</definedName>
    <definedName name="MiP">'Financial Information'!#REF!</definedName>
    <definedName name="MiQ">3</definedName>
    <definedName name="MiY">#REF!</definedName>
    <definedName name="Model.MaxChars">256</definedName>
    <definedName name="Model.TitleLocation">"a1"</definedName>
    <definedName name="Model.Units">#REF!</definedName>
    <definedName name="ModelStart" localSheetId="0">'Funding Impact Statement'!#REF!</definedName>
    <definedName name="ModelStart" localSheetId="2">'Non-Financial Information'!#REF!</definedName>
    <definedName name="ModelStart">'Financial Information'!#REF!</definedName>
    <definedName name="Months">12</definedName>
    <definedName name="Name_Company">#REF!</definedName>
    <definedName name="Name_Project">#REF!</definedName>
    <definedName name="OpsEnd" localSheetId="0">'Funding Impact Statement'!#REF!</definedName>
    <definedName name="OpsEnd" localSheetId="2">'Non-Financial Information'!#REF!</definedName>
    <definedName name="OpsEnd">'Financial Information'!#REF!</definedName>
    <definedName name="OSHSOIH" hidden="1">#REF!</definedName>
    <definedName name="Pal_Workbook_GUID" hidden="1">"3BUJA2QPCUHMR4V5IKAN2JGD"</definedName>
    <definedName name="PalisadeReportWorkbookCreatedBy">"AtRisk"</definedName>
    <definedName name="_xlnm.Print_Area" localSheetId="3">Table1[#All]</definedName>
    <definedName name="QiY">4</definedName>
    <definedName name="ReportCreated">TRUE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"$U$12"</definedName>
    <definedName name="RiskSelectedNameCell1" hidden="1">"$L$12"</definedName>
    <definedName name="RiskSelectedNameCell2" hidden="1">"$U$10"</definedName>
    <definedName name="RiskSimulationResultsStorageLocation" hidden="1">"2"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ounding_Tol">#REF!</definedName>
    <definedName name="SAPBEXrevision" hidden="1">42</definedName>
    <definedName name="SAPBEXsysID" hidden="1">"BWP"</definedName>
    <definedName name="SAPBEXwbID" hidden="1">"46O4ELIJ2WCSVVK0ZDPM5D6VY"</definedName>
    <definedName name="Scenario">#REF!</definedName>
    <definedName name="Scenario_name">#REF!</definedName>
    <definedName name="SensitivityMode">#REF!</definedName>
    <definedName name="SOPHJISDOI" hidden="1">#REF!</definedName>
    <definedName name="Status">#REF!</definedName>
    <definedName name="TableofContents">#REF!</definedName>
    <definedName name="Thousand">#REF!</definedName>
    <definedName name="Thousands">1000</definedName>
    <definedName name="Tool" localSheetId="0" hidden="1">Comment_Writer2011_Version3</definedName>
    <definedName name="Tool" localSheetId="2" hidden="1">Comment_Writer2011_Version3</definedName>
    <definedName name="Tool" hidden="1">Comment_Writer2011_Version3</definedName>
    <definedName name="Tool1" localSheetId="0" hidden="1">Comment_Writer2011_Version3</definedName>
    <definedName name="Tool1" localSheetId="2" hidden="1">Comment_Writer2011_Version3</definedName>
    <definedName name="Tool1" hidden="1">Comment_Writer2011_Version3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Vertical_Not_Select">#REF!</definedName>
    <definedName name="Vertical_Select">#REF!</definedName>
    <definedName name="VerySmallNo">#REF!</definedName>
    <definedName name="wrn.All._.Sheets." hidden="1">{#N/A,#N/A,FALSE,"Sheet5";#N/A,#N/A,FALSE,"Sheet4";#N/A,#N/A,FALSE,"Sheet2";#N/A,#N/A,FALSE,"Sheet6";#N/A,#N/A,FALSE,"Sheet7";#N/A,#N/A,FALSE,"Sheet8";#N/A,#N/A,FALSE,"Sheet9";#N/A,#N/A,FALSE,"Sheet10"}</definedName>
    <definedName name="wrn.CuAs." hidden="1">{#N/A,#N/A,FALSE,"CuAs"}</definedName>
    <definedName name="wrn.Risk._.Analysis._.Report._.1." hidden="1">{#N/A,#N/A,FALSE,"Sheet2";#N/A,#N/A,FALSE,"Sheet4";#N/A,#N/A,FALSE,"Sheet5"}</definedName>
    <definedName name="Z_4076B687_D1B9_465F_BD9C_6066C1AD0E66_.wvu.FilterData" hidden="1">#REF!</definedName>
    <definedName name="Z_4076B687_D1B9_465F_BD9C_6066C1AD0E66_.wvu.PrintTitles" hidden="1">#REF!</definedName>
    <definedName name="Z_B7238D75_7038_4939_BC87_EA910D302AE3_.wvu.Cols" hidden="1">#REF!,#REF!</definedName>
    <definedName name="Z_B7238D75_7038_4939_BC87_EA910D302AE3_.wvu.FilterData" hidden="1">#REF!</definedName>
    <definedName name="Z_B7238D75_7038_4939_BC87_EA910D302AE3_.wvu.PrintTitles" hidden="1">#REF!</definedName>
    <definedName name="Z_C7C5FEAE_3F0D_4075_87AE_9E5E4D0602E8_.wvu.Cols" hidden="1">#REF!,#REF!,#REF!,#REF!</definedName>
    <definedName name="Z_C7C5FEAE_3F0D_4075_87AE_9E5E4D0602E8_.wvu.FilterData" hidden="1">#REF!</definedName>
    <definedName name="Z_C7C5FEAE_3F0D_4075_87AE_9E5E4D0602E8_.wvu.PrintTitles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66" l="1"/>
  <c r="L39" i="65" s="1"/>
  <c r="F15" i="66"/>
  <c r="L34" i="65"/>
  <c r="F12" i="66"/>
  <c r="F9" i="66"/>
  <c r="L29" i="65" s="1"/>
  <c r="L41" i="65"/>
  <c r="L40" i="65"/>
  <c r="L36" i="65"/>
  <c r="L35" i="65"/>
  <c r="L31" i="65"/>
  <c r="L30" i="65"/>
  <c r="L26" i="65"/>
  <c r="L25" i="65"/>
  <c r="L21" i="65"/>
  <c r="L20" i="65"/>
  <c r="L19" i="65"/>
  <c r="L16" i="65"/>
  <c r="L15" i="65"/>
  <c r="L14" i="65"/>
  <c r="L46" i="65"/>
  <c r="L44" i="65"/>
  <c r="L45" i="65"/>
  <c r="L56" i="65"/>
  <c r="L51" i="65"/>
  <c r="L50" i="65"/>
  <c r="L49" i="65"/>
  <c r="L55" i="65"/>
  <c r="L54" i="65"/>
  <c r="L61" i="65"/>
  <c r="L60" i="65"/>
  <c r="L59" i="65"/>
  <c r="K79" i="65"/>
  <c r="K65" i="65"/>
  <c r="L202" i="63"/>
  <c r="L203" i="63" s="1"/>
  <c r="M202" i="63"/>
  <c r="M203" i="63" s="1"/>
  <c r="N202" i="63"/>
  <c r="N203" i="63" s="1"/>
  <c r="O202" i="63"/>
  <c r="P202" i="63"/>
  <c r="P203" i="63" s="1"/>
  <c r="Q202" i="63"/>
  <c r="R202" i="63"/>
  <c r="R203" i="63" s="1"/>
  <c r="S202" i="63"/>
  <c r="S203" i="63" s="1"/>
  <c r="T202" i="63"/>
  <c r="T203" i="63" s="1"/>
  <c r="U202" i="63"/>
  <c r="U203" i="63" s="1"/>
  <c r="V202" i="63"/>
  <c r="V203" i="63" s="1"/>
  <c r="O203" i="63"/>
  <c r="Q203" i="63"/>
  <c r="L212" i="63"/>
  <c r="M212" i="63"/>
  <c r="N212" i="63"/>
  <c r="O212" i="63"/>
  <c r="O221" i="63" s="1"/>
  <c r="P212" i="63"/>
  <c r="Q212" i="63"/>
  <c r="R212" i="63"/>
  <c r="S212" i="63"/>
  <c r="T212" i="63"/>
  <c r="U212" i="63"/>
  <c r="V212" i="63"/>
  <c r="L220" i="63"/>
  <c r="M220" i="63"/>
  <c r="N220" i="63"/>
  <c r="O220" i="63"/>
  <c r="P220" i="63"/>
  <c r="Q220" i="63"/>
  <c r="R220" i="63"/>
  <c r="S220" i="63"/>
  <c r="T220" i="63"/>
  <c r="U220" i="63"/>
  <c r="V220" i="63"/>
  <c r="P221" i="63"/>
  <c r="K221" i="63"/>
  <c r="K220" i="63"/>
  <c r="K212" i="63"/>
  <c r="K203" i="63"/>
  <c r="K202" i="63"/>
  <c r="L195" i="63"/>
  <c r="M195" i="63"/>
  <c r="N195" i="63"/>
  <c r="O195" i="63"/>
  <c r="P195" i="63"/>
  <c r="Q195" i="63"/>
  <c r="R195" i="63"/>
  <c r="S195" i="63"/>
  <c r="T195" i="63"/>
  <c r="U195" i="63"/>
  <c r="V195" i="63"/>
  <c r="K195" i="63"/>
  <c r="L173" i="63"/>
  <c r="L174" i="63" s="1"/>
  <c r="M173" i="63"/>
  <c r="M174" i="63" s="1"/>
  <c r="N173" i="63"/>
  <c r="N174" i="63" s="1"/>
  <c r="O173" i="63"/>
  <c r="O174" i="63" s="1"/>
  <c r="P173" i="63"/>
  <c r="Q173" i="63"/>
  <c r="Q174" i="63" s="1"/>
  <c r="R173" i="63"/>
  <c r="R174" i="63" s="1"/>
  <c r="S173" i="63"/>
  <c r="S174" i="63" s="1"/>
  <c r="T173" i="63"/>
  <c r="T174" i="63" s="1"/>
  <c r="U173" i="63"/>
  <c r="U174" i="63" s="1"/>
  <c r="V173" i="63"/>
  <c r="V174" i="63" s="1"/>
  <c r="P174" i="63"/>
  <c r="K174" i="63"/>
  <c r="K173" i="63"/>
  <c r="L165" i="63"/>
  <c r="M165" i="63"/>
  <c r="N165" i="63"/>
  <c r="O165" i="63"/>
  <c r="P165" i="63"/>
  <c r="Q165" i="63"/>
  <c r="R165" i="63"/>
  <c r="S165" i="63"/>
  <c r="T165" i="63"/>
  <c r="U165" i="63"/>
  <c r="V165" i="63"/>
  <c r="K165" i="63"/>
  <c r="L148" i="63"/>
  <c r="M148" i="63"/>
  <c r="N148" i="63"/>
  <c r="O148" i="63"/>
  <c r="P148" i="63"/>
  <c r="Q148" i="63"/>
  <c r="R148" i="63"/>
  <c r="S148" i="63"/>
  <c r="T148" i="63"/>
  <c r="U148" i="63"/>
  <c r="V148" i="63"/>
  <c r="L153" i="63"/>
  <c r="L155" i="63" s="1"/>
  <c r="L156" i="63" s="1"/>
  <c r="M153" i="63"/>
  <c r="M155" i="63" s="1"/>
  <c r="M156" i="63" s="1"/>
  <c r="N153" i="63"/>
  <c r="N155" i="63" s="1"/>
  <c r="N156" i="63" s="1"/>
  <c r="O153" i="63"/>
  <c r="O155" i="63" s="1"/>
  <c r="O156" i="63" s="1"/>
  <c r="P153" i="63"/>
  <c r="Q153" i="63"/>
  <c r="Q155" i="63" s="1"/>
  <c r="Q156" i="63" s="1"/>
  <c r="R153" i="63"/>
  <c r="R155" i="63" s="1"/>
  <c r="R156" i="63" s="1"/>
  <c r="S153" i="63"/>
  <c r="S155" i="63" s="1"/>
  <c r="S156" i="63" s="1"/>
  <c r="T153" i="63"/>
  <c r="T155" i="63" s="1"/>
  <c r="T156" i="63" s="1"/>
  <c r="U153" i="63"/>
  <c r="U155" i="63" s="1"/>
  <c r="U156" i="63" s="1"/>
  <c r="V153" i="63"/>
  <c r="V155" i="63" s="1"/>
  <c r="V156" i="63" s="1"/>
  <c r="P155" i="63"/>
  <c r="P156" i="63" s="1"/>
  <c r="K156" i="63"/>
  <c r="K155" i="63"/>
  <c r="K153" i="63"/>
  <c r="K148" i="63"/>
  <c r="L139" i="63"/>
  <c r="L141" i="63" s="1"/>
  <c r="M139" i="63"/>
  <c r="N139" i="63"/>
  <c r="O139" i="63"/>
  <c r="P139" i="63"/>
  <c r="P141" i="63" s="1"/>
  <c r="Q139" i="63"/>
  <c r="Q141" i="63" s="1"/>
  <c r="R139" i="63"/>
  <c r="R141" i="63" s="1"/>
  <c r="S139" i="63"/>
  <c r="S141" i="63" s="1"/>
  <c r="T139" i="63"/>
  <c r="T141" i="63" s="1"/>
  <c r="U139" i="63"/>
  <c r="U141" i="63" s="1"/>
  <c r="V139" i="63"/>
  <c r="V141" i="63" s="1"/>
  <c r="M141" i="63"/>
  <c r="N141" i="63"/>
  <c r="O141" i="63"/>
  <c r="K141" i="63"/>
  <c r="K139" i="63"/>
  <c r="L116" i="63"/>
  <c r="M116" i="63"/>
  <c r="N116" i="63"/>
  <c r="O116" i="63"/>
  <c r="P116" i="63"/>
  <c r="Q116" i="63"/>
  <c r="R116" i="63"/>
  <c r="S116" i="63"/>
  <c r="T116" i="63"/>
  <c r="U116" i="63"/>
  <c r="V116" i="63"/>
  <c r="K116" i="63"/>
  <c r="L108" i="63"/>
  <c r="M108" i="63"/>
  <c r="N108" i="63"/>
  <c r="O108" i="63"/>
  <c r="P108" i="63"/>
  <c r="P117" i="63" s="1"/>
  <c r="Q108" i="63"/>
  <c r="R108" i="63"/>
  <c r="S108" i="63"/>
  <c r="T108" i="63"/>
  <c r="U108" i="63"/>
  <c r="V108" i="63"/>
  <c r="K108" i="63"/>
  <c r="K117" i="63" s="1"/>
  <c r="L91" i="63"/>
  <c r="M91" i="63"/>
  <c r="N91" i="63"/>
  <c r="O91" i="63"/>
  <c r="P91" i="63"/>
  <c r="Q91" i="63"/>
  <c r="R91" i="63"/>
  <c r="S91" i="63"/>
  <c r="T91" i="63"/>
  <c r="U91" i="63"/>
  <c r="V91" i="63"/>
  <c r="L96" i="63"/>
  <c r="M96" i="63"/>
  <c r="N96" i="63"/>
  <c r="O96" i="63"/>
  <c r="O98" i="63" s="1"/>
  <c r="P96" i="63"/>
  <c r="Q96" i="63"/>
  <c r="R96" i="63"/>
  <c r="S96" i="63"/>
  <c r="T96" i="63"/>
  <c r="U96" i="63"/>
  <c r="V96" i="63"/>
  <c r="K96" i="63"/>
  <c r="K98" i="63" s="1"/>
  <c r="K91" i="63"/>
  <c r="L77" i="63"/>
  <c r="M77" i="63"/>
  <c r="N77" i="63"/>
  <c r="O77" i="63"/>
  <c r="P77" i="63"/>
  <c r="Q77" i="63"/>
  <c r="R77" i="63"/>
  <c r="S77" i="63"/>
  <c r="T77" i="63"/>
  <c r="U77" i="63"/>
  <c r="V77" i="63"/>
  <c r="L81" i="63"/>
  <c r="M81" i="63"/>
  <c r="N81" i="63"/>
  <c r="O81" i="63"/>
  <c r="P81" i="63"/>
  <c r="Q81" i="63"/>
  <c r="R81" i="63"/>
  <c r="S81" i="63"/>
  <c r="T81" i="63"/>
  <c r="U81" i="63"/>
  <c r="V81" i="63"/>
  <c r="K81" i="63"/>
  <c r="K77" i="63"/>
  <c r="K22" i="63"/>
  <c r="K24" i="63" s="1"/>
  <c r="K36" i="63"/>
  <c r="L36" i="63"/>
  <c r="M36" i="63"/>
  <c r="N36" i="63"/>
  <c r="O36" i="63"/>
  <c r="O38" i="63" s="1"/>
  <c r="P36" i="63"/>
  <c r="Q36" i="63"/>
  <c r="R36" i="63"/>
  <c r="S36" i="63"/>
  <c r="T36" i="63"/>
  <c r="U36" i="63"/>
  <c r="V36" i="63"/>
  <c r="L56" i="63"/>
  <c r="M56" i="63"/>
  <c r="N56" i="63"/>
  <c r="O56" i="63"/>
  <c r="P56" i="63"/>
  <c r="Q56" i="63"/>
  <c r="R56" i="63"/>
  <c r="S56" i="63"/>
  <c r="T56" i="63"/>
  <c r="U56" i="63"/>
  <c r="V56" i="63"/>
  <c r="K56" i="63"/>
  <c r="L48" i="63"/>
  <c r="L57" i="63" s="1"/>
  <c r="M48" i="63"/>
  <c r="M57" i="63" s="1"/>
  <c r="N48" i="63"/>
  <c r="N57" i="63" s="1"/>
  <c r="O48" i="63"/>
  <c r="P48" i="63"/>
  <c r="P57" i="63" s="1"/>
  <c r="Q48" i="63"/>
  <c r="Q57" i="63" s="1"/>
  <c r="R48" i="63"/>
  <c r="S48" i="63"/>
  <c r="S57" i="63" s="1"/>
  <c r="T48" i="63"/>
  <c r="T57" i="63" s="1"/>
  <c r="U48" i="63"/>
  <c r="U57" i="63" s="1"/>
  <c r="V48" i="63"/>
  <c r="V57" i="63" s="1"/>
  <c r="K48" i="63"/>
  <c r="K57" i="63" s="1"/>
  <c r="L22" i="63"/>
  <c r="L24" i="63" s="1"/>
  <c r="M22" i="63"/>
  <c r="M24" i="63" s="1"/>
  <c r="N22" i="63"/>
  <c r="N24" i="63" s="1"/>
  <c r="O22" i="63"/>
  <c r="O24" i="63" s="1"/>
  <c r="P22" i="63"/>
  <c r="P24" i="63" s="1"/>
  <c r="Q22" i="63"/>
  <c r="Q24" i="63" s="1"/>
  <c r="R22" i="63"/>
  <c r="R24" i="63" s="1"/>
  <c r="S22" i="63"/>
  <c r="S24" i="63" s="1"/>
  <c r="T22" i="63"/>
  <c r="T24" i="63" s="1"/>
  <c r="U22" i="63"/>
  <c r="U24" i="63" s="1"/>
  <c r="V22" i="63"/>
  <c r="V24" i="63" s="1"/>
  <c r="L31" i="63"/>
  <c r="M31" i="63"/>
  <c r="N31" i="63"/>
  <c r="O31" i="63"/>
  <c r="P31" i="63"/>
  <c r="Q31" i="63"/>
  <c r="R31" i="63"/>
  <c r="S31" i="63"/>
  <c r="T31" i="63"/>
  <c r="U31" i="63"/>
  <c r="V31" i="63"/>
  <c r="K31" i="63"/>
  <c r="K5" i="65"/>
  <c r="K2" i="65"/>
  <c r="K3" i="65" s="1"/>
  <c r="K5" i="63"/>
  <c r="K2" i="63"/>
  <c r="K3" i="63" s="1"/>
  <c r="K5" i="13"/>
  <c r="K2" i="13"/>
  <c r="K3" i="13" s="1"/>
  <c r="L2" i="13" s="1"/>
  <c r="L3" i="13" s="1"/>
  <c r="M2" i="13" s="1"/>
  <c r="M3" i="13" s="1"/>
  <c r="N2" i="13" s="1"/>
  <c r="N3" i="13" s="1"/>
  <c r="O2" i="13" s="1"/>
  <c r="O3" i="13" s="1"/>
  <c r="P2" i="13" s="1"/>
  <c r="P3" i="13" s="1"/>
  <c r="Q2" i="13" s="1"/>
  <c r="Q3" i="13" s="1"/>
  <c r="R2" i="13" s="1"/>
  <c r="R3" i="13" s="1"/>
  <c r="S2" i="13" s="1"/>
  <c r="S3" i="13" s="1"/>
  <c r="T2" i="13" s="1"/>
  <c r="T3" i="13" s="1"/>
  <c r="U2" i="13" s="1"/>
  <c r="U3" i="13" s="1"/>
  <c r="U6" i="13" s="1"/>
  <c r="L24" i="65" l="1"/>
  <c r="N221" i="63"/>
  <c r="M221" i="63"/>
  <c r="L221" i="63"/>
  <c r="V221" i="63"/>
  <c r="U221" i="63"/>
  <c r="T221" i="63"/>
  <c r="S221" i="63"/>
  <c r="R221" i="63"/>
  <c r="Q221" i="63"/>
  <c r="V83" i="63"/>
  <c r="L98" i="63"/>
  <c r="V117" i="63"/>
  <c r="O117" i="63"/>
  <c r="N98" i="63"/>
  <c r="N117" i="63"/>
  <c r="U117" i="63"/>
  <c r="Q83" i="63"/>
  <c r="T117" i="63"/>
  <c r="S117" i="63"/>
  <c r="Q98" i="63"/>
  <c r="R117" i="63"/>
  <c r="Q117" i="63"/>
  <c r="U38" i="63"/>
  <c r="U39" i="63" s="1"/>
  <c r="T38" i="63"/>
  <c r="T39" i="63" s="1"/>
  <c r="S38" i="63"/>
  <c r="S39" i="63" s="1"/>
  <c r="K83" i="63"/>
  <c r="K99" i="63" s="1"/>
  <c r="M98" i="63"/>
  <c r="M99" i="63" s="1"/>
  <c r="M117" i="63"/>
  <c r="U83" i="63"/>
  <c r="L117" i="63"/>
  <c r="R98" i="63"/>
  <c r="S83" i="63"/>
  <c r="R83" i="63"/>
  <c r="P83" i="63"/>
  <c r="O83" i="63"/>
  <c r="O99" i="63" s="1"/>
  <c r="N83" i="63"/>
  <c r="M83" i="63"/>
  <c r="R38" i="63"/>
  <c r="R39" i="63" s="1"/>
  <c r="L83" i="63"/>
  <c r="L99" i="63" s="1"/>
  <c r="V98" i="63"/>
  <c r="V99" i="63" s="1"/>
  <c r="U98" i="63"/>
  <c r="T98" i="63"/>
  <c r="S98" i="63"/>
  <c r="P98" i="63"/>
  <c r="Q38" i="63"/>
  <c r="Q39" i="63" s="1"/>
  <c r="T83" i="63"/>
  <c r="P38" i="63"/>
  <c r="P39" i="63" s="1"/>
  <c r="N38" i="63"/>
  <c r="N39" i="63" s="1"/>
  <c r="O57" i="63"/>
  <c r="M38" i="63"/>
  <c r="M39" i="63" s="1"/>
  <c r="V38" i="63"/>
  <c r="O39" i="63"/>
  <c r="R57" i="63"/>
  <c r="V39" i="63"/>
  <c r="K38" i="63"/>
  <c r="K39" i="63" s="1"/>
  <c r="L38" i="63"/>
  <c r="L39" i="63" s="1"/>
  <c r="L2" i="65"/>
  <c r="L3" i="65" s="1"/>
  <c r="K6" i="65"/>
  <c r="L5" i="65"/>
  <c r="M5" i="65" s="1"/>
  <c r="V2" i="13"/>
  <c r="V3" i="13" s="1"/>
  <c r="V6" i="13" s="1"/>
  <c r="L2" i="63"/>
  <c r="L3" i="63" s="1"/>
  <c r="K6" i="63"/>
  <c r="L5" i="63"/>
  <c r="M5" i="63" s="1"/>
  <c r="P6" i="13"/>
  <c r="Q6" i="13"/>
  <c r="R6" i="13"/>
  <c r="S6" i="13"/>
  <c r="T6" i="13"/>
  <c r="O6" i="13"/>
  <c r="K6" i="13"/>
  <c r="L5" i="13"/>
  <c r="M6" i="13"/>
  <c r="N6" i="13"/>
  <c r="L6" i="13"/>
  <c r="S99" i="63" l="1"/>
  <c r="Q99" i="63"/>
  <c r="P99" i="63"/>
  <c r="N99" i="63"/>
  <c r="U99" i="63"/>
  <c r="T99" i="63"/>
  <c r="R99" i="63"/>
  <c r="M2" i="65"/>
  <c r="M3" i="65" s="1"/>
  <c r="L6" i="65"/>
  <c r="N5" i="65"/>
  <c r="N5" i="63"/>
  <c r="O5" i="63" s="1"/>
  <c r="L6" i="63"/>
  <c r="M2" i="63"/>
  <c r="M3" i="63" s="1"/>
  <c r="M5" i="13"/>
  <c r="N5" i="13" s="1"/>
  <c r="N2" i="65" l="1"/>
  <c r="N3" i="65" s="1"/>
  <c r="M6" i="65"/>
  <c r="O5" i="65"/>
  <c r="N2" i="63"/>
  <c r="N3" i="63" s="1"/>
  <c r="M6" i="63"/>
  <c r="P5" i="63"/>
  <c r="O5" i="13"/>
  <c r="P5" i="65" l="1"/>
  <c r="Q5" i="65" s="1"/>
  <c r="O2" i="65"/>
  <c r="O3" i="65" s="1"/>
  <c r="N6" i="65"/>
  <c r="N6" i="63"/>
  <c r="O2" i="63"/>
  <c r="O3" i="63" s="1"/>
  <c r="Q5" i="63"/>
  <c r="R5" i="63" s="1"/>
  <c r="S5" i="63" s="1"/>
  <c r="P5" i="13"/>
  <c r="Q5" i="13" s="1"/>
  <c r="R5" i="13" l="1"/>
  <c r="S5" i="13" s="1"/>
  <c r="P2" i="65"/>
  <c r="P3" i="65" s="1"/>
  <c r="O6" i="65"/>
  <c r="R5" i="65"/>
  <c r="S5" i="65"/>
  <c r="T5" i="65" s="1"/>
  <c r="U5" i="65" s="1"/>
  <c r="O6" i="63"/>
  <c r="P2" i="63"/>
  <c r="P3" i="63" s="1"/>
  <c r="T5" i="63"/>
  <c r="U5" i="63" s="1"/>
  <c r="V5" i="63" s="1"/>
  <c r="T5" i="13" l="1"/>
  <c r="U5" i="13" s="1"/>
  <c r="V5" i="13" s="1"/>
  <c r="V5" i="65"/>
  <c r="Q2" i="65"/>
  <c r="Q3" i="65" s="1"/>
  <c r="P6" i="65"/>
  <c r="Q2" i="63"/>
  <c r="Q3" i="63" s="1"/>
  <c r="P6" i="63"/>
  <c r="Q6" i="65" l="1"/>
  <c r="R2" i="65"/>
  <c r="R3" i="65" s="1"/>
  <c r="R2" i="63"/>
  <c r="R3" i="63" s="1"/>
  <c r="Q6" i="63"/>
  <c r="S2" i="65" l="1"/>
  <c r="S3" i="65" s="1"/>
  <c r="R6" i="65"/>
  <c r="S2" i="63"/>
  <c r="S3" i="63" s="1"/>
  <c r="R6" i="63"/>
  <c r="T2" i="65" l="1"/>
  <c r="T3" i="65" s="1"/>
  <c r="S6" i="65"/>
  <c r="T2" i="63"/>
  <c r="T3" i="63" s="1"/>
  <c r="S6" i="63"/>
  <c r="U2" i="65" l="1"/>
  <c r="U3" i="65" s="1"/>
  <c r="T6" i="65"/>
  <c r="U2" i="63"/>
  <c r="U3" i="63" s="1"/>
  <c r="T6" i="63"/>
  <c r="V2" i="65" l="1"/>
  <c r="V3" i="65" s="1"/>
  <c r="V6" i="65" s="1"/>
  <c r="U6" i="65"/>
  <c r="U6" i="63"/>
  <c r="V2" i="63"/>
  <c r="V3" i="63" s="1"/>
  <c r="V6" i="6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A8AAF8-DC27-4B4F-8CDC-FDBF214D8879}" keepAlive="1" name="Query - Table315 (Page 160)" description="Connection to the 'Table315 (Page 160)' query in the workbook." type="5" refreshedVersion="0" background="1">
    <dbPr connection="Provider=Microsoft.Mashup.OleDb.1;Data Source=$Workbook$;Location=&quot;Table315 (Page 160)&quot;;Extended Properties=&quot;&quot;" command="SELECT * FROM [Table315 (Page 160)]"/>
  </connection>
</connections>
</file>

<file path=xl/sharedStrings.xml><?xml version="1.0" encoding="utf-8"?>
<sst xmlns="http://schemas.openxmlformats.org/spreadsheetml/2006/main" count="1158" uniqueCount="140">
  <si>
    <t>Inputs</t>
  </si>
  <si>
    <t>&amp;</t>
  </si>
  <si>
    <t>[Council Name]</t>
  </si>
  <si>
    <t>Period start</t>
  </si>
  <si>
    <t>é</t>
  </si>
  <si>
    <t>Filename:  DRAFT - RFI Template.xlsm</t>
  </si>
  <si>
    <t>Period end</t>
  </si>
  <si>
    <t>Period type</t>
  </si>
  <si>
    <t>Actual</t>
  </si>
  <si>
    <t>Forecast</t>
  </si>
  <si>
    <t>Period counter</t>
  </si>
  <si>
    <t>FY</t>
  </si>
  <si>
    <t>Annual Report</t>
  </si>
  <si>
    <t>Long Term Plan</t>
  </si>
  <si>
    <t>Units</t>
  </si>
  <si>
    <t>Comments</t>
  </si>
  <si>
    <t>Sources</t>
  </si>
  <si>
    <t>Check</t>
  </si>
  <si>
    <t>Water Supply</t>
  </si>
  <si>
    <t>Sources of operating funding</t>
  </si>
  <si>
    <t>General rates</t>
  </si>
  <si>
    <t>$'000</t>
  </si>
  <si>
    <t>Water supply</t>
  </si>
  <si>
    <t>Targeted rates</t>
  </si>
  <si>
    <t>Subsidies and grants for operating purposes</t>
  </si>
  <si>
    <t>Fees and charges</t>
  </si>
  <si>
    <t>Internal charges and overheads recovered</t>
  </si>
  <si>
    <t>Other operating funding</t>
  </si>
  <si>
    <t>Total operating funding (A)</t>
  </si>
  <si>
    <t>Application of operating funding</t>
  </si>
  <si>
    <t>Payments to staff and suppliers</t>
  </si>
  <si>
    <t>Finance costs</t>
  </si>
  <si>
    <t>Internal charges applied</t>
  </si>
  <si>
    <t>Other operating funding applications</t>
  </si>
  <si>
    <t>Total application of operating funding (B)</t>
  </si>
  <si>
    <t>Surplus / (deficit) of operating funding (A-B)</t>
  </si>
  <si>
    <t>Subsidies for capital expenditure</t>
  </si>
  <si>
    <t>Development and financial contributions</t>
  </si>
  <si>
    <t>Increase / (decrease) in debt</t>
  </si>
  <si>
    <t>Gross sales proceeds from sale of assets</t>
  </si>
  <si>
    <t xml:space="preserve">Lump sum contributions </t>
  </si>
  <si>
    <t>Other decicated capital funding</t>
  </si>
  <si>
    <t>Total sources of capital funding (C)</t>
  </si>
  <si>
    <t>Applications of capital funding</t>
  </si>
  <si>
    <t>Capital - growth</t>
  </si>
  <si>
    <t>Capital - level of service</t>
  </si>
  <si>
    <t>Capital - renewals</t>
  </si>
  <si>
    <t>Increase / (decrease) in reserves</t>
  </si>
  <si>
    <t>Increase / (decrease) of investments</t>
  </si>
  <si>
    <t>Total applications of capital funding (D)</t>
  </si>
  <si>
    <t>Surplus / (deficit) of capital funding (C-D)</t>
  </si>
  <si>
    <t>Additional / supplementary comments</t>
  </si>
  <si>
    <t>Additional comments in relation to the Water Supply FIS</t>
  </si>
  <si>
    <t>Wastewater</t>
  </si>
  <si>
    <t>Additional comments in relation to the Wastewater FIS</t>
  </si>
  <si>
    <t>Stormwater</t>
  </si>
  <si>
    <t>Additional comments in relation to the Stormwater FIS</t>
  </si>
  <si>
    <t>Whole of Council</t>
  </si>
  <si>
    <t>Additional comments in relation to the Whole of Council FIS</t>
  </si>
  <si>
    <t>End of Sheet</t>
  </si>
  <si>
    <t>Financial Information</t>
  </si>
  <si>
    <t>Asset valuation</t>
  </si>
  <si>
    <t>Depreciation</t>
  </si>
  <si>
    <t>Closing debt (as at end of financial year)</t>
  </si>
  <si>
    <t>Qualitative information / additional comments</t>
  </si>
  <si>
    <t>Debt allocation</t>
  </si>
  <si>
    <t>Explanation of your approach to allocating debt between activities. Please include any justification/analysis where available.</t>
  </si>
  <si>
    <t>Explanation of your approach to managing depreciation, including highlighting the expected percentage of depreciation you intend to fund over the LTP period.</t>
  </si>
  <si>
    <t>Financing costs</t>
  </si>
  <si>
    <t>Explanation of your approach to allocating finance costs between activities, including any available information on your cost of finance.</t>
  </si>
  <si>
    <t>Funding approach</t>
  </si>
  <si>
    <t>Explanation of your approach to funding your Water Supply activity</t>
  </si>
  <si>
    <t>Explanation of your approach to funding your Wastewater activity</t>
  </si>
  <si>
    <t>Explanation of your approach to funding your Stormwater activity</t>
  </si>
  <si>
    <t>General information</t>
  </si>
  <si>
    <t>Population</t>
  </si>
  <si>
    <t>#</t>
  </si>
  <si>
    <t>Rateable Units</t>
  </si>
  <si>
    <t>Connected Properties: Residential</t>
  </si>
  <si>
    <t>Non-Connected Properties: Residential</t>
  </si>
  <si>
    <t>Connected Properties: Non-Residential</t>
  </si>
  <si>
    <t>Non-Connected Properties: Non-Residential</t>
  </si>
  <si>
    <t>Consent Issues</t>
  </si>
  <si>
    <t>Length of Reticulated Network</t>
  </si>
  <si>
    <t>Km</t>
  </si>
  <si>
    <t>Average Age of Reticulated Network</t>
  </si>
  <si>
    <t>Years</t>
  </si>
  <si>
    <t>Total District Area</t>
  </si>
  <si>
    <t>Km2</t>
  </si>
  <si>
    <t>Consent renewals</t>
  </si>
  <si>
    <t>Overview of consent renewals for the Water Supply activity</t>
  </si>
  <si>
    <t>Other internal charges</t>
  </si>
  <si>
    <t>$'001</t>
  </si>
  <si>
    <t>Sources of capital funding</t>
  </si>
  <si>
    <t>Volumetric charges</t>
  </si>
  <si>
    <t>Vested assets</t>
  </si>
  <si>
    <t>Utilities</t>
  </si>
  <si>
    <t>Insurance</t>
  </si>
  <si>
    <t>Consumables</t>
  </si>
  <si>
    <t>Employee and contractor costs</t>
  </si>
  <si>
    <t>General rates (excl volumetric charges)</t>
  </si>
  <si>
    <t>Targeted rates  (excl volumetric charges)</t>
  </si>
  <si>
    <t>Sludge disposal costs</t>
  </si>
  <si>
    <t>Trade waste charges</t>
  </si>
  <si>
    <t>Other fees and charges</t>
  </si>
  <si>
    <t>Overhead recoveries from wastewater or stormwater activities</t>
  </si>
  <si>
    <t>Overhead recoveries from non-water activities</t>
  </si>
  <si>
    <t>Overheads alocated to activity from stormwater or wastewater activities</t>
  </si>
  <si>
    <t>Overhead recoveries from water or stormwater activities</t>
  </si>
  <si>
    <t>Overheads alocated to activity from stormwater or water activities</t>
  </si>
  <si>
    <t>Overheads alocated to activity from non-water activities</t>
  </si>
  <si>
    <t>Overhead recoveries from wastewater or water activities</t>
  </si>
  <si>
    <t>Overheads alocated to activity from water or wastewater activities</t>
  </si>
  <si>
    <t>Asset replacement cost (Optmised replacement cost, not depreciated alue)</t>
  </si>
  <si>
    <t>source</t>
  </si>
  <si>
    <t>owner</t>
  </si>
  <si>
    <t>system</t>
  </si>
  <si>
    <t>data</t>
  </si>
  <si>
    <t>value</t>
  </si>
  <si>
    <t>data improvement</t>
  </si>
  <si>
    <t>QLDC</t>
  </si>
  <si>
    <t>we have assumed 50pc of the length of laterals is in private ownership. Improvements can be made by hovering the toby over the lateral to get a better estimate of private public lengths for lateral pipes</t>
  </si>
  <si>
    <t>redraw and expand scheme areas currently the dataset is two years old</t>
  </si>
  <si>
    <t>nems_qc</t>
  </si>
  <si>
    <t>order</t>
  </si>
  <si>
    <t>water details report - T1</t>
  </si>
  <si>
    <t>sourced from dashboard page</t>
  </si>
  <si>
    <t>none of the 12 expire this reporting period</t>
  </si>
  <si>
    <t>none of the 14 expire this reporting period</t>
  </si>
  <si>
    <t>none of the 1 expire this reporting period</t>
  </si>
  <si>
    <t>QLDC Demand Projections September 2023 FINAL</t>
  </si>
  <si>
    <t>average day population figures from QLDC latest demand projections</t>
  </si>
  <si>
    <t>Rebeccas Email</t>
  </si>
  <si>
    <t>GIS pipes</t>
  </si>
  <si>
    <t>GIS scheme areas</t>
  </si>
  <si>
    <t>Rates DB and Scheme areas</t>
  </si>
  <si>
    <t>the scheme layer covers serviced area and is about two years old and needs updarting to include recent geenfield sites. The total district area is approx: 8720</t>
  </si>
  <si>
    <t>assessed the ratio of total number of connections within/outside scheme extents or landuses designated as residential</t>
  </si>
  <si>
    <t>assessed the ratio of total number of connections within/outside scheme extents or landuses designated as residential (provisional number comes to about 1% of residential parcels being outside scheme extents</t>
  </si>
  <si>
    <t>assessed the ratio of total number of connections within/outside scheme extents or landuses designated as non-residential (provisional number comes to about 5% of non-residential parcels being outside scheme extents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</si>
</sst>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Fail&quot;;&quot;Fail&quot;;&quot;Ok&quot;"/>
    <numFmt numFmtId="165" formatCode="#,##0_);\(#,##0\);&quot;-&quot;_);@_)"/>
    <numFmt numFmtId="166" formatCode="#,##0_);[Red]\(#,##0\);\-_)"/>
    <numFmt numFmtId="167" formatCode="#,##0.00\ ;\(#,##0.00\);_-&quot;- &quot;_-"/>
    <numFmt numFmtId="168" formatCode="#,##0\ ;\(#,##0\);_-&quot;- &quot;_-"/>
    <numFmt numFmtId="169" formatCode="0.00%\ ;\(0.00%\);_-&quot;- &quot;_-"/>
    <numFmt numFmtId="170" formatCode="0%\ ;\(0%\);_-&quot; - &quot;_-"/>
    <numFmt numFmtId="171" formatCode="#,##0;\(#,##0\);\-"/>
    <numFmt numFmtId="172" formatCode="_-* #,##0_-;\-* #,##0_-;_-* &quot;-&quot;??_-;_-@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55"/>
      <name val="Helvetica-Narrow"/>
      <family val="2"/>
    </font>
    <font>
      <b/>
      <sz val="12"/>
      <color rgb="FFFFFF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0"/>
      <color theme="1" tint="0.499984740745262"/>
      <name val="Arial"/>
      <family val="2"/>
    </font>
    <font>
      <sz val="10"/>
      <color indexed="12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rgb="FFC00000"/>
      <name val="Arial"/>
      <family val="2"/>
    </font>
    <font>
      <sz val="18"/>
      <name val="Arial"/>
      <family val="2"/>
    </font>
    <font>
      <sz val="10"/>
      <color rgb="FF974706"/>
      <name val="Arial"/>
      <family val="2"/>
    </font>
    <font>
      <sz val="10"/>
      <color theme="1" tint="0.34998626667073579"/>
      <name val="Arial"/>
      <family val="2"/>
    </font>
    <font>
      <sz val="10"/>
      <color rgb="FF800000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sz val="11"/>
      <color theme="0"/>
      <name val="Arial"/>
      <family val="2"/>
    </font>
    <font>
      <u/>
      <sz val="10"/>
      <color theme="0"/>
      <name val="Wingdings"/>
      <charset val="2"/>
    </font>
    <font>
      <b/>
      <sz val="10"/>
      <color theme="0"/>
      <name val="Arial"/>
      <family val="2"/>
    </font>
    <font>
      <sz val="10"/>
      <color theme="1"/>
      <name val="Trebuchet MS"/>
      <family val="2"/>
    </font>
    <font>
      <b/>
      <sz val="12"/>
      <color theme="1" tint="0.499984740745262"/>
      <name val="Arial"/>
      <family val="2"/>
    </font>
    <font>
      <sz val="10"/>
      <color indexed="12"/>
      <name val="Calibri"/>
      <family val="2"/>
    </font>
    <font>
      <sz val="9"/>
      <color indexed="8"/>
      <name val="Arial"/>
      <family val="2"/>
    </font>
    <font>
      <sz val="9"/>
      <color theme="0" tint="-0.24994659260841701"/>
      <name val="Arial"/>
      <family val="2"/>
    </font>
    <font>
      <b/>
      <sz val="9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2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theme="1" tint="0.34998626667073579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1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mediumGray">
        <fgColor theme="1" tint="0.34998626667073579"/>
        <bgColor theme="1" tint="0.499984740745262"/>
      </patternFill>
    </fill>
    <fill>
      <patternFill patternType="solid">
        <fgColor rgb="FF44546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EDEDE"/>
        <bgColor indexed="64"/>
      </patternFill>
    </fill>
    <fill>
      <patternFill patternType="darkUp">
        <fgColor auto="1"/>
        <bgColor theme="3"/>
      </patternFill>
    </fill>
    <fill>
      <patternFill patternType="solid">
        <fgColor rgb="FF5F646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4BFD0"/>
        <bgColor indexed="64"/>
      </patternFill>
    </fill>
  </fills>
  <borders count="21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 style="medium">
        <color auto="1"/>
      </bottom>
      <diagonal/>
    </border>
    <border>
      <left/>
      <right/>
      <top style="dashed">
        <color theme="1" tint="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44546A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</borders>
  <cellStyleXfs count="37">
    <xf numFmtId="0" fontId="0" fillId="0" borderId="0"/>
    <xf numFmtId="0" fontId="2" fillId="0" borderId="0" applyNumberFormat="0" applyFill="0" applyBorder="0" applyAlignment="0"/>
    <xf numFmtId="164" fontId="5" fillId="0" borderId="1">
      <alignment horizontal="center"/>
    </xf>
    <xf numFmtId="166" fontId="10" fillId="4" borderId="2" applyAlignment="0">
      <protection locked="0"/>
    </xf>
    <xf numFmtId="166" fontId="3" fillId="0" borderId="0" applyFill="0" applyBorder="0" applyAlignment="0" applyProtection="0"/>
    <xf numFmtId="0" fontId="8" fillId="5" borderId="3" applyNumberFormat="0" applyFont="0" applyAlignment="0"/>
    <xf numFmtId="15" fontId="10" fillId="4" borderId="2">
      <alignment horizontal="center"/>
      <protection locked="0"/>
    </xf>
    <xf numFmtId="0" fontId="15" fillId="0" borderId="0" applyNumberFormat="0" applyFill="0" applyBorder="0" applyAlignment="0"/>
    <xf numFmtId="0" fontId="16" fillId="0" borderId="6" applyNumberFormat="0" applyAlignment="0"/>
    <xf numFmtId="0" fontId="11" fillId="6" borderId="4" applyNumberFormat="0">
      <alignment horizontal="centerContinuous" vertical="center" wrapText="1"/>
    </xf>
    <xf numFmtId="15" fontId="8" fillId="0" borderId="0" applyFont="0" applyFill="0" applyBorder="0" applyAlignment="0"/>
    <xf numFmtId="0" fontId="17" fillId="7" borderId="4" applyNumberFormat="0"/>
    <xf numFmtId="0" fontId="9" fillId="0" borderId="0" applyNumberFormat="0" applyFill="0" applyBorder="0" applyAlignment="0"/>
    <xf numFmtId="0" fontId="8" fillId="0" borderId="7" applyNumberFormat="0" applyFont="0" applyFill="0" applyAlignment="0" applyProtection="0"/>
    <xf numFmtId="0" fontId="18" fillId="9" borderId="3" applyNumberFormat="0" applyAlignment="0"/>
    <xf numFmtId="0" fontId="19" fillId="3" borderId="9" applyNumberFormat="0" applyAlignment="0">
      <protection locked="0"/>
    </xf>
    <xf numFmtId="0" fontId="8" fillId="0" borderId="3" applyNumberFormat="0" applyAlignment="0"/>
    <xf numFmtId="168" fontId="4" fillId="0" borderId="0" applyFill="0" applyBorder="0">
      <alignment vertical="center"/>
    </xf>
    <xf numFmtId="167" fontId="7" fillId="3" borderId="11" applyNumberFormat="0">
      <alignment vertical="center"/>
      <protection locked="0"/>
    </xf>
    <xf numFmtId="168" fontId="7" fillId="3" borderId="11">
      <alignment vertical="center"/>
      <protection locked="0"/>
    </xf>
    <xf numFmtId="169" fontId="7" fillId="3" borderId="11">
      <alignment vertical="center"/>
      <protection locked="0"/>
    </xf>
    <xf numFmtId="169" fontId="8" fillId="0" borderId="0">
      <alignment vertical="center"/>
    </xf>
    <xf numFmtId="43" fontId="4" fillId="0" borderId="0" applyFont="0" applyFill="0" applyBorder="0" applyAlignment="0" applyProtection="0"/>
    <xf numFmtId="170" fontId="26" fillId="0" borderId="0" applyFont="0" applyFill="0" applyBorder="0" applyAlignment="0" applyProtection="0"/>
    <xf numFmtId="171" fontId="4" fillId="0" borderId="0"/>
    <xf numFmtId="43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8" fontId="4" fillId="0" borderId="0" applyFill="0" applyBorder="0">
      <alignment vertical="center"/>
    </xf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Alignment="0" applyProtection="0"/>
    <xf numFmtId="166" fontId="29" fillId="0" borderId="0" applyFill="0" applyBorder="0" applyAlignment="0" applyProtection="0"/>
    <xf numFmtId="166" fontId="30" fillId="0" borderId="0"/>
    <xf numFmtId="9" fontId="31" fillId="15" borderId="10" applyFont="0">
      <alignment vertical="center"/>
    </xf>
    <xf numFmtId="172" fontId="21" fillId="16" borderId="10"/>
  </cellStyleXfs>
  <cellXfs count="45">
    <xf numFmtId="0" fontId="0" fillId="0" borderId="0" xfId="0"/>
    <xf numFmtId="0" fontId="4" fillId="0" borderId="0" xfId="0" applyFont="1"/>
    <xf numFmtId="0" fontId="9" fillId="0" borderId="0" xfId="0" applyFont="1" applyAlignment="1">
      <alignment horizontal="left"/>
    </xf>
    <xf numFmtId="0" fontId="12" fillId="10" borderId="0" xfId="0" applyFont="1" applyFill="1"/>
    <xf numFmtId="0" fontId="8" fillId="11" borderId="8" xfId="5" applyFont="1" applyFill="1" applyBorder="1"/>
    <xf numFmtId="0" fontId="11" fillId="12" borderId="0" xfId="0" applyFont="1" applyFill="1"/>
    <xf numFmtId="0" fontId="22" fillId="12" borderId="0" xfId="0" applyFont="1" applyFill="1"/>
    <xf numFmtId="0" fontId="12" fillId="12" borderId="0" xfId="1" applyFont="1" applyFill="1"/>
    <xf numFmtId="15" fontId="11" fillId="12" borderId="0" xfId="0" applyNumberFormat="1" applyFont="1" applyFill="1"/>
    <xf numFmtId="0" fontId="11" fillId="12" borderId="0" xfId="0" applyFont="1" applyFill="1" applyAlignment="1">
      <alignment horizontal="right"/>
    </xf>
    <xf numFmtId="0" fontId="23" fillId="12" borderId="0" xfId="0" applyFont="1" applyFill="1"/>
    <xf numFmtId="0" fontId="4" fillId="12" borderId="0" xfId="0" applyFont="1" applyFill="1"/>
    <xf numFmtId="0" fontId="12" fillId="13" borderId="0" xfId="0" applyFont="1" applyFill="1"/>
    <xf numFmtId="0" fontId="21" fillId="12" borderId="0" xfId="0" applyFont="1" applyFill="1"/>
    <xf numFmtId="0" fontId="24" fillId="12" borderId="0" xfId="0" applyFont="1" applyFill="1" applyAlignment="1">
      <alignment horizontal="center" vertical="center"/>
    </xf>
    <xf numFmtId="0" fontId="25" fillId="12" borderId="0" xfId="0" applyFont="1" applyFill="1"/>
    <xf numFmtId="165" fontId="11" fillId="12" borderId="0" xfId="0" applyNumberFormat="1" applyFont="1" applyFill="1" applyAlignment="1">
      <alignment vertical="center"/>
    </xf>
    <xf numFmtId="166" fontId="11" fillId="12" borderId="0" xfId="4" applyFont="1" applyFill="1" applyBorder="1" applyAlignment="1">
      <alignment horizontal="left"/>
    </xf>
    <xf numFmtId="165" fontId="6" fillId="2" borderId="0" xfId="0" applyNumberFormat="1" applyFont="1" applyFill="1"/>
    <xf numFmtId="165" fontId="8" fillId="8" borderId="5" xfId="0" applyNumberFormat="1" applyFont="1" applyFill="1" applyBorder="1"/>
    <xf numFmtId="165" fontId="13" fillId="0" borderId="0" xfId="0" applyNumberFormat="1" applyFont="1"/>
    <xf numFmtId="165" fontId="4" fillId="0" borderId="0" xfId="0" applyNumberFormat="1" applyFont="1"/>
    <xf numFmtId="0" fontId="9" fillId="0" borderId="0" xfId="0" applyFont="1"/>
    <xf numFmtId="165" fontId="27" fillId="2" borderId="0" xfId="0" applyNumberFormat="1" applyFont="1" applyFill="1"/>
    <xf numFmtId="0" fontId="4" fillId="0" borderId="12" xfId="0" applyFont="1" applyBorder="1"/>
    <xf numFmtId="0" fontId="14" fillId="0" borderId="0" xfId="0" applyFont="1"/>
    <xf numFmtId="15" fontId="7" fillId="14" borderId="8" xfId="0" applyNumberFormat="1" applyFont="1" applyFill="1" applyBorder="1" applyAlignment="1">
      <alignment horizontal="center"/>
    </xf>
    <xf numFmtId="0" fontId="32" fillId="0" borderId="0" xfId="0" applyFont="1"/>
    <xf numFmtId="165" fontId="8" fillId="0" borderId="0" xfId="0" applyNumberFormat="1" applyFont="1" applyAlignment="1">
      <alignment horizontal="left" vertical="top"/>
    </xf>
    <xf numFmtId="0" fontId="9" fillId="0" borderId="0" xfId="0" quotePrefix="1" applyFont="1" applyAlignment="1">
      <alignment horizontal="left"/>
    </xf>
    <xf numFmtId="165" fontId="8" fillId="17" borderId="5" xfId="0" applyNumberFormat="1" applyFont="1" applyFill="1" applyBorder="1"/>
    <xf numFmtId="165" fontId="33" fillId="0" borderId="0" xfId="0" applyNumberFormat="1" applyFont="1"/>
    <xf numFmtId="165" fontId="32" fillId="0" borderId="0" xfId="0" applyNumberFormat="1" applyFont="1"/>
    <xf numFmtId="165" fontId="34" fillId="0" borderId="0" xfId="0" applyNumberFormat="1" applyFont="1"/>
    <xf numFmtId="0" fontId="0" fillId="0" borderId="0" xfId="0" applyAlignment="1">
      <alignment vertical="top" wrapText="1"/>
    </xf>
    <xf numFmtId="0" fontId="0" fillId="18" borderId="0" xfId="0" applyFill="1" applyAlignment="1">
      <alignment vertical="top" wrapText="1"/>
    </xf>
    <xf numFmtId="165" fontId="8" fillId="8" borderId="13" xfId="0" applyNumberFormat="1" applyFont="1" applyFill="1" applyBorder="1" applyAlignment="1">
      <alignment horizontal="left" vertical="top"/>
    </xf>
    <xf numFmtId="165" fontId="8" fillId="8" borderId="14" xfId="0" applyNumberFormat="1" applyFont="1" applyFill="1" applyBorder="1" applyAlignment="1">
      <alignment horizontal="left" vertical="top"/>
    </xf>
    <xf numFmtId="165" fontId="8" fillId="8" borderId="15" xfId="0" applyNumberFormat="1" applyFont="1" applyFill="1" applyBorder="1" applyAlignment="1">
      <alignment horizontal="left" vertical="top"/>
    </xf>
    <xf numFmtId="165" fontId="8" fillId="8" borderId="16" xfId="0" applyNumberFormat="1" applyFont="1" applyFill="1" applyBorder="1" applyAlignment="1">
      <alignment horizontal="left" vertical="top"/>
    </xf>
    <xf numFmtId="165" fontId="8" fillId="8" borderId="0" xfId="0" applyNumberFormat="1" applyFont="1" applyFill="1" applyAlignment="1">
      <alignment horizontal="left" vertical="top"/>
    </xf>
    <xf numFmtId="165" fontId="8" fillId="8" borderId="17" xfId="0" applyNumberFormat="1" applyFont="1" applyFill="1" applyBorder="1" applyAlignment="1">
      <alignment horizontal="left" vertical="top"/>
    </xf>
    <xf numFmtId="165" fontId="8" fillId="8" borderId="18" xfId="0" applyNumberFormat="1" applyFont="1" applyFill="1" applyBorder="1" applyAlignment="1">
      <alignment horizontal="left" vertical="top"/>
    </xf>
    <xf numFmtId="165" fontId="8" fillId="8" borderId="19" xfId="0" applyNumberFormat="1" applyFont="1" applyFill="1" applyBorder="1" applyAlignment="1">
      <alignment horizontal="left" vertical="top"/>
    </xf>
    <xf numFmtId="165" fontId="8" fillId="8" borderId="20" xfId="0" applyNumberFormat="1" applyFont="1" applyFill="1" applyBorder="1" applyAlignment="1">
      <alignment horizontal="left" vertical="top"/>
    </xf>
  </cellXfs>
  <cellStyles count="37">
    <cellStyle name="Ass_%" xfId="20" xr:uid="{1BD40512-2A9D-44BC-8B4A-A6064DFE0FF7}"/>
    <cellStyle name="Assumption" xfId="15" xr:uid="{5E4E56E0-A422-4602-AE44-9B61BE63C876}"/>
    <cellStyle name="Assumption 2" xfId="19" xr:uid="{A1C595DC-C975-4630-A061-969EFBFA10A1}"/>
    <cellStyle name="Border Only" xfId="18" xr:uid="{B1EE15E8-31E0-41D1-B570-05ED71D13F4C}"/>
    <cellStyle name="CallUp" xfId="32" xr:uid="{DEA00EE4-59B5-4A6E-A248-F8C24102FCAD}"/>
    <cellStyle name="Check" xfId="2" xr:uid="{275C9C2C-80DD-40C1-B253-3B345DD46619}"/>
    <cellStyle name="Comma 2" xfId="22" xr:uid="{948AF952-5A1D-4528-A9AE-48E3D7C604B3}"/>
    <cellStyle name="Comma 3" xfId="25" xr:uid="{98B15C41-48ED-4EC9-9B14-001D472C8DA4}"/>
    <cellStyle name="Comma 4" xfId="31" xr:uid="{21279864-D034-4979-AA98-911650FCD766}"/>
    <cellStyle name="Currency 2" xfId="30" xr:uid="{99D30EBF-43C8-4A85-87A5-3EC2F148D69A}"/>
    <cellStyle name="Date" xfId="10" xr:uid="{596B7948-900F-45E7-807B-9D5212B47DF5}"/>
    <cellStyle name="Empty_Cell" xfId="5" xr:uid="{FF0798D8-0A3D-44DD-A9B8-4002FA40BD8D}"/>
    <cellStyle name="EYInputDate" xfId="6" xr:uid="{D39A131B-2073-4EF8-9938-12FD5426EC64}"/>
    <cellStyle name="EYInputValue" xfId="3" xr:uid="{7D196076-F566-4875-A171-B75715523FBC}"/>
    <cellStyle name="EYNormal" xfId="4" xr:uid="{8943D341-6A9A-426A-980E-086F2C84FB79}"/>
    <cellStyle name="Header0" xfId="8" xr:uid="{B54A8385-BDE3-4E98-84D4-F93523C7C29C}"/>
    <cellStyle name="Header1" xfId="7" xr:uid="{A25658C6-E849-4A47-B2E3-26B20A4E5A56}"/>
    <cellStyle name="Header2" xfId="1" xr:uid="{88D92ADC-1A5D-42C3-B5EC-4D74F5258BE7}"/>
    <cellStyle name="InSheet" xfId="16" xr:uid="{B8EB29AA-5EE8-4D76-947D-B9B6055D3222}"/>
    <cellStyle name="Line_Operation" xfId="13" xr:uid="{CD4B3BF0-39C3-4C7D-ACA2-E8A33DC37E05}"/>
    <cellStyle name="Lookup" xfId="34" xr:uid="{0C430E43-8E52-4E80-838B-589D7F96E297}"/>
    <cellStyle name="Nor_%" xfId="21" xr:uid="{002F00E2-09CC-4730-BFFB-AFE55B0DEAD7}"/>
    <cellStyle name="Normal" xfId="0" builtinId="0"/>
    <cellStyle name="Normal 2" xfId="17" xr:uid="{95D4154E-B2FA-4387-81B9-AB6875763E5D}"/>
    <cellStyle name="Normal 2 2" xfId="28" xr:uid="{BA1F3F97-E0E2-46AF-AADA-5284AF0C36B5}"/>
    <cellStyle name="Normal 2 3" xfId="26" xr:uid="{1CDC6F28-2030-463A-B257-DCDC7076BDEB}"/>
    <cellStyle name="Normal 3" xfId="24" xr:uid="{C3B5B2C1-7E8E-402D-B5A4-9055D470CAF2}"/>
    <cellStyle name="Normal01" xfId="33" xr:uid="{DFAFB9CD-2F9E-44A7-B3A1-1BA88324598B}"/>
    <cellStyle name="Not used" xfId="35" xr:uid="{552F661E-ECBB-4589-BB06-966AF59FF886}"/>
    <cellStyle name="OffSheet" xfId="11" xr:uid="{3C984ACF-1C2B-44BB-85DC-E1A3D06E3AF6}"/>
    <cellStyle name="Percent 2" xfId="23" xr:uid="{5B3F58C0-211C-49ED-90FC-738177B60A37}"/>
    <cellStyle name="Percent 2 2" xfId="27" xr:uid="{85299474-1FE5-431C-B975-51034EF1547D}"/>
    <cellStyle name="Percent 3" xfId="29" xr:uid="{270821A1-D4B4-4C16-B0B4-167D7986FBCF}"/>
    <cellStyle name="Subtotal" xfId="36" xr:uid="{468187B1-C9B8-4D5C-BA7B-3B6AC33C8903}"/>
    <cellStyle name="Table_Heading" xfId="9" xr:uid="{75AA2838-18A4-4E0A-8B37-1A745EB7C1CC}"/>
    <cellStyle name="Technical_Input" xfId="14" xr:uid="{21EF97C7-9E76-4175-97FB-C0F066B6FFFF}"/>
    <cellStyle name="Unit" xfId="12" xr:uid="{01B6BEAD-EE15-4FBA-885C-3B55390BF08E}"/>
  </cellStyles>
  <dxfs count="2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1" defaultTableStyle="TableStyleMedium2" defaultPivotStyle="PivotStyleLight16">
    <tableStyle name="Invisible" pivot="0" table="0" count="0" xr9:uid="{FA985BD6-E3AC-4B7E-8E92-3EC1C543D336}"/>
  </tableStyles>
  <colors>
    <mruColors>
      <color rgb="FFB4BFD0"/>
      <color rgb="FF44546A"/>
      <color rgb="FFD6DCE5"/>
      <color rgb="FFC793AB"/>
      <color rgb="FFF6B9C8"/>
      <color rgb="FFF69800"/>
      <color rgb="FFFFF1CC"/>
      <color rgb="FFB40078"/>
      <color rgb="FFE2EFDA"/>
      <color rgb="FFD9B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allen\Box%20Sync\Assignments\10100%20-%20TfNSW%20-%20SRT%20Cost%20Manager\5%20Working\R:\Documents%20and%20Settings\parkemic\My%20Documents\T%20and%20T\MS14018%20-%20HMP%20Ashwell\Calcrisk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500302%20Contracts%20Monitoring%202008%2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barkerob\Google%20Drive\SMCSW%20RB%20WORKING\FBC\Proposed%20Contract%20Packag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NZ%20Selwyn%20District%20Council%20Water%20services%20options\03%20Workings\Resources%20from%20Nathan\LA%20Indicative%20Financial%20Impact%20Tool%20Aug%2021.xlsb" TargetMode="External"/><Relationship Id="rId1" Type="http://schemas.openxmlformats.org/officeDocument/2006/relationships/externalLinkPath" Target="file:///G:\Shared%20drives\NZ%20Selwyn%20District%20Council%20Water%20services%20options\03%20Workings\Resources%20from%20Nathan\LA%20Indicative%20Financial%20Impact%20Tool%20Aug%202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Cashflow Parameters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 Curve Calculator"/>
      <sheetName val="Contingency Draw-down"/>
      <sheetName val="OCT 2008 FFC Changes"/>
      <sheetName val="H500302 Manplan Revised Oct 08"/>
      <sheetName val="C134 ELB_SP JV"/>
      <sheetName val="C134 Forecast"/>
      <sheetName val="C134Compensation Event Register"/>
      <sheetName val="CPC 046 ELB "/>
      <sheetName val="C046 Trends"/>
      <sheetName val="Latest MH0030"/>
      <sheetName val="C046 Forecast"/>
      <sheetName val="C047 Summary JORPE"/>
      <sheetName val="C047 Claim Cert JORPE detail"/>
      <sheetName val="C047 Forecast"/>
      <sheetName val="C144"/>
      <sheetName val="C063 Forecast"/>
      <sheetName val="C063 Calculation Cert "/>
      <sheetName val="C068_Civil Infrastructure"/>
      <sheetName val="C068 Forecast"/>
      <sheetName val="CPM145_BearingMan_Drives"/>
      <sheetName val="M145 Forecast"/>
      <sheetName val="C074 Cert Calculation"/>
      <sheetName val="C074 Cash Flow Summary"/>
      <sheetName val="Siemens forecast"/>
      <sheetName val="C065_ProtecHPS_Gantry Structura"/>
      <sheetName val="CPE033 Alstom"/>
      <sheetName val="ESCALATION MODELJuly 08"/>
      <sheetName val="ESCAL_CALC"/>
      <sheetName val="Steel PriceList"/>
      <sheetName val="H500302 Manplan_rep2"/>
      <sheetName val="Procurement Plan"/>
      <sheetName val="C0### Forecast"/>
      <sheetName val="C0### Forecast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posed Amendments (T&amp;T)"/>
      <sheetName val="Contract Packages (9Sep)"/>
      <sheetName val="CCT Contract Packages"/>
      <sheetName val="Proposed Contract Packages"/>
    </sheetNames>
    <definedNames>
      <definedName name="Header1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nancial Impact Tool"/>
      <sheetName val="1. Assumptions"/>
      <sheetName val="2. Instructions"/>
      <sheetName val="3. Inputs"/>
      <sheetName val="4. Charts"/>
      <sheetName val="Controls"/>
      <sheetName val="Checks"/>
      <sheetName val="Mapping"/>
      <sheetName val="LTP Data"/>
      <sheetName val="Model Inputs"/>
      <sheetName val="Scenario Input"/>
      <sheetName val="Whole of LA (L1)"/>
      <sheetName val="Three Waters (L1)"/>
      <sheetName val="Metrics (L2)"/>
      <sheetName val="Anchor Assessments"/>
      <sheetName val="Debt Headroom"/>
      <sheetName val="Outpu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8D8CEA-9BA7-4467-AAD3-4F99EFE89ABB}" name="Table1" displayName="Table1" ref="A1:I34" totalsRowShown="0" headerRowDxfId="10" dataDxfId="9">
  <autoFilter ref="A1:I34" xr:uid="{CE8D8CEA-9BA7-4467-AAD3-4F99EFE89ABB}"/>
  <tableColumns count="9">
    <tableColumn id="9" xr3:uid="{6F49A40E-9F15-4FAA-B599-F8029B6EB91D}" name="order" dataDxfId="8"/>
    <tableColumn id="1" xr3:uid="{C88F1B90-5093-4363-80E3-1E45E1022E1F}" name="source" dataDxfId="7"/>
    <tableColumn id="2" xr3:uid="{3A5ED410-F13B-4F17-9A4F-9B40E17C71D3}" name="owner" dataDxfId="6"/>
    <tableColumn id="3" xr3:uid="{055EF5AD-2408-484E-8463-D404D13EBC10}" name="system" dataDxfId="5"/>
    <tableColumn id="4" xr3:uid="{180BC119-C216-4865-8693-9410609FDA25}" name="data" dataDxfId="4"/>
    <tableColumn id="5" xr3:uid="{25C626F3-F76E-4D09-8065-645AFCB3D545}" name="value" dataDxfId="3"/>
    <tableColumn id="6" xr3:uid="{22E47894-3777-471F-A4F4-F16C87EC30A3}" name="nems_qc" dataDxfId="2"/>
    <tableColumn id="10" xr3:uid="{541CA94F-EF43-475B-B1F7-D0996BE4C70D}" name="FY" dataDxfId="1"/>
    <tableColumn id="8" xr3:uid="{1225DFC1-469D-4AFA-AB6C-529D65EA2935}" name="data improveme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PwC">
      <a:dk1>
        <a:srgbClr val="000000"/>
      </a:dk1>
      <a:lt1>
        <a:srgbClr val="FFFFFF"/>
      </a:lt1>
      <a:dk2>
        <a:srgbClr val="7D7D7D"/>
      </a:dk2>
      <a:lt2>
        <a:srgbClr val="DEDEDE"/>
      </a:lt2>
      <a:accent1>
        <a:srgbClr val="D04A02"/>
      </a:accent1>
      <a:accent2>
        <a:srgbClr val="FFB600"/>
      </a:accent2>
      <a:accent3>
        <a:srgbClr val="E0301E"/>
      </a:accent3>
      <a:accent4>
        <a:srgbClr val="EB8C00"/>
      </a:accent4>
      <a:accent5>
        <a:srgbClr val="DB536A"/>
      </a:accent5>
      <a:accent6>
        <a:srgbClr val="464646"/>
      </a:accent6>
      <a:hlink>
        <a:srgbClr val="D04A02"/>
      </a:hlink>
      <a:folHlink>
        <a:srgbClr val="DB536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1AD80-22A3-4322-9CEB-958B326A0CD8}">
  <sheetPr codeName="Sheet13">
    <tabColor theme="7" tint="0.79998168889431442"/>
    <pageSetUpPr autoPageBreaks="0"/>
  </sheetPr>
  <dimension ref="A1:OJ232"/>
  <sheetViews>
    <sheetView showGridLines="0" zoomScale="80" zoomScaleNormal="80" workbookViewId="0">
      <pane xSplit="9" ySplit="7" topLeftCell="J207" activePane="bottomRight" state="frozen"/>
      <selection pane="topRight" activeCell="J1" sqref="J1"/>
      <selection pane="bottomLeft" activeCell="A8" sqref="A8"/>
      <selection pane="bottomRight" activeCell="C134" sqref="C134:C175"/>
    </sheetView>
  </sheetViews>
  <sheetFormatPr defaultColWidth="0" defaultRowHeight="1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hidden="1" customWidth="1"/>
    <col min="59" max="343" width="8.85546875" hidden="1" customWidth="1"/>
    <col min="344" max="400" width="9.7109375" hidden="1" customWidth="1"/>
    <col min="401" max="16384" width="8.85546875" hidden="1"/>
  </cols>
  <sheetData>
    <row r="1" spans="1:24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</row>
    <row r="2" spans="1:24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</row>
    <row r="3" spans="1:24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</row>
    <row r="4" spans="1:24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</row>
    <row r="5" spans="1:24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</row>
    <row r="6" spans="1:24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V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si="2"/>
        <v>2034</v>
      </c>
      <c r="W6" s="13"/>
      <c r="X6" s="13"/>
    </row>
    <row r="7" spans="1:24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</row>
    <row r="8" spans="1:24">
      <c r="E8" s="24"/>
    </row>
    <row r="9" spans="1:24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1" spans="1:24" ht="15.75">
      <c r="A11" s="18"/>
      <c r="B11" s="18"/>
      <c r="C11" s="18" t="s">
        <v>18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>
      <c r="C12" s="20"/>
      <c r="D12" s="20"/>
    </row>
    <row r="13" spans="1:24" ht="19.5" customHeight="1">
      <c r="C13" s="33" t="s">
        <v>19</v>
      </c>
      <c r="D13" s="20"/>
    </row>
    <row r="14" spans="1:24">
      <c r="C14" s="31" t="s">
        <v>100</v>
      </c>
      <c r="D14" s="20"/>
      <c r="E14" s="2" t="s">
        <v>21</v>
      </c>
      <c r="F14" s="1" t="s">
        <v>2</v>
      </c>
      <c r="G14" s="1" t="s">
        <v>22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</row>
    <row r="15" spans="1:24">
      <c r="C15" s="31" t="s">
        <v>101</v>
      </c>
      <c r="D15" s="20"/>
      <c r="E15" s="2" t="s">
        <v>21</v>
      </c>
      <c r="F15" s="1" t="s">
        <v>2</v>
      </c>
      <c r="G15" s="1" t="s">
        <v>22</v>
      </c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</row>
    <row r="16" spans="1:24">
      <c r="C16" s="31" t="s">
        <v>94</v>
      </c>
      <c r="D16" s="20"/>
      <c r="E16" s="2" t="s">
        <v>21</v>
      </c>
      <c r="F16" s="1" t="s">
        <v>2</v>
      </c>
      <c r="G16" s="1" t="s">
        <v>22</v>
      </c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</row>
    <row r="17" spans="3:22">
      <c r="C17" s="31" t="s">
        <v>24</v>
      </c>
      <c r="D17" s="20"/>
      <c r="E17" s="2" t="s">
        <v>21</v>
      </c>
      <c r="F17" s="1" t="s">
        <v>2</v>
      </c>
      <c r="G17" s="1" t="s">
        <v>22</v>
      </c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</row>
    <row r="18" spans="3:22">
      <c r="C18" s="31" t="s">
        <v>25</v>
      </c>
      <c r="D18" s="20"/>
      <c r="E18" s="2" t="s">
        <v>21</v>
      </c>
      <c r="F18" s="1" t="s">
        <v>2</v>
      </c>
      <c r="G18" s="1" t="s">
        <v>22</v>
      </c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</row>
    <row r="19" spans="3:22">
      <c r="C19" s="31" t="s">
        <v>105</v>
      </c>
      <c r="D19" s="20"/>
      <c r="E19" s="2" t="s">
        <v>21</v>
      </c>
      <c r="F19" s="1" t="s">
        <v>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31" t="s">
        <v>106</v>
      </c>
      <c r="D20" s="20"/>
      <c r="E20" s="2" t="s">
        <v>21</v>
      </c>
      <c r="F20" s="1" t="s">
        <v>2</v>
      </c>
      <c r="G20" s="1" t="s">
        <v>22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31" t="s">
        <v>91</v>
      </c>
      <c r="D21" s="20"/>
      <c r="E21" s="2" t="s">
        <v>21</v>
      </c>
      <c r="F21" s="1" t="s">
        <v>2</v>
      </c>
      <c r="G21" s="1" t="s">
        <v>22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2" spans="3:22">
      <c r="C22" s="32" t="s">
        <v>26</v>
      </c>
      <c r="D22" s="20"/>
      <c r="E22" s="2" t="s">
        <v>21</v>
      </c>
      <c r="F22" s="1" t="s">
        <v>2</v>
      </c>
      <c r="G22" s="1" t="s">
        <v>22</v>
      </c>
      <c r="K22" s="30">
        <f>SUM(K19:K21)</f>
        <v>0</v>
      </c>
      <c r="L22" s="30">
        <f t="shared" ref="L22:V22" si="3">SUM(L19:L21)</f>
        <v>0</v>
      </c>
      <c r="M22" s="30">
        <f t="shared" si="3"/>
        <v>0</v>
      </c>
      <c r="N22" s="30">
        <f t="shared" si="3"/>
        <v>0</v>
      </c>
      <c r="O22" s="30">
        <f t="shared" si="3"/>
        <v>0</v>
      </c>
      <c r="P22" s="30">
        <f t="shared" si="3"/>
        <v>0</v>
      </c>
      <c r="Q22" s="30">
        <f t="shared" si="3"/>
        <v>0</v>
      </c>
      <c r="R22" s="30">
        <f t="shared" si="3"/>
        <v>0</v>
      </c>
      <c r="S22" s="30">
        <f t="shared" si="3"/>
        <v>0</v>
      </c>
      <c r="T22" s="30">
        <f t="shared" si="3"/>
        <v>0</v>
      </c>
      <c r="U22" s="30">
        <f t="shared" si="3"/>
        <v>0</v>
      </c>
      <c r="V22" s="30">
        <f t="shared" si="3"/>
        <v>0</v>
      </c>
    </row>
    <row r="23" spans="3:22">
      <c r="C23" s="31" t="s">
        <v>27</v>
      </c>
      <c r="D23" s="20"/>
      <c r="E23" s="2" t="s">
        <v>21</v>
      </c>
      <c r="F23" s="1" t="s">
        <v>2</v>
      </c>
      <c r="G23" s="1" t="s">
        <v>22</v>
      </c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</row>
    <row r="24" spans="3:22">
      <c r="C24" s="32" t="s">
        <v>28</v>
      </c>
      <c r="D24" s="20"/>
      <c r="E24" s="2" t="s">
        <v>21</v>
      </c>
      <c r="F24" s="1" t="s">
        <v>2</v>
      </c>
      <c r="G24" s="1" t="s">
        <v>22</v>
      </c>
      <c r="K24" s="30">
        <f>SUM(K22,K14:K18,K23)</f>
        <v>0</v>
      </c>
      <c r="L24" s="30">
        <f t="shared" ref="L24:V24" si="4">SUM(L22,L14:L18,L23)</f>
        <v>0</v>
      </c>
      <c r="M24" s="30">
        <f t="shared" si="4"/>
        <v>0</v>
      </c>
      <c r="N24" s="30">
        <f t="shared" si="4"/>
        <v>0</v>
      </c>
      <c r="O24" s="30">
        <f t="shared" si="4"/>
        <v>0</v>
      </c>
      <c r="P24" s="30">
        <f t="shared" si="4"/>
        <v>0</v>
      </c>
      <c r="Q24" s="30">
        <f t="shared" si="4"/>
        <v>0</v>
      </c>
      <c r="R24" s="30">
        <f t="shared" si="4"/>
        <v>0</v>
      </c>
      <c r="S24" s="30">
        <f t="shared" si="4"/>
        <v>0</v>
      </c>
      <c r="T24" s="30">
        <f t="shared" si="4"/>
        <v>0</v>
      </c>
      <c r="U24" s="30">
        <f t="shared" si="4"/>
        <v>0</v>
      </c>
      <c r="V24" s="30">
        <f t="shared" si="4"/>
        <v>0</v>
      </c>
    </row>
    <row r="25" spans="3:22">
      <c r="C25" s="21"/>
      <c r="D25" s="20"/>
      <c r="E25" s="2"/>
    </row>
    <row r="26" spans="3:22" ht="24" customHeight="1">
      <c r="C26" s="33" t="s">
        <v>29</v>
      </c>
      <c r="D26" s="20"/>
      <c r="E26" s="2"/>
    </row>
    <row r="27" spans="3:22">
      <c r="C27" s="31" t="s">
        <v>96</v>
      </c>
      <c r="D27" s="20"/>
      <c r="E27" s="2" t="s">
        <v>21</v>
      </c>
      <c r="F27" s="1" t="s">
        <v>2</v>
      </c>
      <c r="G27" s="1" t="s">
        <v>22</v>
      </c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  <row r="28" spans="3:22">
      <c r="C28" s="31" t="s">
        <v>97</v>
      </c>
      <c r="D28" s="20"/>
      <c r="E28" s="2" t="s">
        <v>21</v>
      </c>
      <c r="F28" s="1" t="s">
        <v>2</v>
      </c>
      <c r="G28" s="1" t="s">
        <v>22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</row>
    <row r="29" spans="3:22">
      <c r="C29" s="31" t="s">
        <v>98</v>
      </c>
      <c r="D29" s="20"/>
      <c r="E29" s="2" t="s">
        <v>21</v>
      </c>
      <c r="F29" s="1" t="s">
        <v>2</v>
      </c>
      <c r="G29" s="1" t="s">
        <v>22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</row>
    <row r="30" spans="3:22">
      <c r="C30" s="31" t="s">
        <v>99</v>
      </c>
      <c r="D30" s="20"/>
      <c r="E30" s="2" t="s">
        <v>21</v>
      </c>
      <c r="F30" s="1" t="s">
        <v>2</v>
      </c>
      <c r="G30" s="1" t="s">
        <v>22</v>
      </c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</row>
    <row r="31" spans="3:22">
      <c r="C31" s="32" t="s">
        <v>30</v>
      </c>
      <c r="D31" s="20"/>
      <c r="E31" s="2" t="s">
        <v>21</v>
      </c>
      <c r="F31" s="1" t="s">
        <v>2</v>
      </c>
      <c r="G31" s="1" t="s">
        <v>22</v>
      </c>
      <c r="K31" s="30">
        <f>SUM(K27:K30)</f>
        <v>0</v>
      </c>
      <c r="L31" s="30">
        <f t="shared" ref="L31:V31" si="5">SUM(L27:L30)</f>
        <v>0</v>
      </c>
      <c r="M31" s="30">
        <f t="shared" si="5"/>
        <v>0</v>
      </c>
      <c r="N31" s="30">
        <f t="shared" si="5"/>
        <v>0</v>
      </c>
      <c r="O31" s="30">
        <f t="shared" si="5"/>
        <v>0</v>
      </c>
      <c r="P31" s="30">
        <f t="shared" si="5"/>
        <v>0</v>
      </c>
      <c r="Q31" s="30">
        <f t="shared" si="5"/>
        <v>0</v>
      </c>
      <c r="R31" s="30">
        <f t="shared" si="5"/>
        <v>0</v>
      </c>
      <c r="S31" s="30">
        <f t="shared" si="5"/>
        <v>0</v>
      </c>
      <c r="T31" s="30">
        <f t="shared" si="5"/>
        <v>0</v>
      </c>
      <c r="U31" s="30">
        <f t="shared" si="5"/>
        <v>0</v>
      </c>
      <c r="V31" s="30">
        <f t="shared" si="5"/>
        <v>0</v>
      </c>
    </row>
    <row r="32" spans="3:22">
      <c r="C32" s="31" t="s">
        <v>31</v>
      </c>
      <c r="D32" s="20"/>
      <c r="E32" s="2" t="s">
        <v>21</v>
      </c>
      <c r="F32" s="1" t="s">
        <v>2</v>
      </c>
      <c r="G32" s="1" t="s">
        <v>22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</row>
    <row r="33" spans="3:22">
      <c r="C33" s="31" t="s">
        <v>107</v>
      </c>
      <c r="D33" s="20"/>
      <c r="E33" s="2" t="s">
        <v>92</v>
      </c>
      <c r="F33" s="1" t="s">
        <v>2</v>
      </c>
      <c r="G33" s="1" t="s">
        <v>22</v>
      </c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</row>
    <row r="34" spans="3:22">
      <c r="C34" s="31" t="s">
        <v>110</v>
      </c>
      <c r="D34" s="20"/>
      <c r="E34" s="2" t="s">
        <v>21</v>
      </c>
      <c r="F34" s="1" t="s">
        <v>2</v>
      </c>
      <c r="G34" s="1" t="s">
        <v>22</v>
      </c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</row>
    <row r="35" spans="3:22">
      <c r="C35" s="31" t="s">
        <v>91</v>
      </c>
      <c r="D35" s="20"/>
      <c r="E35" s="2" t="s">
        <v>21</v>
      </c>
      <c r="F35" s="1" t="s">
        <v>2</v>
      </c>
      <c r="G35" s="1" t="s">
        <v>22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</row>
    <row r="36" spans="3:22">
      <c r="C36" s="32" t="s">
        <v>32</v>
      </c>
      <c r="D36" s="20"/>
      <c r="E36" s="2" t="s">
        <v>21</v>
      </c>
      <c r="F36" s="1" t="s">
        <v>2</v>
      </c>
      <c r="G36" s="1" t="s">
        <v>22</v>
      </c>
      <c r="K36" s="30">
        <f>SUM(K33:K35)</f>
        <v>0</v>
      </c>
      <c r="L36" s="30">
        <f t="shared" ref="L36:V36" si="6">SUM(L33:L35)</f>
        <v>0</v>
      </c>
      <c r="M36" s="30">
        <f t="shared" si="6"/>
        <v>0</v>
      </c>
      <c r="N36" s="30">
        <f t="shared" si="6"/>
        <v>0</v>
      </c>
      <c r="O36" s="30">
        <f t="shared" si="6"/>
        <v>0</v>
      </c>
      <c r="P36" s="30">
        <f t="shared" si="6"/>
        <v>0</v>
      </c>
      <c r="Q36" s="30">
        <f t="shared" si="6"/>
        <v>0</v>
      </c>
      <c r="R36" s="30">
        <f t="shared" si="6"/>
        <v>0</v>
      </c>
      <c r="S36" s="30">
        <f t="shared" si="6"/>
        <v>0</v>
      </c>
      <c r="T36" s="30">
        <f t="shared" si="6"/>
        <v>0</v>
      </c>
      <c r="U36" s="30">
        <f t="shared" si="6"/>
        <v>0</v>
      </c>
      <c r="V36" s="30">
        <f t="shared" si="6"/>
        <v>0</v>
      </c>
    </row>
    <row r="37" spans="3:22">
      <c r="C37" s="31" t="s">
        <v>33</v>
      </c>
      <c r="D37" s="20"/>
      <c r="E37" s="2" t="s">
        <v>21</v>
      </c>
      <c r="F37" s="1" t="s">
        <v>2</v>
      </c>
      <c r="G37" s="1" t="s">
        <v>22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</row>
    <row r="38" spans="3:22">
      <c r="C38" s="32" t="s">
        <v>34</v>
      </c>
      <c r="D38" s="20"/>
      <c r="E38" s="2" t="s">
        <v>21</v>
      </c>
      <c r="F38" s="1" t="s">
        <v>2</v>
      </c>
      <c r="G38" s="1" t="s">
        <v>22</v>
      </c>
      <c r="K38" s="30">
        <f>K37+K36+K32+K31</f>
        <v>0</v>
      </c>
      <c r="L38" s="30">
        <f t="shared" ref="L38:V38" si="7">L37+L36+L32+L31</f>
        <v>0</v>
      </c>
      <c r="M38" s="30">
        <f t="shared" si="7"/>
        <v>0</v>
      </c>
      <c r="N38" s="30">
        <f t="shared" si="7"/>
        <v>0</v>
      </c>
      <c r="O38" s="30">
        <f t="shared" si="7"/>
        <v>0</v>
      </c>
      <c r="P38" s="30">
        <f t="shared" si="7"/>
        <v>0</v>
      </c>
      <c r="Q38" s="30">
        <f t="shared" si="7"/>
        <v>0</v>
      </c>
      <c r="R38" s="30">
        <f t="shared" si="7"/>
        <v>0</v>
      </c>
      <c r="S38" s="30">
        <f t="shared" si="7"/>
        <v>0</v>
      </c>
      <c r="T38" s="30">
        <f t="shared" si="7"/>
        <v>0</v>
      </c>
      <c r="U38" s="30">
        <f t="shared" si="7"/>
        <v>0</v>
      </c>
      <c r="V38" s="30">
        <f t="shared" si="7"/>
        <v>0</v>
      </c>
    </row>
    <row r="39" spans="3:22">
      <c r="C39" s="32" t="s">
        <v>35</v>
      </c>
      <c r="D39" s="20"/>
      <c r="E39" s="2" t="s">
        <v>21</v>
      </c>
      <c r="F39" s="1" t="s">
        <v>2</v>
      </c>
      <c r="G39" s="1" t="s">
        <v>22</v>
      </c>
      <c r="K39" s="30">
        <f>K24-K38</f>
        <v>0</v>
      </c>
      <c r="L39" s="30">
        <f t="shared" ref="L39:V39" si="8">L24-L38</f>
        <v>0</v>
      </c>
      <c r="M39" s="30">
        <f t="shared" si="8"/>
        <v>0</v>
      </c>
      <c r="N39" s="30">
        <f t="shared" si="8"/>
        <v>0</v>
      </c>
      <c r="O39" s="30">
        <f t="shared" si="8"/>
        <v>0</v>
      </c>
      <c r="P39" s="30">
        <f t="shared" si="8"/>
        <v>0</v>
      </c>
      <c r="Q39" s="30">
        <f t="shared" si="8"/>
        <v>0</v>
      </c>
      <c r="R39" s="30">
        <f t="shared" si="8"/>
        <v>0</v>
      </c>
      <c r="S39" s="30">
        <f t="shared" si="8"/>
        <v>0</v>
      </c>
      <c r="T39" s="30">
        <f t="shared" si="8"/>
        <v>0</v>
      </c>
      <c r="U39" s="30">
        <f t="shared" si="8"/>
        <v>0</v>
      </c>
      <c r="V39" s="30">
        <f t="shared" si="8"/>
        <v>0</v>
      </c>
    </row>
    <row r="40" spans="3:22">
      <c r="C40" s="21"/>
      <c r="D40" s="20"/>
      <c r="E40" s="2"/>
    </row>
    <row r="41" spans="3:22" ht="15.75">
      <c r="C41" s="33" t="s">
        <v>93</v>
      </c>
      <c r="D41" s="20"/>
      <c r="E41" s="2"/>
    </row>
    <row r="42" spans="3:22">
      <c r="C42" s="31" t="s">
        <v>36</v>
      </c>
      <c r="D42" s="20"/>
      <c r="E42" s="2" t="s">
        <v>21</v>
      </c>
      <c r="F42" s="1" t="s">
        <v>2</v>
      </c>
      <c r="G42" s="1" t="s">
        <v>22</v>
      </c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</row>
    <row r="43" spans="3:22">
      <c r="C43" s="31" t="s">
        <v>37</v>
      </c>
      <c r="D43" s="20"/>
      <c r="E43" s="2" t="s">
        <v>21</v>
      </c>
      <c r="F43" s="1" t="s">
        <v>2</v>
      </c>
      <c r="G43" s="1" t="s">
        <v>22</v>
      </c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</row>
    <row r="44" spans="3:22">
      <c r="C44" s="31" t="s">
        <v>38</v>
      </c>
      <c r="D44" s="20"/>
      <c r="E44" s="2" t="s">
        <v>21</v>
      </c>
      <c r="F44" s="1" t="s">
        <v>2</v>
      </c>
      <c r="G44" s="1" t="s">
        <v>22</v>
      </c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</row>
    <row r="45" spans="3:22">
      <c r="C45" s="31" t="s">
        <v>39</v>
      </c>
      <c r="D45" s="20"/>
      <c r="E45" s="2" t="s">
        <v>21</v>
      </c>
      <c r="F45" s="1" t="s">
        <v>2</v>
      </c>
      <c r="G45" s="1" t="s">
        <v>22</v>
      </c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</row>
    <row r="46" spans="3:22">
      <c r="C46" s="31" t="s">
        <v>40</v>
      </c>
      <c r="D46" s="20"/>
      <c r="E46" s="2" t="s">
        <v>21</v>
      </c>
      <c r="F46" s="1" t="s">
        <v>2</v>
      </c>
      <c r="G46" s="1" t="s">
        <v>22</v>
      </c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</row>
    <row r="47" spans="3:22">
      <c r="C47" s="31" t="s">
        <v>41</v>
      </c>
      <c r="D47" s="20"/>
      <c r="E47" s="2" t="s">
        <v>21</v>
      </c>
      <c r="F47" s="1" t="s">
        <v>2</v>
      </c>
      <c r="G47" s="1" t="s">
        <v>22</v>
      </c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</row>
    <row r="48" spans="3:22">
      <c r="C48" s="32" t="s">
        <v>42</v>
      </c>
      <c r="D48" s="20"/>
      <c r="E48" s="2" t="s">
        <v>21</v>
      </c>
      <c r="F48" s="1" t="s">
        <v>2</v>
      </c>
      <c r="G48" s="1" t="s">
        <v>22</v>
      </c>
      <c r="K48" s="30">
        <f>SUM(K42:K47)</f>
        <v>0</v>
      </c>
      <c r="L48" s="30">
        <f t="shared" ref="L48:V48" si="9">SUM(L42:L47)</f>
        <v>0</v>
      </c>
      <c r="M48" s="30">
        <f t="shared" si="9"/>
        <v>0</v>
      </c>
      <c r="N48" s="30">
        <f t="shared" si="9"/>
        <v>0</v>
      </c>
      <c r="O48" s="30">
        <f t="shared" si="9"/>
        <v>0</v>
      </c>
      <c r="P48" s="30">
        <f t="shared" si="9"/>
        <v>0</v>
      </c>
      <c r="Q48" s="30">
        <f t="shared" si="9"/>
        <v>0</v>
      </c>
      <c r="R48" s="30">
        <f t="shared" si="9"/>
        <v>0</v>
      </c>
      <c r="S48" s="30">
        <f t="shared" si="9"/>
        <v>0</v>
      </c>
      <c r="T48" s="30">
        <f t="shared" si="9"/>
        <v>0</v>
      </c>
      <c r="U48" s="30">
        <f t="shared" si="9"/>
        <v>0</v>
      </c>
      <c r="V48" s="30">
        <f t="shared" si="9"/>
        <v>0</v>
      </c>
    </row>
    <row r="49" spans="3:22">
      <c r="C49" s="21"/>
      <c r="D49" s="20"/>
      <c r="E49" s="2"/>
    </row>
    <row r="50" spans="3:22">
      <c r="C50" s="20" t="s">
        <v>43</v>
      </c>
      <c r="D50" s="20"/>
      <c r="E50" s="2"/>
    </row>
    <row r="51" spans="3:22">
      <c r="C51" s="31" t="s">
        <v>44</v>
      </c>
      <c r="D51" s="20"/>
      <c r="E51" s="2" t="s">
        <v>21</v>
      </c>
      <c r="F51" s="1" t="s">
        <v>2</v>
      </c>
      <c r="G51" s="1" t="s">
        <v>22</v>
      </c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</row>
    <row r="52" spans="3:22">
      <c r="C52" s="31" t="s">
        <v>45</v>
      </c>
      <c r="D52" s="20"/>
      <c r="E52" s="2" t="s">
        <v>21</v>
      </c>
      <c r="F52" s="1" t="s">
        <v>2</v>
      </c>
      <c r="G52" s="1" t="s">
        <v>22</v>
      </c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</row>
    <row r="53" spans="3:22">
      <c r="C53" s="31" t="s">
        <v>46</v>
      </c>
      <c r="D53" s="20"/>
      <c r="E53" s="2" t="s">
        <v>21</v>
      </c>
      <c r="F53" s="1" t="s">
        <v>2</v>
      </c>
      <c r="G53" s="1" t="s">
        <v>22</v>
      </c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</row>
    <row r="54" spans="3:22">
      <c r="C54" s="31" t="s">
        <v>47</v>
      </c>
      <c r="D54" s="20"/>
      <c r="E54" s="2" t="s">
        <v>21</v>
      </c>
      <c r="F54" s="1" t="s">
        <v>2</v>
      </c>
      <c r="G54" s="1" t="s">
        <v>22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</row>
    <row r="55" spans="3:22">
      <c r="C55" s="31" t="s">
        <v>48</v>
      </c>
      <c r="D55" s="20"/>
      <c r="E55" s="2" t="s">
        <v>21</v>
      </c>
      <c r="F55" s="1" t="s">
        <v>2</v>
      </c>
      <c r="G55" s="1" t="s">
        <v>22</v>
      </c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</row>
    <row r="56" spans="3:22">
      <c r="C56" s="32" t="s">
        <v>49</v>
      </c>
      <c r="D56" s="20"/>
      <c r="E56" s="2" t="s">
        <v>21</v>
      </c>
      <c r="F56" s="1" t="s">
        <v>2</v>
      </c>
      <c r="G56" s="1" t="s">
        <v>22</v>
      </c>
      <c r="K56" s="30">
        <f>SUM(K51:K55)</f>
        <v>0</v>
      </c>
      <c r="L56" s="30">
        <f t="shared" ref="L56:V56" si="10">SUM(L51:L55)</f>
        <v>0</v>
      </c>
      <c r="M56" s="30">
        <f t="shared" si="10"/>
        <v>0</v>
      </c>
      <c r="N56" s="30">
        <f t="shared" si="10"/>
        <v>0</v>
      </c>
      <c r="O56" s="30">
        <f t="shared" si="10"/>
        <v>0</v>
      </c>
      <c r="P56" s="30">
        <f t="shared" si="10"/>
        <v>0</v>
      </c>
      <c r="Q56" s="30">
        <f t="shared" si="10"/>
        <v>0</v>
      </c>
      <c r="R56" s="30">
        <f t="shared" si="10"/>
        <v>0</v>
      </c>
      <c r="S56" s="30">
        <f t="shared" si="10"/>
        <v>0</v>
      </c>
      <c r="T56" s="30">
        <f t="shared" si="10"/>
        <v>0</v>
      </c>
      <c r="U56" s="30">
        <f t="shared" si="10"/>
        <v>0</v>
      </c>
      <c r="V56" s="30">
        <f t="shared" si="10"/>
        <v>0</v>
      </c>
    </row>
    <row r="57" spans="3:22">
      <c r="C57" s="32" t="s">
        <v>50</v>
      </c>
      <c r="D57" s="20"/>
      <c r="E57" s="2" t="s">
        <v>21</v>
      </c>
      <c r="F57" s="1" t="s">
        <v>2</v>
      </c>
      <c r="G57" s="1" t="s">
        <v>22</v>
      </c>
      <c r="K57" s="30">
        <f>K48-K56</f>
        <v>0</v>
      </c>
      <c r="L57" s="30">
        <f t="shared" ref="L57:V57" si="11">L48-L56</f>
        <v>0</v>
      </c>
      <c r="M57" s="30">
        <f t="shared" si="11"/>
        <v>0</v>
      </c>
      <c r="N57" s="30">
        <f t="shared" si="11"/>
        <v>0</v>
      </c>
      <c r="O57" s="30">
        <f t="shared" si="11"/>
        <v>0</v>
      </c>
      <c r="P57" s="30">
        <f t="shared" si="11"/>
        <v>0</v>
      </c>
      <c r="Q57" s="30">
        <f t="shared" si="11"/>
        <v>0</v>
      </c>
      <c r="R57" s="30">
        <f t="shared" si="11"/>
        <v>0</v>
      </c>
      <c r="S57" s="30">
        <f t="shared" si="11"/>
        <v>0</v>
      </c>
      <c r="T57" s="30">
        <f t="shared" si="11"/>
        <v>0</v>
      </c>
      <c r="U57" s="30">
        <f t="shared" si="11"/>
        <v>0</v>
      </c>
      <c r="V57" s="30">
        <f t="shared" si="11"/>
        <v>0</v>
      </c>
    </row>
    <row r="58" spans="3:22">
      <c r="C58" s="31" t="s">
        <v>95</v>
      </c>
      <c r="D58" s="20"/>
      <c r="E58" s="2" t="s">
        <v>21</v>
      </c>
      <c r="F58" s="1" t="s">
        <v>2</v>
      </c>
      <c r="G58" s="1" t="s">
        <v>22</v>
      </c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</row>
    <row r="59" spans="3:22">
      <c r="C59" s="21"/>
      <c r="D59" s="20"/>
      <c r="E59" s="2"/>
    </row>
    <row r="60" spans="3:22">
      <c r="C60" s="20" t="s">
        <v>51</v>
      </c>
      <c r="D60" s="20"/>
      <c r="E60" s="2"/>
    </row>
    <row r="61" spans="3:22">
      <c r="C61" s="21"/>
      <c r="D61" s="20"/>
      <c r="E61" s="2"/>
      <c r="K61" s="36" t="s">
        <v>52</v>
      </c>
      <c r="L61" s="37"/>
      <c r="M61" s="37"/>
      <c r="N61" s="37"/>
      <c r="O61" s="37"/>
      <c r="P61" s="37"/>
      <c r="Q61" s="37"/>
      <c r="R61" s="37"/>
      <c r="S61" s="37"/>
      <c r="T61" s="38"/>
    </row>
    <row r="62" spans="3:22">
      <c r="C62" s="21"/>
      <c r="D62" s="20"/>
      <c r="E62" s="2"/>
      <c r="K62" s="39"/>
      <c r="L62" s="40"/>
      <c r="M62" s="40"/>
      <c r="N62" s="40"/>
      <c r="O62" s="40"/>
      <c r="P62" s="40"/>
      <c r="Q62" s="40"/>
      <c r="R62" s="40"/>
      <c r="S62" s="40"/>
      <c r="T62" s="41"/>
    </row>
    <row r="63" spans="3:22">
      <c r="C63" s="21"/>
      <c r="D63" s="20"/>
      <c r="E63" s="2"/>
      <c r="K63" s="39"/>
      <c r="L63" s="40"/>
      <c r="M63" s="40"/>
      <c r="N63" s="40"/>
      <c r="O63" s="40"/>
      <c r="P63" s="40"/>
      <c r="Q63" s="40"/>
      <c r="R63" s="40"/>
      <c r="S63" s="40"/>
      <c r="T63" s="41"/>
    </row>
    <row r="64" spans="3:22">
      <c r="C64" s="21"/>
      <c r="D64" s="20"/>
      <c r="E64" s="2"/>
      <c r="K64" s="39"/>
      <c r="L64" s="40"/>
      <c r="M64" s="40"/>
      <c r="N64" s="40"/>
      <c r="O64" s="40"/>
      <c r="P64" s="40"/>
      <c r="Q64" s="40"/>
      <c r="R64" s="40"/>
      <c r="S64" s="40"/>
      <c r="T64" s="41"/>
    </row>
    <row r="65" spans="1:24">
      <c r="C65" s="21"/>
      <c r="D65" s="20"/>
      <c r="E65" s="2"/>
      <c r="K65" s="39"/>
      <c r="L65" s="40"/>
      <c r="M65" s="40"/>
      <c r="N65" s="40"/>
      <c r="O65" s="40"/>
      <c r="P65" s="40"/>
      <c r="Q65" s="40"/>
      <c r="R65" s="40"/>
      <c r="S65" s="40"/>
      <c r="T65" s="41"/>
    </row>
    <row r="66" spans="1:24">
      <c r="C66" s="21"/>
      <c r="D66" s="20"/>
      <c r="E66" s="2"/>
      <c r="K66" s="39"/>
      <c r="L66" s="40"/>
      <c r="M66" s="40"/>
      <c r="N66" s="40"/>
      <c r="O66" s="40"/>
      <c r="P66" s="40"/>
      <c r="Q66" s="40"/>
      <c r="R66" s="40"/>
      <c r="S66" s="40"/>
      <c r="T66" s="41"/>
    </row>
    <row r="67" spans="1:24">
      <c r="C67" s="21"/>
      <c r="D67" s="20"/>
      <c r="E67" s="2"/>
      <c r="K67" s="42"/>
      <c r="L67" s="43"/>
      <c r="M67" s="43"/>
      <c r="N67" s="43"/>
      <c r="O67" s="43"/>
      <c r="P67" s="43"/>
      <c r="Q67" s="43"/>
      <c r="R67" s="43"/>
      <c r="S67" s="43"/>
      <c r="T67" s="44"/>
    </row>
    <row r="68" spans="1:24">
      <c r="C68" s="21"/>
      <c r="D68" s="20"/>
      <c r="E68" s="2"/>
    </row>
    <row r="69" spans="1:24" ht="15.75">
      <c r="A69" s="18"/>
      <c r="B69" s="18"/>
      <c r="C69" s="18" t="s">
        <v>53</v>
      </c>
      <c r="D69" s="18"/>
      <c r="E69" s="23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1:24">
      <c r="C70" s="20"/>
      <c r="D70" s="20"/>
    </row>
    <row r="71" spans="1:24" ht="15.75">
      <c r="C71" s="33" t="s">
        <v>19</v>
      </c>
      <c r="D71" s="20"/>
    </row>
    <row r="72" spans="1:24">
      <c r="C72" s="31" t="s">
        <v>20</v>
      </c>
      <c r="D72" s="20"/>
      <c r="E72" s="2" t="s">
        <v>21</v>
      </c>
      <c r="F72" s="1" t="s">
        <v>2</v>
      </c>
      <c r="G72" s="1" t="s">
        <v>53</v>
      </c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</row>
    <row r="73" spans="1:24">
      <c r="C73" s="31" t="s">
        <v>23</v>
      </c>
      <c r="D73" s="20"/>
      <c r="E73" s="2" t="s">
        <v>21</v>
      </c>
      <c r="F73" s="1" t="s">
        <v>2</v>
      </c>
      <c r="G73" s="1" t="s">
        <v>53</v>
      </c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</row>
    <row r="74" spans="1:24">
      <c r="C74" s="31" t="s">
        <v>24</v>
      </c>
      <c r="D74" s="20"/>
      <c r="E74" s="2" t="s">
        <v>21</v>
      </c>
      <c r="F74" s="1" t="s">
        <v>2</v>
      </c>
      <c r="G74" s="1" t="s">
        <v>53</v>
      </c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</row>
    <row r="75" spans="1:24">
      <c r="C75" s="31" t="s">
        <v>103</v>
      </c>
      <c r="D75" s="20"/>
      <c r="E75" s="2" t="s">
        <v>21</v>
      </c>
      <c r="F75" s="1" t="s">
        <v>2</v>
      </c>
      <c r="G75" s="1" t="s">
        <v>53</v>
      </c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</row>
    <row r="76" spans="1:24">
      <c r="C76" s="31" t="s">
        <v>104</v>
      </c>
      <c r="D76" s="20"/>
      <c r="E76" s="2" t="s">
        <v>21</v>
      </c>
      <c r="F76" s="1" t="s">
        <v>2</v>
      </c>
      <c r="G76" s="1" t="s">
        <v>53</v>
      </c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</row>
    <row r="77" spans="1:24">
      <c r="C77" s="32" t="s">
        <v>25</v>
      </c>
      <c r="D77" s="20"/>
      <c r="E77" s="2" t="s">
        <v>21</v>
      </c>
      <c r="F77" s="1" t="s">
        <v>2</v>
      </c>
      <c r="G77" s="1" t="s">
        <v>53</v>
      </c>
      <c r="K77" s="30">
        <f>K75+K76</f>
        <v>0</v>
      </c>
      <c r="L77" s="30">
        <f t="shared" ref="L77:V77" si="12">L75+L76</f>
        <v>0</v>
      </c>
      <c r="M77" s="30">
        <f t="shared" si="12"/>
        <v>0</v>
      </c>
      <c r="N77" s="30">
        <f t="shared" si="12"/>
        <v>0</v>
      </c>
      <c r="O77" s="30">
        <f t="shared" si="12"/>
        <v>0</v>
      </c>
      <c r="P77" s="30">
        <f t="shared" si="12"/>
        <v>0</v>
      </c>
      <c r="Q77" s="30">
        <f t="shared" si="12"/>
        <v>0</v>
      </c>
      <c r="R77" s="30">
        <f t="shared" si="12"/>
        <v>0</v>
      </c>
      <c r="S77" s="30">
        <f t="shared" si="12"/>
        <v>0</v>
      </c>
      <c r="T77" s="30">
        <f t="shared" si="12"/>
        <v>0</v>
      </c>
      <c r="U77" s="30">
        <f t="shared" si="12"/>
        <v>0</v>
      </c>
      <c r="V77" s="30">
        <f t="shared" si="12"/>
        <v>0</v>
      </c>
    </row>
    <row r="78" spans="1:24">
      <c r="C78" s="31" t="s">
        <v>108</v>
      </c>
      <c r="D78" s="20"/>
      <c r="E78" s="2" t="s">
        <v>21</v>
      </c>
      <c r="F78" s="1" t="s">
        <v>2</v>
      </c>
      <c r="G78" s="1" t="s">
        <v>53</v>
      </c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</row>
    <row r="79" spans="1:24">
      <c r="C79" s="31" t="s">
        <v>106</v>
      </c>
      <c r="D79" s="20"/>
      <c r="E79" s="2" t="s">
        <v>21</v>
      </c>
      <c r="F79" s="1" t="s">
        <v>2</v>
      </c>
      <c r="G79" s="1" t="s">
        <v>53</v>
      </c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</row>
    <row r="80" spans="1:24">
      <c r="C80" s="31" t="s">
        <v>91</v>
      </c>
      <c r="D80" s="20"/>
      <c r="E80" s="2" t="s">
        <v>21</v>
      </c>
      <c r="F80" s="1" t="s">
        <v>2</v>
      </c>
      <c r="G80" s="1" t="s">
        <v>53</v>
      </c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</row>
    <row r="81" spans="3:22">
      <c r="C81" s="32" t="s">
        <v>26</v>
      </c>
      <c r="D81" s="20"/>
      <c r="E81" s="2" t="s">
        <v>21</v>
      </c>
      <c r="F81" s="1" t="s">
        <v>2</v>
      </c>
      <c r="G81" s="1" t="s">
        <v>53</v>
      </c>
      <c r="K81" s="30">
        <f>SUM(K78:K80)</f>
        <v>0</v>
      </c>
      <c r="L81" s="30">
        <f t="shared" ref="L81:V81" si="13">SUM(L78:L80)</f>
        <v>0</v>
      </c>
      <c r="M81" s="30">
        <f t="shared" si="13"/>
        <v>0</v>
      </c>
      <c r="N81" s="30">
        <f t="shared" si="13"/>
        <v>0</v>
      </c>
      <c r="O81" s="30">
        <f t="shared" si="13"/>
        <v>0</v>
      </c>
      <c r="P81" s="30">
        <f t="shared" si="13"/>
        <v>0</v>
      </c>
      <c r="Q81" s="30">
        <f t="shared" si="13"/>
        <v>0</v>
      </c>
      <c r="R81" s="30">
        <f t="shared" si="13"/>
        <v>0</v>
      </c>
      <c r="S81" s="30">
        <f t="shared" si="13"/>
        <v>0</v>
      </c>
      <c r="T81" s="30">
        <f t="shared" si="13"/>
        <v>0</v>
      </c>
      <c r="U81" s="30">
        <f t="shared" si="13"/>
        <v>0</v>
      </c>
      <c r="V81" s="30">
        <f t="shared" si="13"/>
        <v>0</v>
      </c>
    </row>
    <row r="82" spans="3:22">
      <c r="C82" s="31" t="s">
        <v>27</v>
      </c>
      <c r="D82" s="20"/>
      <c r="E82" s="2" t="s">
        <v>21</v>
      </c>
      <c r="F82" s="1" t="s">
        <v>2</v>
      </c>
      <c r="G82" s="1" t="s">
        <v>53</v>
      </c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</row>
    <row r="83" spans="3:22">
      <c r="C83" s="32" t="s">
        <v>28</v>
      </c>
      <c r="D83" s="20"/>
      <c r="E83" s="2" t="s">
        <v>21</v>
      </c>
      <c r="F83" s="1" t="s">
        <v>2</v>
      </c>
      <c r="G83" s="1" t="s">
        <v>53</v>
      </c>
      <c r="K83" s="30">
        <f>K82+K81+K77+K74+K73+K72</f>
        <v>0</v>
      </c>
      <c r="L83" s="30">
        <f t="shared" ref="L83:V83" si="14">L82+L81+L77+L74+L73+L72</f>
        <v>0</v>
      </c>
      <c r="M83" s="30">
        <f t="shared" si="14"/>
        <v>0</v>
      </c>
      <c r="N83" s="30">
        <f t="shared" si="14"/>
        <v>0</v>
      </c>
      <c r="O83" s="30">
        <f t="shared" si="14"/>
        <v>0</v>
      </c>
      <c r="P83" s="30">
        <f t="shared" si="14"/>
        <v>0</v>
      </c>
      <c r="Q83" s="30">
        <f t="shared" si="14"/>
        <v>0</v>
      </c>
      <c r="R83" s="30">
        <f t="shared" si="14"/>
        <v>0</v>
      </c>
      <c r="S83" s="30">
        <f t="shared" si="14"/>
        <v>0</v>
      </c>
      <c r="T83" s="30">
        <f t="shared" si="14"/>
        <v>0</v>
      </c>
      <c r="U83" s="30">
        <f t="shared" si="14"/>
        <v>0</v>
      </c>
      <c r="V83" s="30">
        <f t="shared" si="14"/>
        <v>0</v>
      </c>
    </row>
    <row r="84" spans="3:22">
      <c r="C84" s="21"/>
      <c r="D84" s="20"/>
      <c r="E84" s="2"/>
    </row>
    <row r="85" spans="3:22" ht="15.75">
      <c r="C85" s="33" t="s">
        <v>29</v>
      </c>
      <c r="D85" s="20"/>
      <c r="E85" s="2"/>
    </row>
    <row r="86" spans="3:22">
      <c r="C86" s="31" t="s">
        <v>96</v>
      </c>
      <c r="D86" s="20"/>
      <c r="E86" s="2" t="s">
        <v>21</v>
      </c>
      <c r="F86" s="1" t="s">
        <v>2</v>
      </c>
      <c r="G86" s="1" t="s">
        <v>53</v>
      </c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</row>
    <row r="87" spans="3:22">
      <c r="C87" s="31" t="s">
        <v>97</v>
      </c>
      <c r="D87" s="20"/>
      <c r="E87" s="2" t="s">
        <v>21</v>
      </c>
      <c r="F87" s="1" t="s">
        <v>2</v>
      </c>
      <c r="G87" s="1" t="s">
        <v>53</v>
      </c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</row>
    <row r="88" spans="3:22">
      <c r="C88" s="31" t="s">
        <v>98</v>
      </c>
      <c r="D88" s="20"/>
      <c r="E88" s="2" t="s">
        <v>21</v>
      </c>
      <c r="F88" s="1" t="s">
        <v>2</v>
      </c>
      <c r="G88" s="1" t="s">
        <v>53</v>
      </c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</row>
    <row r="89" spans="3:22">
      <c r="C89" s="31" t="s">
        <v>99</v>
      </c>
      <c r="D89" s="20"/>
      <c r="E89" s="2" t="s">
        <v>21</v>
      </c>
      <c r="F89" s="1" t="s">
        <v>2</v>
      </c>
      <c r="G89" s="1" t="s">
        <v>53</v>
      </c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</row>
    <row r="90" spans="3:22">
      <c r="C90" s="31" t="s">
        <v>102</v>
      </c>
      <c r="D90" s="20"/>
      <c r="E90" s="2" t="s">
        <v>21</v>
      </c>
      <c r="F90" s="1" t="s">
        <v>2</v>
      </c>
      <c r="G90" s="1" t="s">
        <v>53</v>
      </c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</row>
    <row r="91" spans="3:22">
      <c r="C91" s="32" t="s">
        <v>30</v>
      </c>
      <c r="D91" s="20"/>
      <c r="E91" s="2" t="s">
        <v>21</v>
      </c>
      <c r="F91" s="1" t="s">
        <v>2</v>
      </c>
      <c r="G91" s="1" t="s">
        <v>53</v>
      </c>
      <c r="K91" s="30">
        <f>SUM(K86:K90)</f>
        <v>0</v>
      </c>
      <c r="L91" s="30">
        <f t="shared" ref="L91:V91" si="15">SUM(L86:L90)</f>
        <v>0</v>
      </c>
      <c r="M91" s="30">
        <f t="shared" si="15"/>
        <v>0</v>
      </c>
      <c r="N91" s="30">
        <f t="shared" si="15"/>
        <v>0</v>
      </c>
      <c r="O91" s="30">
        <f t="shared" si="15"/>
        <v>0</v>
      </c>
      <c r="P91" s="30">
        <f t="shared" si="15"/>
        <v>0</v>
      </c>
      <c r="Q91" s="30">
        <f t="shared" si="15"/>
        <v>0</v>
      </c>
      <c r="R91" s="30">
        <f t="shared" si="15"/>
        <v>0</v>
      </c>
      <c r="S91" s="30">
        <f t="shared" si="15"/>
        <v>0</v>
      </c>
      <c r="T91" s="30">
        <f t="shared" si="15"/>
        <v>0</v>
      </c>
      <c r="U91" s="30">
        <f t="shared" si="15"/>
        <v>0</v>
      </c>
      <c r="V91" s="30">
        <f t="shared" si="15"/>
        <v>0</v>
      </c>
    </row>
    <row r="92" spans="3:22">
      <c r="C92" s="31" t="s">
        <v>31</v>
      </c>
      <c r="D92" s="20"/>
      <c r="E92" s="2" t="s">
        <v>21</v>
      </c>
      <c r="F92" s="1" t="s">
        <v>2</v>
      </c>
      <c r="G92" s="1" t="s">
        <v>53</v>
      </c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</row>
    <row r="93" spans="3:22">
      <c r="C93" s="31" t="s">
        <v>109</v>
      </c>
      <c r="D93" s="20"/>
      <c r="E93" s="2" t="s">
        <v>21</v>
      </c>
      <c r="F93" s="1" t="s">
        <v>2</v>
      </c>
      <c r="G93" s="1" t="s">
        <v>53</v>
      </c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</row>
    <row r="94" spans="3:22">
      <c r="C94" s="31" t="s">
        <v>110</v>
      </c>
      <c r="D94" s="20"/>
      <c r="E94" s="2" t="s">
        <v>21</v>
      </c>
      <c r="F94" s="1" t="s">
        <v>2</v>
      </c>
      <c r="G94" s="1" t="s">
        <v>53</v>
      </c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</row>
    <row r="95" spans="3:22">
      <c r="C95" s="31" t="s">
        <v>91</v>
      </c>
      <c r="D95" s="20"/>
      <c r="E95" s="2" t="s">
        <v>21</v>
      </c>
      <c r="F95" s="1" t="s">
        <v>2</v>
      </c>
      <c r="G95" s="1" t="s">
        <v>53</v>
      </c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</row>
    <row r="96" spans="3:22">
      <c r="C96" s="32" t="s">
        <v>32</v>
      </c>
      <c r="D96" s="20"/>
      <c r="E96" s="2" t="s">
        <v>21</v>
      </c>
      <c r="F96" s="1" t="s">
        <v>2</v>
      </c>
      <c r="G96" s="1" t="s">
        <v>53</v>
      </c>
      <c r="K96" s="30">
        <f>SUM(K93:K95)</f>
        <v>0</v>
      </c>
      <c r="L96" s="30">
        <f t="shared" ref="L96:V96" si="16">SUM(L93:L95)</f>
        <v>0</v>
      </c>
      <c r="M96" s="30">
        <f t="shared" si="16"/>
        <v>0</v>
      </c>
      <c r="N96" s="30">
        <f t="shared" si="16"/>
        <v>0</v>
      </c>
      <c r="O96" s="30">
        <f t="shared" si="16"/>
        <v>0</v>
      </c>
      <c r="P96" s="30">
        <f t="shared" si="16"/>
        <v>0</v>
      </c>
      <c r="Q96" s="30">
        <f t="shared" si="16"/>
        <v>0</v>
      </c>
      <c r="R96" s="30">
        <f t="shared" si="16"/>
        <v>0</v>
      </c>
      <c r="S96" s="30">
        <f t="shared" si="16"/>
        <v>0</v>
      </c>
      <c r="T96" s="30">
        <f t="shared" si="16"/>
        <v>0</v>
      </c>
      <c r="U96" s="30">
        <f t="shared" si="16"/>
        <v>0</v>
      </c>
      <c r="V96" s="30">
        <f t="shared" si="16"/>
        <v>0</v>
      </c>
    </row>
    <row r="97" spans="3:22">
      <c r="C97" s="31" t="s">
        <v>33</v>
      </c>
      <c r="D97" s="20"/>
      <c r="E97" s="2" t="s">
        <v>21</v>
      </c>
      <c r="F97" s="1" t="s">
        <v>2</v>
      </c>
      <c r="G97" s="1" t="s">
        <v>53</v>
      </c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</row>
    <row r="98" spans="3:22">
      <c r="C98" s="32" t="s">
        <v>34</v>
      </c>
      <c r="D98" s="20"/>
      <c r="E98" s="2" t="s">
        <v>21</v>
      </c>
      <c r="F98" s="1" t="s">
        <v>2</v>
      </c>
      <c r="G98" s="1" t="s">
        <v>53</v>
      </c>
      <c r="K98" s="30">
        <f>K97+K96+K92+K91</f>
        <v>0</v>
      </c>
      <c r="L98" s="30">
        <f t="shared" ref="L98:V98" si="17">L97+L96+L92+L91</f>
        <v>0</v>
      </c>
      <c r="M98" s="30">
        <f t="shared" si="17"/>
        <v>0</v>
      </c>
      <c r="N98" s="30">
        <f t="shared" si="17"/>
        <v>0</v>
      </c>
      <c r="O98" s="30">
        <f t="shared" si="17"/>
        <v>0</v>
      </c>
      <c r="P98" s="30">
        <f t="shared" si="17"/>
        <v>0</v>
      </c>
      <c r="Q98" s="30">
        <f t="shared" si="17"/>
        <v>0</v>
      </c>
      <c r="R98" s="30">
        <f t="shared" si="17"/>
        <v>0</v>
      </c>
      <c r="S98" s="30">
        <f t="shared" si="17"/>
        <v>0</v>
      </c>
      <c r="T98" s="30">
        <f t="shared" si="17"/>
        <v>0</v>
      </c>
      <c r="U98" s="30">
        <f t="shared" si="17"/>
        <v>0</v>
      </c>
      <c r="V98" s="30">
        <f t="shared" si="17"/>
        <v>0</v>
      </c>
    </row>
    <row r="99" spans="3:22">
      <c r="C99" s="32" t="s">
        <v>35</v>
      </c>
      <c r="D99" s="20"/>
      <c r="E99" s="2" t="s">
        <v>21</v>
      </c>
      <c r="F99" s="1" t="s">
        <v>2</v>
      </c>
      <c r="G99" s="1" t="s">
        <v>53</v>
      </c>
      <c r="K99" s="30">
        <f>K83-K98</f>
        <v>0</v>
      </c>
      <c r="L99" s="30">
        <f t="shared" ref="L99:V99" si="18">L83-L98</f>
        <v>0</v>
      </c>
      <c r="M99" s="30">
        <f t="shared" si="18"/>
        <v>0</v>
      </c>
      <c r="N99" s="30">
        <f t="shared" si="18"/>
        <v>0</v>
      </c>
      <c r="O99" s="30">
        <f t="shared" si="18"/>
        <v>0</v>
      </c>
      <c r="P99" s="30">
        <f t="shared" si="18"/>
        <v>0</v>
      </c>
      <c r="Q99" s="30">
        <f t="shared" si="18"/>
        <v>0</v>
      </c>
      <c r="R99" s="30">
        <f t="shared" si="18"/>
        <v>0</v>
      </c>
      <c r="S99" s="30">
        <f t="shared" si="18"/>
        <v>0</v>
      </c>
      <c r="T99" s="30">
        <f t="shared" si="18"/>
        <v>0</v>
      </c>
      <c r="U99" s="30">
        <f t="shared" si="18"/>
        <v>0</v>
      </c>
      <c r="V99" s="30">
        <f t="shared" si="18"/>
        <v>0</v>
      </c>
    </row>
    <row r="100" spans="3:22">
      <c r="C100" s="21"/>
      <c r="D100" s="20"/>
      <c r="E100" s="2"/>
    </row>
    <row r="101" spans="3:22" ht="15.75">
      <c r="C101" s="33" t="s">
        <v>93</v>
      </c>
      <c r="D101" s="20"/>
      <c r="E101" s="2"/>
    </row>
    <row r="102" spans="3:22">
      <c r="C102" s="31" t="s">
        <v>36</v>
      </c>
      <c r="D102" s="20"/>
      <c r="E102" s="2" t="s">
        <v>21</v>
      </c>
      <c r="F102" s="1" t="s">
        <v>2</v>
      </c>
      <c r="G102" s="1" t="s">
        <v>53</v>
      </c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</row>
    <row r="103" spans="3:22">
      <c r="C103" s="31" t="s">
        <v>37</v>
      </c>
      <c r="D103" s="20"/>
      <c r="E103" s="2" t="s">
        <v>21</v>
      </c>
      <c r="F103" s="1" t="s">
        <v>2</v>
      </c>
      <c r="G103" s="1" t="s">
        <v>53</v>
      </c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</row>
    <row r="104" spans="3:22">
      <c r="C104" s="31" t="s">
        <v>38</v>
      </c>
      <c r="D104" s="20"/>
      <c r="E104" s="2" t="s">
        <v>21</v>
      </c>
      <c r="F104" s="1" t="s">
        <v>2</v>
      </c>
      <c r="G104" s="1" t="s">
        <v>53</v>
      </c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</row>
    <row r="105" spans="3:22">
      <c r="C105" s="31" t="s">
        <v>39</v>
      </c>
      <c r="D105" s="20"/>
      <c r="E105" s="2" t="s">
        <v>21</v>
      </c>
      <c r="F105" s="1" t="s">
        <v>2</v>
      </c>
      <c r="G105" s="1" t="s">
        <v>53</v>
      </c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</row>
    <row r="106" spans="3:22">
      <c r="C106" s="31" t="s">
        <v>40</v>
      </c>
      <c r="D106" s="20"/>
      <c r="E106" s="2" t="s">
        <v>21</v>
      </c>
      <c r="F106" s="1" t="s">
        <v>2</v>
      </c>
      <c r="G106" s="1" t="s">
        <v>53</v>
      </c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</row>
    <row r="107" spans="3:22">
      <c r="C107" s="31" t="s">
        <v>41</v>
      </c>
      <c r="D107" s="20"/>
      <c r="E107" s="2" t="s">
        <v>21</v>
      </c>
      <c r="F107" s="1" t="s">
        <v>2</v>
      </c>
      <c r="G107" s="1" t="s">
        <v>53</v>
      </c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</row>
    <row r="108" spans="3:22">
      <c r="C108" s="32" t="s">
        <v>42</v>
      </c>
      <c r="D108" s="20"/>
      <c r="E108" s="2" t="s">
        <v>21</v>
      </c>
      <c r="F108" s="1" t="s">
        <v>2</v>
      </c>
      <c r="G108" s="1" t="s">
        <v>53</v>
      </c>
      <c r="K108" s="30">
        <f>SUM(K102:K107)</f>
        <v>0</v>
      </c>
      <c r="L108" s="30">
        <f t="shared" ref="L108:V108" si="19">SUM(L102:L107)</f>
        <v>0</v>
      </c>
      <c r="M108" s="30">
        <f t="shared" si="19"/>
        <v>0</v>
      </c>
      <c r="N108" s="30">
        <f t="shared" si="19"/>
        <v>0</v>
      </c>
      <c r="O108" s="30">
        <f t="shared" si="19"/>
        <v>0</v>
      </c>
      <c r="P108" s="30">
        <f t="shared" si="19"/>
        <v>0</v>
      </c>
      <c r="Q108" s="30">
        <f t="shared" si="19"/>
        <v>0</v>
      </c>
      <c r="R108" s="30">
        <f t="shared" si="19"/>
        <v>0</v>
      </c>
      <c r="S108" s="30">
        <f t="shared" si="19"/>
        <v>0</v>
      </c>
      <c r="T108" s="30">
        <f t="shared" si="19"/>
        <v>0</v>
      </c>
      <c r="U108" s="30">
        <f t="shared" si="19"/>
        <v>0</v>
      </c>
      <c r="V108" s="30">
        <f t="shared" si="19"/>
        <v>0</v>
      </c>
    </row>
    <row r="109" spans="3:22">
      <c r="C109" s="21"/>
      <c r="D109" s="20"/>
      <c r="E109" s="2"/>
    </row>
    <row r="110" spans="3:22" ht="15.75">
      <c r="C110" s="33" t="s">
        <v>43</v>
      </c>
      <c r="D110" s="20"/>
      <c r="E110" s="2"/>
    </row>
    <row r="111" spans="3:22">
      <c r="C111" s="31" t="s">
        <v>44</v>
      </c>
      <c r="D111" s="20"/>
      <c r="E111" s="2" t="s">
        <v>21</v>
      </c>
      <c r="F111" s="1" t="s">
        <v>2</v>
      </c>
      <c r="G111" s="1" t="s">
        <v>53</v>
      </c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</row>
    <row r="112" spans="3:22">
      <c r="C112" s="31" t="s">
        <v>45</v>
      </c>
      <c r="D112" s="20"/>
      <c r="E112" s="2" t="s">
        <v>21</v>
      </c>
      <c r="F112" s="1" t="s">
        <v>2</v>
      </c>
      <c r="G112" s="1" t="s">
        <v>53</v>
      </c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</row>
    <row r="113" spans="3:22">
      <c r="C113" s="31" t="s">
        <v>46</v>
      </c>
      <c r="D113" s="20"/>
      <c r="E113" s="2" t="s">
        <v>21</v>
      </c>
      <c r="F113" s="1" t="s">
        <v>2</v>
      </c>
      <c r="G113" s="1" t="s">
        <v>53</v>
      </c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</row>
    <row r="114" spans="3:22">
      <c r="C114" s="31" t="s">
        <v>47</v>
      </c>
      <c r="D114" s="20"/>
      <c r="E114" s="2" t="s">
        <v>21</v>
      </c>
      <c r="F114" s="1" t="s">
        <v>2</v>
      </c>
      <c r="G114" s="1" t="s">
        <v>53</v>
      </c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</row>
    <row r="115" spans="3:22">
      <c r="C115" s="31" t="s">
        <v>48</v>
      </c>
      <c r="D115" s="20"/>
      <c r="E115" s="2" t="s">
        <v>21</v>
      </c>
      <c r="F115" s="1" t="s">
        <v>2</v>
      </c>
      <c r="G115" s="1" t="s">
        <v>53</v>
      </c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</row>
    <row r="116" spans="3:22">
      <c r="C116" s="32" t="s">
        <v>49</v>
      </c>
      <c r="D116" s="20"/>
      <c r="E116" s="2" t="s">
        <v>21</v>
      </c>
      <c r="F116" s="1" t="s">
        <v>2</v>
      </c>
      <c r="G116" s="1" t="s">
        <v>53</v>
      </c>
      <c r="K116" s="30">
        <f>SUM(K111:K115)</f>
        <v>0</v>
      </c>
      <c r="L116" s="30">
        <f t="shared" ref="L116:V116" si="20">SUM(L111:L115)</f>
        <v>0</v>
      </c>
      <c r="M116" s="30">
        <f t="shared" si="20"/>
        <v>0</v>
      </c>
      <c r="N116" s="30">
        <f t="shared" si="20"/>
        <v>0</v>
      </c>
      <c r="O116" s="30">
        <f t="shared" si="20"/>
        <v>0</v>
      </c>
      <c r="P116" s="30">
        <f t="shared" si="20"/>
        <v>0</v>
      </c>
      <c r="Q116" s="30">
        <f t="shared" si="20"/>
        <v>0</v>
      </c>
      <c r="R116" s="30">
        <f t="shared" si="20"/>
        <v>0</v>
      </c>
      <c r="S116" s="30">
        <f t="shared" si="20"/>
        <v>0</v>
      </c>
      <c r="T116" s="30">
        <f t="shared" si="20"/>
        <v>0</v>
      </c>
      <c r="U116" s="30">
        <f t="shared" si="20"/>
        <v>0</v>
      </c>
      <c r="V116" s="30">
        <f t="shared" si="20"/>
        <v>0</v>
      </c>
    </row>
    <row r="117" spans="3:22">
      <c r="C117" s="32" t="s">
        <v>50</v>
      </c>
      <c r="D117" s="20"/>
      <c r="E117" s="2" t="s">
        <v>21</v>
      </c>
      <c r="F117" s="1" t="s">
        <v>2</v>
      </c>
      <c r="G117" s="1" t="s">
        <v>53</v>
      </c>
      <c r="K117" s="30">
        <f>K108-K116</f>
        <v>0</v>
      </c>
      <c r="L117" s="30">
        <f t="shared" ref="L117:V117" si="21">L108-L116</f>
        <v>0</v>
      </c>
      <c r="M117" s="30">
        <f t="shared" si="21"/>
        <v>0</v>
      </c>
      <c r="N117" s="30">
        <f t="shared" si="21"/>
        <v>0</v>
      </c>
      <c r="O117" s="30">
        <f t="shared" si="21"/>
        <v>0</v>
      </c>
      <c r="P117" s="30">
        <f t="shared" si="21"/>
        <v>0</v>
      </c>
      <c r="Q117" s="30">
        <f t="shared" si="21"/>
        <v>0</v>
      </c>
      <c r="R117" s="30">
        <f t="shared" si="21"/>
        <v>0</v>
      </c>
      <c r="S117" s="30">
        <f t="shared" si="21"/>
        <v>0</v>
      </c>
      <c r="T117" s="30">
        <f t="shared" si="21"/>
        <v>0</v>
      </c>
      <c r="U117" s="30">
        <f t="shared" si="21"/>
        <v>0</v>
      </c>
      <c r="V117" s="30">
        <f t="shared" si="21"/>
        <v>0</v>
      </c>
    </row>
    <row r="118" spans="3:22">
      <c r="C118" s="31" t="s">
        <v>95</v>
      </c>
      <c r="D118" s="20"/>
      <c r="E118" s="2" t="s">
        <v>21</v>
      </c>
      <c r="F118" s="1" t="s">
        <v>2</v>
      </c>
      <c r="G118" s="1" t="s">
        <v>53</v>
      </c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</row>
    <row r="119" spans="3:22">
      <c r="C119" s="21"/>
      <c r="D119" s="20"/>
      <c r="E119" s="2"/>
    </row>
    <row r="120" spans="3:22">
      <c r="C120" s="20" t="s">
        <v>51</v>
      </c>
      <c r="D120" s="20"/>
      <c r="E120" s="2"/>
    </row>
    <row r="121" spans="3:22">
      <c r="C121" s="21"/>
      <c r="D121" s="20"/>
      <c r="E121" s="2"/>
      <c r="K121" s="36" t="s">
        <v>54</v>
      </c>
      <c r="L121" s="37"/>
      <c r="M121" s="37"/>
      <c r="N121" s="37"/>
      <c r="O121" s="37"/>
      <c r="P121" s="37"/>
      <c r="Q121" s="37"/>
      <c r="R121" s="37"/>
      <c r="S121" s="37"/>
      <c r="T121" s="38"/>
    </row>
    <row r="122" spans="3:22">
      <c r="C122" s="21"/>
      <c r="D122" s="20"/>
      <c r="E122" s="2"/>
      <c r="K122" s="39"/>
      <c r="L122" s="40"/>
      <c r="M122" s="40"/>
      <c r="N122" s="40"/>
      <c r="O122" s="40"/>
      <c r="P122" s="40"/>
      <c r="Q122" s="40"/>
      <c r="R122" s="40"/>
      <c r="S122" s="40"/>
      <c r="T122" s="41"/>
    </row>
    <row r="123" spans="3:22">
      <c r="C123" s="21"/>
      <c r="D123" s="20"/>
      <c r="E123" s="2"/>
      <c r="K123" s="39"/>
      <c r="L123" s="40"/>
      <c r="M123" s="40"/>
      <c r="N123" s="40"/>
      <c r="O123" s="40"/>
      <c r="P123" s="40"/>
      <c r="Q123" s="40"/>
      <c r="R123" s="40"/>
      <c r="S123" s="40"/>
      <c r="T123" s="41"/>
    </row>
    <row r="124" spans="3:22">
      <c r="C124" s="21"/>
      <c r="D124" s="20"/>
      <c r="E124" s="2"/>
      <c r="K124" s="39"/>
      <c r="L124" s="40"/>
      <c r="M124" s="40"/>
      <c r="N124" s="40"/>
      <c r="O124" s="40"/>
      <c r="P124" s="40"/>
      <c r="Q124" s="40"/>
      <c r="R124" s="40"/>
      <c r="S124" s="40"/>
      <c r="T124" s="41"/>
    </row>
    <row r="125" spans="3:22">
      <c r="C125" s="21"/>
      <c r="D125" s="20"/>
      <c r="E125" s="2"/>
      <c r="K125" s="39"/>
      <c r="L125" s="40"/>
      <c r="M125" s="40"/>
      <c r="N125" s="40"/>
      <c r="O125" s="40"/>
      <c r="P125" s="40"/>
      <c r="Q125" s="40"/>
      <c r="R125" s="40"/>
      <c r="S125" s="40"/>
      <c r="T125" s="41"/>
    </row>
    <row r="126" spans="3:22">
      <c r="C126" s="21"/>
      <c r="D126" s="20"/>
      <c r="E126" s="2"/>
      <c r="K126" s="39"/>
      <c r="L126" s="40"/>
      <c r="M126" s="40"/>
      <c r="N126" s="40"/>
      <c r="O126" s="40"/>
      <c r="P126" s="40"/>
      <c r="Q126" s="40"/>
      <c r="R126" s="40"/>
      <c r="S126" s="40"/>
      <c r="T126" s="41"/>
    </row>
    <row r="127" spans="3:22">
      <c r="C127" s="21"/>
      <c r="D127" s="20"/>
      <c r="E127" s="2"/>
      <c r="K127" s="42"/>
      <c r="L127" s="43"/>
      <c r="M127" s="43"/>
      <c r="N127" s="43"/>
      <c r="O127" s="43"/>
      <c r="P127" s="43"/>
      <c r="Q127" s="43"/>
      <c r="R127" s="43"/>
      <c r="S127" s="43"/>
      <c r="T127" s="44"/>
    </row>
    <row r="128" spans="3:22">
      <c r="C128" s="21"/>
      <c r="D128" s="20"/>
      <c r="E128" s="2"/>
    </row>
    <row r="129" spans="1:24" ht="15.75">
      <c r="A129" s="18"/>
      <c r="B129" s="18"/>
      <c r="C129" s="18" t="s">
        <v>55</v>
      </c>
      <c r="D129" s="18"/>
      <c r="E129" s="23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spans="1:24">
      <c r="C130" s="20"/>
      <c r="D130" s="20"/>
    </row>
    <row r="131" spans="1:24" ht="15.75">
      <c r="C131" s="33" t="s">
        <v>19</v>
      </c>
      <c r="D131" s="20"/>
    </row>
    <row r="132" spans="1:24">
      <c r="C132" s="21" t="s">
        <v>20</v>
      </c>
      <c r="D132" s="20"/>
      <c r="E132" s="2" t="s">
        <v>21</v>
      </c>
      <c r="F132" s="1" t="s">
        <v>2</v>
      </c>
      <c r="G132" s="1" t="s">
        <v>55</v>
      </c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</row>
    <row r="133" spans="1:24">
      <c r="C133" s="21" t="s">
        <v>23</v>
      </c>
      <c r="D133" s="20"/>
      <c r="E133" s="2" t="s">
        <v>21</v>
      </c>
      <c r="F133" s="1" t="s">
        <v>2</v>
      </c>
      <c r="G133" s="1" t="s">
        <v>55</v>
      </c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</row>
    <row r="134" spans="1:24">
      <c r="C134" s="21" t="s">
        <v>24</v>
      </c>
      <c r="D134" s="20"/>
      <c r="E134" s="2" t="s">
        <v>21</v>
      </c>
      <c r="F134" s="1" t="s">
        <v>2</v>
      </c>
      <c r="G134" s="1" t="s">
        <v>55</v>
      </c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</row>
    <row r="135" spans="1:24">
      <c r="C135" s="21" t="s">
        <v>25</v>
      </c>
      <c r="D135" s="20"/>
      <c r="E135" s="2" t="s">
        <v>21</v>
      </c>
      <c r="F135" s="1" t="s">
        <v>2</v>
      </c>
      <c r="G135" s="1" t="s">
        <v>55</v>
      </c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</row>
    <row r="136" spans="1:24">
      <c r="C136" s="31" t="s">
        <v>111</v>
      </c>
      <c r="D136" s="20"/>
      <c r="E136" s="2" t="s">
        <v>21</v>
      </c>
      <c r="F136" s="1" t="s">
        <v>2</v>
      </c>
      <c r="G136" s="1" t="s">
        <v>55</v>
      </c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</row>
    <row r="137" spans="1:24">
      <c r="C137" s="31" t="s">
        <v>106</v>
      </c>
      <c r="D137" s="20"/>
      <c r="E137" s="2" t="s">
        <v>21</v>
      </c>
      <c r="F137" s="1" t="s">
        <v>2</v>
      </c>
      <c r="G137" s="1" t="s">
        <v>55</v>
      </c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</row>
    <row r="138" spans="1:24">
      <c r="C138" s="31" t="s">
        <v>91</v>
      </c>
      <c r="D138" s="20"/>
      <c r="E138" s="2" t="s">
        <v>21</v>
      </c>
      <c r="F138" s="1" t="s">
        <v>2</v>
      </c>
      <c r="G138" s="1" t="s">
        <v>55</v>
      </c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</row>
    <row r="139" spans="1:24">
      <c r="C139" s="32" t="s">
        <v>26</v>
      </c>
      <c r="D139" s="20"/>
      <c r="E139" s="2" t="s">
        <v>21</v>
      </c>
      <c r="F139" s="1" t="s">
        <v>2</v>
      </c>
      <c r="G139" s="1" t="s">
        <v>55</v>
      </c>
      <c r="K139" s="30">
        <f>SUM(K136:K138)</f>
        <v>0</v>
      </c>
      <c r="L139" s="30">
        <f t="shared" ref="L139:V139" si="22">SUM(L136:L138)</f>
        <v>0</v>
      </c>
      <c r="M139" s="30">
        <f t="shared" si="22"/>
        <v>0</v>
      </c>
      <c r="N139" s="30">
        <f t="shared" si="22"/>
        <v>0</v>
      </c>
      <c r="O139" s="30">
        <f t="shared" si="22"/>
        <v>0</v>
      </c>
      <c r="P139" s="30">
        <f t="shared" si="22"/>
        <v>0</v>
      </c>
      <c r="Q139" s="30">
        <f t="shared" si="22"/>
        <v>0</v>
      </c>
      <c r="R139" s="30">
        <f t="shared" si="22"/>
        <v>0</v>
      </c>
      <c r="S139" s="30">
        <f t="shared" si="22"/>
        <v>0</v>
      </c>
      <c r="T139" s="30">
        <f t="shared" si="22"/>
        <v>0</v>
      </c>
      <c r="U139" s="30">
        <f t="shared" si="22"/>
        <v>0</v>
      </c>
      <c r="V139" s="30">
        <f t="shared" si="22"/>
        <v>0</v>
      </c>
    </row>
    <row r="140" spans="1:24">
      <c r="C140" s="21" t="s">
        <v>27</v>
      </c>
      <c r="D140" s="20"/>
      <c r="E140" s="2" t="s">
        <v>21</v>
      </c>
      <c r="F140" s="1" t="s">
        <v>2</v>
      </c>
      <c r="G140" s="1" t="s">
        <v>55</v>
      </c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</row>
    <row r="141" spans="1:24">
      <c r="C141" s="32" t="s">
        <v>28</v>
      </c>
      <c r="D141" s="20"/>
      <c r="E141" s="2" t="s">
        <v>21</v>
      </c>
      <c r="F141" s="1" t="s">
        <v>2</v>
      </c>
      <c r="G141" s="1" t="s">
        <v>55</v>
      </c>
      <c r="K141" s="30">
        <f>SUM(K140,K139,K132:K135)</f>
        <v>0</v>
      </c>
      <c r="L141" s="30">
        <f t="shared" ref="L141:V141" si="23">SUM(L140,L139,L132:L135)</f>
        <v>0</v>
      </c>
      <c r="M141" s="30">
        <f t="shared" si="23"/>
        <v>0</v>
      </c>
      <c r="N141" s="30">
        <f t="shared" si="23"/>
        <v>0</v>
      </c>
      <c r="O141" s="30">
        <f t="shared" si="23"/>
        <v>0</v>
      </c>
      <c r="P141" s="30">
        <f t="shared" si="23"/>
        <v>0</v>
      </c>
      <c r="Q141" s="30">
        <f t="shared" si="23"/>
        <v>0</v>
      </c>
      <c r="R141" s="30">
        <f t="shared" si="23"/>
        <v>0</v>
      </c>
      <c r="S141" s="30">
        <f t="shared" si="23"/>
        <v>0</v>
      </c>
      <c r="T141" s="30">
        <f t="shared" si="23"/>
        <v>0</v>
      </c>
      <c r="U141" s="30">
        <f t="shared" si="23"/>
        <v>0</v>
      </c>
      <c r="V141" s="30">
        <f t="shared" si="23"/>
        <v>0</v>
      </c>
    </row>
    <row r="142" spans="1:24">
      <c r="C142" s="21"/>
      <c r="D142" s="20"/>
      <c r="E142" s="2"/>
    </row>
    <row r="143" spans="1:24" ht="15.75">
      <c r="C143" s="33" t="s">
        <v>29</v>
      </c>
      <c r="D143" s="20"/>
      <c r="E143" s="2"/>
    </row>
    <row r="144" spans="1:24">
      <c r="C144" s="31" t="s">
        <v>96</v>
      </c>
      <c r="D144" s="20"/>
      <c r="E144" s="2" t="s">
        <v>21</v>
      </c>
      <c r="F144" s="1" t="s">
        <v>2</v>
      </c>
      <c r="G144" s="1" t="s">
        <v>55</v>
      </c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</row>
    <row r="145" spans="3:22">
      <c r="C145" s="31" t="s">
        <v>97</v>
      </c>
      <c r="D145" s="20"/>
      <c r="E145" s="2" t="s">
        <v>21</v>
      </c>
      <c r="F145" s="1" t="s">
        <v>2</v>
      </c>
      <c r="G145" s="1" t="s">
        <v>55</v>
      </c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</row>
    <row r="146" spans="3:22">
      <c r="C146" s="31" t="s">
        <v>98</v>
      </c>
      <c r="D146" s="20"/>
      <c r="E146" s="2" t="s">
        <v>21</v>
      </c>
      <c r="F146" s="1" t="s">
        <v>2</v>
      </c>
      <c r="G146" s="1" t="s">
        <v>55</v>
      </c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</row>
    <row r="147" spans="3:22">
      <c r="C147" s="31" t="s">
        <v>99</v>
      </c>
      <c r="D147" s="20"/>
      <c r="E147" s="2" t="s">
        <v>21</v>
      </c>
      <c r="F147" s="1" t="s">
        <v>2</v>
      </c>
      <c r="G147" s="1" t="s">
        <v>55</v>
      </c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</row>
    <row r="148" spans="3:22">
      <c r="C148" s="32" t="s">
        <v>30</v>
      </c>
      <c r="D148" s="20"/>
      <c r="E148" s="2" t="s">
        <v>21</v>
      </c>
      <c r="F148" s="1" t="s">
        <v>2</v>
      </c>
      <c r="G148" s="1" t="s">
        <v>55</v>
      </c>
      <c r="K148" s="30">
        <f>SUM(K144:K147)</f>
        <v>0</v>
      </c>
      <c r="L148" s="30">
        <f t="shared" ref="L148:V148" si="24">SUM(L144:L147)</f>
        <v>0</v>
      </c>
      <c r="M148" s="30">
        <f t="shared" si="24"/>
        <v>0</v>
      </c>
      <c r="N148" s="30">
        <f t="shared" si="24"/>
        <v>0</v>
      </c>
      <c r="O148" s="30">
        <f t="shared" si="24"/>
        <v>0</v>
      </c>
      <c r="P148" s="30">
        <f t="shared" si="24"/>
        <v>0</v>
      </c>
      <c r="Q148" s="30">
        <f t="shared" si="24"/>
        <v>0</v>
      </c>
      <c r="R148" s="30">
        <f t="shared" si="24"/>
        <v>0</v>
      </c>
      <c r="S148" s="30">
        <f t="shared" si="24"/>
        <v>0</v>
      </c>
      <c r="T148" s="30">
        <f t="shared" si="24"/>
        <v>0</v>
      </c>
      <c r="U148" s="30">
        <f t="shared" si="24"/>
        <v>0</v>
      </c>
      <c r="V148" s="30">
        <f t="shared" si="24"/>
        <v>0</v>
      </c>
    </row>
    <row r="149" spans="3:22">
      <c r="C149" s="21" t="s">
        <v>31</v>
      </c>
      <c r="D149" s="20"/>
      <c r="E149" s="2" t="s">
        <v>21</v>
      </c>
      <c r="F149" s="1" t="s">
        <v>2</v>
      </c>
      <c r="G149" s="1" t="s">
        <v>55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</row>
    <row r="150" spans="3:22">
      <c r="C150" s="31" t="s">
        <v>112</v>
      </c>
      <c r="D150" s="20"/>
      <c r="E150" s="2" t="s">
        <v>21</v>
      </c>
      <c r="F150" s="1" t="s">
        <v>2</v>
      </c>
      <c r="G150" s="1" t="s">
        <v>55</v>
      </c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</row>
    <row r="151" spans="3:22">
      <c r="C151" s="31" t="s">
        <v>110</v>
      </c>
      <c r="D151" s="20"/>
      <c r="E151" s="2" t="s">
        <v>21</v>
      </c>
      <c r="F151" s="1" t="s">
        <v>2</v>
      </c>
      <c r="G151" s="1" t="s">
        <v>55</v>
      </c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</row>
    <row r="152" spans="3:22">
      <c r="C152" s="31" t="s">
        <v>91</v>
      </c>
      <c r="D152" s="20"/>
      <c r="E152" s="2" t="s">
        <v>21</v>
      </c>
      <c r="F152" s="1" t="s">
        <v>2</v>
      </c>
      <c r="G152" s="1" t="s">
        <v>55</v>
      </c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</row>
    <row r="153" spans="3:22">
      <c r="C153" s="32" t="s">
        <v>32</v>
      </c>
      <c r="D153" s="20"/>
      <c r="E153" s="2" t="s">
        <v>21</v>
      </c>
      <c r="F153" s="1" t="s">
        <v>2</v>
      </c>
      <c r="G153" s="1" t="s">
        <v>55</v>
      </c>
      <c r="K153" s="30">
        <f>SUM(K150:K152)</f>
        <v>0</v>
      </c>
      <c r="L153" s="30">
        <f t="shared" ref="L153:V153" si="25">SUM(L150:L152)</f>
        <v>0</v>
      </c>
      <c r="M153" s="30">
        <f t="shared" si="25"/>
        <v>0</v>
      </c>
      <c r="N153" s="30">
        <f t="shared" si="25"/>
        <v>0</v>
      </c>
      <c r="O153" s="30">
        <f t="shared" si="25"/>
        <v>0</v>
      </c>
      <c r="P153" s="30">
        <f t="shared" si="25"/>
        <v>0</v>
      </c>
      <c r="Q153" s="30">
        <f t="shared" si="25"/>
        <v>0</v>
      </c>
      <c r="R153" s="30">
        <f t="shared" si="25"/>
        <v>0</v>
      </c>
      <c r="S153" s="30">
        <f t="shared" si="25"/>
        <v>0</v>
      </c>
      <c r="T153" s="30">
        <f t="shared" si="25"/>
        <v>0</v>
      </c>
      <c r="U153" s="30">
        <f t="shared" si="25"/>
        <v>0</v>
      </c>
      <c r="V153" s="30">
        <f t="shared" si="25"/>
        <v>0</v>
      </c>
    </row>
    <row r="154" spans="3:22">
      <c r="C154" s="21" t="s">
        <v>33</v>
      </c>
      <c r="D154" s="20"/>
      <c r="E154" s="2" t="s">
        <v>21</v>
      </c>
      <c r="F154" s="1" t="s">
        <v>2</v>
      </c>
      <c r="G154" s="1" t="s">
        <v>55</v>
      </c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</row>
    <row r="155" spans="3:22">
      <c r="C155" s="32" t="s">
        <v>34</v>
      </c>
      <c r="D155" s="20"/>
      <c r="E155" s="2" t="s">
        <v>21</v>
      </c>
      <c r="F155" s="1" t="s">
        <v>2</v>
      </c>
      <c r="G155" s="1" t="s">
        <v>55</v>
      </c>
      <c r="K155" s="30">
        <f>SUM(K154,K153,K149,K148)</f>
        <v>0</v>
      </c>
      <c r="L155" s="30">
        <f t="shared" ref="L155:V155" si="26">SUM(L154,L153,L149,L148)</f>
        <v>0</v>
      </c>
      <c r="M155" s="30">
        <f t="shared" si="26"/>
        <v>0</v>
      </c>
      <c r="N155" s="30">
        <f t="shared" si="26"/>
        <v>0</v>
      </c>
      <c r="O155" s="30">
        <f t="shared" si="26"/>
        <v>0</v>
      </c>
      <c r="P155" s="30">
        <f t="shared" si="26"/>
        <v>0</v>
      </c>
      <c r="Q155" s="30">
        <f t="shared" si="26"/>
        <v>0</v>
      </c>
      <c r="R155" s="30">
        <f t="shared" si="26"/>
        <v>0</v>
      </c>
      <c r="S155" s="30">
        <f t="shared" si="26"/>
        <v>0</v>
      </c>
      <c r="T155" s="30">
        <f t="shared" si="26"/>
        <v>0</v>
      </c>
      <c r="U155" s="30">
        <f t="shared" si="26"/>
        <v>0</v>
      </c>
      <c r="V155" s="30">
        <f t="shared" si="26"/>
        <v>0</v>
      </c>
    </row>
    <row r="156" spans="3:22">
      <c r="C156" s="32" t="s">
        <v>35</v>
      </c>
      <c r="D156" s="20"/>
      <c r="E156" s="2" t="s">
        <v>21</v>
      </c>
      <c r="F156" s="1" t="s">
        <v>2</v>
      </c>
      <c r="G156" s="1" t="s">
        <v>55</v>
      </c>
      <c r="K156" s="30">
        <f>K141-K155</f>
        <v>0</v>
      </c>
      <c r="L156" s="30">
        <f t="shared" ref="L156:V156" si="27">L141-L155</f>
        <v>0</v>
      </c>
      <c r="M156" s="30">
        <f t="shared" si="27"/>
        <v>0</v>
      </c>
      <c r="N156" s="30">
        <f t="shared" si="27"/>
        <v>0</v>
      </c>
      <c r="O156" s="30">
        <f t="shared" si="27"/>
        <v>0</v>
      </c>
      <c r="P156" s="30">
        <f t="shared" si="27"/>
        <v>0</v>
      </c>
      <c r="Q156" s="30">
        <f t="shared" si="27"/>
        <v>0</v>
      </c>
      <c r="R156" s="30">
        <f t="shared" si="27"/>
        <v>0</v>
      </c>
      <c r="S156" s="30">
        <f t="shared" si="27"/>
        <v>0</v>
      </c>
      <c r="T156" s="30">
        <f t="shared" si="27"/>
        <v>0</v>
      </c>
      <c r="U156" s="30">
        <f t="shared" si="27"/>
        <v>0</v>
      </c>
      <c r="V156" s="30">
        <f t="shared" si="27"/>
        <v>0</v>
      </c>
    </row>
    <row r="157" spans="3:22">
      <c r="C157" s="21"/>
      <c r="D157" s="20"/>
      <c r="E157" s="2"/>
    </row>
    <row r="158" spans="3:22" ht="15.75">
      <c r="C158" s="33" t="s">
        <v>93</v>
      </c>
      <c r="D158" s="20"/>
      <c r="E158" s="2"/>
    </row>
    <row r="159" spans="3:22">
      <c r="C159" s="21" t="s">
        <v>36</v>
      </c>
      <c r="D159" s="20"/>
      <c r="E159" s="2" t="s">
        <v>21</v>
      </c>
      <c r="F159" s="1" t="s">
        <v>2</v>
      </c>
      <c r="G159" s="1" t="s">
        <v>55</v>
      </c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</row>
    <row r="160" spans="3:22">
      <c r="C160" s="21" t="s">
        <v>37</v>
      </c>
      <c r="D160" s="20"/>
      <c r="E160" s="2" t="s">
        <v>21</v>
      </c>
      <c r="F160" s="1" t="s">
        <v>2</v>
      </c>
      <c r="G160" s="1" t="s">
        <v>55</v>
      </c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</row>
    <row r="161" spans="3:22">
      <c r="C161" s="21" t="s">
        <v>38</v>
      </c>
      <c r="D161" s="20"/>
      <c r="E161" s="2" t="s">
        <v>21</v>
      </c>
      <c r="F161" s="1" t="s">
        <v>2</v>
      </c>
      <c r="G161" s="1" t="s">
        <v>55</v>
      </c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</row>
    <row r="162" spans="3:22">
      <c r="C162" s="21" t="s">
        <v>39</v>
      </c>
      <c r="D162" s="20"/>
      <c r="E162" s="2" t="s">
        <v>21</v>
      </c>
      <c r="F162" s="1" t="s">
        <v>2</v>
      </c>
      <c r="G162" s="1" t="s">
        <v>55</v>
      </c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</row>
    <row r="163" spans="3:22">
      <c r="C163" s="21" t="s">
        <v>40</v>
      </c>
      <c r="D163" s="20"/>
      <c r="E163" s="2" t="s">
        <v>21</v>
      </c>
      <c r="F163" s="1" t="s">
        <v>2</v>
      </c>
      <c r="G163" s="1" t="s">
        <v>55</v>
      </c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</row>
    <row r="164" spans="3:22">
      <c r="C164" s="21" t="s">
        <v>41</v>
      </c>
      <c r="D164" s="20"/>
      <c r="E164" s="2" t="s">
        <v>21</v>
      </c>
      <c r="F164" s="1" t="s">
        <v>2</v>
      </c>
      <c r="G164" s="1" t="s">
        <v>55</v>
      </c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</row>
    <row r="165" spans="3:22">
      <c r="C165" s="32" t="s">
        <v>42</v>
      </c>
      <c r="D165" s="20"/>
      <c r="E165" s="2" t="s">
        <v>21</v>
      </c>
      <c r="F165" s="1" t="s">
        <v>2</v>
      </c>
      <c r="G165" s="1" t="s">
        <v>55</v>
      </c>
      <c r="K165" s="30">
        <f>SUM(K159:K164)</f>
        <v>0</v>
      </c>
      <c r="L165" s="30">
        <f t="shared" ref="L165:V165" si="28">SUM(L159:L164)</f>
        <v>0</v>
      </c>
      <c r="M165" s="30">
        <f t="shared" si="28"/>
        <v>0</v>
      </c>
      <c r="N165" s="30">
        <f t="shared" si="28"/>
        <v>0</v>
      </c>
      <c r="O165" s="30">
        <f t="shared" si="28"/>
        <v>0</v>
      </c>
      <c r="P165" s="30">
        <f t="shared" si="28"/>
        <v>0</v>
      </c>
      <c r="Q165" s="30">
        <f t="shared" si="28"/>
        <v>0</v>
      </c>
      <c r="R165" s="30">
        <f t="shared" si="28"/>
        <v>0</v>
      </c>
      <c r="S165" s="30">
        <f t="shared" si="28"/>
        <v>0</v>
      </c>
      <c r="T165" s="30">
        <f t="shared" si="28"/>
        <v>0</v>
      </c>
      <c r="U165" s="30">
        <f t="shared" si="28"/>
        <v>0</v>
      </c>
      <c r="V165" s="30">
        <f t="shared" si="28"/>
        <v>0</v>
      </c>
    </row>
    <row r="166" spans="3:22">
      <c r="C166" s="21"/>
      <c r="D166" s="20"/>
      <c r="E166" s="2"/>
    </row>
    <row r="167" spans="3:22" ht="15.75">
      <c r="C167" s="33" t="s">
        <v>43</v>
      </c>
      <c r="D167" s="20"/>
      <c r="E167" s="2"/>
    </row>
    <row r="168" spans="3:22">
      <c r="C168" s="21" t="s">
        <v>44</v>
      </c>
      <c r="D168" s="20"/>
      <c r="E168" s="2" t="s">
        <v>21</v>
      </c>
      <c r="F168" s="1" t="s">
        <v>2</v>
      </c>
      <c r="G168" s="1" t="s">
        <v>55</v>
      </c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</row>
    <row r="169" spans="3:22">
      <c r="C169" s="21" t="s">
        <v>45</v>
      </c>
      <c r="D169" s="20"/>
      <c r="E169" s="2" t="s">
        <v>21</v>
      </c>
      <c r="F169" s="1" t="s">
        <v>2</v>
      </c>
      <c r="G169" s="1" t="s">
        <v>55</v>
      </c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</row>
    <row r="170" spans="3:22">
      <c r="C170" s="21" t="s">
        <v>46</v>
      </c>
      <c r="D170" s="20"/>
      <c r="E170" s="2" t="s">
        <v>21</v>
      </c>
      <c r="F170" s="1" t="s">
        <v>2</v>
      </c>
      <c r="G170" s="1" t="s">
        <v>55</v>
      </c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</row>
    <row r="171" spans="3:22">
      <c r="C171" s="21" t="s">
        <v>47</v>
      </c>
      <c r="D171" s="20"/>
      <c r="E171" s="2" t="s">
        <v>21</v>
      </c>
      <c r="F171" s="1" t="s">
        <v>2</v>
      </c>
      <c r="G171" s="1" t="s">
        <v>55</v>
      </c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</row>
    <row r="172" spans="3:22">
      <c r="C172" s="21" t="s">
        <v>48</v>
      </c>
      <c r="D172" s="20"/>
      <c r="E172" s="2" t="s">
        <v>21</v>
      </c>
      <c r="F172" s="1" t="s">
        <v>2</v>
      </c>
      <c r="G172" s="1" t="s">
        <v>55</v>
      </c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</row>
    <row r="173" spans="3:22">
      <c r="C173" s="32" t="s">
        <v>49</v>
      </c>
      <c r="D173" s="20"/>
      <c r="E173" s="2" t="s">
        <v>21</v>
      </c>
      <c r="F173" s="1" t="s">
        <v>2</v>
      </c>
      <c r="G173" s="1" t="s">
        <v>55</v>
      </c>
      <c r="K173" s="30">
        <f>SUM(K168:K172)</f>
        <v>0</v>
      </c>
      <c r="L173" s="30">
        <f t="shared" ref="L173:V173" si="29">SUM(L168:L172)</f>
        <v>0</v>
      </c>
      <c r="M173" s="30">
        <f t="shared" si="29"/>
        <v>0</v>
      </c>
      <c r="N173" s="30">
        <f t="shared" si="29"/>
        <v>0</v>
      </c>
      <c r="O173" s="30">
        <f t="shared" si="29"/>
        <v>0</v>
      </c>
      <c r="P173" s="30">
        <f t="shared" si="29"/>
        <v>0</v>
      </c>
      <c r="Q173" s="30">
        <f t="shared" si="29"/>
        <v>0</v>
      </c>
      <c r="R173" s="30">
        <f t="shared" si="29"/>
        <v>0</v>
      </c>
      <c r="S173" s="30">
        <f t="shared" si="29"/>
        <v>0</v>
      </c>
      <c r="T173" s="30">
        <f t="shared" si="29"/>
        <v>0</v>
      </c>
      <c r="U173" s="30">
        <f t="shared" si="29"/>
        <v>0</v>
      </c>
      <c r="V173" s="30">
        <f t="shared" si="29"/>
        <v>0</v>
      </c>
    </row>
    <row r="174" spans="3:22">
      <c r="C174" s="32" t="s">
        <v>50</v>
      </c>
      <c r="D174" s="20"/>
      <c r="E174" s="2" t="s">
        <v>21</v>
      </c>
      <c r="F174" s="1" t="s">
        <v>2</v>
      </c>
      <c r="G174" s="1" t="s">
        <v>55</v>
      </c>
      <c r="K174" s="30">
        <f>K165-K173</f>
        <v>0</v>
      </c>
      <c r="L174" s="30">
        <f t="shared" ref="L174:V174" si="30">L165-L173</f>
        <v>0</v>
      </c>
      <c r="M174" s="30">
        <f t="shared" si="30"/>
        <v>0</v>
      </c>
      <c r="N174" s="30">
        <f t="shared" si="30"/>
        <v>0</v>
      </c>
      <c r="O174" s="30">
        <f t="shared" si="30"/>
        <v>0</v>
      </c>
      <c r="P174" s="30">
        <f t="shared" si="30"/>
        <v>0</v>
      </c>
      <c r="Q174" s="30">
        <f t="shared" si="30"/>
        <v>0</v>
      </c>
      <c r="R174" s="30">
        <f t="shared" si="30"/>
        <v>0</v>
      </c>
      <c r="S174" s="30">
        <f t="shared" si="30"/>
        <v>0</v>
      </c>
      <c r="T174" s="30">
        <f t="shared" si="30"/>
        <v>0</v>
      </c>
      <c r="U174" s="30">
        <f t="shared" si="30"/>
        <v>0</v>
      </c>
      <c r="V174" s="30">
        <f t="shared" si="30"/>
        <v>0</v>
      </c>
    </row>
    <row r="175" spans="3:22">
      <c r="C175" s="31" t="s">
        <v>95</v>
      </c>
      <c r="D175" s="20"/>
      <c r="E175" s="2" t="s">
        <v>92</v>
      </c>
      <c r="F175" s="1" t="s">
        <v>2</v>
      </c>
      <c r="G175" s="1" t="s">
        <v>55</v>
      </c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</row>
    <row r="176" spans="3:22">
      <c r="C176" s="21"/>
      <c r="D176" s="20"/>
      <c r="E176" s="2"/>
    </row>
    <row r="177" spans="1:24">
      <c r="C177" s="20" t="s">
        <v>51</v>
      </c>
      <c r="D177" s="20"/>
      <c r="E177" s="2"/>
    </row>
    <row r="178" spans="1:24">
      <c r="C178" s="21"/>
      <c r="D178" s="20"/>
      <c r="E178" s="2"/>
      <c r="K178" s="36" t="s">
        <v>56</v>
      </c>
      <c r="L178" s="37"/>
      <c r="M178" s="37"/>
      <c r="N178" s="37"/>
      <c r="O178" s="37"/>
      <c r="P178" s="37"/>
      <c r="Q178" s="37"/>
      <c r="R178" s="37"/>
      <c r="S178" s="37"/>
      <c r="T178" s="38"/>
    </row>
    <row r="179" spans="1:24">
      <c r="C179" s="21"/>
      <c r="D179" s="20"/>
      <c r="E179" s="2"/>
      <c r="K179" s="39"/>
      <c r="L179" s="40"/>
      <c r="M179" s="40"/>
      <c r="N179" s="40"/>
      <c r="O179" s="40"/>
      <c r="P179" s="40"/>
      <c r="Q179" s="40"/>
      <c r="R179" s="40"/>
      <c r="S179" s="40"/>
      <c r="T179" s="41"/>
    </row>
    <row r="180" spans="1:24">
      <c r="C180" s="21"/>
      <c r="D180" s="20"/>
      <c r="E180" s="2"/>
      <c r="K180" s="39"/>
      <c r="L180" s="40"/>
      <c r="M180" s="40"/>
      <c r="N180" s="40"/>
      <c r="O180" s="40"/>
      <c r="P180" s="40"/>
      <c r="Q180" s="40"/>
      <c r="R180" s="40"/>
      <c r="S180" s="40"/>
      <c r="T180" s="41"/>
    </row>
    <row r="181" spans="1:24">
      <c r="C181" s="21"/>
      <c r="D181" s="20"/>
      <c r="E181" s="2"/>
      <c r="K181" s="39"/>
      <c r="L181" s="40"/>
      <c r="M181" s="40"/>
      <c r="N181" s="40"/>
      <c r="O181" s="40"/>
      <c r="P181" s="40"/>
      <c r="Q181" s="40"/>
      <c r="R181" s="40"/>
      <c r="S181" s="40"/>
      <c r="T181" s="41"/>
    </row>
    <row r="182" spans="1:24">
      <c r="C182" s="21"/>
      <c r="D182" s="20"/>
      <c r="E182" s="2"/>
      <c r="K182" s="39"/>
      <c r="L182" s="40"/>
      <c r="M182" s="40"/>
      <c r="N182" s="40"/>
      <c r="O182" s="40"/>
      <c r="P182" s="40"/>
      <c r="Q182" s="40"/>
      <c r="R182" s="40"/>
      <c r="S182" s="40"/>
      <c r="T182" s="41"/>
    </row>
    <row r="183" spans="1:24">
      <c r="C183" s="21"/>
      <c r="D183" s="20"/>
      <c r="E183" s="2"/>
      <c r="K183" s="39"/>
      <c r="L183" s="40"/>
      <c r="M183" s="40"/>
      <c r="N183" s="40"/>
      <c r="O183" s="40"/>
      <c r="P183" s="40"/>
      <c r="Q183" s="40"/>
      <c r="R183" s="40"/>
      <c r="S183" s="40"/>
      <c r="T183" s="41"/>
    </row>
    <row r="184" spans="1:24">
      <c r="C184" s="21"/>
      <c r="D184" s="20"/>
      <c r="E184" s="2"/>
      <c r="K184" s="42"/>
      <c r="L184" s="43"/>
      <c r="M184" s="43"/>
      <c r="N184" s="43"/>
      <c r="O184" s="43"/>
      <c r="P184" s="43"/>
      <c r="Q184" s="43"/>
      <c r="R184" s="43"/>
      <c r="S184" s="43"/>
      <c r="T184" s="44"/>
    </row>
    <row r="185" spans="1:24">
      <c r="C185" s="21"/>
      <c r="D185" s="20"/>
      <c r="E185" s="2"/>
    </row>
    <row r="186" spans="1:24" ht="15.75">
      <c r="A186" s="18"/>
      <c r="B186" s="18"/>
      <c r="C186" s="18" t="s">
        <v>57</v>
      </c>
      <c r="D186" s="18"/>
      <c r="E186" s="23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spans="1:24">
      <c r="C187" s="20"/>
      <c r="D187" s="20"/>
    </row>
    <row r="188" spans="1:24" ht="15.75">
      <c r="C188" s="33" t="s">
        <v>19</v>
      </c>
      <c r="D188" s="20"/>
    </row>
    <row r="189" spans="1:24">
      <c r="C189" s="31" t="s">
        <v>20</v>
      </c>
      <c r="D189" s="20"/>
      <c r="E189" s="2" t="s">
        <v>21</v>
      </c>
      <c r="F189" s="1" t="s">
        <v>2</v>
      </c>
      <c r="G189" s="1" t="s">
        <v>57</v>
      </c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</row>
    <row r="190" spans="1:24">
      <c r="C190" s="31" t="s">
        <v>23</v>
      </c>
      <c r="D190" s="20"/>
      <c r="E190" s="2" t="s">
        <v>21</v>
      </c>
      <c r="F190" s="1" t="s">
        <v>2</v>
      </c>
      <c r="G190" s="1" t="s">
        <v>57</v>
      </c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</row>
    <row r="191" spans="1:24">
      <c r="C191" s="31" t="s">
        <v>24</v>
      </c>
      <c r="D191" s="20"/>
      <c r="E191" s="2" t="s">
        <v>21</v>
      </c>
      <c r="F191" s="1" t="s">
        <v>2</v>
      </c>
      <c r="G191" s="1" t="s">
        <v>57</v>
      </c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</row>
    <row r="192" spans="1:24">
      <c r="C192" s="31" t="s">
        <v>25</v>
      </c>
      <c r="D192" s="20"/>
      <c r="E192" s="2" t="s">
        <v>21</v>
      </c>
      <c r="F192" s="1" t="s">
        <v>2</v>
      </c>
      <c r="G192" s="1" t="s">
        <v>57</v>
      </c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</row>
    <row r="193" spans="3:22">
      <c r="C193" s="31" t="s">
        <v>26</v>
      </c>
      <c r="D193" s="20"/>
      <c r="E193" s="2" t="s">
        <v>21</v>
      </c>
      <c r="F193" s="1" t="s">
        <v>2</v>
      </c>
      <c r="G193" s="1" t="s">
        <v>57</v>
      </c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</row>
    <row r="194" spans="3:22">
      <c r="C194" s="31" t="s">
        <v>27</v>
      </c>
      <c r="D194" s="20"/>
      <c r="E194" s="2" t="s">
        <v>21</v>
      </c>
      <c r="F194" s="1" t="s">
        <v>2</v>
      </c>
      <c r="G194" s="1" t="s">
        <v>57</v>
      </c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</row>
    <row r="195" spans="3:22">
      <c r="C195" s="32" t="s">
        <v>28</v>
      </c>
      <c r="D195" s="20"/>
      <c r="E195" s="2" t="s">
        <v>21</v>
      </c>
      <c r="F195" s="1" t="s">
        <v>2</v>
      </c>
      <c r="G195" s="1" t="s">
        <v>57</v>
      </c>
      <c r="K195" s="30">
        <f>SUM(K189:K194)</f>
        <v>0</v>
      </c>
      <c r="L195" s="30">
        <f t="shared" ref="L195:V195" si="31">SUM(L189:L194)</f>
        <v>0</v>
      </c>
      <c r="M195" s="30">
        <f t="shared" si="31"/>
        <v>0</v>
      </c>
      <c r="N195" s="30">
        <f t="shared" si="31"/>
        <v>0</v>
      </c>
      <c r="O195" s="30">
        <f t="shared" si="31"/>
        <v>0</v>
      </c>
      <c r="P195" s="30">
        <f t="shared" si="31"/>
        <v>0</v>
      </c>
      <c r="Q195" s="30">
        <f t="shared" si="31"/>
        <v>0</v>
      </c>
      <c r="R195" s="30">
        <f t="shared" si="31"/>
        <v>0</v>
      </c>
      <c r="S195" s="30">
        <f t="shared" si="31"/>
        <v>0</v>
      </c>
      <c r="T195" s="30">
        <f t="shared" si="31"/>
        <v>0</v>
      </c>
      <c r="U195" s="30">
        <f t="shared" si="31"/>
        <v>0</v>
      </c>
      <c r="V195" s="30">
        <f t="shared" si="31"/>
        <v>0</v>
      </c>
    </row>
    <row r="196" spans="3:22">
      <c r="C196" s="21"/>
      <c r="D196" s="20"/>
      <c r="E196" s="2"/>
    </row>
    <row r="197" spans="3:22" ht="15.75">
      <c r="C197" s="33" t="s">
        <v>29</v>
      </c>
      <c r="D197" s="20"/>
      <c r="E197" s="2"/>
    </row>
    <row r="198" spans="3:22">
      <c r="C198" s="31" t="s">
        <v>30</v>
      </c>
      <c r="D198" s="20"/>
      <c r="E198" s="2" t="s">
        <v>21</v>
      </c>
      <c r="F198" s="1" t="s">
        <v>2</v>
      </c>
      <c r="G198" s="1" t="s">
        <v>57</v>
      </c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</row>
    <row r="199" spans="3:22">
      <c r="C199" s="31" t="s">
        <v>31</v>
      </c>
      <c r="D199" s="20"/>
      <c r="E199" s="2" t="s">
        <v>21</v>
      </c>
      <c r="F199" s="1" t="s">
        <v>2</v>
      </c>
      <c r="G199" s="1" t="s">
        <v>57</v>
      </c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</row>
    <row r="200" spans="3:22">
      <c r="C200" s="31" t="s">
        <v>32</v>
      </c>
      <c r="D200" s="20"/>
      <c r="E200" s="2" t="s">
        <v>21</v>
      </c>
      <c r="F200" s="1" t="s">
        <v>2</v>
      </c>
      <c r="G200" s="1" t="s">
        <v>57</v>
      </c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</row>
    <row r="201" spans="3:22">
      <c r="C201" s="31" t="s">
        <v>33</v>
      </c>
      <c r="D201" s="20"/>
      <c r="E201" s="2" t="s">
        <v>21</v>
      </c>
      <c r="F201" s="1" t="s">
        <v>2</v>
      </c>
      <c r="G201" s="1" t="s">
        <v>57</v>
      </c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</row>
    <row r="202" spans="3:22">
      <c r="C202" s="32" t="s">
        <v>34</v>
      </c>
      <c r="D202" s="20"/>
      <c r="E202" s="2" t="s">
        <v>21</v>
      </c>
      <c r="F202" s="1" t="s">
        <v>2</v>
      </c>
      <c r="G202" s="1" t="s">
        <v>57</v>
      </c>
      <c r="K202" s="30">
        <f>SUM(K198:K201)</f>
        <v>0</v>
      </c>
      <c r="L202" s="30">
        <f t="shared" ref="L202:V202" si="32">SUM(L198:L201)</f>
        <v>0</v>
      </c>
      <c r="M202" s="30">
        <f t="shared" si="32"/>
        <v>0</v>
      </c>
      <c r="N202" s="30">
        <f t="shared" si="32"/>
        <v>0</v>
      </c>
      <c r="O202" s="30">
        <f t="shared" si="32"/>
        <v>0</v>
      </c>
      <c r="P202" s="30">
        <f t="shared" si="32"/>
        <v>0</v>
      </c>
      <c r="Q202" s="30">
        <f t="shared" si="32"/>
        <v>0</v>
      </c>
      <c r="R202" s="30">
        <f t="shared" si="32"/>
        <v>0</v>
      </c>
      <c r="S202" s="30">
        <f t="shared" si="32"/>
        <v>0</v>
      </c>
      <c r="T202" s="30">
        <f t="shared" si="32"/>
        <v>0</v>
      </c>
      <c r="U202" s="30">
        <f t="shared" si="32"/>
        <v>0</v>
      </c>
      <c r="V202" s="30">
        <f t="shared" si="32"/>
        <v>0</v>
      </c>
    </row>
    <row r="203" spans="3:22">
      <c r="C203" s="32" t="s">
        <v>35</v>
      </c>
      <c r="D203" s="20"/>
      <c r="E203" s="2" t="s">
        <v>21</v>
      </c>
      <c r="F203" s="1" t="s">
        <v>2</v>
      </c>
      <c r="G203" s="1" t="s">
        <v>57</v>
      </c>
      <c r="K203" s="30">
        <f>K195-K202</f>
        <v>0</v>
      </c>
      <c r="L203" s="30">
        <f t="shared" ref="L203:V203" si="33">L195-L202</f>
        <v>0</v>
      </c>
      <c r="M203" s="30">
        <f t="shared" si="33"/>
        <v>0</v>
      </c>
      <c r="N203" s="30">
        <f t="shared" si="33"/>
        <v>0</v>
      </c>
      <c r="O203" s="30">
        <f t="shared" si="33"/>
        <v>0</v>
      </c>
      <c r="P203" s="30">
        <f t="shared" si="33"/>
        <v>0</v>
      </c>
      <c r="Q203" s="30">
        <f t="shared" si="33"/>
        <v>0</v>
      </c>
      <c r="R203" s="30">
        <f t="shared" si="33"/>
        <v>0</v>
      </c>
      <c r="S203" s="30">
        <f t="shared" si="33"/>
        <v>0</v>
      </c>
      <c r="T203" s="30">
        <f t="shared" si="33"/>
        <v>0</v>
      </c>
      <c r="U203" s="30">
        <f t="shared" si="33"/>
        <v>0</v>
      </c>
      <c r="V203" s="30">
        <f t="shared" si="33"/>
        <v>0</v>
      </c>
    </row>
    <row r="204" spans="3:22">
      <c r="C204" s="21"/>
      <c r="D204" s="20"/>
      <c r="E204" s="2"/>
    </row>
    <row r="205" spans="3:22" ht="15.75">
      <c r="C205" s="33" t="s">
        <v>93</v>
      </c>
      <c r="D205" s="20"/>
      <c r="E205" s="2"/>
    </row>
    <row r="206" spans="3:22">
      <c r="C206" s="31" t="s">
        <v>36</v>
      </c>
      <c r="D206" s="20"/>
      <c r="E206" s="2" t="s">
        <v>21</v>
      </c>
      <c r="F206" s="1" t="s">
        <v>2</v>
      </c>
      <c r="G206" s="1" t="s">
        <v>57</v>
      </c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</row>
    <row r="207" spans="3:22">
      <c r="C207" s="31" t="s">
        <v>37</v>
      </c>
      <c r="D207" s="20"/>
      <c r="E207" s="2" t="s">
        <v>21</v>
      </c>
      <c r="F207" s="1" t="s">
        <v>2</v>
      </c>
      <c r="G207" s="1" t="s">
        <v>57</v>
      </c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</row>
    <row r="208" spans="3:22">
      <c r="C208" s="31" t="s">
        <v>38</v>
      </c>
      <c r="D208" s="20"/>
      <c r="E208" s="2" t="s">
        <v>21</v>
      </c>
      <c r="F208" s="1" t="s">
        <v>2</v>
      </c>
      <c r="G208" s="1" t="s">
        <v>57</v>
      </c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</row>
    <row r="209" spans="3:22">
      <c r="C209" s="31" t="s">
        <v>39</v>
      </c>
      <c r="D209" s="20"/>
      <c r="E209" s="2" t="s">
        <v>21</v>
      </c>
      <c r="F209" s="1" t="s">
        <v>2</v>
      </c>
      <c r="G209" s="1" t="s">
        <v>57</v>
      </c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</row>
    <row r="210" spans="3:22">
      <c r="C210" s="31" t="s">
        <v>40</v>
      </c>
      <c r="D210" s="20"/>
      <c r="E210" s="2" t="s">
        <v>21</v>
      </c>
      <c r="F210" s="1" t="s">
        <v>2</v>
      </c>
      <c r="G210" s="1" t="s">
        <v>57</v>
      </c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</row>
    <row r="211" spans="3:22">
      <c r="C211" s="31" t="s">
        <v>41</v>
      </c>
      <c r="D211" s="20"/>
      <c r="E211" s="2" t="s">
        <v>21</v>
      </c>
      <c r="F211" s="1" t="s">
        <v>2</v>
      </c>
      <c r="G211" s="1" t="s">
        <v>57</v>
      </c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</row>
    <row r="212" spans="3:22">
      <c r="C212" s="32" t="s">
        <v>42</v>
      </c>
      <c r="D212" s="20"/>
      <c r="E212" s="2" t="s">
        <v>21</v>
      </c>
      <c r="F212" s="1" t="s">
        <v>2</v>
      </c>
      <c r="G212" s="1" t="s">
        <v>57</v>
      </c>
      <c r="K212" s="30">
        <f>SUM(K206:K211)</f>
        <v>0</v>
      </c>
      <c r="L212" s="30">
        <f t="shared" ref="L212:V212" si="34">SUM(L206:L211)</f>
        <v>0</v>
      </c>
      <c r="M212" s="30">
        <f t="shared" si="34"/>
        <v>0</v>
      </c>
      <c r="N212" s="30">
        <f t="shared" si="34"/>
        <v>0</v>
      </c>
      <c r="O212" s="30">
        <f t="shared" si="34"/>
        <v>0</v>
      </c>
      <c r="P212" s="30">
        <f t="shared" si="34"/>
        <v>0</v>
      </c>
      <c r="Q212" s="30">
        <f t="shared" si="34"/>
        <v>0</v>
      </c>
      <c r="R212" s="30">
        <f t="shared" si="34"/>
        <v>0</v>
      </c>
      <c r="S212" s="30">
        <f t="shared" si="34"/>
        <v>0</v>
      </c>
      <c r="T212" s="30">
        <f t="shared" si="34"/>
        <v>0</v>
      </c>
      <c r="U212" s="30">
        <f t="shared" si="34"/>
        <v>0</v>
      </c>
      <c r="V212" s="30">
        <f t="shared" si="34"/>
        <v>0</v>
      </c>
    </row>
    <row r="213" spans="3:22">
      <c r="C213" s="21"/>
      <c r="D213" s="20"/>
      <c r="E213" s="2"/>
    </row>
    <row r="214" spans="3:22" ht="15.75">
      <c r="C214" s="33" t="s">
        <v>43</v>
      </c>
      <c r="D214" s="20"/>
      <c r="E214" s="2"/>
    </row>
    <row r="215" spans="3:22">
      <c r="C215" s="31" t="s">
        <v>44</v>
      </c>
      <c r="D215" s="20"/>
      <c r="E215" s="2" t="s">
        <v>21</v>
      </c>
      <c r="F215" s="1" t="s">
        <v>2</v>
      </c>
      <c r="G215" s="1" t="s">
        <v>57</v>
      </c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</row>
    <row r="216" spans="3:22">
      <c r="C216" s="31" t="s">
        <v>45</v>
      </c>
      <c r="D216" s="20"/>
      <c r="E216" s="2" t="s">
        <v>21</v>
      </c>
      <c r="F216" s="1" t="s">
        <v>2</v>
      </c>
      <c r="G216" s="1" t="s">
        <v>57</v>
      </c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</row>
    <row r="217" spans="3:22">
      <c r="C217" s="31" t="s">
        <v>46</v>
      </c>
      <c r="D217" s="20"/>
      <c r="E217" s="2" t="s">
        <v>21</v>
      </c>
      <c r="F217" s="1" t="s">
        <v>2</v>
      </c>
      <c r="G217" s="1" t="s">
        <v>57</v>
      </c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</row>
    <row r="218" spans="3:22">
      <c r="C218" s="31" t="s">
        <v>47</v>
      </c>
      <c r="D218" s="20"/>
      <c r="E218" s="2" t="s">
        <v>21</v>
      </c>
      <c r="F218" s="1" t="s">
        <v>2</v>
      </c>
      <c r="G218" s="1" t="s">
        <v>57</v>
      </c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</row>
    <row r="219" spans="3:22">
      <c r="C219" s="31" t="s">
        <v>48</v>
      </c>
      <c r="D219" s="20"/>
      <c r="E219" s="2" t="s">
        <v>21</v>
      </c>
      <c r="F219" s="1" t="s">
        <v>2</v>
      </c>
      <c r="G219" s="1" t="s">
        <v>57</v>
      </c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</row>
    <row r="220" spans="3:22">
      <c r="C220" s="32" t="s">
        <v>49</v>
      </c>
      <c r="D220" s="20"/>
      <c r="E220" s="2" t="s">
        <v>21</v>
      </c>
      <c r="F220" s="1" t="s">
        <v>2</v>
      </c>
      <c r="G220" s="1" t="s">
        <v>57</v>
      </c>
      <c r="K220" s="30">
        <f>SUM(K215:K219)</f>
        <v>0</v>
      </c>
      <c r="L220" s="30">
        <f t="shared" ref="L220:V220" si="35">SUM(L215:L219)</f>
        <v>0</v>
      </c>
      <c r="M220" s="30">
        <f t="shared" si="35"/>
        <v>0</v>
      </c>
      <c r="N220" s="30">
        <f t="shared" si="35"/>
        <v>0</v>
      </c>
      <c r="O220" s="30">
        <f t="shared" si="35"/>
        <v>0</v>
      </c>
      <c r="P220" s="30">
        <f t="shared" si="35"/>
        <v>0</v>
      </c>
      <c r="Q220" s="30">
        <f t="shared" si="35"/>
        <v>0</v>
      </c>
      <c r="R220" s="30">
        <f t="shared" si="35"/>
        <v>0</v>
      </c>
      <c r="S220" s="30">
        <f t="shared" si="35"/>
        <v>0</v>
      </c>
      <c r="T220" s="30">
        <f t="shared" si="35"/>
        <v>0</v>
      </c>
      <c r="U220" s="30">
        <f t="shared" si="35"/>
        <v>0</v>
      </c>
      <c r="V220" s="30">
        <f t="shared" si="35"/>
        <v>0</v>
      </c>
    </row>
    <row r="221" spans="3:22">
      <c r="C221" s="32" t="s">
        <v>50</v>
      </c>
      <c r="D221" s="20"/>
      <c r="E221" s="2" t="s">
        <v>21</v>
      </c>
      <c r="F221" s="1" t="s">
        <v>2</v>
      </c>
      <c r="G221" s="1" t="s">
        <v>57</v>
      </c>
      <c r="K221" s="30">
        <f>K212-K220</f>
        <v>0</v>
      </c>
      <c r="L221" s="30">
        <f t="shared" ref="L221:V221" si="36">L212-L220</f>
        <v>0</v>
      </c>
      <c r="M221" s="30">
        <f t="shared" si="36"/>
        <v>0</v>
      </c>
      <c r="N221" s="30">
        <f t="shared" si="36"/>
        <v>0</v>
      </c>
      <c r="O221" s="30">
        <f t="shared" si="36"/>
        <v>0</v>
      </c>
      <c r="P221" s="30">
        <f t="shared" si="36"/>
        <v>0</v>
      </c>
      <c r="Q221" s="30">
        <f t="shared" si="36"/>
        <v>0</v>
      </c>
      <c r="R221" s="30">
        <f t="shared" si="36"/>
        <v>0</v>
      </c>
      <c r="S221" s="30">
        <f t="shared" si="36"/>
        <v>0</v>
      </c>
      <c r="T221" s="30">
        <f t="shared" si="36"/>
        <v>0</v>
      </c>
      <c r="U221" s="30">
        <f t="shared" si="36"/>
        <v>0</v>
      </c>
      <c r="V221" s="30">
        <f t="shared" si="36"/>
        <v>0</v>
      </c>
    </row>
    <row r="222" spans="3:22">
      <c r="C222" s="21"/>
      <c r="D222" s="20"/>
      <c r="E222" s="2"/>
    </row>
    <row r="223" spans="3:22">
      <c r="C223" s="20" t="s">
        <v>51</v>
      </c>
      <c r="D223" s="20"/>
      <c r="E223" s="2"/>
    </row>
    <row r="224" spans="3:22">
      <c r="C224" s="21"/>
      <c r="D224" s="20"/>
      <c r="E224" s="2"/>
      <c r="K224" s="36" t="s">
        <v>58</v>
      </c>
      <c r="L224" s="37"/>
      <c r="M224" s="37"/>
      <c r="N224" s="37"/>
      <c r="O224" s="37"/>
      <c r="P224" s="37"/>
      <c r="Q224" s="37"/>
      <c r="R224" s="37"/>
      <c r="S224" s="37"/>
      <c r="T224" s="38"/>
    </row>
    <row r="225" spans="1:24">
      <c r="C225" s="21"/>
      <c r="D225" s="20"/>
      <c r="E225" s="2"/>
      <c r="K225" s="39"/>
      <c r="L225" s="40"/>
      <c r="M225" s="40"/>
      <c r="N225" s="40"/>
      <c r="O225" s="40"/>
      <c r="P225" s="40"/>
      <c r="Q225" s="40"/>
      <c r="R225" s="40"/>
      <c r="S225" s="40"/>
      <c r="T225" s="41"/>
    </row>
    <row r="226" spans="1:24">
      <c r="C226" s="21"/>
      <c r="D226" s="20"/>
      <c r="E226" s="2"/>
      <c r="K226" s="39"/>
      <c r="L226" s="40"/>
      <c r="M226" s="40"/>
      <c r="N226" s="40"/>
      <c r="O226" s="40"/>
      <c r="P226" s="40"/>
      <c r="Q226" s="40"/>
      <c r="R226" s="40"/>
      <c r="S226" s="40"/>
      <c r="T226" s="41"/>
    </row>
    <row r="227" spans="1:24">
      <c r="C227" s="21"/>
      <c r="D227" s="20"/>
      <c r="E227" s="2"/>
      <c r="K227" s="39"/>
      <c r="L227" s="40"/>
      <c r="M227" s="40"/>
      <c r="N227" s="40"/>
      <c r="O227" s="40"/>
      <c r="P227" s="40"/>
      <c r="Q227" s="40"/>
      <c r="R227" s="40"/>
      <c r="S227" s="40"/>
      <c r="T227" s="41"/>
    </row>
    <row r="228" spans="1:24">
      <c r="C228" s="21"/>
      <c r="D228" s="20"/>
      <c r="E228" s="2"/>
      <c r="K228" s="39"/>
      <c r="L228" s="40"/>
      <c r="M228" s="40"/>
      <c r="N228" s="40"/>
      <c r="O228" s="40"/>
      <c r="P228" s="40"/>
      <c r="Q228" s="40"/>
      <c r="R228" s="40"/>
      <c r="S228" s="40"/>
      <c r="T228" s="41"/>
    </row>
    <row r="229" spans="1:24">
      <c r="C229" s="21"/>
      <c r="D229" s="20"/>
      <c r="E229" s="2"/>
      <c r="K229" s="39"/>
      <c r="L229" s="40"/>
      <c r="M229" s="40"/>
      <c r="N229" s="40"/>
      <c r="O229" s="40"/>
      <c r="P229" s="40"/>
      <c r="Q229" s="40"/>
      <c r="R229" s="40"/>
      <c r="S229" s="40"/>
      <c r="T229" s="41"/>
    </row>
    <row r="230" spans="1:24">
      <c r="C230" s="21"/>
      <c r="D230" s="20"/>
      <c r="E230" s="2"/>
      <c r="K230" s="42"/>
      <c r="L230" s="43"/>
      <c r="M230" s="43"/>
      <c r="N230" s="43"/>
      <c r="O230" s="43"/>
      <c r="P230" s="43"/>
      <c r="Q230" s="43"/>
      <c r="R230" s="43"/>
      <c r="S230" s="43"/>
      <c r="T230" s="44"/>
    </row>
    <row r="231" spans="1:24">
      <c r="C231" s="21"/>
      <c r="D231" s="20"/>
      <c r="E231" s="2"/>
    </row>
    <row r="232" spans="1:24" ht="15.75">
      <c r="A232" s="3"/>
      <c r="B232" s="3"/>
      <c r="C232" s="3" t="s">
        <v>59</v>
      </c>
      <c r="D232" s="3"/>
      <c r="E232" s="3"/>
      <c r="F232" s="3"/>
      <c r="G232" s="3"/>
      <c r="H232" s="3"/>
      <c r="I232" s="1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</row>
  </sheetData>
  <mergeCells count="4">
    <mergeCell ref="K61:T67"/>
    <mergeCell ref="K121:T127"/>
    <mergeCell ref="K178:T184"/>
    <mergeCell ref="K224:T230"/>
  </mergeCells>
  <phoneticPr fontId="20" type="noConversion"/>
  <conditionalFormatting sqref="E5">
    <cfRule type="cellIs" dxfId="28" priority="6" operator="notEqual">
      <formula>0</formula>
    </cfRule>
  </conditionalFormatting>
  <conditionalFormatting sqref="B4">
    <cfRule type="expression" dxfId="27" priority="5">
      <formula>Model.Navigation.View=No</formula>
    </cfRule>
  </conditionalFormatting>
  <conditionalFormatting sqref="B5">
    <cfRule type="expression" dxfId="26" priority="4">
      <formula>Model.Navigation.View=No</formula>
    </cfRule>
  </conditionalFormatting>
  <conditionalFormatting sqref="B3">
    <cfRule type="expression" dxfId="25" priority="3">
      <formula>Model.Navigation.View=No</formula>
    </cfRule>
  </conditionalFormatting>
  <conditionalFormatting sqref="B2">
    <cfRule type="expression" dxfId="24" priority="2">
      <formula>Model.Navigation.View=No</formula>
    </cfRule>
  </conditionalFormatting>
  <conditionalFormatting sqref="E6:E7">
    <cfRule type="cellIs" dxfId="23" priority="1" operator="notEqual">
      <formula>0</formula>
    </cfRule>
  </conditionalFormatting>
  <hyperlinks>
    <hyperlink ref="B4" location="Checks!B2" tooltip="Go to Error and Sense Checks summary" display="Checks!B2" xr:uid="{B5749D2F-195B-46C1-B1BD-7B7175DAED00}"/>
    <hyperlink ref="B5" location="Dashboard!B2" tooltip="Go to Dashboard" display="Dashboard!B2" xr:uid="{115D0AD3-BA2F-4E51-ADEB-4BDDEF759FE0}"/>
    <hyperlink ref="B3" location="B13" tooltip="Go to top of sheet" display="B13" xr:uid="{74ED9F2B-CFFE-4D1E-B088-AEE071897868}"/>
    <hyperlink ref="B2" location="TableofContents" tooltip="Go to Table of Contents" display="&amp;" xr:uid="{1C6BD073-483F-4197-8AA7-CBBAE866A6DE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6637C-7EDE-43F3-975E-8BB4C770A8B4}">
  <sheetPr codeName="Sheet12">
    <tabColor theme="7" tint="0.79998168889431442"/>
    <pageSetUpPr autoPageBreaks="0"/>
  </sheetPr>
  <dimension ref="A1:OJ85"/>
  <sheetViews>
    <sheetView showGridLines="0" zoomScale="80" zoomScaleNormal="80" workbookViewId="0">
      <pane xSplit="9" ySplit="7" topLeftCell="J8" activePane="bottomRight" state="frozen"/>
      <selection pane="topRight" activeCell="J1" sqref="J1"/>
      <selection pane="bottomLeft" activeCell="A8" sqref="A8"/>
      <selection pane="bottomRight" activeCell="J38" sqref="J38"/>
    </sheetView>
  </sheetViews>
  <sheetFormatPr defaultColWidth="0" defaultRowHeight="12.7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style="1" hidden="1" customWidth="1"/>
    <col min="59" max="343" width="8.85546875" style="25" hidden="1" customWidth="1"/>
    <col min="344" max="400" width="9.7109375" style="25" hidden="1" customWidth="1"/>
    <col min="401" max="16384" width="0" style="25" hidden="1"/>
  </cols>
  <sheetData>
    <row r="1" spans="1:58" customFormat="1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</row>
    <row r="2" spans="1:58" customFormat="1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  <c r="Y2" s="8">
        <v>49491</v>
      </c>
      <c r="Z2" s="8">
        <v>49857</v>
      </c>
      <c r="AA2" s="8">
        <v>50222</v>
      </c>
      <c r="AB2" s="8">
        <v>50587</v>
      </c>
      <c r="AC2" s="8">
        <v>50952</v>
      </c>
      <c r="AD2" s="8">
        <v>51318</v>
      </c>
      <c r="AE2" s="8">
        <v>51683</v>
      </c>
      <c r="AF2" s="8">
        <v>52048</v>
      </c>
      <c r="AG2" s="8">
        <v>52413</v>
      </c>
      <c r="AH2" s="8">
        <v>52779</v>
      </c>
      <c r="AI2" s="8">
        <v>53144</v>
      </c>
      <c r="AJ2" s="8">
        <v>53509</v>
      </c>
      <c r="AK2" s="8">
        <v>53874</v>
      </c>
      <c r="AL2" s="8">
        <v>54240</v>
      </c>
      <c r="AM2" s="8">
        <v>54605</v>
      </c>
      <c r="AN2" s="8">
        <v>54970</v>
      </c>
      <c r="AO2" s="8">
        <v>55335</v>
      </c>
      <c r="AP2" s="8">
        <v>55701</v>
      </c>
      <c r="AQ2" s="8">
        <v>56066</v>
      </c>
      <c r="AR2" s="8">
        <v>56431</v>
      </c>
      <c r="AS2" s="8">
        <v>56796</v>
      </c>
      <c r="AT2" s="8">
        <v>57162</v>
      </c>
      <c r="AU2" s="8">
        <v>57527</v>
      </c>
      <c r="AV2" s="8">
        <v>57892</v>
      </c>
      <c r="AW2" s="8">
        <v>58257</v>
      </c>
      <c r="AX2" s="8">
        <v>58623</v>
      </c>
      <c r="AY2" s="8">
        <v>58988</v>
      </c>
      <c r="AZ2" s="8">
        <v>59353</v>
      </c>
      <c r="BA2" s="8">
        <v>59718</v>
      </c>
      <c r="BB2" s="8">
        <v>60084</v>
      </c>
      <c r="BC2" s="8">
        <v>60449</v>
      </c>
      <c r="BD2" s="8">
        <v>60814</v>
      </c>
      <c r="BE2" s="8">
        <v>61179</v>
      </c>
      <c r="BF2" s="8">
        <v>61545</v>
      </c>
    </row>
    <row r="3" spans="1:58" customFormat="1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  <c r="Y3" s="8">
        <v>49856</v>
      </c>
      <c r="Z3" s="8">
        <v>50221</v>
      </c>
      <c r="AA3" s="8">
        <v>50586</v>
      </c>
      <c r="AB3" s="8">
        <v>50951</v>
      </c>
      <c r="AC3" s="8">
        <v>51317</v>
      </c>
      <c r="AD3" s="8">
        <v>51682</v>
      </c>
      <c r="AE3" s="8">
        <v>52047</v>
      </c>
      <c r="AF3" s="8">
        <v>52412</v>
      </c>
      <c r="AG3" s="8">
        <v>52778</v>
      </c>
      <c r="AH3" s="8">
        <v>53143</v>
      </c>
      <c r="AI3" s="8">
        <v>53508</v>
      </c>
      <c r="AJ3" s="8">
        <v>53873</v>
      </c>
      <c r="AK3" s="8">
        <v>54239</v>
      </c>
      <c r="AL3" s="8">
        <v>54604</v>
      </c>
      <c r="AM3" s="8">
        <v>54969</v>
      </c>
      <c r="AN3" s="8">
        <v>55334</v>
      </c>
      <c r="AO3" s="8">
        <v>55700</v>
      </c>
      <c r="AP3" s="8">
        <v>56065</v>
      </c>
      <c r="AQ3" s="8">
        <v>56430</v>
      </c>
      <c r="AR3" s="8">
        <v>56795</v>
      </c>
      <c r="AS3" s="8">
        <v>57161</v>
      </c>
      <c r="AT3" s="8">
        <v>57526</v>
      </c>
      <c r="AU3" s="8">
        <v>57891</v>
      </c>
      <c r="AV3" s="8">
        <v>58256</v>
      </c>
      <c r="AW3" s="8">
        <v>58622</v>
      </c>
      <c r="AX3" s="8">
        <v>58987</v>
      </c>
      <c r="AY3" s="8">
        <v>59352</v>
      </c>
      <c r="AZ3" s="8">
        <v>59717</v>
      </c>
      <c r="BA3" s="8">
        <v>60083</v>
      </c>
      <c r="BB3" s="8">
        <v>60448</v>
      </c>
      <c r="BC3" s="8">
        <v>60813</v>
      </c>
      <c r="BD3" s="8">
        <v>61178</v>
      </c>
      <c r="BE3" s="8">
        <v>61544</v>
      </c>
      <c r="BF3" s="8">
        <v>61909</v>
      </c>
    </row>
    <row r="4" spans="1:58" customFormat="1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  <c r="Y4" s="9" t="s">
        <v>9</v>
      </c>
      <c r="Z4" s="9" t="s">
        <v>9</v>
      </c>
      <c r="AA4" s="9" t="s">
        <v>9</v>
      </c>
      <c r="AB4" s="9" t="s">
        <v>9</v>
      </c>
      <c r="AC4" s="9" t="s">
        <v>9</v>
      </c>
      <c r="AD4" s="9" t="s">
        <v>9</v>
      </c>
      <c r="AE4" s="9" t="s">
        <v>9</v>
      </c>
      <c r="AF4" s="9" t="s">
        <v>9</v>
      </c>
      <c r="AG4" s="9" t="s">
        <v>9</v>
      </c>
      <c r="AH4" s="9" t="s">
        <v>9</v>
      </c>
      <c r="AI4" s="9" t="s">
        <v>9</v>
      </c>
      <c r="AJ4" s="9" t="s">
        <v>9</v>
      </c>
      <c r="AK4" s="9" t="s">
        <v>9</v>
      </c>
      <c r="AL4" s="9" t="s">
        <v>9</v>
      </c>
      <c r="AM4" s="9" t="s">
        <v>9</v>
      </c>
      <c r="AN4" s="9" t="s">
        <v>9</v>
      </c>
      <c r="AO4" s="9" t="s">
        <v>9</v>
      </c>
      <c r="AP4" s="9" t="s">
        <v>9</v>
      </c>
      <c r="AQ4" s="9" t="s">
        <v>9</v>
      </c>
      <c r="AR4" s="9" t="s">
        <v>9</v>
      </c>
      <c r="AS4" s="9" t="s">
        <v>9</v>
      </c>
      <c r="AT4" s="9" t="s">
        <v>9</v>
      </c>
      <c r="AU4" s="9" t="s">
        <v>9</v>
      </c>
      <c r="AV4" s="9" t="s">
        <v>9</v>
      </c>
      <c r="AW4" s="9" t="s">
        <v>9</v>
      </c>
      <c r="AX4" s="9" t="s">
        <v>9</v>
      </c>
      <c r="AY4" s="9" t="s">
        <v>9</v>
      </c>
      <c r="AZ4" s="9" t="s">
        <v>9</v>
      </c>
      <c r="BA4" s="9" t="s">
        <v>9</v>
      </c>
      <c r="BB4" s="9" t="s">
        <v>9</v>
      </c>
      <c r="BC4" s="9" t="s">
        <v>9</v>
      </c>
      <c r="BD4" s="9" t="s">
        <v>9</v>
      </c>
      <c r="BE4" s="9" t="s">
        <v>9</v>
      </c>
      <c r="BF4" s="9" t="s">
        <v>9</v>
      </c>
    </row>
    <row r="5" spans="1:58" customFormat="1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  <c r="Y5" s="9">
        <v>15</v>
      </c>
      <c r="Z5" s="9">
        <v>16</v>
      </c>
      <c r="AA5" s="9">
        <v>17</v>
      </c>
      <c r="AB5" s="9">
        <v>18</v>
      </c>
      <c r="AC5" s="9">
        <v>19</v>
      </c>
      <c r="AD5" s="9">
        <v>20</v>
      </c>
      <c r="AE5" s="9">
        <v>21</v>
      </c>
      <c r="AF5" s="9">
        <v>22</v>
      </c>
      <c r="AG5" s="9">
        <v>23</v>
      </c>
      <c r="AH5" s="9">
        <v>24</v>
      </c>
      <c r="AI5" s="9">
        <v>25</v>
      </c>
      <c r="AJ5" s="9">
        <v>26</v>
      </c>
      <c r="AK5" s="9">
        <v>27</v>
      </c>
      <c r="AL5" s="9">
        <v>28</v>
      </c>
      <c r="AM5" s="9">
        <v>29</v>
      </c>
      <c r="AN5" s="9">
        <v>30</v>
      </c>
      <c r="AO5" s="9">
        <v>31</v>
      </c>
      <c r="AP5" s="9">
        <v>32</v>
      </c>
      <c r="AQ5" s="9">
        <v>33</v>
      </c>
      <c r="AR5" s="9">
        <v>34</v>
      </c>
      <c r="AS5" s="9">
        <v>35</v>
      </c>
      <c r="AT5" s="9">
        <v>36</v>
      </c>
      <c r="AU5" s="9">
        <v>37</v>
      </c>
      <c r="AV5" s="9">
        <v>38</v>
      </c>
      <c r="AW5" s="9">
        <v>39</v>
      </c>
      <c r="AX5" s="9">
        <v>40</v>
      </c>
      <c r="AY5" s="9">
        <v>41</v>
      </c>
      <c r="AZ5" s="9">
        <v>42</v>
      </c>
      <c r="BA5" s="9">
        <v>43</v>
      </c>
      <c r="BB5" s="9">
        <v>44</v>
      </c>
      <c r="BC5" s="9">
        <v>45</v>
      </c>
      <c r="BD5" s="9">
        <v>46</v>
      </c>
      <c r="BE5" s="9">
        <v>47</v>
      </c>
      <c r="BF5" s="9">
        <v>48</v>
      </c>
    </row>
    <row r="6" spans="1:58" customFormat="1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U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ref="V6" si="3">YEAR(V3)</f>
        <v>2034</v>
      </c>
      <c r="W6" s="13"/>
      <c r="X6" s="13"/>
      <c r="Y6" s="9">
        <v>2036</v>
      </c>
      <c r="Z6" s="9">
        <v>2037</v>
      </c>
      <c r="AA6" s="9">
        <v>2038</v>
      </c>
      <c r="AB6" s="9">
        <v>2039</v>
      </c>
      <c r="AC6" s="9">
        <v>2040</v>
      </c>
      <c r="AD6" s="9">
        <v>2041</v>
      </c>
      <c r="AE6" s="9">
        <v>2042</v>
      </c>
      <c r="AF6" s="9">
        <v>2043</v>
      </c>
      <c r="AG6" s="9">
        <v>2044</v>
      </c>
      <c r="AH6" s="9">
        <v>2045</v>
      </c>
      <c r="AI6" s="9">
        <v>2046</v>
      </c>
      <c r="AJ6" s="9">
        <v>2047</v>
      </c>
      <c r="AK6" s="9">
        <v>2048</v>
      </c>
      <c r="AL6" s="9">
        <v>2049</v>
      </c>
      <c r="AM6" s="9">
        <v>2050</v>
      </c>
      <c r="AN6" s="9">
        <v>2051</v>
      </c>
      <c r="AO6" s="9">
        <v>2052</v>
      </c>
      <c r="AP6" s="9">
        <v>2053</v>
      </c>
      <c r="AQ6" s="9">
        <v>2054</v>
      </c>
      <c r="AR6" s="9">
        <v>2055</v>
      </c>
      <c r="AS6" s="9">
        <v>2056</v>
      </c>
      <c r="AT6" s="9">
        <v>2057</v>
      </c>
      <c r="AU6" s="9">
        <v>2058</v>
      </c>
      <c r="AV6" s="9">
        <v>2059</v>
      </c>
      <c r="AW6" s="9">
        <v>2060</v>
      </c>
      <c r="AX6" s="9">
        <v>2061</v>
      </c>
      <c r="AY6" s="9">
        <v>2062</v>
      </c>
      <c r="AZ6" s="9">
        <v>2063</v>
      </c>
      <c r="BA6" s="9">
        <v>2064</v>
      </c>
      <c r="BB6" s="9">
        <v>2065</v>
      </c>
      <c r="BC6" s="9">
        <v>2066</v>
      </c>
      <c r="BD6" s="9">
        <v>2067</v>
      </c>
      <c r="BE6" s="9">
        <v>2068</v>
      </c>
      <c r="BF6" s="9">
        <v>2069</v>
      </c>
    </row>
    <row r="7" spans="1:58" customFormat="1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customFormat="1" ht="15">
      <c r="A8" s="1"/>
      <c r="B8" s="1"/>
      <c r="C8" s="1"/>
      <c r="D8" s="1"/>
      <c r="E8" s="2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customFormat="1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</row>
    <row r="10" spans="1:58" customFormat="1" ht="15">
      <c r="A10" s="1"/>
      <c r="B10" s="1"/>
      <c r="C10" s="1"/>
      <c r="D10" s="1"/>
      <c r="E10" s="2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customFormat="1" ht="15.75">
      <c r="A11" s="18"/>
      <c r="B11" s="18"/>
      <c r="C11" s="18" t="s">
        <v>60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</row>
    <row r="12" spans="1:58">
      <c r="C12" s="20"/>
      <c r="D12" s="20"/>
    </row>
    <row r="13" spans="1:58">
      <c r="C13" s="20" t="s">
        <v>113</v>
      </c>
      <c r="D13" s="20"/>
    </row>
    <row r="14" spans="1:58">
      <c r="C14" s="21" t="s">
        <v>18</v>
      </c>
      <c r="D14" s="20"/>
      <c r="K14" s="19"/>
      <c r="L14" s="19"/>
    </row>
    <row r="15" spans="1:58">
      <c r="C15" s="21" t="s">
        <v>53</v>
      </c>
      <c r="D15" s="20"/>
      <c r="K15" s="19"/>
      <c r="L15" s="19"/>
    </row>
    <row r="16" spans="1:58">
      <c r="C16" s="21" t="s">
        <v>55</v>
      </c>
      <c r="D16" s="20"/>
      <c r="K16" s="19"/>
      <c r="L16" s="19"/>
    </row>
    <row r="17" spans="3:22">
      <c r="C17" s="20"/>
      <c r="D17" s="20"/>
    </row>
    <row r="18" spans="3:22">
      <c r="C18" s="20" t="s">
        <v>61</v>
      </c>
      <c r="D18" s="20"/>
    </row>
    <row r="19" spans="3:22">
      <c r="C19" s="21" t="s">
        <v>18</v>
      </c>
      <c r="D19" s="20"/>
      <c r="E19" s="2" t="s">
        <v>21</v>
      </c>
      <c r="F19" s="1" t="s">
        <v>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21" t="s">
        <v>53</v>
      </c>
      <c r="D20" s="20"/>
      <c r="E20" s="2" t="s">
        <v>21</v>
      </c>
      <c r="F20" s="1" t="s">
        <v>2</v>
      </c>
      <c r="G20" s="21" t="s">
        <v>53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21" t="s">
        <v>55</v>
      </c>
      <c r="D21" s="20"/>
      <c r="E21" s="2" t="s">
        <v>21</v>
      </c>
      <c r="F21" s="1" t="s">
        <v>2</v>
      </c>
      <c r="G21" s="21" t="s">
        <v>55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2" spans="3:22">
      <c r="C22" s="21" t="s">
        <v>57</v>
      </c>
      <c r="D22" s="20"/>
      <c r="E22" s="2" t="s">
        <v>21</v>
      </c>
      <c r="F22" s="1" t="s">
        <v>2</v>
      </c>
      <c r="G22" s="21" t="s">
        <v>57</v>
      </c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</row>
    <row r="24" spans="3:22">
      <c r="C24" s="20" t="s">
        <v>62</v>
      </c>
      <c r="D24" s="20"/>
    </row>
    <row r="25" spans="3:22">
      <c r="C25" s="21" t="s">
        <v>18</v>
      </c>
      <c r="D25" s="20"/>
      <c r="E25" s="2" t="s">
        <v>21</v>
      </c>
      <c r="F25" s="1" t="s">
        <v>2</v>
      </c>
      <c r="G25" s="1" t="s">
        <v>22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</row>
    <row r="26" spans="3:22">
      <c r="C26" s="21" t="s">
        <v>53</v>
      </c>
      <c r="D26" s="20"/>
      <c r="E26" s="2" t="s">
        <v>21</v>
      </c>
      <c r="F26" s="1" t="s">
        <v>2</v>
      </c>
      <c r="G26" s="21" t="s">
        <v>53</v>
      </c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</row>
    <row r="27" spans="3:22">
      <c r="C27" s="21" t="s">
        <v>55</v>
      </c>
      <c r="D27" s="20"/>
      <c r="E27" s="2" t="s">
        <v>21</v>
      </c>
      <c r="F27" s="1" t="s">
        <v>2</v>
      </c>
      <c r="G27" s="21" t="s">
        <v>55</v>
      </c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  <row r="28" spans="3:22">
      <c r="C28" s="21" t="s">
        <v>57</v>
      </c>
      <c r="D28" s="20"/>
      <c r="E28" s="2" t="s">
        <v>21</v>
      </c>
      <c r="F28" s="1" t="s">
        <v>2</v>
      </c>
      <c r="G28" s="21" t="s">
        <v>57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</row>
    <row r="30" spans="3:22">
      <c r="C30" s="20" t="s">
        <v>63</v>
      </c>
      <c r="D30" s="20"/>
    </row>
    <row r="31" spans="3:22">
      <c r="C31" s="21" t="s">
        <v>18</v>
      </c>
      <c r="D31" s="20"/>
      <c r="E31" s="2" t="s">
        <v>21</v>
      </c>
      <c r="F31" s="1" t="s">
        <v>2</v>
      </c>
      <c r="G31" s="1" t="s">
        <v>22</v>
      </c>
      <c r="K31" s="19"/>
      <c r="L31" s="19"/>
    </row>
    <row r="32" spans="3:22">
      <c r="C32" s="21" t="s">
        <v>53</v>
      </c>
      <c r="D32" s="20"/>
      <c r="E32" s="2" t="s">
        <v>21</v>
      </c>
      <c r="F32" s="1" t="s">
        <v>2</v>
      </c>
      <c r="G32" s="21" t="s">
        <v>53</v>
      </c>
      <c r="K32" s="19"/>
      <c r="L32" s="19"/>
    </row>
    <row r="33" spans="1:58">
      <c r="C33" s="21" t="s">
        <v>55</v>
      </c>
      <c r="D33" s="20"/>
      <c r="E33" s="2" t="s">
        <v>21</v>
      </c>
      <c r="F33" s="1" t="s">
        <v>2</v>
      </c>
      <c r="G33" s="21" t="s">
        <v>55</v>
      </c>
      <c r="K33" s="19"/>
      <c r="L33" s="19"/>
    </row>
    <row r="34" spans="1:58">
      <c r="C34" s="21" t="s">
        <v>57</v>
      </c>
      <c r="D34" s="20"/>
      <c r="E34" s="2" t="s">
        <v>21</v>
      </c>
      <c r="F34" s="1" t="s">
        <v>2</v>
      </c>
      <c r="G34" s="21" t="s">
        <v>57</v>
      </c>
      <c r="K34" s="19"/>
      <c r="L34" s="19"/>
    </row>
    <row r="36" spans="1:58" customFormat="1" ht="15.75">
      <c r="A36" s="18"/>
      <c r="B36" s="18"/>
      <c r="C36" s="18" t="s">
        <v>64</v>
      </c>
      <c r="D36" s="18"/>
      <c r="E36" s="23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</row>
    <row r="38" spans="1:58">
      <c r="C38" s="20" t="s">
        <v>65</v>
      </c>
    </row>
    <row r="40" spans="1:58">
      <c r="K40" s="36" t="s">
        <v>66</v>
      </c>
      <c r="L40" s="37"/>
      <c r="M40" s="37"/>
      <c r="N40" s="37"/>
      <c r="O40" s="37"/>
      <c r="P40" s="37"/>
      <c r="Q40" s="37"/>
      <c r="R40" s="37"/>
      <c r="S40" s="38"/>
    </row>
    <row r="41" spans="1:58">
      <c r="K41" s="39"/>
      <c r="L41" s="40"/>
      <c r="M41" s="40"/>
      <c r="N41" s="40"/>
      <c r="O41" s="40"/>
      <c r="P41" s="40"/>
      <c r="Q41" s="40"/>
      <c r="R41" s="40"/>
      <c r="S41" s="41"/>
    </row>
    <row r="42" spans="1:58">
      <c r="K42" s="39"/>
      <c r="L42" s="40"/>
      <c r="M42" s="40"/>
      <c r="N42" s="40"/>
      <c r="O42" s="40"/>
      <c r="P42" s="40"/>
      <c r="Q42" s="40"/>
      <c r="R42" s="40"/>
      <c r="S42" s="41"/>
    </row>
    <row r="43" spans="1:58">
      <c r="K43" s="39"/>
      <c r="L43" s="40"/>
      <c r="M43" s="40"/>
      <c r="N43" s="40"/>
      <c r="O43" s="40"/>
      <c r="P43" s="40"/>
      <c r="Q43" s="40"/>
      <c r="R43" s="40"/>
      <c r="S43" s="41"/>
    </row>
    <row r="44" spans="1:58">
      <c r="K44" s="39"/>
      <c r="L44" s="40"/>
      <c r="M44" s="40"/>
      <c r="N44" s="40"/>
      <c r="O44" s="40"/>
      <c r="P44" s="40"/>
      <c r="Q44" s="40"/>
      <c r="R44" s="40"/>
      <c r="S44" s="41"/>
    </row>
    <row r="45" spans="1:58">
      <c r="K45" s="42"/>
      <c r="L45" s="43"/>
      <c r="M45" s="43"/>
      <c r="N45" s="43"/>
      <c r="O45" s="43"/>
      <c r="P45" s="43"/>
      <c r="Q45" s="43"/>
      <c r="R45" s="43"/>
      <c r="S45" s="44"/>
    </row>
    <row r="46" spans="1:58" ht="15">
      <c r="J46"/>
      <c r="K46"/>
      <c r="L46"/>
      <c r="M46"/>
      <c r="N46"/>
      <c r="O46"/>
      <c r="P46"/>
      <c r="Q46"/>
      <c r="R46"/>
      <c r="S46"/>
      <c r="T46"/>
    </row>
    <row r="47" spans="1:58" ht="15">
      <c r="C47" s="27" t="s">
        <v>62</v>
      </c>
      <c r="J47"/>
      <c r="K47"/>
      <c r="L47"/>
      <c r="M47"/>
      <c r="N47"/>
      <c r="O47"/>
      <c r="P47"/>
      <c r="Q47"/>
      <c r="R47"/>
      <c r="S47"/>
      <c r="T47"/>
    </row>
    <row r="48" spans="1:58">
      <c r="K48" s="36" t="s">
        <v>67</v>
      </c>
      <c r="L48" s="37"/>
      <c r="M48" s="37"/>
      <c r="N48" s="37"/>
      <c r="O48" s="37"/>
      <c r="P48" s="37"/>
      <c r="Q48" s="37"/>
      <c r="R48" s="37"/>
      <c r="S48" s="38"/>
    </row>
    <row r="49" spans="3:19">
      <c r="K49" s="39"/>
      <c r="L49" s="40"/>
      <c r="M49" s="40"/>
      <c r="N49" s="40"/>
      <c r="O49" s="40"/>
      <c r="P49" s="40"/>
      <c r="Q49" s="40"/>
      <c r="R49" s="40"/>
      <c r="S49" s="41"/>
    </row>
    <row r="50" spans="3:19">
      <c r="K50" s="39"/>
      <c r="L50" s="40"/>
      <c r="M50" s="40"/>
      <c r="N50" s="40"/>
      <c r="O50" s="40"/>
      <c r="P50" s="40"/>
      <c r="Q50" s="40"/>
      <c r="R50" s="40"/>
      <c r="S50" s="41"/>
    </row>
    <row r="51" spans="3:19">
      <c r="K51" s="39"/>
      <c r="L51" s="40"/>
      <c r="M51" s="40"/>
      <c r="N51" s="40"/>
      <c r="O51" s="40"/>
      <c r="P51" s="40"/>
      <c r="Q51" s="40"/>
      <c r="R51" s="40"/>
      <c r="S51" s="41"/>
    </row>
    <row r="52" spans="3:19">
      <c r="K52" s="39"/>
      <c r="L52" s="40"/>
      <c r="M52" s="40"/>
      <c r="N52" s="40"/>
      <c r="O52" s="40"/>
      <c r="P52" s="40"/>
      <c r="Q52" s="40"/>
      <c r="R52" s="40"/>
      <c r="S52" s="41"/>
    </row>
    <row r="53" spans="3:19">
      <c r="K53" s="42"/>
      <c r="L53" s="43"/>
      <c r="M53" s="43"/>
      <c r="N53" s="43"/>
      <c r="O53" s="43"/>
      <c r="P53" s="43"/>
      <c r="Q53" s="43"/>
      <c r="R53" s="43"/>
      <c r="S53" s="44"/>
    </row>
    <row r="55" spans="3:19">
      <c r="C55" s="27" t="s">
        <v>68</v>
      </c>
    </row>
    <row r="56" spans="3:19">
      <c r="K56" s="36" t="s">
        <v>69</v>
      </c>
      <c r="L56" s="37"/>
      <c r="M56" s="37"/>
      <c r="N56" s="37"/>
      <c r="O56" s="37"/>
      <c r="P56" s="37"/>
      <c r="Q56" s="37"/>
      <c r="R56" s="37"/>
      <c r="S56" s="38"/>
    </row>
    <row r="57" spans="3:19">
      <c r="K57" s="39"/>
      <c r="L57" s="40"/>
      <c r="M57" s="40"/>
      <c r="N57" s="40"/>
      <c r="O57" s="40"/>
      <c r="P57" s="40"/>
      <c r="Q57" s="40"/>
      <c r="R57" s="40"/>
      <c r="S57" s="41"/>
    </row>
    <row r="58" spans="3:19">
      <c r="K58" s="39"/>
      <c r="L58" s="40"/>
      <c r="M58" s="40"/>
      <c r="N58" s="40"/>
      <c r="O58" s="40"/>
      <c r="P58" s="40"/>
      <c r="Q58" s="40"/>
      <c r="R58" s="40"/>
      <c r="S58" s="41"/>
    </row>
    <row r="59" spans="3:19">
      <c r="K59" s="39"/>
      <c r="L59" s="40"/>
      <c r="M59" s="40"/>
      <c r="N59" s="40"/>
      <c r="O59" s="40"/>
      <c r="P59" s="40"/>
      <c r="Q59" s="40"/>
      <c r="R59" s="40"/>
      <c r="S59" s="41"/>
    </row>
    <row r="60" spans="3:19">
      <c r="K60" s="39"/>
      <c r="L60" s="40"/>
      <c r="M60" s="40"/>
      <c r="N60" s="40"/>
      <c r="O60" s="40"/>
      <c r="P60" s="40"/>
      <c r="Q60" s="40"/>
      <c r="R60" s="40"/>
      <c r="S60" s="41"/>
    </row>
    <row r="61" spans="3:19">
      <c r="K61" s="42"/>
      <c r="L61" s="43"/>
      <c r="M61" s="43"/>
      <c r="N61" s="43"/>
      <c r="O61" s="43"/>
      <c r="P61" s="43"/>
      <c r="Q61" s="43"/>
      <c r="R61" s="43"/>
      <c r="S61" s="44"/>
    </row>
    <row r="62" spans="3:19">
      <c r="K62" s="28"/>
      <c r="L62" s="28"/>
      <c r="M62" s="28"/>
      <c r="N62" s="28"/>
      <c r="O62" s="28"/>
      <c r="P62" s="28"/>
      <c r="Q62" s="28"/>
      <c r="R62" s="28"/>
      <c r="S62" s="28"/>
    </row>
    <row r="63" spans="3:19">
      <c r="C63" s="27" t="s">
        <v>70</v>
      </c>
    </row>
    <row r="64" spans="3:19">
      <c r="K64" s="36" t="s">
        <v>71</v>
      </c>
      <c r="L64" s="37"/>
      <c r="M64" s="37"/>
      <c r="N64" s="37"/>
      <c r="O64" s="37"/>
      <c r="P64" s="37"/>
      <c r="Q64" s="37"/>
      <c r="R64" s="37"/>
      <c r="S64" s="38"/>
    </row>
    <row r="65" spans="11:19">
      <c r="K65" s="39"/>
      <c r="L65" s="40"/>
      <c r="M65" s="40"/>
      <c r="N65" s="40"/>
      <c r="O65" s="40"/>
      <c r="P65" s="40"/>
      <c r="Q65" s="40"/>
      <c r="R65" s="40"/>
      <c r="S65" s="41"/>
    </row>
    <row r="66" spans="11:19">
      <c r="K66" s="39"/>
      <c r="L66" s="40"/>
      <c r="M66" s="40"/>
      <c r="N66" s="40"/>
      <c r="O66" s="40"/>
      <c r="P66" s="40"/>
      <c r="Q66" s="40"/>
      <c r="R66" s="40"/>
      <c r="S66" s="41"/>
    </row>
    <row r="67" spans="11:19">
      <c r="K67" s="39"/>
      <c r="L67" s="40"/>
      <c r="M67" s="40"/>
      <c r="N67" s="40"/>
      <c r="O67" s="40"/>
      <c r="P67" s="40"/>
      <c r="Q67" s="40"/>
      <c r="R67" s="40"/>
      <c r="S67" s="41"/>
    </row>
    <row r="68" spans="11:19">
      <c r="K68" s="39"/>
      <c r="L68" s="40"/>
      <c r="M68" s="40"/>
      <c r="N68" s="40"/>
      <c r="O68" s="40"/>
      <c r="P68" s="40"/>
      <c r="Q68" s="40"/>
      <c r="R68" s="40"/>
      <c r="S68" s="41"/>
    </row>
    <row r="69" spans="11:19">
      <c r="K69" s="42"/>
      <c r="L69" s="43"/>
      <c r="M69" s="43"/>
      <c r="N69" s="43"/>
      <c r="O69" s="43"/>
      <c r="P69" s="43"/>
      <c r="Q69" s="43"/>
      <c r="R69" s="43"/>
      <c r="S69" s="44"/>
    </row>
    <row r="71" spans="11:19">
      <c r="K71" s="36" t="s">
        <v>72</v>
      </c>
      <c r="L71" s="37"/>
      <c r="M71" s="37"/>
      <c r="N71" s="37"/>
      <c r="O71" s="37"/>
      <c r="P71" s="37"/>
      <c r="Q71" s="37"/>
      <c r="R71" s="37"/>
      <c r="S71" s="38"/>
    </row>
    <row r="72" spans="11:19">
      <c r="K72" s="39"/>
      <c r="L72" s="40"/>
      <c r="M72" s="40"/>
      <c r="N72" s="40"/>
      <c r="O72" s="40"/>
      <c r="P72" s="40"/>
      <c r="Q72" s="40"/>
      <c r="R72" s="40"/>
      <c r="S72" s="41"/>
    </row>
    <row r="73" spans="11:19">
      <c r="K73" s="39"/>
      <c r="L73" s="40"/>
      <c r="M73" s="40"/>
      <c r="N73" s="40"/>
      <c r="O73" s="40"/>
      <c r="P73" s="40"/>
      <c r="Q73" s="40"/>
      <c r="R73" s="40"/>
      <c r="S73" s="41"/>
    </row>
    <row r="74" spans="11:19">
      <c r="K74" s="39"/>
      <c r="L74" s="40"/>
      <c r="M74" s="40"/>
      <c r="N74" s="40"/>
      <c r="O74" s="40"/>
      <c r="P74" s="40"/>
      <c r="Q74" s="40"/>
      <c r="R74" s="40"/>
      <c r="S74" s="41"/>
    </row>
    <row r="75" spans="11:19">
      <c r="K75" s="39"/>
      <c r="L75" s="40"/>
      <c r="M75" s="40"/>
      <c r="N75" s="40"/>
      <c r="O75" s="40"/>
      <c r="P75" s="40"/>
      <c r="Q75" s="40"/>
      <c r="R75" s="40"/>
      <c r="S75" s="41"/>
    </row>
    <row r="76" spans="11:19">
      <c r="K76" s="42"/>
      <c r="L76" s="43"/>
      <c r="M76" s="43"/>
      <c r="N76" s="43"/>
      <c r="O76" s="43"/>
      <c r="P76" s="43"/>
      <c r="Q76" s="43"/>
      <c r="R76" s="43"/>
      <c r="S76" s="44"/>
    </row>
    <row r="78" spans="11:19">
      <c r="K78" s="36" t="s">
        <v>73</v>
      </c>
      <c r="L78" s="37"/>
      <c r="M78" s="37"/>
      <c r="N78" s="37"/>
      <c r="O78" s="37"/>
      <c r="P78" s="37"/>
      <c r="Q78" s="37"/>
      <c r="R78" s="37"/>
      <c r="S78" s="38"/>
    </row>
    <row r="79" spans="11:19">
      <c r="K79" s="39"/>
      <c r="L79" s="40"/>
      <c r="M79" s="40"/>
      <c r="N79" s="40"/>
      <c r="O79" s="40"/>
      <c r="P79" s="40"/>
      <c r="Q79" s="40"/>
      <c r="R79" s="40"/>
      <c r="S79" s="41"/>
    </row>
    <row r="80" spans="11:19">
      <c r="K80" s="39"/>
      <c r="L80" s="40"/>
      <c r="M80" s="40"/>
      <c r="N80" s="40"/>
      <c r="O80" s="40"/>
      <c r="P80" s="40"/>
      <c r="Q80" s="40"/>
      <c r="R80" s="40"/>
      <c r="S80" s="41"/>
    </row>
    <row r="81" spans="1:24">
      <c r="K81" s="39"/>
      <c r="L81" s="40"/>
      <c r="M81" s="40"/>
      <c r="N81" s="40"/>
      <c r="O81" s="40"/>
      <c r="P81" s="40"/>
      <c r="Q81" s="40"/>
      <c r="R81" s="40"/>
      <c r="S81" s="41"/>
    </row>
    <row r="82" spans="1:24">
      <c r="K82" s="39"/>
      <c r="L82" s="40"/>
      <c r="M82" s="40"/>
      <c r="N82" s="40"/>
      <c r="O82" s="40"/>
      <c r="P82" s="40"/>
      <c r="Q82" s="40"/>
      <c r="R82" s="40"/>
      <c r="S82" s="41"/>
    </row>
    <row r="83" spans="1:24">
      <c r="K83" s="42"/>
      <c r="L83" s="43"/>
      <c r="M83" s="43"/>
      <c r="N83" s="43"/>
      <c r="O83" s="43"/>
      <c r="P83" s="43"/>
      <c r="Q83" s="43"/>
      <c r="R83" s="43"/>
      <c r="S83" s="44"/>
    </row>
    <row r="85" spans="1:24" customFormat="1" ht="15.75">
      <c r="A85" s="3"/>
      <c r="B85" s="3"/>
      <c r="C85" s="3" t="s">
        <v>59</v>
      </c>
      <c r="D85" s="3"/>
      <c r="E85" s="3"/>
      <c r="F85" s="3"/>
      <c r="G85" s="3"/>
      <c r="H85" s="3"/>
      <c r="I85" s="1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</row>
  </sheetData>
  <mergeCells count="6">
    <mergeCell ref="K78:S83"/>
    <mergeCell ref="K40:S45"/>
    <mergeCell ref="K48:S53"/>
    <mergeCell ref="K56:S61"/>
    <mergeCell ref="K64:S69"/>
    <mergeCell ref="K71:S76"/>
  </mergeCells>
  <phoneticPr fontId="20" type="noConversion"/>
  <conditionalFormatting sqref="E5">
    <cfRule type="cellIs" dxfId="22" priority="86" operator="notEqual">
      <formula>0</formula>
    </cfRule>
  </conditionalFormatting>
  <conditionalFormatting sqref="B4">
    <cfRule type="expression" dxfId="21" priority="85">
      <formula>Model.Navigation.View=No</formula>
    </cfRule>
  </conditionalFormatting>
  <conditionalFormatting sqref="B5">
    <cfRule type="expression" dxfId="20" priority="84">
      <formula>Model.Navigation.View=No</formula>
    </cfRule>
  </conditionalFormatting>
  <conditionalFormatting sqref="B3">
    <cfRule type="expression" dxfId="19" priority="83">
      <formula>Model.Navigation.View=No</formula>
    </cfRule>
  </conditionalFormatting>
  <conditionalFormatting sqref="B2">
    <cfRule type="expression" dxfId="18" priority="82">
      <formula>Model.Navigation.View=No</formula>
    </cfRule>
  </conditionalFormatting>
  <conditionalFormatting sqref="E6:E7">
    <cfRule type="cellIs" dxfId="17" priority="1" operator="notEqual">
      <formula>0</formula>
    </cfRule>
  </conditionalFormatting>
  <hyperlinks>
    <hyperlink ref="B4" location="Checks!B2" tooltip="Go to Error and Sense Checks summary" display="Checks!B2" xr:uid="{E07A150A-BB17-45D6-B8F9-6D0BBD80C83F}"/>
    <hyperlink ref="B5" location="Dashboard!B2" tooltip="Go to Dashboard" display="Dashboard!B2" xr:uid="{EDDAD094-BB92-4B01-8A79-528424BC3690}"/>
    <hyperlink ref="B3" location="B13" tooltip="Go to top of sheet" display="B13" xr:uid="{BCF365BD-25DB-4A60-919B-FD4FBA47F585}"/>
    <hyperlink ref="B2" location="TableofContents" tooltip="Go to Table of Contents" display="&amp;" xr:uid="{C8AC391D-3507-421F-9A19-7A09EC1E9BE0}"/>
  </hyperlinks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21ECD-90B2-4058-A563-1AA9B92F520D}">
  <sheetPr codeName="Sheet14">
    <tabColor theme="7" tint="0.79998168889431442"/>
    <pageSetUpPr autoPageBreaks="0"/>
  </sheetPr>
  <dimension ref="A1:BF86"/>
  <sheetViews>
    <sheetView showGridLines="0" tabSelected="1" topLeftCell="F31" zoomScale="80" zoomScaleNormal="80" workbookViewId="0">
      <selection activeCell="K79" sqref="K79:S84"/>
    </sheetView>
  </sheetViews>
  <sheetFormatPr defaultColWidth="9.140625" defaultRowHeight="12.7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style="1" customWidth="1"/>
    <col min="59" max="343" width="8.85546875" style="25" customWidth="1"/>
    <col min="344" max="400" width="9.7109375" style="25" customWidth="1"/>
    <col min="401" max="16384" width="9.140625" style="25"/>
  </cols>
  <sheetData>
    <row r="1" spans="1:58" customFormat="1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</row>
    <row r="2" spans="1:58" customFormat="1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  <c r="Y2" s="8">
        <v>49491</v>
      </c>
      <c r="Z2" s="8">
        <v>49857</v>
      </c>
      <c r="AA2" s="8">
        <v>50222</v>
      </c>
      <c r="AB2" s="8">
        <v>50587</v>
      </c>
      <c r="AC2" s="8">
        <v>50952</v>
      </c>
      <c r="AD2" s="8">
        <v>51318</v>
      </c>
      <c r="AE2" s="8">
        <v>51683</v>
      </c>
      <c r="AF2" s="8">
        <v>52048</v>
      </c>
      <c r="AG2" s="8">
        <v>52413</v>
      </c>
      <c r="AH2" s="8">
        <v>52779</v>
      </c>
      <c r="AI2" s="8">
        <v>53144</v>
      </c>
      <c r="AJ2" s="8">
        <v>53509</v>
      </c>
      <c r="AK2" s="8">
        <v>53874</v>
      </c>
      <c r="AL2" s="8">
        <v>54240</v>
      </c>
      <c r="AM2" s="8">
        <v>54605</v>
      </c>
      <c r="AN2" s="8">
        <v>54970</v>
      </c>
      <c r="AO2" s="8">
        <v>55335</v>
      </c>
      <c r="AP2" s="8">
        <v>55701</v>
      </c>
      <c r="AQ2" s="8">
        <v>56066</v>
      </c>
      <c r="AR2" s="8">
        <v>56431</v>
      </c>
      <c r="AS2" s="8">
        <v>56796</v>
      </c>
      <c r="AT2" s="8">
        <v>57162</v>
      </c>
      <c r="AU2" s="8">
        <v>57527</v>
      </c>
      <c r="AV2" s="8">
        <v>57892</v>
      </c>
      <c r="AW2" s="8">
        <v>58257</v>
      </c>
      <c r="AX2" s="8">
        <v>58623</v>
      </c>
      <c r="AY2" s="8">
        <v>58988</v>
      </c>
      <c r="AZ2" s="8">
        <v>59353</v>
      </c>
      <c r="BA2" s="8">
        <v>59718</v>
      </c>
      <c r="BB2" s="8">
        <v>60084</v>
      </c>
      <c r="BC2" s="8">
        <v>60449</v>
      </c>
      <c r="BD2" s="8">
        <v>60814</v>
      </c>
      <c r="BE2" s="8">
        <v>61179</v>
      </c>
      <c r="BF2" s="8">
        <v>61545</v>
      </c>
    </row>
    <row r="3" spans="1:58" customFormat="1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  <c r="Y3" s="8">
        <v>49856</v>
      </c>
      <c r="Z3" s="8">
        <v>50221</v>
      </c>
      <c r="AA3" s="8">
        <v>50586</v>
      </c>
      <c r="AB3" s="8">
        <v>50951</v>
      </c>
      <c r="AC3" s="8">
        <v>51317</v>
      </c>
      <c r="AD3" s="8">
        <v>51682</v>
      </c>
      <c r="AE3" s="8">
        <v>52047</v>
      </c>
      <c r="AF3" s="8">
        <v>52412</v>
      </c>
      <c r="AG3" s="8">
        <v>52778</v>
      </c>
      <c r="AH3" s="8">
        <v>53143</v>
      </c>
      <c r="AI3" s="8">
        <v>53508</v>
      </c>
      <c r="AJ3" s="8">
        <v>53873</v>
      </c>
      <c r="AK3" s="8">
        <v>54239</v>
      </c>
      <c r="AL3" s="8">
        <v>54604</v>
      </c>
      <c r="AM3" s="8">
        <v>54969</v>
      </c>
      <c r="AN3" s="8">
        <v>55334</v>
      </c>
      <c r="AO3" s="8">
        <v>55700</v>
      </c>
      <c r="AP3" s="8">
        <v>56065</v>
      </c>
      <c r="AQ3" s="8">
        <v>56430</v>
      </c>
      <c r="AR3" s="8">
        <v>56795</v>
      </c>
      <c r="AS3" s="8">
        <v>57161</v>
      </c>
      <c r="AT3" s="8">
        <v>57526</v>
      </c>
      <c r="AU3" s="8">
        <v>57891</v>
      </c>
      <c r="AV3" s="8">
        <v>58256</v>
      </c>
      <c r="AW3" s="8">
        <v>58622</v>
      </c>
      <c r="AX3" s="8">
        <v>58987</v>
      </c>
      <c r="AY3" s="8">
        <v>59352</v>
      </c>
      <c r="AZ3" s="8">
        <v>59717</v>
      </c>
      <c r="BA3" s="8">
        <v>60083</v>
      </c>
      <c r="BB3" s="8">
        <v>60448</v>
      </c>
      <c r="BC3" s="8">
        <v>60813</v>
      </c>
      <c r="BD3" s="8">
        <v>61178</v>
      </c>
      <c r="BE3" s="8">
        <v>61544</v>
      </c>
      <c r="BF3" s="8">
        <v>61909</v>
      </c>
    </row>
    <row r="4" spans="1:58" customFormat="1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  <c r="Y4" s="9" t="s">
        <v>9</v>
      </c>
      <c r="Z4" s="9" t="s">
        <v>9</v>
      </c>
      <c r="AA4" s="9" t="s">
        <v>9</v>
      </c>
      <c r="AB4" s="9" t="s">
        <v>9</v>
      </c>
      <c r="AC4" s="9" t="s">
        <v>9</v>
      </c>
      <c r="AD4" s="9" t="s">
        <v>9</v>
      </c>
      <c r="AE4" s="9" t="s">
        <v>9</v>
      </c>
      <c r="AF4" s="9" t="s">
        <v>9</v>
      </c>
      <c r="AG4" s="9" t="s">
        <v>9</v>
      </c>
      <c r="AH4" s="9" t="s">
        <v>9</v>
      </c>
      <c r="AI4" s="9" t="s">
        <v>9</v>
      </c>
      <c r="AJ4" s="9" t="s">
        <v>9</v>
      </c>
      <c r="AK4" s="9" t="s">
        <v>9</v>
      </c>
      <c r="AL4" s="9" t="s">
        <v>9</v>
      </c>
      <c r="AM4" s="9" t="s">
        <v>9</v>
      </c>
      <c r="AN4" s="9" t="s">
        <v>9</v>
      </c>
      <c r="AO4" s="9" t="s">
        <v>9</v>
      </c>
      <c r="AP4" s="9" t="s">
        <v>9</v>
      </c>
      <c r="AQ4" s="9" t="s">
        <v>9</v>
      </c>
      <c r="AR4" s="9" t="s">
        <v>9</v>
      </c>
      <c r="AS4" s="9" t="s">
        <v>9</v>
      </c>
      <c r="AT4" s="9" t="s">
        <v>9</v>
      </c>
      <c r="AU4" s="9" t="s">
        <v>9</v>
      </c>
      <c r="AV4" s="9" t="s">
        <v>9</v>
      </c>
      <c r="AW4" s="9" t="s">
        <v>9</v>
      </c>
      <c r="AX4" s="9" t="s">
        <v>9</v>
      </c>
      <c r="AY4" s="9" t="s">
        <v>9</v>
      </c>
      <c r="AZ4" s="9" t="s">
        <v>9</v>
      </c>
      <c r="BA4" s="9" t="s">
        <v>9</v>
      </c>
      <c r="BB4" s="9" t="s">
        <v>9</v>
      </c>
      <c r="BC4" s="9" t="s">
        <v>9</v>
      </c>
      <c r="BD4" s="9" t="s">
        <v>9</v>
      </c>
      <c r="BE4" s="9" t="s">
        <v>9</v>
      </c>
      <c r="BF4" s="9" t="s">
        <v>9</v>
      </c>
    </row>
    <row r="5" spans="1:58" customFormat="1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  <c r="Y5" s="9">
        <v>15</v>
      </c>
      <c r="Z5" s="9">
        <v>16</v>
      </c>
      <c r="AA5" s="9">
        <v>17</v>
      </c>
      <c r="AB5" s="9">
        <v>18</v>
      </c>
      <c r="AC5" s="9">
        <v>19</v>
      </c>
      <c r="AD5" s="9">
        <v>20</v>
      </c>
      <c r="AE5" s="9">
        <v>21</v>
      </c>
      <c r="AF5" s="9">
        <v>22</v>
      </c>
      <c r="AG5" s="9">
        <v>23</v>
      </c>
      <c r="AH5" s="9">
        <v>24</v>
      </c>
      <c r="AI5" s="9">
        <v>25</v>
      </c>
      <c r="AJ5" s="9">
        <v>26</v>
      </c>
      <c r="AK5" s="9">
        <v>27</v>
      </c>
      <c r="AL5" s="9">
        <v>28</v>
      </c>
      <c r="AM5" s="9">
        <v>29</v>
      </c>
      <c r="AN5" s="9">
        <v>30</v>
      </c>
      <c r="AO5" s="9">
        <v>31</v>
      </c>
      <c r="AP5" s="9">
        <v>32</v>
      </c>
      <c r="AQ5" s="9">
        <v>33</v>
      </c>
      <c r="AR5" s="9">
        <v>34</v>
      </c>
      <c r="AS5" s="9">
        <v>35</v>
      </c>
      <c r="AT5" s="9">
        <v>36</v>
      </c>
      <c r="AU5" s="9">
        <v>37</v>
      </c>
      <c r="AV5" s="9">
        <v>38</v>
      </c>
      <c r="AW5" s="9">
        <v>39</v>
      </c>
      <c r="AX5" s="9">
        <v>40</v>
      </c>
      <c r="AY5" s="9">
        <v>41</v>
      </c>
      <c r="AZ5" s="9">
        <v>42</v>
      </c>
      <c r="BA5" s="9">
        <v>43</v>
      </c>
      <c r="BB5" s="9">
        <v>44</v>
      </c>
      <c r="BC5" s="9">
        <v>45</v>
      </c>
      <c r="BD5" s="9">
        <v>46</v>
      </c>
      <c r="BE5" s="9">
        <v>47</v>
      </c>
      <c r="BF5" s="9">
        <v>48</v>
      </c>
    </row>
    <row r="6" spans="1:58" customFormat="1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V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si="2"/>
        <v>2034</v>
      </c>
      <c r="W6" s="13"/>
      <c r="X6" s="13"/>
      <c r="Y6" s="9">
        <v>2036</v>
      </c>
      <c r="Z6" s="9">
        <v>2037</v>
      </c>
      <c r="AA6" s="9">
        <v>2038</v>
      </c>
      <c r="AB6" s="9">
        <v>2039</v>
      </c>
      <c r="AC6" s="9">
        <v>2040</v>
      </c>
      <c r="AD6" s="9">
        <v>2041</v>
      </c>
      <c r="AE6" s="9">
        <v>2042</v>
      </c>
      <c r="AF6" s="9">
        <v>2043</v>
      </c>
      <c r="AG6" s="9">
        <v>2044</v>
      </c>
      <c r="AH6" s="9">
        <v>2045</v>
      </c>
      <c r="AI6" s="9">
        <v>2046</v>
      </c>
      <c r="AJ6" s="9">
        <v>2047</v>
      </c>
      <c r="AK6" s="9">
        <v>2048</v>
      </c>
      <c r="AL6" s="9">
        <v>2049</v>
      </c>
      <c r="AM6" s="9">
        <v>2050</v>
      </c>
      <c r="AN6" s="9">
        <v>2051</v>
      </c>
      <c r="AO6" s="9">
        <v>2052</v>
      </c>
      <c r="AP6" s="9">
        <v>2053</v>
      </c>
      <c r="AQ6" s="9">
        <v>2054</v>
      </c>
      <c r="AR6" s="9">
        <v>2055</v>
      </c>
      <c r="AS6" s="9">
        <v>2056</v>
      </c>
      <c r="AT6" s="9">
        <v>2057</v>
      </c>
      <c r="AU6" s="9">
        <v>2058</v>
      </c>
      <c r="AV6" s="9">
        <v>2059</v>
      </c>
      <c r="AW6" s="9">
        <v>2060</v>
      </c>
      <c r="AX6" s="9">
        <v>2061</v>
      </c>
      <c r="AY6" s="9">
        <v>2062</v>
      </c>
      <c r="AZ6" s="9">
        <v>2063</v>
      </c>
      <c r="BA6" s="9">
        <v>2064</v>
      </c>
      <c r="BB6" s="9">
        <v>2065</v>
      </c>
      <c r="BC6" s="9">
        <v>2066</v>
      </c>
      <c r="BD6" s="9">
        <v>2067</v>
      </c>
      <c r="BE6" s="9">
        <v>2068</v>
      </c>
      <c r="BF6" s="9">
        <v>2069</v>
      </c>
    </row>
    <row r="7" spans="1:58" customFormat="1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customFormat="1" ht="15">
      <c r="A8" s="1"/>
      <c r="B8" s="1"/>
      <c r="C8" s="1"/>
      <c r="D8" s="1"/>
      <c r="E8" s="2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customFormat="1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</row>
    <row r="10" spans="1:58" customFormat="1" ht="15">
      <c r="A10" s="1"/>
      <c r="B10" s="1"/>
      <c r="C10" s="1"/>
      <c r="D10" s="1"/>
      <c r="E10" s="2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customFormat="1" ht="15.75">
      <c r="A11" s="18"/>
      <c r="B11" s="18"/>
      <c r="C11" s="18" t="s">
        <v>74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</row>
    <row r="12" spans="1:58">
      <c r="C12" s="20"/>
      <c r="D12" s="20"/>
    </row>
    <row r="13" spans="1:58">
      <c r="C13" s="20" t="s">
        <v>75</v>
      </c>
      <c r="D13" s="20"/>
    </row>
    <row r="14" spans="1:58">
      <c r="C14" s="21" t="s">
        <v>18</v>
      </c>
      <c r="D14" s="20"/>
      <c r="E14" s="29" t="s">
        <v>76</v>
      </c>
      <c r="F14" s="1" t="s">
        <v>120</v>
      </c>
      <c r="G14" s="1" t="s">
        <v>22</v>
      </c>
      <c r="K14" s="19"/>
      <c r="L14" s="19">
        <f>export!F3</f>
        <v>65578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</row>
    <row r="15" spans="1:58">
      <c r="C15" s="21" t="s">
        <v>53</v>
      </c>
      <c r="D15" s="20"/>
      <c r="E15" s="29" t="s">
        <v>76</v>
      </c>
      <c r="F15" s="1" t="s">
        <v>120</v>
      </c>
      <c r="G15" s="21" t="s">
        <v>53</v>
      </c>
      <c r="K15" s="19"/>
      <c r="L15" s="19">
        <f>export!F2</f>
        <v>65578</v>
      </c>
      <c r="M15" s="19"/>
      <c r="N15" s="19"/>
      <c r="O15" s="19"/>
      <c r="P15" s="19"/>
      <c r="Q15" s="19"/>
      <c r="R15" s="19"/>
      <c r="S15" s="19"/>
      <c r="T15" s="19"/>
      <c r="U15" s="19"/>
      <c r="V15" s="19"/>
    </row>
    <row r="16" spans="1:58">
      <c r="C16" s="21" t="s">
        <v>55</v>
      </c>
      <c r="D16" s="20"/>
      <c r="E16" s="29" t="s">
        <v>76</v>
      </c>
      <c r="F16" s="1" t="s">
        <v>120</v>
      </c>
      <c r="G16" s="21" t="s">
        <v>55</v>
      </c>
      <c r="K16" s="19"/>
      <c r="L16" s="19">
        <f>export!F4</f>
        <v>65578</v>
      </c>
      <c r="M16" s="19"/>
      <c r="N16" s="19"/>
      <c r="O16" s="19"/>
      <c r="P16" s="19"/>
      <c r="Q16" s="19"/>
      <c r="R16" s="19"/>
      <c r="S16" s="19"/>
      <c r="T16" s="19"/>
      <c r="U16" s="19"/>
      <c r="V16" s="19"/>
    </row>
    <row r="18" spans="3:22">
      <c r="C18" s="20" t="s">
        <v>77</v>
      </c>
      <c r="D18" s="20"/>
    </row>
    <row r="19" spans="3:22">
      <c r="C19" s="21" t="s">
        <v>18</v>
      </c>
      <c r="D19" s="20"/>
      <c r="E19" s="29" t="s">
        <v>76</v>
      </c>
      <c r="F19" s="1" t="s">
        <v>120</v>
      </c>
      <c r="G19" s="1" t="s">
        <v>22</v>
      </c>
      <c r="K19" s="19"/>
      <c r="L19" s="19">
        <f>export!F6</f>
        <v>20766</v>
      </c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21" t="s">
        <v>53</v>
      </c>
      <c r="D20" s="20"/>
      <c r="E20" s="29" t="s">
        <v>76</v>
      </c>
      <c r="F20" s="1" t="s">
        <v>120</v>
      </c>
      <c r="G20" s="21" t="s">
        <v>53</v>
      </c>
      <c r="K20" s="19"/>
      <c r="L20" s="19">
        <f>export!F5</f>
        <v>22773</v>
      </c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21" t="s">
        <v>55</v>
      </c>
      <c r="D21" s="20"/>
      <c r="E21" s="29" t="s">
        <v>76</v>
      </c>
      <c r="F21" s="1" t="s">
        <v>120</v>
      </c>
      <c r="G21" s="21" t="s">
        <v>55</v>
      </c>
      <c r="K21" s="19"/>
      <c r="L21" s="19">
        <f>export!F7</f>
        <v>21069</v>
      </c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3" spans="3:22">
      <c r="C23" s="20" t="s">
        <v>78</v>
      </c>
      <c r="D23" s="20"/>
    </row>
    <row r="24" spans="3:22">
      <c r="C24" s="21" t="s">
        <v>18</v>
      </c>
      <c r="D24" s="20"/>
      <c r="E24" s="29" t="s">
        <v>76</v>
      </c>
      <c r="F24" s="1" t="s">
        <v>120</v>
      </c>
      <c r="G24" s="1" t="s">
        <v>22</v>
      </c>
      <c r="K24" s="19"/>
      <c r="L24" s="19">
        <f>export!F9</f>
        <v>13633</v>
      </c>
      <c r="M24" s="19"/>
      <c r="N24" s="19"/>
      <c r="O24" s="19"/>
      <c r="P24" s="19"/>
      <c r="Q24" s="19"/>
      <c r="R24" s="19"/>
      <c r="S24" s="19"/>
      <c r="T24" s="19"/>
      <c r="U24" s="19"/>
      <c r="V24" s="19"/>
    </row>
    <row r="25" spans="3:22">
      <c r="C25" s="21" t="s">
        <v>53</v>
      </c>
      <c r="D25" s="20"/>
      <c r="E25" s="29" t="s">
        <v>76</v>
      </c>
      <c r="F25" s="1" t="s">
        <v>120</v>
      </c>
      <c r="G25" s="21" t="s">
        <v>53</v>
      </c>
      <c r="K25" s="19"/>
      <c r="L25" s="19">
        <f>export!F8</f>
        <v>0</v>
      </c>
      <c r="M25" s="19"/>
      <c r="N25" s="19"/>
      <c r="O25" s="19"/>
      <c r="P25" s="19"/>
      <c r="Q25" s="19"/>
      <c r="R25" s="19"/>
      <c r="S25" s="19"/>
      <c r="T25" s="19"/>
      <c r="U25" s="19"/>
      <c r="V25" s="19"/>
    </row>
    <row r="26" spans="3:22">
      <c r="C26" s="21" t="s">
        <v>55</v>
      </c>
      <c r="D26" s="20"/>
      <c r="E26" s="29" t="s">
        <v>76</v>
      </c>
      <c r="F26" s="1" t="s">
        <v>120</v>
      </c>
      <c r="G26" s="21" t="s">
        <v>55</v>
      </c>
      <c r="K26" s="19"/>
      <c r="L26" s="19">
        <f>export!F10</f>
        <v>0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</row>
    <row r="28" spans="3:22">
      <c r="C28" s="20" t="s">
        <v>79</v>
      </c>
      <c r="D28" s="20"/>
    </row>
    <row r="29" spans="3:22">
      <c r="C29" s="21" t="s">
        <v>18</v>
      </c>
      <c r="D29" s="20"/>
      <c r="E29" s="29" t="s">
        <v>76</v>
      </c>
      <c r="F29" s="1" t="s">
        <v>120</v>
      </c>
      <c r="G29" s="1" t="s">
        <v>22</v>
      </c>
      <c r="K29" s="19"/>
      <c r="L29" s="19">
        <f>export!F12</f>
        <v>138</v>
      </c>
      <c r="M29" s="19"/>
      <c r="N29" s="19"/>
      <c r="O29" s="19"/>
      <c r="P29" s="19"/>
      <c r="Q29" s="19"/>
      <c r="R29" s="19"/>
      <c r="S29" s="19"/>
      <c r="T29" s="19"/>
      <c r="U29" s="19"/>
      <c r="V29" s="19"/>
    </row>
    <row r="30" spans="3:22">
      <c r="C30" s="21" t="s">
        <v>53</v>
      </c>
      <c r="D30" s="20"/>
      <c r="E30" s="29" t="s">
        <v>76</v>
      </c>
      <c r="F30" s="1" t="s">
        <v>120</v>
      </c>
      <c r="G30" s="21" t="s">
        <v>53</v>
      </c>
      <c r="K30" s="19"/>
      <c r="L30" s="19">
        <f>export!F11</f>
        <v>0</v>
      </c>
      <c r="M30" s="19"/>
      <c r="N30" s="19"/>
      <c r="O30" s="19"/>
      <c r="P30" s="19"/>
      <c r="Q30" s="19"/>
      <c r="R30" s="19"/>
      <c r="S30" s="19"/>
      <c r="T30" s="19"/>
      <c r="U30" s="19"/>
      <c r="V30" s="19"/>
    </row>
    <row r="31" spans="3:22">
      <c r="C31" s="21" t="s">
        <v>55</v>
      </c>
      <c r="D31" s="20"/>
      <c r="E31" s="29" t="s">
        <v>76</v>
      </c>
      <c r="F31" s="1" t="s">
        <v>120</v>
      </c>
      <c r="G31" s="21" t="s">
        <v>55</v>
      </c>
      <c r="K31" s="19"/>
      <c r="L31" s="19">
        <f>export!F10</f>
        <v>0</v>
      </c>
      <c r="M31" s="19"/>
      <c r="N31" s="19"/>
      <c r="O31" s="19"/>
      <c r="P31" s="19"/>
      <c r="Q31" s="19"/>
      <c r="R31" s="19"/>
      <c r="S31" s="19"/>
      <c r="T31" s="19"/>
      <c r="U31" s="19"/>
      <c r="V31" s="19"/>
    </row>
    <row r="33" spans="3:22">
      <c r="C33" s="20" t="s">
        <v>80</v>
      </c>
      <c r="D33" s="20"/>
    </row>
    <row r="34" spans="3:22">
      <c r="C34" s="21" t="s">
        <v>18</v>
      </c>
      <c r="D34" s="20"/>
      <c r="E34" s="29" t="s">
        <v>76</v>
      </c>
      <c r="F34" s="1" t="s">
        <v>120</v>
      </c>
      <c r="G34" s="1" t="s">
        <v>22</v>
      </c>
      <c r="K34" s="19"/>
      <c r="L34" s="19">
        <f>export!F15</f>
        <v>2352</v>
      </c>
      <c r="M34" s="19"/>
      <c r="N34" s="19"/>
      <c r="O34" s="19"/>
      <c r="P34" s="19"/>
      <c r="Q34" s="19"/>
      <c r="R34" s="19"/>
      <c r="S34" s="19"/>
      <c r="T34" s="19"/>
      <c r="U34" s="19"/>
      <c r="V34" s="19"/>
    </row>
    <row r="35" spans="3:22">
      <c r="C35" s="21" t="s">
        <v>53</v>
      </c>
      <c r="D35" s="20"/>
      <c r="E35" s="29" t="s">
        <v>76</v>
      </c>
      <c r="F35" s="1" t="s">
        <v>120</v>
      </c>
      <c r="G35" s="21" t="s">
        <v>53</v>
      </c>
      <c r="K35" s="19"/>
      <c r="L35" s="19">
        <f>export!F14</f>
        <v>0</v>
      </c>
      <c r="M35" s="19"/>
      <c r="N35" s="19"/>
      <c r="O35" s="19"/>
      <c r="P35" s="19"/>
      <c r="Q35" s="19"/>
      <c r="R35" s="19"/>
      <c r="S35" s="19"/>
      <c r="T35" s="19"/>
      <c r="U35" s="19"/>
      <c r="V35" s="19"/>
    </row>
    <row r="36" spans="3:22">
      <c r="C36" s="21" t="s">
        <v>55</v>
      </c>
      <c r="D36" s="20"/>
      <c r="E36" s="29" t="s">
        <v>76</v>
      </c>
      <c r="F36" s="1" t="s">
        <v>120</v>
      </c>
      <c r="G36" s="21" t="s">
        <v>55</v>
      </c>
      <c r="K36" s="19"/>
      <c r="L36" s="19">
        <f>export!F16</f>
        <v>0</v>
      </c>
      <c r="M36" s="19"/>
      <c r="N36" s="19"/>
      <c r="O36" s="19"/>
      <c r="P36" s="19"/>
      <c r="Q36" s="19"/>
      <c r="R36" s="19"/>
      <c r="S36" s="19"/>
      <c r="T36" s="19"/>
      <c r="U36" s="19"/>
      <c r="V36" s="19"/>
    </row>
    <row r="38" spans="3:22">
      <c r="C38" s="20" t="s">
        <v>81</v>
      </c>
      <c r="D38" s="20"/>
    </row>
    <row r="39" spans="3:22">
      <c r="C39" s="21" t="s">
        <v>18</v>
      </c>
      <c r="D39" s="20"/>
      <c r="E39" s="29" t="s">
        <v>76</v>
      </c>
      <c r="F39" s="1" t="s">
        <v>120</v>
      </c>
      <c r="G39" s="1" t="s">
        <v>22</v>
      </c>
      <c r="K39" s="19"/>
      <c r="L39" s="19">
        <f>export!F18</f>
        <v>124</v>
      </c>
      <c r="M39" s="19"/>
      <c r="N39" s="19"/>
      <c r="O39" s="19"/>
      <c r="P39" s="19"/>
      <c r="Q39" s="19"/>
      <c r="R39" s="19"/>
      <c r="S39" s="19"/>
      <c r="T39" s="19"/>
      <c r="U39" s="19"/>
      <c r="V39" s="19"/>
    </row>
    <row r="40" spans="3:22">
      <c r="C40" s="21" t="s">
        <v>53</v>
      </c>
      <c r="D40" s="20"/>
      <c r="E40" s="29" t="s">
        <v>76</v>
      </c>
      <c r="F40" s="1" t="s">
        <v>120</v>
      </c>
      <c r="G40" s="21" t="s">
        <v>53</v>
      </c>
      <c r="K40" s="19"/>
      <c r="L40" s="19">
        <f>export!F17</f>
        <v>0</v>
      </c>
      <c r="M40" s="19"/>
      <c r="N40" s="19"/>
      <c r="O40" s="19"/>
      <c r="P40" s="19"/>
      <c r="Q40" s="19"/>
      <c r="R40" s="19"/>
      <c r="S40" s="19"/>
      <c r="T40" s="19"/>
      <c r="U40" s="19"/>
      <c r="V40" s="19"/>
    </row>
    <row r="41" spans="3:22">
      <c r="C41" s="21" t="s">
        <v>55</v>
      </c>
      <c r="D41" s="20"/>
      <c r="E41" s="29" t="s">
        <v>76</v>
      </c>
      <c r="F41" s="1" t="s">
        <v>120</v>
      </c>
      <c r="G41" s="21" t="s">
        <v>55</v>
      </c>
      <c r="K41" s="19"/>
      <c r="L41" s="19">
        <f>export!F19</f>
        <v>0</v>
      </c>
      <c r="M41" s="19"/>
      <c r="N41" s="19"/>
      <c r="O41" s="19"/>
      <c r="P41" s="19"/>
      <c r="Q41" s="19"/>
      <c r="R41" s="19"/>
      <c r="S41" s="19"/>
      <c r="T41" s="19"/>
      <c r="U41" s="19"/>
      <c r="V41" s="19"/>
    </row>
    <row r="43" spans="3:22">
      <c r="C43" s="20" t="s">
        <v>82</v>
      </c>
      <c r="D43" s="20"/>
    </row>
    <row r="44" spans="3:22">
      <c r="C44" s="21" t="s">
        <v>18</v>
      </c>
      <c r="D44" s="20"/>
      <c r="E44" s="29" t="s">
        <v>76</v>
      </c>
      <c r="F44" s="1" t="s">
        <v>120</v>
      </c>
      <c r="G44" s="1" t="s">
        <v>22</v>
      </c>
      <c r="K44" s="19"/>
      <c r="L44" s="19">
        <f>export!F21</f>
        <v>0</v>
      </c>
    </row>
    <row r="45" spans="3:22">
      <c r="C45" s="21" t="s">
        <v>53</v>
      </c>
      <c r="D45" s="20"/>
      <c r="E45" s="29" t="s">
        <v>76</v>
      </c>
      <c r="F45" s="1" t="s">
        <v>120</v>
      </c>
      <c r="G45" s="21" t="s">
        <v>53</v>
      </c>
      <c r="K45" s="19"/>
      <c r="L45" s="19">
        <f>export!F20</f>
        <v>4</v>
      </c>
    </row>
    <row r="46" spans="3:22">
      <c r="C46" s="21" t="s">
        <v>55</v>
      </c>
      <c r="D46" s="20"/>
      <c r="E46" s="29" t="s">
        <v>76</v>
      </c>
      <c r="F46" s="1" t="s">
        <v>120</v>
      </c>
      <c r="G46" s="21" t="s">
        <v>55</v>
      </c>
      <c r="K46" s="19"/>
      <c r="L46" s="19">
        <f>export!F22</f>
        <v>0</v>
      </c>
    </row>
    <row r="48" spans="3:22">
      <c r="C48" s="20" t="s">
        <v>83</v>
      </c>
      <c r="D48" s="20"/>
    </row>
    <row r="49" spans="3:12">
      <c r="C49" s="21" t="s">
        <v>18</v>
      </c>
      <c r="D49" s="20"/>
      <c r="E49" s="2" t="s">
        <v>84</v>
      </c>
      <c r="F49" s="1" t="s">
        <v>120</v>
      </c>
      <c r="G49" s="1" t="s">
        <v>22</v>
      </c>
      <c r="L49" s="19">
        <f>export!F25</f>
        <v>618</v>
      </c>
    </row>
    <row r="50" spans="3:12">
      <c r="C50" s="21" t="s">
        <v>53</v>
      </c>
      <c r="D50" s="20"/>
      <c r="E50" s="2" t="s">
        <v>84</v>
      </c>
      <c r="F50" s="1" t="s">
        <v>120</v>
      </c>
      <c r="G50" s="21" t="s">
        <v>53</v>
      </c>
      <c r="L50" s="19">
        <f>export!F24</f>
        <v>693</v>
      </c>
    </row>
    <row r="51" spans="3:12">
      <c r="C51" s="21" t="s">
        <v>55</v>
      </c>
      <c r="D51" s="20"/>
      <c r="E51" s="2" t="s">
        <v>84</v>
      </c>
      <c r="F51" s="1" t="s">
        <v>120</v>
      </c>
      <c r="G51" s="21" t="s">
        <v>55</v>
      </c>
      <c r="L51" s="19">
        <f>export!F23</f>
        <v>467</v>
      </c>
    </row>
    <row r="53" spans="3:12">
      <c r="C53" s="20" t="s">
        <v>85</v>
      </c>
      <c r="D53" s="20"/>
    </row>
    <row r="54" spans="3:12">
      <c r="C54" s="21" t="s">
        <v>18</v>
      </c>
      <c r="D54" s="20"/>
      <c r="E54" s="2" t="s">
        <v>86</v>
      </c>
      <c r="F54" s="1" t="s">
        <v>120</v>
      </c>
      <c r="G54" s="1" t="s">
        <v>22</v>
      </c>
      <c r="L54" s="19">
        <f>export!F28</f>
        <v>18.399999999999999</v>
      </c>
    </row>
    <row r="55" spans="3:12">
      <c r="C55" s="21" t="s">
        <v>53</v>
      </c>
      <c r="D55" s="20"/>
      <c r="E55" s="2" t="s">
        <v>86</v>
      </c>
      <c r="F55" s="1" t="s">
        <v>120</v>
      </c>
      <c r="G55" s="21" t="s">
        <v>53</v>
      </c>
      <c r="L55" s="19">
        <f>export!F27</f>
        <v>21.5</v>
      </c>
    </row>
    <row r="56" spans="3:12">
      <c r="C56" s="21" t="s">
        <v>55</v>
      </c>
      <c r="D56" s="20"/>
      <c r="E56" s="2" t="s">
        <v>86</v>
      </c>
      <c r="F56" s="1" t="s">
        <v>120</v>
      </c>
      <c r="G56" s="21" t="s">
        <v>55</v>
      </c>
      <c r="L56" s="19">
        <f>export!F26</f>
        <v>21.9</v>
      </c>
    </row>
    <row r="58" spans="3:12">
      <c r="C58" s="20" t="s">
        <v>87</v>
      </c>
      <c r="D58" s="20"/>
    </row>
    <row r="59" spans="3:12">
      <c r="C59" s="21" t="s">
        <v>22</v>
      </c>
      <c r="D59" s="20"/>
      <c r="E59" s="2" t="s">
        <v>88</v>
      </c>
      <c r="F59" s="1" t="s">
        <v>120</v>
      </c>
      <c r="G59" s="1" t="s">
        <v>22</v>
      </c>
      <c r="L59" s="19">
        <f>export!F30</f>
        <v>76.978999999999999</v>
      </c>
    </row>
    <row r="60" spans="3:12">
      <c r="C60" s="21" t="s">
        <v>53</v>
      </c>
      <c r="D60" s="20"/>
      <c r="E60" s="2" t="s">
        <v>88</v>
      </c>
      <c r="F60" s="1" t="s">
        <v>120</v>
      </c>
      <c r="G60" s="21" t="s">
        <v>53</v>
      </c>
      <c r="L60" s="19">
        <f>export!F29</f>
        <v>60.784999999999997</v>
      </c>
    </row>
    <row r="61" spans="3:12">
      <c r="C61" s="21" t="s">
        <v>55</v>
      </c>
      <c r="D61" s="20"/>
      <c r="E61" s="2" t="s">
        <v>88</v>
      </c>
      <c r="F61" s="1" t="s">
        <v>120</v>
      </c>
      <c r="G61" s="21" t="s">
        <v>55</v>
      </c>
      <c r="L61" s="19">
        <f>export!F31</f>
        <v>60.841000000000001</v>
      </c>
    </row>
    <row r="63" spans="3:12">
      <c r="C63" s="27" t="s">
        <v>89</v>
      </c>
    </row>
    <row r="64" spans="3:12">
      <c r="C64" s="1" t="s">
        <v>90</v>
      </c>
    </row>
    <row r="65" spans="11:19">
      <c r="K65" s="36" t="str">
        <f>export!I33</f>
        <v>none of the 14 expire this reporting period</v>
      </c>
      <c r="L65" s="37"/>
      <c r="M65" s="37"/>
      <c r="N65" s="37"/>
      <c r="O65" s="37"/>
      <c r="P65" s="37"/>
      <c r="Q65" s="37"/>
      <c r="R65" s="37"/>
      <c r="S65" s="38"/>
    </row>
    <row r="66" spans="11:19">
      <c r="K66" s="39"/>
      <c r="L66" s="40"/>
      <c r="M66" s="40"/>
      <c r="N66" s="40"/>
      <c r="O66" s="40"/>
      <c r="P66" s="40"/>
      <c r="Q66" s="40"/>
      <c r="R66" s="40"/>
      <c r="S66" s="41"/>
    </row>
    <row r="67" spans="11:19">
      <c r="K67" s="39"/>
      <c r="L67" s="40"/>
      <c r="M67" s="40"/>
      <c r="N67" s="40"/>
      <c r="O67" s="40"/>
      <c r="P67" s="40"/>
      <c r="Q67" s="40"/>
      <c r="R67" s="40"/>
      <c r="S67" s="41"/>
    </row>
    <row r="68" spans="11:19">
      <c r="K68" s="39"/>
      <c r="L68" s="40"/>
      <c r="M68" s="40"/>
      <c r="N68" s="40"/>
      <c r="O68" s="40"/>
      <c r="P68" s="40"/>
      <c r="Q68" s="40"/>
      <c r="R68" s="40"/>
      <c r="S68" s="41"/>
    </row>
    <row r="69" spans="11:19">
      <c r="K69" s="39"/>
      <c r="L69" s="40"/>
      <c r="M69" s="40"/>
      <c r="N69" s="40"/>
      <c r="O69" s="40"/>
      <c r="P69" s="40"/>
      <c r="Q69" s="40"/>
      <c r="R69" s="40"/>
      <c r="S69" s="41"/>
    </row>
    <row r="70" spans="11:19">
      <c r="K70" s="42"/>
      <c r="L70" s="43"/>
      <c r="M70" s="43"/>
      <c r="N70" s="43"/>
      <c r="O70" s="43"/>
      <c r="P70" s="43"/>
      <c r="Q70" s="43"/>
      <c r="R70" s="43"/>
      <c r="S70" s="44"/>
    </row>
    <row r="72" spans="11:19">
      <c r="K72" s="36" t="s">
        <v>127</v>
      </c>
      <c r="L72" s="37"/>
      <c r="M72" s="37"/>
      <c r="N72" s="37"/>
      <c r="O72" s="37"/>
      <c r="P72" s="37"/>
      <c r="Q72" s="37"/>
      <c r="R72" s="37"/>
      <c r="S72" s="38"/>
    </row>
    <row r="73" spans="11:19">
      <c r="K73" s="39"/>
      <c r="L73" s="40"/>
      <c r="M73" s="40"/>
      <c r="N73" s="40"/>
      <c r="O73" s="40"/>
      <c r="P73" s="40"/>
      <c r="Q73" s="40"/>
      <c r="R73" s="40"/>
      <c r="S73" s="41"/>
    </row>
    <row r="74" spans="11:19">
      <c r="K74" s="39"/>
      <c r="L74" s="40"/>
      <c r="M74" s="40"/>
      <c r="N74" s="40"/>
      <c r="O74" s="40"/>
      <c r="P74" s="40"/>
      <c r="Q74" s="40"/>
      <c r="R74" s="40"/>
      <c r="S74" s="41"/>
    </row>
    <row r="75" spans="11:19">
      <c r="K75" s="39"/>
      <c r="L75" s="40"/>
      <c r="M75" s="40"/>
      <c r="N75" s="40"/>
      <c r="O75" s="40"/>
      <c r="P75" s="40"/>
      <c r="Q75" s="40"/>
      <c r="R75" s="40"/>
      <c r="S75" s="41"/>
    </row>
    <row r="76" spans="11:19">
      <c r="K76" s="39"/>
      <c r="L76" s="40"/>
      <c r="M76" s="40"/>
      <c r="N76" s="40"/>
      <c r="O76" s="40"/>
      <c r="P76" s="40"/>
      <c r="Q76" s="40"/>
      <c r="R76" s="40"/>
      <c r="S76" s="41"/>
    </row>
    <row r="77" spans="11:19">
      <c r="K77" s="42"/>
      <c r="L77" s="43"/>
      <c r="M77" s="43"/>
      <c r="N77" s="43"/>
      <c r="O77" s="43"/>
      <c r="P77" s="43"/>
      <c r="Q77" s="43"/>
      <c r="R77" s="43"/>
      <c r="S77" s="44"/>
    </row>
    <row r="79" spans="11:19">
      <c r="K79" s="36" t="str">
        <f>export!I34</f>
        <v>none of the 1 expire this reporting period</v>
      </c>
      <c r="L79" s="37"/>
      <c r="M79" s="37"/>
      <c r="N79" s="37"/>
      <c r="O79" s="37"/>
      <c r="P79" s="37"/>
      <c r="Q79" s="37"/>
      <c r="R79" s="37"/>
      <c r="S79" s="38"/>
    </row>
    <row r="80" spans="11:19">
      <c r="K80" s="39"/>
      <c r="L80" s="40"/>
      <c r="M80" s="40"/>
      <c r="N80" s="40"/>
      <c r="O80" s="40"/>
      <c r="P80" s="40"/>
      <c r="Q80" s="40"/>
      <c r="R80" s="40"/>
      <c r="S80" s="41"/>
    </row>
    <row r="81" spans="1:24">
      <c r="K81" s="39"/>
      <c r="L81" s="40"/>
      <c r="M81" s="40"/>
      <c r="N81" s="40"/>
      <c r="O81" s="40"/>
      <c r="P81" s="40"/>
      <c r="Q81" s="40"/>
      <c r="R81" s="40"/>
      <c r="S81" s="41"/>
    </row>
    <row r="82" spans="1:24">
      <c r="K82" s="39"/>
      <c r="L82" s="40"/>
      <c r="M82" s="40"/>
      <c r="N82" s="40"/>
      <c r="O82" s="40"/>
      <c r="P82" s="40"/>
      <c r="Q82" s="40"/>
      <c r="R82" s="40"/>
      <c r="S82" s="41"/>
    </row>
    <row r="83" spans="1:24">
      <c r="K83" s="39"/>
      <c r="L83" s="40"/>
      <c r="M83" s="40"/>
      <c r="N83" s="40"/>
      <c r="O83" s="40"/>
      <c r="P83" s="40"/>
      <c r="Q83" s="40"/>
      <c r="R83" s="40"/>
      <c r="S83" s="41"/>
    </row>
    <row r="84" spans="1:24">
      <c r="K84" s="42"/>
      <c r="L84" s="43"/>
      <c r="M84" s="43"/>
      <c r="N84" s="43"/>
      <c r="O84" s="43"/>
      <c r="P84" s="43"/>
      <c r="Q84" s="43"/>
      <c r="R84" s="43"/>
      <c r="S84" s="44"/>
    </row>
    <row r="86" spans="1:24" customFormat="1" ht="15.75">
      <c r="A86" s="3"/>
      <c r="B86" s="3"/>
      <c r="C86" s="3" t="s">
        <v>59</v>
      </c>
      <c r="D86" s="3"/>
      <c r="E86" s="3"/>
      <c r="F86" s="3"/>
      <c r="G86" s="3"/>
      <c r="H86" s="3"/>
      <c r="I86" s="1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</row>
  </sheetData>
  <mergeCells count="3">
    <mergeCell ref="K65:S70"/>
    <mergeCell ref="K72:S77"/>
    <mergeCell ref="K79:S84"/>
  </mergeCells>
  <conditionalFormatting sqref="E5">
    <cfRule type="cellIs" dxfId="16" priority="6" operator="notEqual">
      <formula>0</formula>
    </cfRule>
  </conditionalFormatting>
  <conditionalFormatting sqref="B4">
    <cfRule type="expression" dxfId="15" priority="5">
      <formula>Model.Navigation.View=No</formula>
    </cfRule>
  </conditionalFormatting>
  <conditionalFormatting sqref="B5">
    <cfRule type="expression" dxfId="14" priority="4">
      <formula>Model.Navigation.View=No</formula>
    </cfRule>
  </conditionalFormatting>
  <conditionalFormatting sqref="B3">
    <cfRule type="expression" dxfId="13" priority="3">
      <formula>Model.Navigation.View=No</formula>
    </cfRule>
  </conditionalFormatting>
  <conditionalFormatting sqref="B2">
    <cfRule type="expression" dxfId="12" priority="2">
      <formula>Model.Navigation.View=No</formula>
    </cfRule>
  </conditionalFormatting>
  <conditionalFormatting sqref="E6:E7">
    <cfRule type="cellIs" dxfId="11" priority="1" operator="notEqual">
      <formula>0</formula>
    </cfRule>
  </conditionalFormatting>
  <hyperlinks>
    <hyperlink ref="B4" location="Checks!B2" tooltip="Go to Error and Sense Checks summary" display="Checks!B2" xr:uid="{E81051A0-7573-4F9D-82B7-E9A3F36AAE9B}"/>
    <hyperlink ref="B5" location="Dashboard!B2" tooltip="Go to Dashboard" display="Dashboard!B2" xr:uid="{A15CC90A-E487-4DC9-A14F-D76B60A30E9C}"/>
    <hyperlink ref="B3" location="B13" tooltip="Go to top of sheet" display="B13" xr:uid="{5161C9B3-9277-4A7D-8712-26A4D091D4A8}"/>
    <hyperlink ref="B2" location="TableofContents" tooltip="Go to Table of Contents" display="&amp;" xr:uid="{64A6C07F-1D52-48CB-B6B3-261241D8EFE2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EF780-093C-49F3-8A1D-123A53D03F65}">
  <dimension ref="A1:I34"/>
  <sheetViews>
    <sheetView view="pageBreakPreview" zoomScale="145" zoomScaleNormal="100" zoomScaleSheetLayoutView="145" workbookViewId="0">
      <pane ySplit="1" topLeftCell="A2" activePane="bottomLeft" state="frozen"/>
      <selection pane="bottomLeft" activeCell="A18" activeCellId="1" sqref="A15:XFD15 A18:XFD18"/>
    </sheetView>
  </sheetViews>
  <sheetFormatPr defaultRowHeight="15"/>
  <cols>
    <col min="1" max="1" width="9.140625" style="34"/>
    <col min="2" max="2" width="24.5703125" style="34" customWidth="1"/>
    <col min="3" max="3" width="9.140625" style="34"/>
    <col min="4" max="4" width="12.85546875" style="34" bestFit="1" customWidth="1"/>
    <col min="5" max="5" width="25.140625" style="34" customWidth="1"/>
    <col min="6" max="6" width="10.5703125" style="34" bestFit="1" customWidth="1"/>
    <col min="7" max="7" width="11" style="34" customWidth="1"/>
    <col min="8" max="8" width="8" style="34" customWidth="1"/>
    <col min="9" max="9" width="52.7109375" style="34" customWidth="1"/>
    <col min="10" max="10" width="9.140625" style="34"/>
    <col min="11" max="11" width="11.5703125" style="34" bestFit="1" customWidth="1"/>
    <col min="12" max="16384" width="9.140625" style="34"/>
  </cols>
  <sheetData>
    <row r="1" spans="1:9">
      <c r="A1" s="34" t="s">
        <v>124</v>
      </c>
      <c r="B1" s="34" t="s">
        <v>114</v>
      </c>
      <c r="C1" s="34" t="s">
        <v>115</v>
      </c>
      <c r="D1" s="34" t="s">
        <v>116</v>
      </c>
      <c r="E1" s="34" t="s">
        <v>117</v>
      </c>
      <c r="F1" s="34" t="s">
        <v>118</v>
      </c>
      <c r="G1" s="34" t="s">
        <v>123</v>
      </c>
      <c r="H1" s="34" t="s">
        <v>11</v>
      </c>
      <c r="I1" s="34" t="s">
        <v>119</v>
      </c>
    </row>
    <row r="2" spans="1:9" ht="30">
      <c r="A2" s="34">
        <v>1</v>
      </c>
      <c r="B2" s="34" t="s">
        <v>130</v>
      </c>
      <c r="C2" s="34" t="s">
        <v>120</v>
      </c>
      <c r="D2" s="34" t="s">
        <v>53</v>
      </c>
      <c r="E2" s="34" t="s">
        <v>75</v>
      </c>
      <c r="F2" s="34">
        <v>65578</v>
      </c>
      <c r="G2" s="34">
        <v>500</v>
      </c>
      <c r="H2" s="34">
        <v>2023</v>
      </c>
      <c r="I2" s="34" t="s">
        <v>131</v>
      </c>
    </row>
    <row r="3" spans="1:9" ht="30">
      <c r="A3" s="34">
        <v>2</v>
      </c>
      <c r="B3" s="34" t="s">
        <v>130</v>
      </c>
      <c r="C3" s="34" t="s">
        <v>120</v>
      </c>
      <c r="D3" s="34" t="s">
        <v>18</v>
      </c>
      <c r="E3" s="34" t="s">
        <v>75</v>
      </c>
      <c r="F3" s="34">
        <v>65578</v>
      </c>
      <c r="G3" s="34">
        <v>500</v>
      </c>
      <c r="H3" s="34">
        <v>2023</v>
      </c>
      <c r="I3" s="34" t="s">
        <v>131</v>
      </c>
    </row>
    <row r="4" spans="1:9" ht="30">
      <c r="A4" s="34">
        <v>3</v>
      </c>
      <c r="B4" s="34" t="s">
        <v>130</v>
      </c>
      <c r="C4" s="34" t="s">
        <v>120</v>
      </c>
      <c r="D4" s="34" t="s">
        <v>55</v>
      </c>
      <c r="E4" s="34" t="s">
        <v>75</v>
      </c>
      <c r="F4" s="34">
        <v>65578</v>
      </c>
      <c r="G4" s="34">
        <v>500</v>
      </c>
      <c r="H4" s="34">
        <v>2023</v>
      </c>
      <c r="I4" s="34" t="s">
        <v>131</v>
      </c>
    </row>
    <row r="5" spans="1:9">
      <c r="A5" s="34">
        <v>4</v>
      </c>
      <c r="B5" s="34" t="s">
        <v>125</v>
      </c>
      <c r="C5" s="34" t="s">
        <v>120</v>
      </c>
      <c r="D5" s="34" t="s">
        <v>53</v>
      </c>
      <c r="E5" s="34" t="s">
        <v>77</v>
      </c>
      <c r="F5" s="34">
        <v>22773</v>
      </c>
      <c r="G5" s="34">
        <v>500</v>
      </c>
      <c r="H5" s="34">
        <v>2024</v>
      </c>
      <c r="I5" s="34" t="s">
        <v>126</v>
      </c>
    </row>
    <row r="6" spans="1:9">
      <c r="A6" s="34">
        <v>5</v>
      </c>
      <c r="B6" s="34" t="s">
        <v>125</v>
      </c>
      <c r="C6" s="34" t="s">
        <v>120</v>
      </c>
      <c r="D6" s="34" t="s">
        <v>18</v>
      </c>
      <c r="E6" s="34" t="s">
        <v>77</v>
      </c>
      <c r="F6" s="34">
        <v>20766</v>
      </c>
      <c r="G6" s="34">
        <v>500</v>
      </c>
      <c r="H6" s="34">
        <v>2024</v>
      </c>
      <c r="I6" s="34" t="s">
        <v>126</v>
      </c>
    </row>
    <row r="7" spans="1:9">
      <c r="A7" s="34">
        <v>6</v>
      </c>
      <c r="B7" s="34" t="s">
        <v>125</v>
      </c>
      <c r="C7" s="34" t="s">
        <v>120</v>
      </c>
      <c r="D7" s="34" t="s">
        <v>55</v>
      </c>
      <c r="E7" s="34" t="s">
        <v>77</v>
      </c>
      <c r="F7" s="34">
        <v>21069</v>
      </c>
      <c r="G7" s="34">
        <v>500</v>
      </c>
      <c r="H7" s="34">
        <v>2024</v>
      </c>
      <c r="I7" s="34" t="s">
        <v>126</v>
      </c>
    </row>
    <row r="8" spans="1:9" ht="45">
      <c r="A8" s="34">
        <v>7</v>
      </c>
      <c r="B8" s="34" t="s">
        <v>135</v>
      </c>
      <c r="C8" s="34" t="s">
        <v>120</v>
      </c>
      <c r="D8" s="34" t="s">
        <v>53</v>
      </c>
      <c r="E8" s="34" t="s">
        <v>78</v>
      </c>
      <c r="F8" s="35"/>
      <c r="I8" s="34" t="s">
        <v>137</v>
      </c>
    </row>
    <row r="9" spans="1:9" ht="60">
      <c r="A9" s="34">
        <v>8</v>
      </c>
      <c r="B9" s="34" t="s">
        <v>135</v>
      </c>
      <c r="C9" s="34" t="s">
        <v>120</v>
      </c>
      <c r="D9" s="34" t="s">
        <v>18</v>
      </c>
      <c r="E9" s="34" t="s">
        <v>78</v>
      </c>
      <c r="F9" s="34">
        <f>ROUND(13771*0.99,0)</f>
        <v>13633</v>
      </c>
      <c r="G9" s="34">
        <v>400</v>
      </c>
      <c r="H9" s="34">
        <v>2023</v>
      </c>
      <c r="I9" s="34" t="s">
        <v>138</v>
      </c>
    </row>
    <row r="10" spans="1:9" ht="30">
      <c r="A10" s="34">
        <v>9</v>
      </c>
      <c r="B10" s="34" t="s">
        <v>135</v>
      </c>
      <c r="C10" s="34" t="s">
        <v>120</v>
      </c>
      <c r="D10" s="34" t="s">
        <v>55</v>
      </c>
      <c r="E10" s="34" t="s">
        <v>78</v>
      </c>
      <c r="F10" s="35"/>
    </row>
    <row r="11" spans="1:9" ht="30">
      <c r="A11" s="34">
        <v>10</v>
      </c>
      <c r="B11" s="34" t="s">
        <v>135</v>
      </c>
      <c r="C11" s="34" t="s">
        <v>120</v>
      </c>
      <c r="D11" s="34" t="s">
        <v>53</v>
      </c>
      <c r="E11" s="34" t="s">
        <v>79</v>
      </c>
      <c r="F11" s="35"/>
    </row>
    <row r="12" spans="1:9" ht="60">
      <c r="A12" s="34">
        <v>11</v>
      </c>
      <c r="B12" s="34" t="s">
        <v>135</v>
      </c>
      <c r="C12" s="34" t="s">
        <v>120</v>
      </c>
      <c r="D12" s="34" t="s">
        <v>18</v>
      </c>
      <c r="E12" s="34" t="s">
        <v>79</v>
      </c>
      <c r="F12" s="34">
        <f>13771-F9</f>
        <v>138</v>
      </c>
      <c r="G12" s="34">
        <v>400</v>
      </c>
      <c r="H12" s="34">
        <v>2023</v>
      </c>
      <c r="I12" s="34" t="s">
        <v>138</v>
      </c>
    </row>
    <row r="13" spans="1:9" ht="30">
      <c r="A13" s="34">
        <v>12</v>
      </c>
      <c r="B13" s="34" t="s">
        <v>135</v>
      </c>
      <c r="C13" s="34" t="s">
        <v>120</v>
      </c>
      <c r="D13" s="34" t="s">
        <v>55</v>
      </c>
      <c r="E13" s="34" t="s">
        <v>79</v>
      </c>
      <c r="F13" s="35"/>
    </row>
    <row r="14" spans="1:9" ht="30">
      <c r="A14" s="34">
        <v>13</v>
      </c>
      <c r="B14" s="34" t="s">
        <v>135</v>
      </c>
      <c r="C14" s="34" t="s">
        <v>120</v>
      </c>
      <c r="D14" s="34" t="s">
        <v>53</v>
      </c>
      <c r="E14" s="34" t="s">
        <v>80</v>
      </c>
      <c r="F14" s="35"/>
    </row>
    <row r="15" spans="1:9" ht="75">
      <c r="A15" s="34">
        <v>14</v>
      </c>
      <c r="B15" s="34" t="s">
        <v>135</v>
      </c>
      <c r="C15" s="34" t="s">
        <v>120</v>
      </c>
      <c r="D15" s="34" t="s">
        <v>18</v>
      </c>
      <c r="E15" s="34" t="s">
        <v>80</v>
      </c>
      <c r="F15" s="34">
        <f>ROUND(2476*0.95,0)</f>
        <v>2352</v>
      </c>
      <c r="G15" s="34">
        <v>400</v>
      </c>
      <c r="H15" s="34">
        <v>2023</v>
      </c>
      <c r="I15" s="34" t="s">
        <v>139</v>
      </c>
    </row>
    <row r="16" spans="1:9" ht="30">
      <c r="A16" s="34">
        <v>15</v>
      </c>
      <c r="B16" s="34" t="s">
        <v>135</v>
      </c>
      <c r="C16" s="34" t="s">
        <v>120</v>
      </c>
      <c r="D16" s="34" t="s">
        <v>55</v>
      </c>
      <c r="E16" s="34" t="s">
        <v>80</v>
      </c>
      <c r="F16" s="35"/>
    </row>
    <row r="17" spans="1:9" ht="45">
      <c r="A17" s="34">
        <v>16</v>
      </c>
      <c r="B17" s="34" t="s">
        <v>135</v>
      </c>
      <c r="C17" s="34" t="s">
        <v>120</v>
      </c>
      <c r="D17" s="34" t="s">
        <v>53</v>
      </c>
      <c r="E17" s="34" t="s">
        <v>81</v>
      </c>
      <c r="F17" s="35"/>
    </row>
    <row r="18" spans="1:9" ht="75">
      <c r="A18" s="34">
        <v>17</v>
      </c>
      <c r="B18" s="34" t="s">
        <v>135</v>
      </c>
      <c r="C18" s="34" t="s">
        <v>120</v>
      </c>
      <c r="D18" s="34" t="s">
        <v>18</v>
      </c>
      <c r="E18" s="34" t="s">
        <v>81</v>
      </c>
      <c r="F18" s="34">
        <f>ROUND(2476*0.05,0)</f>
        <v>124</v>
      </c>
      <c r="G18" s="34">
        <v>400</v>
      </c>
      <c r="H18" s="34">
        <v>2023</v>
      </c>
      <c r="I18" s="34" t="s">
        <v>139</v>
      </c>
    </row>
    <row r="19" spans="1:9" ht="45">
      <c r="A19" s="34">
        <v>18</v>
      </c>
      <c r="B19" s="34" t="s">
        <v>135</v>
      </c>
      <c r="C19" s="34" t="s">
        <v>120</v>
      </c>
      <c r="D19" s="34" t="s">
        <v>55</v>
      </c>
      <c r="E19" s="34" t="s">
        <v>81</v>
      </c>
      <c r="F19" s="35"/>
    </row>
    <row r="20" spans="1:9">
      <c r="A20" s="34">
        <v>19</v>
      </c>
      <c r="B20" s="34" t="s">
        <v>132</v>
      </c>
      <c r="C20" s="34" t="s">
        <v>120</v>
      </c>
      <c r="D20" s="34" t="s">
        <v>53</v>
      </c>
      <c r="E20" s="34" t="s">
        <v>82</v>
      </c>
      <c r="F20" s="34">
        <v>4</v>
      </c>
      <c r="G20" s="34">
        <v>600</v>
      </c>
      <c r="H20" s="34">
        <v>2024</v>
      </c>
    </row>
    <row r="21" spans="1:9">
      <c r="A21" s="34">
        <v>20</v>
      </c>
      <c r="B21" s="34" t="s">
        <v>132</v>
      </c>
      <c r="C21" s="34" t="s">
        <v>120</v>
      </c>
      <c r="D21" s="34" t="s">
        <v>18</v>
      </c>
      <c r="E21" s="34" t="s">
        <v>82</v>
      </c>
      <c r="F21" s="34">
        <v>0</v>
      </c>
      <c r="G21" s="34">
        <v>600</v>
      </c>
      <c r="H21" s="34">
        <v>2024</v>
      </c>
    </row>
    <row r="22" spans="1:9">
      <c r="A22" s="34">
        <v>21</v>
      </c>
      <c r="B22" s="34" t="s">
        <v>132</v>
      </c>
      <c r="C22" s="34" t="s">
        <v>120</v>
      </c>
      <c r="D22" s="34" t="s">
        <v>55</v>
      </c>
      <c r="E22" s="34" t="s">
        <v>82</v>
      </c>
      <c r="F22" s="34">
        <v>0</v>
      </c>
      <c r="G22" s="34">
        <v>600</v>
      </c>
      <c r="H22" s="34">
        <v>2024</v>
      </c>
    </row>
    <row r="23" spans="1:9" ht="60">
      <c r="A23" s="34">
        <v>22</v>
      </c>
      <c r="B23" s="34" t="s">
        <v>133</v>
      </c>
      <c r="C23" s="34" t="s">
        <v>120</v>
      </c>
      <c r="D23" s="34" t="s">
        <v>55</v>
      </c>
      <c r="E23" s="34" t="s">
        <v>83</v>
      </c>
      <c r="F23" s="34">
        <v>467</v>
      </c>
      <c r="G23" s="34">
        <v>500</v>
      </c>
      <c r="H23" s="34">
        <v>2024</v>
      </c>
      <c r="I23" s="34" t="s">
        <v>121</v>
      </c>
    </row>
    <row r="24" spans="1:9" ht="60">
      <c r="A24" s="34">
        <v>23</v>
      </c>
      <c r="B24" s="34" t="s">
        <v>133</v>
      </c>
      <c r="C24" s="34" t="s">
        <v>120</v>
      </c>
      <c r="D24" s="34" t="s">
        <v>53</v>
      </c>
      <c r="E24" s="34" t="s">
        <v>83</v>
      </c>
      <c r="F24" s="34">
        <v>693</v>
      </c>
      <c r="G24" s="34">
        <v>500</v>
      </c>
      <c r="H24" s="34">
        <v>2024</v>
      </c>
      <c r="I24" s="34" t="s">
        <v>121</v>
      </c>
    </row>
    <row r="25" spans="1:9" ht="60">
      <c r="A25" s="34">
        <v>24</v>
      </c>
      <c r="B25" s="34" t="s">
        <v>133</v>
      </c>
      <c r="C25" s="34" t="s">
        <v>120</v>
      </c>
      <c r="D25" s="34" t="s">
        <v>18</v>
      </c>
      <c r="E25" s="34" t="s">
        <v>83</v>
      </c>
      <c r="F25" s="34">
        <v>618</v>
      </c>
      <c r="G25" s="34">
        <v>500</v>
      </c>
      <c r="H25" s="34">
        <v>2024</v>
      </c>
      <c r="I25" s="34" t="s">
        <v>121</v>
      </c>
    </row>
    <row r="26" spans="1:9" ht="30">
      <c r="A26" s="34">
        <v>25</v>
      </c>
      <c r="B26" s="34" t="s">
        <v>133</v>
      </c>
      <c r="C26" s="34" t="s">
        <v>120</v>
      </c>
      <c r="D26" s="34" t="s">
        <v>55</v>
      </c>
      <c r="E26" s="34" t="s">
        <v>85</v>
      </c>
      <c r="F26" s="34">
        <v>21.9</v>
      </c>
      <c r="G26" s="34">
        <v>500</v>
      </c>
      <c r="H26" s="34">
        <v>2024</v>
      </c>
      <c r="I26" s="34" t="s">
        <v>122</v>
      </c>
    </row>
    <row r="27" spans="1:9" ht="30">
      <c r="A27" s="34">
        <v>26</v>
      </c>
      <c r="B27" s="34" t="s">
        <v>133</v>
      </c>
      <c r="C27" s="34" t="s">
        <v>120</v>
      </c>
      <c r="D27" s="34" t="s">
        <v>53</v>
      </c>
      <c r="E27" s="34" t="s">
        <v>85</v>
      </c>
      <c r="F27" s="34">
        <v>21.5</v>
      </c>
      <c r="G27" s="34">
        <v>500</v>
      </c>
      <c r="H27" s="34">
        <v>2024</v>
      </c>
      <c r="I27" s="34" t="s">
        <v>122</v>
      </c>
    </row>
    <row r="28" spans="1:9" ht="30">
      <c r="A28" s="34">
        <v>27</v>
      </c>
      <c r="B28" s="34" t="s">
        <v>133</v>
      </c>
      <c r="C28" s="34" t="s">
        <v>120</v>
      </c>
      <c r="D28" s="34" t="s">
        <v>18</v>
      </c>
      <c r="E28" s="34" t="s">
        <v>85</v>
      </c>
      <c r="F28" s="34">
        <v>18.399999999999999</v>
      </c>
      <c r="G28" s="34">
        <v>500</v>
      </c>
      <c r="H28" s="34">
        <v>2024</v>
      </c>
      <c r="I28" s="34" t="s">
        <v>122</v>
      </c>
    </row>
    <row r="29" spans="1:9" ht="45">
      <c r="A29" s="34">
        <v>28</v>
      </c>
      <c r="B29" s="34" t="s">
        <v>134</v>
      </c>
      <c r="C29" s="34" t="s">
        <v>120</v>
      </c>
      <c r="D29" s="34" t="s">
        <v>53</v>
      </c>
      <c r="E29" s="34" t="s">
        <v>87</v>
      </c>
      <c r="F29" s="34">
        <v>60.784999999999997</v>
      </c>
      <c r="G29" s="34">
        <v>500</v>
      </c>
      <c r="H29" s="34">
        <v>2024</v>
      </c>
      <c r="I29" s="34" t="s">
        <v>136</v>
      </c>
    </row>
    <row r="30" spans="1:9" ht="45">
      <c r="A30" s="34">
        <v>29</v>
      </c>
      <c r="B30" s="34" t="s">
        <v>134</v>
      </c>
      <c r="C30" s="34" t="s">
        <v>120</v>
      </c>
      <c r="D30" s="34" t="s">
        <v>18</v>
      </c>
      <c r="E30" s="34" t="s">
        <v>87</v>
      </c>
      <c r="F30" s="34">
        <v>76.978999999999999</v>
      </c>
      <c r="G30" s="34">
        <v>500</v>
      </c>
      <c r="H30" s="34">
        <v>2024</v>
      </c>
      <c r="I30" s="34" t="s">
        <v>136</v>
      </c>
    </row>
    <row r="31" spans="1:9" ht="45">
      <c r="A31" s="34">
        <v>30</v>
      </c>
      <c r="B31" s="34" t="s">
        <v>134</v>
      </c>
      <c r="C31" s="34" t="s">
        <v>120</v>
      </c>
      <c r="D31" s="34" t="s">
        <v>55</v>
      </c>
      <c r="E31" s="34" t="s">
        <v>87</v>
      </c>
      <c r="F31" s="34">
        <v>60.841000000000001</v>
      </c>
      <c r="G31" s="34">
        <v>500</v>
      </c>
      <c r="H31" s="34">
        <v>2024</v>
      </c>
      <c r="I31" s="34" t="s">
        <v>136</v>
      </c>
    </row>
    <row r="32" spans="1:9">
      <c r="A32" s="34">
        <v>31</v>
      </c>
      <c r="B32" s="34" t="s">
        <v>132</v>
      </c>
      <c r="C32" s="34" t="s">
        <v>120</v>
      </c>
      <c r="D32" s="34" t="s">
        <v>53</v>
      </c>
      <c r="E32" s="34" t="s">
        <v>89</v>
      </c>
      <c r="F32" s="34">
        <v>0</v>
      </c>
      <c r="G32" s="34">
        <v>600</v>
      </c>
      <c r="H32" s="34">
        <v>2024</v>
      </c>
      <c r="I32" s="34" t="s">
        <v>127</v>
      </c>
    </row>
    <row r="33" spans="1:9">
      <c r="A33" s="34">
        <v>32</v>
      </c>
      <c r="B33" s="34" t="s">
        <v>132</v>
      </c>
      <c r="C33" s="34" t="s">
        <v>120</v>
      </c>
      <c r="D33" s="34" t="s">
        <v>18</v>
      </c>
      <c r="E33" s="34" t="s">
        <v>89</v>
      </c>
      <c r="F33" s="34">
        <v>0</v>
      </c>
      <c r="G33" s="34">
        <v>600</v>
      </c>
      <c r="H33" s="34">
        <v>2024</v>
      </c>
      <c r="I33" s="34" t="s">
        <v>128</v>
      </c>
    </row>
    <row r="34" spans="1:9">
      <c r="A34" s="34">
        <v>33</v>
      </c>
      <c r="B34" s="34" t="s">
        <v>132</v>
      </c>
      <c r="C34" s="34" t="s">
        <v>120</v>
      </c>
      <c r="D34" s="34" t="s">
        <v>55</v>
      </c>
      <c r="E34" s="34" t="s">
        <v>89</v>
      </c>
      <c r="F34" s="34">
        <v>0</v>
      </c>
      <c r="G34" s="34">
        <v>600</v>
      </c>
      <c r="H34" s="34">
        <v>2024</v>
      </c>
      <c r="I34" s="34" t="s">
        <v>129</v>
      </c>
    </row>
  </sheetData>
  <pageMargins left="0.7" right="0.7" top="0.75" bottom="0.75" header="0.3" footer="0.3"/>
  <pageSetup paperSize="9" scale="54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55A4B03A60A34B9BF09E62BE64A077" ma:contentTypeVersion="17" ma:contentTypeDescription="Create a new document." ma:contentTypeScope="" ma:versionID="1b8d93eaab5166a5b4084f1935365156">
  <xsd:schema xmlns:xsd="http://www.w3.org/2001/XMLSchema" xmlns:xs="http://www.w3.org/2001/XMLSchema" xmlns:p="http://schemas.microsoft.com/office/2006/metadata/properties" xmlns:ns2="11dba7d8-5ed6-46e4-a9bd-30db65656c77" xmlns:ns3="9560325c-1866-4ae8-9559-2e31b2f1ecfa" targetNamespace="http://schemas.microsoft.com/office/2006/metadata/properties" ma:root="true" ma:fieldsID="86ea2fad34ed0d91d4cf11c8b1ec7c43" ns2:_="" ns3:_="">
    <xsd:import namespace="11dba7d8-5ed6-46e4-a9bd-30db65656c77"/>
    <xsd:import namespace="9560325c-1866-4ae8-9559-2e31b2f1ec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ba7d8-5ed6-46e4-a9bd-30db65656c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21c469ee-23b7-4832-870e-4410ecd442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60325c-1866-4ae8-9559-2e31b2f1ecfa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ac42483b-a2de-4a42-9fc4-dc87c73a22d2}" ma:internalName="TaxCatchAll" ma:showField="CatchAllData" ma:web="9560325c-1866-4ae8-9559-2e31b2f1ec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Props1.xml><?xml version="1.0" encoding="utf-8"?>
<ds:datastoreItem xmlns:ds="http://schemas.openxmlformats.org/officeDocument/2006/customXml" ds:itemID="{9271615D-7A5A-4CDF-A8E7-600A751BDB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ba7d8-5ed6-46e4-a9bd-30db65656c77"/>
    <ds:schemaRef ds:uri="9560325c-1866-4ae8-9559-2e31b2f1ec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2167D4C-80A7-48F2-88BF-D0FE40D9D3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8E8740-68FA-479B-A9B0-AE8612C4F7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Funding Impact Statement</vt:lpstr>
      <vt:lpstr>Financial Information</vt:lpstr>
      <vt:lpstr>Non-Financial Information</vt:lpstr>
      <vt:lpstr>export</vt:lpstr>
      <vt:lpstr>export!Print_Area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Libby R Proctor</dc:creator>
  <cp:keywords/>
  <dc:description/>
  <cp:lastModifiedBy>Hywel Lewis</cp:lastModifiedBy>
  <cp:revision/>
  <dcterms:created xsi:type="dcterms:W3CDTF">2022-08-29T23:55:58Z</dcterms:created>
  <dcterms:modified xsi:type="dcterms:W3CDTF">2024-09-15T20:49:15Z</dcterms:modified>
  <cp:category/>
  <cp:contentStatus/>
</cp:coreProperties>
</file>