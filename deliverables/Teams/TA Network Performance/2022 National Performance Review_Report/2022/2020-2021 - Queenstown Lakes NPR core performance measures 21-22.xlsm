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05" codeName="{00000000-0000-0000-0000-000000000000}"/>
  <workbookPr codeName="ThisWorkbook" defaultThemeVersion="124226"/>
  <mc:AlternateContent xmlns:mc="http://schemas.openxmlformats.org/markup-compatibility/2006">
    <mc:Choice Requires="x15">
      <x15ac:absPath xmlns:x15ac="http://schemas.microsoft.com/office/spreadsheetml/2010/11/ac" url="T:\Asset Planning\4_Management\Benchmarking\Water NZ\2022\"/>
    </mc:Choice>
  </mc:AlternateContent>
  <xr:revisionPtr revIDLastSave="0" documentId="11_D7BE11176D5B3D6B165B14DEE0E4EDA35244DB9F" xr6:coauthVersionLast="47" xr6:coauthVersionMax="47" xr10:uidLastSave="{00000000-0000-0000-0000-000000000000}"/>
  <bookViews>
    <workbookView xWindow="-120" yWindow="-120" windowWidth="29040" windowHeight="15990" tabRatio="783" firstSheet="2" activeTab="2" xr2:uid="{00000000-000D-0000-FFFF-FFFF00000000}"/>
  </bookViews>
  <sheets>
    <sheet name="INSTRUCTIONS" sheetId="10" r:id="rId1"/>
    <sheet name="Common" sheetId="4" r:id="rId2"/>
    <sheet name="Water" sheetId="1" r:id="rId3"/>
    <sheet name="Wastewater" sheetId="2" r:id="rId4"/>
    <sheet name="Stormwater" sheetId="3" r:id="rId5"/>
    <sheet name="MEDIAN (-9.3%)" sheetId="11" r:id="rId6"/>
    <sheet name="WW P&amp;L" sheetId="13" r:id="rId7"/>
    <sheet name="SW P&amp;L" sheetId="15" r:id="rId8"/>
    <sheet name="WS P&amp;L" sheetId="14" r:id="rId9"/>
    <sheet name="PROJECT_FINANCIAL_SUMMARY" sheetId="17" r:id="rId10"/>
    <sheet name="Process" sheetId="12" r:id="rId11"/>
    <sheet name="Data lists" sheetId="5" state="hidden" r:id="rId12"/>
    <sheet name="Previous years" sheetId="6" state="hidden" r:id="rId13"/>
    <sheet name="Export format" sheetId="7" state="hidden" r:id="rId14"/>
  </sheets>
  <externalReferences>
    <externalReference r:id="rId15"/>
    <externalReference r:id="rId16"/>
    <externalReference r:id="rId17"/>
    <externalReference r:id="rId18"/>
  </externalReferences>
  <definedNames>
    <definedName name="_3_waters_affordability___WSS9_WWS3_SWS1__CB7" localSheetId="7">'Export format'!#REF!</definedName>
    <definedName name="_3_waters_affordability___WSS9_WWS3_SWS1__CB7" localSheetId="8">'Export format'!#REF!</definedName>
    <definedName name="_3_waters_affordability___WSS9_WWS3_SWS1__CB7">'Export format'!#REF!</definedName>
    <definedName name="_xlnm._FilterDatabase" localSheetId="1" hidden="1">Common!$C$5:$L$26</definedName>
    <definedName name="_xlnm._FilterDatabase" localSheetId="9" hidden="1">PROJECT_FINANCIAL_SUMMARY!$A$6:$AC$6</definedName>
    <definedName name="_xlnm._FilterDatabase" localSheetId="4" hidden="1">Stormwater!$C$5:$L$81</definedName>
    <definedName name="_xlnm._FilterDatabase" localSheetId="3" hidden="1">Wastewater!$C$5:$L$136</definedName>
    <definedName name="_xlnm._FilterDatabase" localSheetId="2" hidden="1">Water!$C$5:$L$115</definedName>
    <definedName name="Above_ground_asset_condition_assessment_programme__WSA13a">'Export format'!$BI$2</definedName>
    <definedName name="Above_ground_asset_condition_assessment_programme__WWA6">'Export format'!$FC$2</definedName>
    <definedName name="Above_ground_condition_assessment">'Data lists'!$D$2:$D$8</definedName>
    <definedName name="Above_ground_stormwater_asset_assessment_program__SWA5a">'Export format'!$JW$2</definedName>
    <definedName name="Actual_Capital_Expenditure__Stormwater__SWF17">'Export format'!$LW$2</definedName>
    <definedName name="Actual_Capital_Expenditure__Wastewater__WWF21">'Export format'!$IP$2</definedName>
    <definedName name="Actual_Capital_Expenditure__Water_Supply__WSF20">'Export format'!$DZ$2</definedName>
    <definedName name="Actual_Capital_Expenditure_per_Property__Stormwater__SWF18">'Export format'!$MA$2</definedName>
    <definedName name="Actual_Capital_Expenditure_per_Property__Wastewater__WWF22">'Export format'!$IT$2</definedName>
    <definedName name="Actual_Capital_Expenditure_per_Property__Water_Supply__WSF21">'Export format'!$ED$2</definedName>
    <definedName name="Actual_capital_to_improve_the_level_of_service__SWF17b">'Export format'!$LY$2</definedName>
    <definedName name="Actual_capital_to_improve_the_level_of_service__WSF20b">'Export format'!$EB$2</definedName>
    <definedName name="Actual_capital_to_improve_the_level_of_service__WWF21b">'Export format'!$IR$2</definedName>
    <definedName name="Actual_capital_to_meet_additional_demand__SWF17a">'Export format'!$LX$2</definedName>
    <definedName name="Actual_capital_to_meet_additional_demand__WSF20a">'Export format'!$EA$2</definedName>
    <definedName name="Actual_capital_to_meet_additional_demand__WWF21a">'Export format'!$IQ$2</definedName>
    <definedName name="Actual_capital_to_replace_existing_assets__SWF17c">'Export format'!$LZ$2</definedName>
    <definedName name="Actual_capital_to_replace_existing_assets__WSF20c">'Export format'!$EC$2</definedName>
    <definedName name="Actual_capital_to_replace_existing_assets__WWF21c">'Export format'!$IS$2</definedName>
    <definedName name="Actual_Versus_Budgeted_Expenditure___WSF20_WWF21_SWF17__WSF19_WWF20_SWF16">'Export format'!$MF$2</definedName>
    <definedName name="Analogue_SCADA__CB19a">'Export format'!$S$2</definedName>
    <definedName name="Analogue_SCADA_telemetry__CB19a">'Export format'!$S$2</definedName>
    <definedName name="Annual_Depreciation__Stormwater__SWF11">'Export format'!$LM$2</definedName>
    <definedName name="Annual_Depreciation__Wastewater__WWF15">'Export format'!$IF$2</definedName>
    <definedName name="Annual_Depreciation__Water_Supply__WSF14">'Export format'!$DP$2</definedName>
    <definedName name="Asset_Description">[1]Project_Asset_Capitalisation!$H$64:$H$65</definedName>
    <definedName name="Assets">[1]Project_Asset_Capitalisation!$H$64:$I$65</definedName>
    <definedName name="Attendance_for_non_urgent_water_supply_fault_call_outs__WSS10c">'Export format'!$CT$2</definedName>
    <definedName name="Attendance_for_urgent_water_supply_fault_call_outs__WSS10a">'Export format'!$CR$2</definedName>
    <definedName name="Authorised_Consumption__WSB6">'Export format'!$AI$2</definedName>
    <definedName name="Average_Age_of_Stormwater_Pipelines__SWA3">'Export format'!$JV$2</definedName>
    <definedName name="Average_Age_of_Wastewater_Pipelines__WWA3">'Export format'!$EY$2</definedName>
    <definedName name="Average_Age_of_Water_Pipelines__WSA3">'Export format'!$AW$2</definedName>
    <definedName name="Average_Annual_Residential_Wastewater_Charge_Based_on_200_m3_yr___WWS3">'Export format'!$HF$2</definedName>
    <definedName name="Average_calculated_wet_weather_overflow_frequency__WWE8b">'Export format'!$GB$2</definedName>
    <definedName name="Average_Daily_Residential_Wastewater_Production__WWB8" localSheetId="7">'Export format'!#REF!</definedName>
    <definedName name="Average_Daily_Residential_Wastewater_Production__WWB8" localSheetId="8">'Export format'!#REF!</definedName>
    <definedName name="Average_Daily_Residential_Wastewater_Production__WWB8">'Export format'!#REF!</definedName>
    <definedName name="Average_Daily_Residential_Water_Consumption__WSB8">'Export format'!$AK$2</definedName>
    <definedName name="Average_Residential_Water_Charge_Based_on_200_m3_yr___WSS9">'Export format'!$CQ$2</definedName>
    <definedName name="Average_Residential_Water_Charge_Based_on_200_m3_yr__WSS9_MAX">'Export format'!$NL$2</definedName>
    <definedName name="Average_Residential_Water_Charge_Based_on_200_m3_yr__WSS9a_MIN">'Export format'!$NM$2</definedName>
    <definedName name="Average_system_pressure__WSE2">'Export format'!$BT$2</definedName>
    <definedName name="Balanced_Budget___WSF1_WSF2___WSF12_WSF15a">'Export format'!$MG$2</definedName>
    <definedName name="Balanced_Budget___WWF1_WWF2___WWF13_WWF16a">'Export format'!$MH$2</definedName>
    <definedName name="Balanced_Budget__SWF1__SWF9_SWF12a">'Export format'!$MI$2</definedName>
    <definedName name="Boiled_water_notices__WSS12">'Export format'!$CY$2</definedName>
    <definedName name="Budgeted_Capital_Expenditure__Stormwater__SWF16">'Export format'!$LS$2</definedName>
    <definedName name="Budgeted_Capital_Expenditure__Wastewater__WWF20">'Export format'!$IL$2</definedName>
    <definedName name="Budgeted_Capital_Expenditure__Water_Supply__WSF19">'Export format'!$DV$2</definedName>
    <definedName name="Budgeted_capital_to_improve_the_level_of_service__SWF16b">'Export format'!$LU$2</definedName>
    <definedName name="Budgeted_capital_to_improve_the_level_of_service__WSF19b">'Export format'!$DX$2</definedName>
    <definedName name="Budgeted_capital_to_improve_the_level_of_service__WWF20b">'Export format'!$IN$2</definedName>
    <definedName name="Budgeted_capital_to_meet_additional_demand__SWF16a">'Export format'!$LT$2</definedName>
    <definedName name="Budgeted_capital_to_meet_additional_demand__WSF19a">'Export format'!$DW$2</definedName>
    <definedName name="Budgeted_capital_to_meet_additional_demand__WWF20a">'Export format'!$IM$2</definedName>
    <definedName name="Budgeted_capital_to_replace_existing_assets__SWF16c">'Export format'!$LV$2</definedName>
    <definedName name="Budgeted_capital_to_replace_existing_assets__WSF19c">'Export format'!$DY$2</definedName>
    <definedName name="Budgeted_capital_to_replace_existing_assets__WWF20c">'Export format'!$IO$2</definedName>
    <definedName name="Capacity_of_Water_Storage_Reservoirs__WSA8">'Export format'!$BD$2</definedName>
    <definedName name="CARL__current_annual_real_loss___WSE1c">'Export format'!$BN$2</definedName>
    <definedName name="CARL__current_annual_real_loss___WSE1d">'Export format'!$BO$2</definedName>
    <definedName name="CARL__current_annual_real_loss___WSE1e">'Export format'!$BP$2</definedName>
    <definedName name="Charge_type">'Data lists'!$E$2:$E$5</definedName>
    <definedName name="Chemicals_and_Consumables__Water_Supply__WSF8">'Export format'!$DI$2</definedName>
    <definedName name="Common_Data">Common!$H$6:$H$31</definedName>
    <definedName name="Common_Data_Confidence">Common!$I$6:$I$31</definedName>
    <definedName name="Common_Headings">Common!$C$6:$C$31</definedName>
    <definedName name="Common_Name">Common!$B$6:$B$31</definedName>
    <definedName name="Common_Units">Common!$F$6:$F$31</definedName>
    <definedName name="Condition_Grade_1__Stormwater_pipelines__SWA2a">'Export format'!$JO$2</definedName>
    <definedName name="Condition_Grade_1__Wastewater_pipelines__WWA2a">'Export format'!$ER$2</definedName>
    <definedName name="Condition_grade_1__Water_pipelines__WSA2a">'Export format'!$AP$2</definedName>
    <definedName name="Condition_Grade_2__Stormwater_pipelines__SWA2b">'Export format'!$JP$2</definedName>
    <definedName name="Condition_Grade_2__Wastewater_pipelines__WWA2b">'Export format'!$ES$2</definedName>
    <definedName name="Condition_grade_2__Water_pipelines__WSA2b">'Export format'!$AQ$2</definedName>
    <definedName name="Condition_Grade_3__Stormwater_pipelines__SWA2c">'Export format'!$JQ$2</definedName>
    <definedName name="Condition_Grade_3__Wastewater_pipelines__WWA2c">'Export format'!$ET$2</definedName>
    <definedName name="Condition_grade_3__Water_pipelines__WSA2c">'Export format'!$AR$2</definedName>
    <definedName name="Condition_Grade_4__Stormwater_pipelines__SWA2d">'Export format'!$JR$2</definedName>
    <definedName name="Condition_Grade_4__Stormwater_pipelines__SWA2d__CONF">'Export format'!$MK$5</definedName>
    <definedName name="Condition_Grade_4__Wastewater_pipelines__WWA2d">'Export format'!$EU$2</definedName>
    <definedName name="Condition_Grade_4__Wastewater_pipelines__WWA2d__CONF">'Export format'!$ML$5</definedName>
    <definedName name="Condition_grade_4__Water_pipelines__WSA2d">'Export format'!$AS$2</definedName>
    <definedName name="Condition_Grade_4__WSA2d__CONF">'Export format'!$MJ$5</definedName>
    <definedName name="Condition_Grade_5__Stormwater_pipelines__SWA2e">'Export format'!$JS$2</definedName>
    <definedName name="Condition_Grade_5__Wastewater_pipelines__WWA2e">'Export format'!$EV$2</definedName>
    <definedName name="Condition_grade_5__Water_pipelines__WSA2e">'Export format'!$AT$2</definedName>
    <definedName name="Consent_status">'Data lists'!$F$2:$F$5</definedName>
    <definedName name="Contaminant_Based_Charging__WWS1d">'Export format'!$HB$2</definedName>
    <definedName name="Continuing_professional_development_enrolments__CB16">'Export format'!$R$2</definedName>
    <definedName name="Continuing_proffessional_development_enrolments__CB16">'Export format'!$R$2</definedName>
    <definedName name="Continuity_of_water_supply_complaints__WSS5e">'Export format'!$CG$2</definedName>
    <definedName name="Contracted_staff__CB11">'Export format'!$I$2</definedName>
    <definedName name="Contracted_staff_per_1000_serviced_properties__CB11__WSB4_WWB4">'Export format'!$MJ$2</definedName>
    <definedName name="Council_Contract_Management_Costs___Water_Supply__WSF11">'Export format'!$DM$2</definedName>
    <definedName name="Council_Contract_Management_Costs__Stormwater__SWF8">'Export format'!$LJ$2</definedName>
    <definedName name="Council_Overview_Costs___Water_Supply__WSF11">'Export format'!$DE$5</definedName>
    <definedName name="Council_Overview_Costs__Stormwater__SWF8">'Export format'!$KH$5</definedName>
    <definedName name="Council_s_Overview_Costs__Wastewater___WWF12">'Export format'!$HH$5</definedName>
    <definedName name="Councils_Contract_Management_Costs__Wastewater___WWF12">'Export format'!$IC$2</definedName>
    <definedName name="Data_confidence">'Data lists'!$A$2:$A$6</definedName>
    <definedName name="Days_of_treated_water_stored_in_resevoirs_on_average__WSA7__WSB5_365">'Export format'!$MK$2</definedName>
    <definedName name="Debt_Affordability__Stormwater__SWF12b">'Export format'!$LO$2</definedName>
    <definedName name="Debt_affordability__Wastewater__WWF16b">'Export format'!$IH$2</definedName>
    <definedName name="Debt_affordability__Water_Supply__WSF15b">'Export format'!$DR$2</definedName>
    <definedName name="Debt_funding__Stormwater__SWF5">'Export format'!$LF$2</definedName>
    <definedName name="Debt_funding__Wastewater__WWF6">'Export format'!$HW$2</definedName>
    <definedName name="Debt_funding__Water_Supply__WSF6">'Export format'!$DG$2</definedName>
    <definedName name="Debt_servicing__SWF12a_SWF1">'Export format'!$ML$2</definedName>
    <definedName name="Debt_servicing__WSF15a__WSF1___WSF2">'Export format'!$MM$2</definedName>
    <definedName name="Debt_servicing__WWF16a__WWF1___WWF2">'Export format'!$MN$2</definedName>
    <definedName name="Decline_in_Service_Potential__Stormwater__SWF21">'Export format'!$MD$2</definedName>
    <definedName name="Decline_in_Service_Potential__Wastewater__WWF25">'Export format'!$IX$2</definedName>
    <definedName name="Decline_in_Service_Potential__Water_Supply__WSF24" localSheetId="7">'Export format'!#REF!</definedName>
    <definedName name="Decline_in_Service_Potential__Water_Supply__WSF24" localSheetId="8">'Export format'!#REF!</definedName>
    <definedName name="Decline_in_Service_Potential__Water_Supply__WSF24">'Export format'!#REF!</definedName>
    <definedName name="Developer_Contributions__WSS22_WWF23_SWF19">'Export format'!$NS$2</definedName>
    <definedName name="Development_Contribution_Revenue__Stormwater__SWF2">'Export format'!$LC$2</definedName>
    <definedName name="Development_Contribution_Revenue__Wastewater__WWF3">'Export format'!$HT$2</definedName>
    <definedName name="Development_Contribution_Revenue__Water_Supply__WSF3">'Export format'!$DD$2</definedName>
    <definedName name="Development_Contributions__Stormwater_assets__SWF19">'Export format'!$MB$2</definedName>
    <definedName name="Development_Contributions__Wastewater_assets__WWF23">'Export format'!$IU$2</definedName>
    <definedName name="Development_Contributions__Water_Supply_assets__WSF22">'Export format'!$EE$2</definedName>
    <definedName name="Digital_SCADA__CB19b">'Export format'!$T$2</definedName>
    <definedName name="Digital_SCADA_telemetry__CB19b">'Export format'!$T$2</definedName>
    <definedName name="Disposal_of_wastewater_sludge_in_year_to_composting_and_reuse__WWA7k_3">'Export format'!$FQ$2</definedName>
    <definedName name="Disposal_of_wastewater_sludge_in_year_to_landfill__WWA7k_2">'Export format'!$FP$2</definedName>
    <definedName name="Disposal_of_wastewater_sludge_in_year_to_on_site_stockpile__WWA7k_1">'Export format'!$FO$2</definedName>
    <definedName name="Disposal_of_wastewater_sludge_in_year_to_other_routes__WWA7k_4">'Export format'!$FR$2</definedName>
    <definedName name="Drinking_water_clarity_complaints__WSS5a">'Export format'!$CC$2</definedName>
    <definedName name="Drinking_water_odour_complaints__WSS5c">'Export format'!$CE$2</definedName>
    <definedName name="Drinking_water_pressure_or_flow_complaints__WSS5d">'Export format'!$CF$2</definedName>
    <definedName name="Drinking_water_taste_complaints__WSS5b">'Export format'!$CD$2</definedName>
    <definedName name="Dry_Weather_Wastewater_Overflows__WWE1">'Export format'!$FW$2</definedName>
    <definedName name="Dry_Weather_Wastewater_Overflows_per_1000_connections__WWE1_WWB4">'Export format'!$MO$2</definedName>
    <definedName name="Energy_consumption__Stormwater__SWE5">'Export format'!$KM$2</definedName>
    <definedName name="Energy_Consumption__Wastewater__WWE5a">'Export format'!$GS$2</definedName>
    <definedName name="Energy_Consumption__Water_Supply__WSE3">'Export format'!$BU$2</definedName>
    <definedName name="Energy_Costs__Wastewater__WWF7">'Export format'!$HX$2</definedName>
    <definedName name="Energy_Costs__Water_Supply__WSF7">'Export format'!$DH$2</definedName>
    <definedName name="Energy_Generation__Wastewater__WWE5c">'Export format'!$GU$2</definedName>
    <definedName name="Energy_Generation__Water_Supply__WSE4">'Export format'!$BW$2</definedName>
    <definedName name="Energy_Intensity__Wastewater__WWE5b">'Export format'!$GT$2</definedName>
    <definedName name="Energy_Intensity__Water_Supply__WSE3a">'Export format'!$BV$2</definedName>
    <definedName name="Estimated_total_network_water_loss__WSE1a">'Export format'!$BL$2</definedName>
    <definedName name="External_Grants__Stormwater__SWF22">'Export format'!$ME$2</definedName>
    <definedName name="External_Grants__Wastewater__WWF26">'Export format'!$IY$2</definedName>
    <definedName name="External_Grants__Water_Supply__WSF25" localSheetId="7">'Export format'!#REF!</definedName>
    <definedName name="External_Grants__Water_Supply__WSF25" localSheetId="8">'Export format'!#REF!</definedName>
    <definedName name="External_Grants__Water_Supply__WSF25">'Export format'!#REF!</definedName>
    <definedName name="External_Opex__SWF6">'Export format'!$KF$5</definedName>
    <definedName name="Failure_of_wastewater_pipes__WWS7a">'Export format'!$GU$5</definedName>
    <definedName name="Fire_hydrants_tested_in_the_previous_five_years__WSS12a">'Export format'!$CW$2</definedName>
    <definedName name="Fixed__Charge_Type__Non_residential_wastewater__WWS1b">'Export format'!$GZ$2</definedName>
    <definedName name="Fixed_Charge__Non_residential_wastewater__WWS1a">'Export format'!$GY$2</definedName>
    <definedName name="Fixed_Charge__Non_residential_water__WSS7a">'Export format'!$CK$2</definedName>
    <definedName name="Fixed_Charge__Residential_wastewater__WWS2a">'Export format'!$HC$2</definedName>
    <definedName name="Fixed_Charge__Residential_water__WSS8a">'Export format'!$CN$2</definedName>
    <definedName name="Fixed_Charge__Residential_water__WSS8a_MAX">'Export format'!$NJ$2</definedName>
    <definedName name="Fixed_Charge__Residential_water__WSS8a_MIN">'Export format'!$NK$2</definedName>
    <definedName name="Fixed_Charge_Type__Non_residential_water__WSS7b">'Export format'!$CL$2</definedName>
    <definedName name="Fixed_Charge_Type__Residential_wastewater__WWS2b">'Export format'!$HD$2</definedName>
    <definedName name="Fixed_Charge_Type__Residential_water__WSS8b">'Export format'!$CO$2</definedName>
    <definedName name="Flooding_Events__SWS5">'Export format'!$JS$5</definedName>
    <definedName name="Flooding_events_resulting_from_other_causes__SWS5c">'Export format'!$KW$2</definedName>
    <definedName name="Flooding_events_resulting_from_storms_exceeding_stormwater_capacity__SWS5">'Export format'!$KT$2</definedName>
    <definedName name="Flooding_Response_Time__SWS6">'Export format'!$KY$2</definedName>
    <definedName name="Guest_Nights__Annual__CB8">'Export format'!$G$5</definedName>
    <definedName name="Guest_Nights__Peak_month__CB9">'Export format'!$H$5</definedName>
    <definedName name="Household_Income__CB7" localSheetId="7">'Export format'!#REF!</definedName>
    <definedName name="Household_Income__CB7" localSheetId="8">'Export format'!#REF!</definedName>
    <definedName name="Household_Income__CB7">'Export format'!#REF!</definedName>
    <definedName name="Household_Occupancy___CB6">'Export format'!$F$2</definedName>
    <definedName name="ILI___infrastructure_leakage_index___CARL_UARL___WSE1h">'Export format'!$BS$2</definedName>
    <definedName name="Inflow_and_Infiltration___WWE7">'Export format'!$GE$5</definedName>
    <definedName name="Interest__Stormwater__SWF12a">'Export format'!$LN$2</definedName>
    <definedName name="Interest__Wastewater__WWF16a">'Export format'!$IG$2</definedName>
    <definedName name="Interest__Water_Supply__WSF15a">'Export format'!$DQ$2</definedName>
    <definedName name="Internal_staff__CB10">'Export format'!$G$2</definedName>
    <definedName name="Internal_staff_per_1000_serviced_properties__CB10__WSB4_WWB4">'Export format'!$MP$2</definedName>
    <definedName name="landfill__WSA12a">'Export format'!$BB$5</definedName>
    <definedName name="Last_year_desludged__WWA7k_5">'Export format'!$FS$2</definedName>
    <definedName name="Length_of_new_stormwater_mains_constructed_using_internal_CAPEX__SWA1c">'Export format'!$JN$2</definedName>
    <definedName name="Length_of_new_wastewater_mains_constructed_using_internal_CAPEX__WWA1c">'Export format'!$EQ$2</definedName>
    <definedName name="Length_of_new_water_mains_constructed_using_internal_CAPEX__WSA1c">'Export format'!$AO$2</definedName>
    <definedName name="Length_of_stormwater_mains_renewed_using_internal_CAPEX__SWA1b">'Export format'!$JM$2</definedName>
    <definedName name="Length_of_wastewater_mains_renewed_using_internal_CAPEX__WWA1b">'Export format'!$EP$2</definedName>
    <definedName name="Length_of_water_mains_renewed_using_internal_CAPEX__WSA1b">'Export format'!$AN$2</definedName>
    <definedName name="Length_of_Water_Supply_Network__WSA1a">'Export format'!$AM$2</definedName>
    <definedName name="Lost_time_injuries__CB13">'Export format'!$K$2</definedName>
    <definedName name="Lost_time_injuries_per_staff_member__internal_and_contracted___CB13__CB10_CB11">'Export format'!$MQ$2</definedName>
    <definedName name="Management_Costs__Stormwater__SWF7">'Export format'!$LI$2</definedName>
    <definedName name="Management_Costs__Wastewater__WWF11">'Export format'!$IB$2</definedName>
    <definedName name="Management_Costs__Water_Supply__WSF10">'Export format'!$DL$2</definedName>
    <definedName name="Near_miss_reports__CB12">'Export format'!$J$2</definedName>
    <definedName name="Near_miss_reports_per_staff_member__internal_and_contracted___CB12__CB10_CB11">'Export format'!$MR$2</definedName>
    <definedName name="Non_compliant_fire_hydrants__WSS12b">'Export format'!$CX$2</definedName>
    <definedName name="Non_residential_properties__CB4">'Export format'!$D$2</definedName>
    <definedName name="Non_residential_Water_Consumption__WSB7">'Export format'!$AJ$2</definedName>
    <definedName name="Not_assessed__Stormwater_pipelines__SWA2f">'Export format'!$JT$2</definedName>
    <definedName name="Not_assessed__Wastewater_pipelines__WWA2f">'Export format'!$EW$2</definedName>
    <definedName name="Not_assessed__Water_pipelines__WSA2f">'Export format'!$AU$2</definedName>
    <definedName name="Not_yet_assessed__SWA2f_CONF">'Export format'!$MM$5</definedName>
    <definedName name="Not_yet_assessed__WSA2f_CONF">'Export format'!$MN$5</definedName>
    <definedName name="Not_yet_assessed__WWA2f_CONF" localSheetId="7">'Export format'!#REF!</definedName>
    <definedName name="Not_yet_assessed__WWA2f_CONF" localSheetId="8">'Export format'!#REF!</definedName>
    <definedName name="Not_yet_assessed__WWA2f_CONF">'Export format'!#REF!</definedName>
    <definedName name="Number_of_consents_at_each_treatment_plant__WWA7g">'Export format'!$FJ$2</definedName>
    <definedName name="Number_of_different_water_charging_regimes__WSS7">'Export format'!$CJ$2</definedName>
    <definedName name="Number_of_habitable_floors_affected__SWS5a">'Export format'!$JT$5</definedName>
    <definedName name="Number_of_habitable_floors_affected_by_flooding_from_other_causes__SWS5d">'Export format'!$KX$2</definedName>
    <definedName name="Number_of_habitable_floors_affected_by_storms_exceeding_stormwater_capacity__SWS5a">'Export format'!$KU$2</definedName>
    <definedName name="Number_of_habitable_floors_affected_per_1000_stormwater_serviced_properties__SWS5b">'Export format'!$KV$2</definedName>
    <definedName name="Number_of_residential_wastewater_scheme_charges" localSheetId="7">'Export format'!#REF!</definedName>
    <definedName name="Number_of_residential_wastewater_scheme_charges" localSheetId="8">'Export format'!#REF!</definedName>
    <definedName name="Number_of_residential_wastewater_scheme_charges">'Export format'!#REF!</definedName>
    <definedName name="Number_of_residential_water_scheme_charges" localSheetId="7">'Export format'!#REF!</definedName>
    <definedName name="Number_of_residential_water_scheme_charges" localSheetId="8">'Export format'!#REF!</definedName>
    <definedName name="Number_of_residential_water_scheme_charges">'Export format'!#REF!</definedName>
    <definedName name="Number_of_stormwater_discharges_from_the_piped_network__SWE1a">'Export format'!$KB$2</definedName>
    <definedName name="Number_of_stormwater_discharges_with_resource_consents__SWE1b">'Export format'!$KC$2</definedName>
    <definedName name="Number_of_wastewater_treatment_plants__WWA7">'Export format'!$FF$2</definedName>
    <definedName name="Operating_Cost__Stormwater__SWF9">'Export format'!$LK$2</definedName>
    <definedName name="Operating_Cost__Wastewater__WWF13">'Export format'!$ID$2</definedName>
    <definedName name="Operating_Cost__Water_Supply__WSF12">'Export format'!$DN$2</definedName>
    <definedName name="Operating_Cost_per_Property__Stormwater__SWF10">'Export format'!$LL$2</definedName>
    <definedName name="Operating_Cost_per_Property__Wastewater__WWF14">'Export format'!$IE$2</definedName>
    <definedName name="Operating_Cost_per_Property__Water_Supply__WSF13">'Export format'!$DO$2</definedName>
    <definedName name="Operating_Revenue__Stormwater__SWF1">'Export format'!$LB$2</definedName>
    <definedName name="Operating_Revenue__Wastewater__WWF2">'Export format'!$HS$2</definedName>
    <definedName name="Operating_Revenue__Water_Supply__WSF2">'Export format'!$DC$2</definedName>
    <definedName name="Operational_Cost_Coverage__Stormwater__SWF13">'Export format'!$LP$2</definedName>
    <definedName name="Operational_Cost_Coverage__Wastewater__WWF17">'Export format'!$II$2</definedName>
    <definedName name="Operational_Cost_Coverage__Water_Supply__WSF16">'Export format'!$DS$2</definedName>
    <definedName name="other__specify___WSA12c">'Export format'!$BD$5</definedName>
    <definedName name="Other_External_Opex___WSF9">'Export format'!$DA$5</definedName>
    <definedName name="Other_wastewater_asset_value__WWF24b">'Export format'!$IW$2</definedName>
    <definedName name="Other_water_supply_asset_value__WSF23b" localSheetId="7">'Export format'!#REF!</definedName>
    <definedName name="Other_water_supply_asset_value__WSF23b" localSheetId="8">'Export format'!#REF!</definedName>
    <definedName name="Other_water_supply_asset_value__WSF23b">'Export format'!#REF!</definedName>
    <definedName name="Overflows_calculated_through_calibrated_hydraulic_models__WWE9d">'Export format'!$GI$2</definedName>
    <definedName name="Overflows_calculated_through_hydraulic_models__WWE9c">'Export format'!$GH$2</definedName>
    <definedName name="Overflows_caused_by_blockages__WWE1a">'Export format'!$FX$2</definedName>
    <definedName name="Overflows_caused_by_mechanical_failures__WWE1b">'Export format'!$FN$5</definedName>
    <definedName name="Overflows_caused_by_plant_failures__WWE1b">'Export format'!$FY$2</definedName>
    <definedName name="Overflows_recorded_through_SCADA_monitoring__WWE9b">'Export format'!$GG$2</definedName>
    <definedName name="Overflows_recorded_through_verbal_reports__WWE9a">'Export format'!$GF$2</definedName>
    <definedName name="Peak_wet_to_average_dry_weather_ratio__WWA7m_MAX">'Export format'!$NN$2</definedName>
    <definedName name="Peak_wet_to_average_dry_weather_ratio__WWA7m_MIN">'Export format'!$NO$2</definedName>
    <definedName name="Percent_of_above_ground_assets_assessed_within_3_years__WSA13c">'Export format'!$BK$2</definedName>
    <definedName name="Percent_of_above_ground_assets_assessed_within_3_years__WWA6b">'Export format'!$FE$2</definedName>
    <definedName name="Percentage_Estimated_Total_Network_Water_Loss__WSE1b">'Export format'!$BM$2</definedName>
    <definedName name="Percentage_of_above_ground_stormwater_assets_assessed_in_3_years__SWA5c">'Export format'!$JY$2</definedName>
    <definedName name="Percentage_of_dry_solids_in_wastewater_sludge_biosolids__WWA7j_2">'Export format'!$FN$2</definedName>
    <definedName name="Percentage_of_non_residential_connections_with_meters__WSA10_WSB3">'Export format'!$LS$5</definedName>
    <definedName name="Percentage_of_nonresidential_connections_with_meters__WSA9b_WSB3">'Export format'!$MS$2</definedName>
    <definedName name="Percentage_of_residential_connections_with_meters__WSA9_WSB2">'Export format'!$LT$5</definedName>
    <definedName name="Percentage_of_residential_connections_with_meters__WSA9a_WSB2">'Export format'!$MT$2</definedName>
    <definedName name="Pipeline_Condition_Assessment_Approach__WSA2g">'Export format'!$AV$2</definedName>
    <definedName name="Pipeline_Condition_Assessment_Approach__WWA2g">'Export format'!$EX$2</definedName>
    <definedName name="Pipeline_condition_grading_approaches">'Data lists'!$B$2:$B$9</definedName>
    <definedName name="Planned_Interruptions__Wastewater__WWS7c">'Export format'!$HH$2</definedName>
    <definedName name="Planned_Interruptions__Water_Supply__WSS3">'Export format'!$BZ$2</definedName>
    <definedName name="Primary_stormwater_network_capacity__SWS7a">'Export format'!$KZ$2</definedName>
    <definedName name="_xlnm.Print_Area" localSheetId="9">PROJECT_FINANCIAL_SUMMARY!$B$2:$AB$320</definedName>
    <definedName name="_xlnm.Print_Area" localSheetId="7">'SW P&amp;L'!$B$2:$U$2</definedName>
    <definedName name="_xlnm.Print_Area" localSheetId="8">'WS P&amp;L'!#REF!</definedName>
    <definedName name="_xlnm.Print_Area" localSheetId="6">'WW P&amp;L'!$B$2:$U$3</definedName>
    <definedName name="Properties_with_Water_Meters___Non_Residential___WSA9b">'Export format'!$BF$2</definedName>
    <definedName name="Properties_with_Water_Meters___Residential__WSA9a">'Export format'!$BE$2</definedName>
    <definedName name="Properties_with_Water_Restrictors__WSA10">'Export format'!$BG$2</definedName>
    <definedName name="Proportion_of_trade_waste_at_treatment_plant__WWA7f">'Export format'!$FI$2</definedName>
    <definedName name="Protocol_used_for_above_ground_condition_assessments__WSA13b">'Export format'!$BJ$2</definedName>
    <definedName name="Protocol_used_for_above_ground_condition_assessments__WWA6a">'Export format'!$FD$2</definedName>
    <definedName name="Protocol_used_for_above_ground_stormwater_asset_assessments__SWA5b">'Export format'!$JX$2</definedName>
    <definedName name="Reactive_maintenance__Stormwater___SWF6b">'Export format'!$LH$2</definedName>
    <definedName name="Reactive_Maintenance__Wastewater__WWF10">'Export format'!$IA$2</definedName>
    <definedName name="Reactive_maintenance__Water_Supply__WSF9b">'Export format'!$DK$2</definedName>
    <definedName name="Reactive_vs_Routine_Stormwater_OPEX__WWF10_WWF9">'Export format'!$NV$2</definedName>
    <definedName name="Reactive_vs_Routine_Wastewater_OPEX__WWF10_WWF9">'Export format'!$NU$2</definedName>
    <definedName name="Reactive_vs_Routine_Water_Supply_OPEX__WSF9b_WSF9a">'Export format'!$NT$2</definedName>
    <definedName name="Resevoir_average_level__WSA7_WSA8">'Export format'!$MU$2</definedName>
    <definedName name="Residential_properties__CB3">'Export format'!$C$2</definedName>
    <definedName name="Residential_water_consumption__WSB5_WSB7">'Export format'!$LV$5</definedName>
    <definedName name="Residential_water_metering_coverage">'Export format'!$LW$5</definedName>
    <definedName name="Resolution_for_non_urgent_water_supply_fault_call_outs__WSS10d">'Export format'!$CU$2</definedName>
    <definedName name="Resolution_for_urgent_water_supply_fault_call_outs__WSS10b">'Export format'!$CS$2</definedName>
    <definedName name="Reticulation_External_OPEX__WWF10" localSheetId="7">'Export format'!#REF!</definedName>
    <definedName name="Reticulation_External_OPEX__WWF10" localSheetId="8">'Export format'!#REF!</definedName>
    <definedName name="Reticulation_External_OPEX__WWF10">'Export format'!#REF!</definedName>
    <definedName name="Retiring_staff__CB10b">'Export format'!$I$2</definedName>
    <definedName name="Revenue_from_Supply_of_Water_to_Other_Local_Authorities__WSF1">'Export format'!$DB$2</definedName>
    <definedName name="Revenue_from_the_Provision_of_Wastewater_Treatment_Services_to_Another_Local_Authority__WWF1">'Export format'!$HR$2</definedName>
    <definedName name="Revenue_per_Property__Wastewater__WWF5">'Export format'!$HV$2</definedName>
    <definedName name="Revenue_per_Property__Water_Supply__WSF5">'Export format'!$DF$2</definedName>
    <definedName name="Routine_maintenance__Stormwater___SWF6a">'Export format'!$LG$2</definedName>
    <definedName name="Routine_Maintenance__Wastewater__WWF9">'Export format'!$HZ$2</definedName>
    <definedName name="Routine_maintenance__Water_Supply__WSF9a">'Export format'!$DJ$2</definedName>
    <definedName name="SCADA_Controls__CB19c">'Export format'!$U$2</definedName>
    <definedName name="SCADA_Monitoring__CB19d">'Export format'!$V$2</definedName>
    <definedName name="SCADA_telemetry_controls__CB19c">'Export format'!$U$2</definedName>
    <definedName name="SCADA_telemetry_monitoring__CB19d">'Export format'!$V$2</definedName>
    <definedName name="Secondary_stormwater_network_capacity__SWS7b">'Export format'!$LA$2</definedName>
    <definedName name="Sewage_containment_design_standards__WWE8a">'Export format'!$FR$5</definedName>
    <definedName name="Sewage_containment_of_the_existing_network__WWE8">'Export format'!$GE$2</definedName>
    <definedName name="Sewage_design_standards__WWE8a">'Export format'!$GA$2</definedName>
    <definedName name="Sewage_design_standards_for_network_capacity__WWE7">'Export format'!$GD$2</definedName>
    <definedName name="Sewage_odour_complaints__WWS4a">'Export format'!$HH$2</definedName>
    <definedName name="sewer__WSA12b">'Export format'!$BC$5</definedName>
    <definedName name="Sewerage_system_blockage_complaints__WWS4c">'Export format'!$HJ$2</definedName>
    <definedName name="Sewerage_system_fault_complaints__WWS4b">'Export format'!$HI$2</definedName>
    <definedName name="Sludge_Disposal_Costs__Wastewater__WWF8">'Export format'!$HY$2</definedName>
    <definedName name="Source_water_monitoring__WSS15">'Export format'!$DA$2</definedName>
    <definedName name="Source_water_zone_management__WSS14">'Export format'!$CZ$2</definedName>
    <definedName name="Staff_completed_apprentiships__CB15d">'Export format'!$Q$2</definedName>
    <definedName name="Staff_training__CB14">'Export format'!$M$2</definedName>
    <definedName name="Staff_training_enrolments__CB14b">'Export format'!$M$2</definedName>
    <definedName name="Staff_training_hours__CB14a">'Export format'!$L$2</definedName>
    <definedName name="Staff_vacancies__CB10a">'Export format'!$H$2</definedName>
    <definedName name="Staff_with_a_Bachelor_of_Engineering__CB15a">'Export format'!$N$2</definedName>
    <definedName name="Staff_with_a_NZ_Certificate__CB15b">'Export format'!$P$2</definedName>
    <definedName name="Staff_with_a_NZ_Diploma__CB15c">'Export format'!$O$2</definedName>
    <definedName name="Staff_with_a_relevant_Bachelors_degree__CB15a">'Export format'!$N$2</definedName>
    <definedName name="Staff_with_completed_apprenticeships__CB15d">'Export format'!$Q$2</definedName>
    <definedName name="Stormwater_asset_value_at_end_of_reporting_year__SWF20">'Export format'!$MC$2</definedName>
    <definedName name="Stormwater_blockage_complaints__SWS3a">'Export format'!$KQ$2</definedName>
    <definedName name="Stormwater_capital_expenditure_versus_depreciation__SWF17_SWF11">'Export format'!$NH$2</definedName>
    <definedName name="Stormwater_catchment_management_plans__SWE4">'Export format'!$KL$2</definedName>
    <definedName name="Stormwater_Charge__SWS1">'Export format'!$KN$2</definedName>
    <definedName name="Stormwater_Charge_type__SWS2">'Export format'!$KO$2</definedName>
    <definedName name="Stormwater_Complaints__SWS3">'Export format'!$KP$2</definedName>
    <definedName name="Stormwater_Complaints_Frequency__SWS4">'Export format'!$KS$2</definedName>
    <definedName name="Stormwater_consent_abatement_notices__SWE2a">'Export format'!$KD$2</definedName>
    <definedName name="Stormwater_consent_enforcement_orders__SWE2c">'Export format'!$KF$2</definedName>
    <definedName name="Stormwater_consent_formal_warning__SWE2g">'Export format'!$KJ$2</definedName>
    <definedName name="Stormwater_consent_infringement_notices__SWE2b">'Export format'!$KE$2</definedName>
    <definedName name="Stormwater_consent_letters_of_direction__SWE2f">'Export format'!$KI$2</definedName>
    <definedName name="Stormwater_consent_non_conformance__SWE2e">'Export format'!$KH$2</definedName>
    <definedName name="Stormwater_Data">Stormwater!$H$6:$H$81</definedName>
    <definedName name="Stormwater_Data_Confidence">Stormwater!$I$6:$I$81</definedName>
    <definedName name="Stormwater_fault_complaints__SWS3b">'Export format'!$KR$2</definedName>
    <definedName name="Stormwater_Headings">Stormwater!$C$6:$C$81</definedName>
    <definedName name="Stormwater_Name">Stormwater!$B$6:$B$81</definedName>
    <definedName name="Stormwater_network_CCTV_inspection__SWA6">'Export format'!$JZ$2</definedName>
    <definedName name="Stormwater_Pipeline_Condition_Assessment_Approach__SWA2g">'Export format'!$JU$2</definedName>
    <definedName name="Stormwater_Pump_Stations__SWA7">'Export format'!$KA$2</definedName>
    <definedName name="Stormwater_quality_monitoring__SWE3">'Export format'!$KK$2</definedName>
    <definedName name="Stormwater_Serviced_Population__SWB1">'Export format'!$JH$2</definedName>
    <definedName name="Stormwater_Serviced_Properties___Non_residential__SWB3">'Export format'!$JJ$2</definedName>
    <definedName name="Stormwater_Serviced_Properties___Residential__SWB2">'Export format'!$JI$2</definedName>
    <definedName name="Stormwater_successful_prosecutions__SWE2d">'Export format'!$KG$2</definedName>
    <definedName name="Stormwater_Units">Stormwater!$F$6:$F$81</definedName>
    <definedName name="The_authorities_response_to_any_of_these_issues__WSS5f">'Export format'!$CH$2</definedName>
    <definedName name="The_authority’s_response_to_issues_with_its_sewerage_system__WWS4d">'Export format'!$HK$2</definedName>
    <definedName name="Third_party_disruptions_to_the_wastewater_system__WWS7b">'Export format'!$GV$5</definedName>
    <definedName name="Third_party_Incidents__Wastewater__WWS7b">'Export format'!$HP$2</definedName>
    <definedName name="Third_Party_Incidents__Water_Supply__WSS4">'Export format'!$CA$2</definedName>
    <definedName name="Total__Properties__CB5">'Export format'!$E$2</definedName>
    <definedName name="Total_Area__CB1">'Export format'!$A$2</definedName>
    <definedName name="Total_asset_value__WWF24b__WSF23b__SWF20__WWF24a__WSF23a">'Export format'!$NR$2</definedName>
    <definedName name="Total_CAPEX__SWF17__WWF21__WSF20">'Export format'!$NQ$2</definedName>
    <definedName name="Total_Cost__Stormwater__SWF14">'Export format'!$LQ$2</definedName>
    <definedName name="Total_Cost__Wastewater__WWF18">'Export format'!$IJ$2</definedName>
    <definedName name="Total_Cost__Water_Supply__WSF17">'Export format'!$DT$2</definedName>
    <definedName name="Total_Cost_per_Property__Stormwater__SWF15">'Export format'!$LR$2</definedName>
    <definedName name="Total_Cost_per_Property__Wastewater__WWF19">'Export format'!$IK$2</definedName>
    <definedName name="Total_Cost_per_Property__Water_Supply__WSF18">'Export format'!$DU$2</definedName>
    <definedName name="Total_Length_of_Combined_Wastewater_and_Stormwater_Pipelines__WWA8">'Export format'!$FV$2</definedName>
    <definedName name="Total_Length_of_Public_Stormwater_Network__SWA1a">'Export format'!$JL$2</definedName>
    <definedName name="Total_Length_of_Public_Wastewater_Network__WWA1a">'Export format'!$EO$2</definedName>
    <definedName name="Total_occupied_and_unoccupied_dwellings" localSheetId="7">'Export format'!#REF!</definedName>
    <definedName name="Total_occupied_and_unoccupied_dwellings" localSheetId="8">'Export format'!#REF!</definedName>
    <definedName name="Total_occupied_and_unoccupied_dwellings">'Export format'!#REF!</definedName>
    <definedName name="Total_Population__CB2">'Export format'!$B$2</definedName>
    <definedName name="Total_Revenue__Stormwater__SWF3">'Export format'!$LD$2</definedName>
    <definedName name="Total_Revenue__Wastewater__WWF4">'Export format'!$HU$2</definedName>
    <definedName name="Total_Revenue__Water_Supply__WSF4">'Export format'!$DE$2</definedName>
    <definedName name="Total_Revenue__WSF4_WWF4_SWF3">'Export format'!$MV$2</definedName>
    <definedName name="Total_Revenue_per_Property__Stormwater__SWF4">'Export format'!$LE$2</definedName>
    <definedName name="Total_Stormwater_Serviced_Properties__SWB4">'Export format'!$JK$2</definedName>
    <definedName name="Total_Wastewater_Overflows___WWE3">'Export format'!$GB$2</definedName>
    <definedName name="Total_Wastewater_Produced__WWB7">'Export format'!$EN$2</definedName>
    <definedName name="Total_Wastewater_Serviced_Properties__WWB4">'Export format'!$EK$2</definedName>
    <definedName name="Total_Water_Serviced_Properties__WSB4">'Export format'!$AE$2</definedName>
    <definedName name="Trade_Waste_Management__WWE6">'Export format'!$GX$2</definedName>
    <definedName name="Tradewaste_approach">'Data lists'!$G$2:$G$5</definedName>
    <definedName name="Treatment_Plant_backup_generators__WWA7l">'Export format'!$FT$2</definedName>
    <definedName name="Treatment_plant_effluent_consent_status__WWA7i">'Export format'!$FL$2</definedName>
    <definedName name="Treatment_Plant_effluent_resource_consent_expiry_date__WWA7h">'Export format'!$FK$2</definedName>
    <definedName name="Treatment_plant_peak_wet_to_average_dry_weather_flow_ratio__WWA7m">'Export format'!$FU$2</definedName>
    <definedName name="Treatment_Plant_sludge_production__WWA7j">'Export format'!$FK$2</definedName>
    <definedName name="Treatment_Plant_sludge_production_of_wet_sludge_biosolids__WWA7j_1">'Export format'!$FM$2</definedName>
    <definedName name="UARL__unavoidable_annual_real_loss___WSE1f">'Export format'!$BQ$2</definedName>
    <definedName name="UARL__unavoidable_annual_real_loss___WSE1g">'Export format'!$BR$2</definedName>
    <definedName name="Unplanned_Interruption_Frequency__Wastewater__WWS7c">'Export format'!$HQ$2</definedName>
    <definedName name="Unplanned_Interruption_Frequency__Wastewater__WWS7d">'Export format'!$HI$2</definedName>
    <definedName name="Unplanned_Interruption_Frequency__Water_Supply__WSS2">'Export format'!$BY$2</definedName>
    <definedName name="Unplanned_Total_Interruptions__Wastewater__WWS7a">'Export format'!$HO$2</definedName>
    <definedName name="Unplanned_Total_Interruptions__Water_Supply__WSS1">'Export format'!$BX$2</definedName>
    <definedName name="Vacancies_per_1000_serviced_properties__CB10a__WSB4_WWB4">'Export format'!$MW$2</definedName>
    <definedName name="Volume_of_wastewater_treated_at_treatment_plant__WWA7d">'Export format'!$FH$2</definedName>
    <definedName name="Volumetric_Charge__Non_residential_wastewater__WWS1c">'Export format'!$HA$2</definedName>
    <definedName name="Volumetric_Charge__Non_residential_water__WSS7c">'Export format'!$CM$2</definedName>
    <definedName name="Volumetric_Charge__Residential_wastewater__WWS2c">'Export format'!$HE$2</definedName>
    <definedName name="Volumetric_Charge__Residential_water__WSS8c">'Export format'!$CP$2</definedName>
    <definedName name="Volumetric_Charge_for_200m3">'Export format'!$MX$2</definedName>
    <definedName name="Wastewater_capital_expenditure_versus_depreciation__SWF17_SWF11" localSheetId="7">'Export format'!#REF!</definedName>
    <definedName name="Wastewater_capital_expenditure_versus_depreciation__SWF17_SWF11" localSheetId="8">'Export format'!#REF!</definedName>
    <definedName name="Wastewater_capital_expenditure_versus_depreciation__SWF17_SWF11">'Export format'!#REF!</definedName>
    <definedName name="Wastewater_capital_expenditure_versus_depreciation__WWF21_WWF15">'Export format'!$NG$2</definedName>
    <definedName name="Wastewater_CCTV_inspection__WWA4">'Export format'!$EZ$2</definedName>
    <definedName name="Wastewater_complaints__WWS4">'Export format'!$HG$2</definedName>
    <definedName name="Wastewater_complaints_frequency__WWS5">'Export format'!$HL$2</definedName>
    <definedName name="Wastewater_connection_density__WWB4_WWA1a">'Export format'!$MY$2</definedName>
    <definedName name="Wastewater_consent_abatement_notices__WWE4a">'Export format'!$GJ$2</definedName>
    <definedName name="Wastewater_consent_enforcement_orders__WWE4c">'Export format'!$GL$2</definedName>
    <definedName name="Wastewater_consent_formal_warming__WWE4i">'Export format'!$GR$2</definedName>
    <definedName name="Wastewater_consent_infringement_notices__WWE4b">'Export format'!$GK$2</definedName>
    <definedName name="Wastewater_consent_letter_of_direction__WWE4h">'Export format'!$GQ$2</definedName>
    <definedName name="Wastewater_consent_successful_prosecutions__WWE4d">'Export format'!$GM$2</definedName>
    <definedName name="Wastewater_Data">Wastewater!$H$6:$H$136</definedName>
    <definedName name="Wastewater_Data_Confidence">Wastewater!$I$6:$I$136</definedName>
    <definedName name="Wastewater_Exported_for_Treatment__WWB5">'Export format'!$EL$2</definedName>
    <definedName name="Wastewater_facility_value_at_end_of_reporting_year__WWF24a">'Export format'!$IV$2</definedName>
    <definedName name="Wastewater_fault_attendance_time__WWS6a">'Export format'!$HM$2</definedName>
    <definedName name="Wastewater_fault_resolution_time__WWS6b">'Export format'!$HN$2</definedName>
    <definedName name="Wastewater_Headings">Wastewater!$C$6:$C$136</definedName>
    <definedName name="Wastewater_Imported_for_Treatment__WWB6">'Export format'!$EM$2</definedName>
    <definedName name="Wastewater_maintenance__WWF9_WWF10">'Export format'!$NP$2</definedName>
    <definedName name="Wastewater_Name">Wastewater!$B$6:$B$136</definedName>
    <definedName name="Wastewater_network_discharge_consents__WWE4g">'Export format'!$GM$2</definedName>
    <definedName name="Wastewater_network_discharge_non_conformance__WWE4f">'Export format'!$GO$2</definedName>
    <definedName name="Wastewater_overflows_on_private_properties__WWE3a">'Export format'!$GC$2</definedName>
    <definedName name="Wastewater_Pump_Stations__WWA5">'Export format'!$FA$2</definedName>
    <definedName name="Wastewater_Pump_Stations_Standby_Generators__WWA5a">'Export format'!$FB$2</definedName>
    <definedName name="Wastewater_Pump_Stations_without_backup_generators__WWA5_WWA5a">'Export format'!$MZ$2</definedName>
    <definedName name="Wastewater_Service_Coverage__WWB1b">'Export format'!$EH$2</definedName>
    <definedName name="Wastewater_Serviced_Population__WWB1a">'Export format'!$EG$2</definedName>
    <definedName name="Wastewater_Serviced_Properties__Non_residential__WWB3">'Export format'!$EJ$2</definedName>
    <definedName name="Wastewater_Serviced_Properties__Residential__WWB2">'Export format'!$EI$2</definedName>
    <definedName name="Wastewater_treatment_plant_consent_non_conformance__WWE4e">'Export format'!$GN$2</definedName>
    <definedName name="Wastewater_treatment_plant_effluent_environmental_discharge_emissions_assessment__WWE5e">'Export format'!$GW$2</definedName>
    <definedName name="Wastewater_treatment_plant_name__WWA7a">'Export format'!$FG$2</definedName>
    <definedName name="Wastewater_treatment_plant_process_emissions_assessment__WWE5d">'Export format'!$GV$2</definedName>
    <definedName name="Wastewater_Treatment_Plants__without_backup_generators__WWA7a___WWA7l">'Export format'!$MD$5</definedName>
    <definedName name="Wastewater_Treatment_Plants__without_backup_generators__WWA7a__WWA7l">'Export format'!$NA$2</definedName>
    <definedName name="Wastewater_Units">Wastewater!$F$6:$F$136</definedName>
    <definedName name="Water_and_wastewater_affordability___WSS9_WWS3__CB7" localSheetId="7">'Export format'!#REF!</definedName>
    <definedName name="Water_and_wastewater_affordability___WSS9_WWS3__CB7" localSheetId="8">'Export format'!#REF!</definedName>
    <definedName name="Water_and_wastewater_affordability___WSS9_WWS3__CB7">'Export format'!#REF!</definedName>
    <definedName name="Water_and_wastewater_properties_serviced__WSB4_WWB4">'Export format'!$NI$2</definedName>
    <definedName name="Water_capital_expenditure_versus_depreciation__SWF17_SWF11">'Export format'!$MH$5</definedName>
    <definedName name="Water_capital_expenditure_versus_depreciation__WSF20_WSF14">'Export format'!$NF$2</definedName>
    <definedName name="Water_Data">Water!$H$6:$H$115</definedName>
    <definedName name="Water_Data_Confidence">Water!$I$6:$I$115</definedName>
    <definedName name="Water_Demand_Forecasting__WSB9">'Export format'!$AL$2</definedName>
    <definedName name="Water_exported_to_other_authorities__WSB5b">'Export format'!$AH$2</definedName>
    <definedName name="Water_Headings">Water!$C$6:$C$115</definedName>
    <definedName name="Water_imported_from_other_authorities__WSB5a">'Export format'!$AG$2</definedName>
    <definedName name="Water_Name">Water!$B$6:$B$115</definedName>
    <definedName name="Water_Pump_Stations__WSA5">'Export format'!$AZ$2</definedName>
    <definedName name="Water_Pump_Stations_Standby_Generators__WSA5a">'Export format'!$BA$2</definedName>
    <definedName name="Water_Pump_Stations_without_backup_generators__WSA5_WSA5a">'Export format'!$NB$2</definedName>
    <definedName name="Water_Pump_Stations_without_backup_generators__WSA5WSA5a">'Export format'!$NB$2</definedName>
    <definedName name="Water_restriction_days__WSS11">'Export format'!$CV$2</definedName>
    <definedName name="Water_safety_plan_actions__WSS13a">'Export format'!$CX$2</definedName>
    <definedName name="Water_safety_plan_imlpementation__WSS13b">'Export format'!$CY$2</definedName>
    <definedName name="Water_Serviced_Population__WSB1a">'Export format'!$AA$2</definedName>
    <definedName name="Water_Serviced_Properties__Non_Residential__WSB3">'Export format'!$AD$2</definedName>
    <definedName name="Water_Serviced_Properties__Residential__WSB2">'Export format'!$AC$2</definedName>
    <definedName name="Water_Stored_in_Reservoirs__WSA7">'Export format'!$BC$2</definedName>
    <definedName name="Water_Supplied_to_Own_System__WSB5">'Export format'!$AF$2</definedName>
    <definedName name="Water_Supply_Complaints__WSS5">'Export format'!$CB$2</definedName>
    <definedName name="Water_Supply_Complaints_Frequency__WSS6">'Export format'!$CI$2</definedName>
    <definedName name="Water_Supply_Connection_Density__WSB4_WSA1a">'Export format'!$NC$2</definedName>
    <definedName name="Water_Supply_Reservoirs__WSA6">'Export format'!$BB$2</definedName>
    <definedName name="Water_Supply_Service_Coverage__WSB1b">'Export format'!$AB$2</definedName>
    <definedName name="Water_treatment_facility_value_at_end_of_reporting_year__WSF23a">'Export format'!$EF$2</definedName>
    <definedName name="Water_Treatment_Plant_Standby_Generators__WSA4a">'Export format'!$AY$2</definedName>
    <definedName name="Water_Treatment_Plants__WSA4">'Export format'!$AX$2</definedName>
    <definedName name="Water_Treatment_Plants_without_backup_generators__WSA4_WSA4a">'Export format'!$ND$2</definedName>
    <definedName name="Water_Treatment_Sludge_Production__WSA11">'Export format'!$BH$2</definedName>
    <definedName name="Water_Units">Water!$F$6:$F$115</definedName>
    <definedName name="Weighted_inflow_infiltration">'Export format'!$NW$2</definedName>
    <definedName name="Wet_weather_overflow_regulation_approach__WWE4g">'Export format'!$GP$2</definedName>
    <definedName name="Wet_weather_overflows_from_combined_stormwater_and_wastewater_networks__WWE2b">'Export format'!$GA$2</definedName>
    <definedName name="Wet_weather_overflows_from_the_wastewater_network__WWE2a">'Export format'!$FZ$2</definedName>
    <definedName name="Wet_Weather_Wastewater_Overflows_per_1000_connections__WWE2_WWB4">'Export format'!$MG$5</definedName>
    <definedName name="Wet_Weather_Wastewater_Overflows_per_1000_connections__WWE2a_WWB4">'Export format'!$NE$2</definedName>
    <definedName name="WWTP_External_OPEX__WWF9" localSheetId="7">'Export format'!#REF!</definedName>
    <definedName name="WWTP_External_OPEX__WWF9" localSheetId="8">'Export format'!#REF!</definedName>
    <definedName name="WWTP_External_OPEX__WWF9">'Export format'!#REF!</definedName>
    <definedName name="xlvar.ACTLDG" localSheetId="9">"21PJACT"</definedName>
    <definedName name="xlvar.ACTLDG" localSheetId="7">"21GLACT"</definedName>
    <definedName name="xlvar.ACTLDG" localSheetId="8">"21GLACT"</definedName>
    <definedName name="xlvar.ACTLDG" localSheetId="6">"21GLACT"</definedName>
    <definedName name="xlvar.ACTLDG.DESCR" localSheetId="9">"2020/21 PJ Actuals"</definedName>
    <definedName name="xlvar.ACTLDG.DESCR" localSheetId="7">"2020/21 GL Actual"</definedName>
    <definedName name="xlvar.ACTLDG.DESCR" localSheetId="8">"2020/21 GL Actual"</definedName>
    <definedName name="xlvar.ACTLDG.DESCR" localSheetId="6">"2020/21 GL Actual"</definedName>
    <definedName name="xlvar.BUDLDG" localSheetId="9">"21PJBUD"</definedName>
    <definedName name="xlvar.BUDLDG" localSheetId="7">"21GLBUD"</definedName>
    <definedName name="xlvar.BUDLDG" localSheetId="8">"21GLBUD"</definedName>
    <definedName name="xlvar.BUDLDG" localSheetId="6">"21GLBUD"</definedName>
    <definedName name="xlvar.BUDLDG.DESCR" localSheetId="9">"2020/21 PJ Budget"</definedName>
    <definedName name="xlvar.BUDLDG.DESCR" localSheetId="7">"2020/21 GL Budget"</definedName>
    <definedName name="xlvar.BUDLDG.DESCR" localSheetId="8">"2020/21 GL Budget"</definedName>
    <definedName name="xlvar.BUDLDG.DESCR" localSheetId="6">"2020/21 GL Budget"</definedName>
    <definedName name="xlvar.DEPT" localSheetId="9">""</definedName>
    <definedName name="xlvar.DEPT.DESCR" localSheetId="9">""</definedName>
    <definedName name="xlvar.DEPT.DESCRLONG" localSheetId="9">""</definedName>
    <definedName name="xlvar.DEPT.DIRECTOREMAIL" localSheetId="9">""</definedName>
    <definedName name="xlvar.DEPT.DIRECTORNAME" localSheetId="9">""</definedName>
    <definedName name="xlvar.DIR" localSheetId="7">"INF"</definedName>
    <definedName name="xlvar.DIR" localSheetId="8">"INF"</definedName>
    <definedName name="xlvar.DIR" localSheetId="6">"INF"</definedName>
    <definedName name="xlvar.DIR.DESCR" localSheetId="7">"INF"</definedName>
    <definedName name="xlvar.DIR.DESCR" localSheetId="8">"INF"</definedName>
    <definedName name="xlvar.DIR.DESCR" localSheetId="6">"INF"</definedName>
    <definedName name="xlvar.DIR.DESCRLONG" localSheetId="7">"Infrastructure"</definedName>
    <definedName name="xlvar.DIR.DESCRLONG" localSheetId="8">"Infrastructure"</definedName>
    <definedName name="xlvar.DIR.DESCRLONG" localSheetId="6">"Infrastructure"</definedName>
    <definedName name="xlvar.DIR.DIRECTOREMAIL" localSheetId="7">"Peter.Hansby@qldc.govt.nz"</definedName>
    <definedName name="xlvar.DIR.DIRECTOREMAIL" localSheetId="8">"Peter.Hansby@qldc.govt.nz"</definedName>
    <definedName name="xlvar.DIR.DIRECTOREMAIL" localSheetId="6">"Peter.Hansby@qldc.govt.nz"</definedName>
    <definedName name="xlvar.DIR.DIRECTORNAME" localSheetId="7">"PETERH"</definedName>
    <definedName name="xlvar.DIR.DIRECTORNAME" localSheetId="8">"PETERH"</definedName>
    <definedName name="xlvar.DIR.DIRECTORNAME" localSheetId="6">"PETERH"</definedName>
    <definedName name="xlvar.FNYEAR" localSheetId="7">"2021"</definedName>
    <definedName name="xlvar.FNYEAR" localSheetId="8">"2021"</definedName>
    <definedName name="xlvar.FNYEAR" localSheetId="6">"2021"</definedName>
    <definedName name="xlvar.FNYEAR.ACTUALLEDGER" localSheetId="7">"21GLACT"</definedName>
    <definedName name="xlvar.FNYEAR.ACTUALLEDGER" localSheetId="8">"21GLACT"</definedName>
    <definedName name="xlvar.FNYEAR.ACTUALLEDGER" localSheetId="6">"21GLACT"</definedName>
    <definedName name="xlvar.FNYEAR.BUDGETLEDGER" localSheetId="7">"21GLBUD"</definedName>
    <definedName name="xlvar.FNYEAR.BUDGETLEDGER" localSheetId="8">"21GLBUD"</definedName>
    <definedName name="xlvar.FNYEAR.BUDGETLEDGER" localSheetId="6">"21GLBUD"</definedName>
    <definedName name="xlvar.FNYEAR.DESCR" localSheetId="7">"2020/21"</definedName>
    <definedName name="xlvar.FNYEAR.DESCR" localSheetId="8">"2020/21"</definedName>
    <definedName name="xlvar.FNYEAR.DESCR" localSheetId="6">"2020/21"</definedName>
    <definedName name="xlvar.FNYEAR.DESCRLONG" localSheetId="7">"2020/21"</definedName>
    <definedName name="xlvar.FNYEAR.DESCRLONG" localSheetId="8">"2020/21"</definedName>
    <definedName name="xlvar.FNYEAR.DESCRLONG" localSheetId="6">"2020/21"</definedName>
    <definedName name="xlvar.FNYEAR.PRIORYEAR" localSheetId="7">"2020"</definedName>
    <definedName name="xlvar.FNYEAR.PRIORYEAR" localSheetId="8">"2020"</definedName>
    <definedName name="xlvar.FNYEAR.PRIORYEAR" localSheetId="6">"2020"</definedName>
    <definedName name="xlvar.FNYEAR.PRIORYEARACTUALLEDGER" localSheetId="7">"20GLACT"</definedName>
    <definedName name="xlvar.FNYEAR.PRIORYEARACTUALLEDGER" localSheetId="8">"20GLACT"</definedName>
    <definedName name="xlvar.FNYEAR.PRIORYEARACTUALLEDGER" localSheetId="6">"20GLACT"</definedName>
    <definedName name="xlvar.FNYEAR.PRIORYEARBUDGETLEDGER" localSheetId="7">"20GLBUD"</definedName>
    <definedName name="xlvar.FNYEAR.PRIORYEARBUDGETLEDGER" localSheetId="8">"20GLBUD"</definedName>
    <definedName name="xlvar.FNYEAR.PRIORYEARBUDGETLEDGER" localSheetId="6">"20GLBUD"</definedName>
    <definedName name="xlvar.MANAGER" localSheetId="9">""</definedName>
    <definedName name="xlvar.MANAGER.DESCR" localSheetId="9">""</definedName>
    <definedName name="xlvar.PER" localSheetId="7">"12"</definedName>
    <definedName name="xlvar.PER" localSheetId="8">"12"</definedName>
    <definedName name="xlvar.PER" localSheetId="6">"12"</definedName>
    <definedName name="xlvar.PER.DESCR" localSheetId="7">"June"</definedName>
    <definedName name="xlvar.PER.DESCR" localSheetId="8">"June"</definedName>
    <definedName name="xlvar.PER.DESCR" localSheetId="6">"June"</definedName>
    <definedName name="xlvar.PER_CLOSE" localSheetId="9">"21-06"</definedName>
    <definedName name="xlvar.PER_CLOSE.CURRENTGLACTUALLEDGER" localSheetId="9">"21GLACT"</definedName>
    <definedName name="xlvar.PER_CLOSE.CURRENTGLBUDGETLEDGER" localSheetId="9">"21GLBUD"</definedName>
    <definedName name="xlvar.PER_CLOSE.CURRENTPJACTUALLEDGER" localSheetId="9">"21PJACT"</definedName>
    <definedName name="xlvar.PER_CLOSE.CURRENTPJBUDGETLEDGER" localSheetId="9">"21PJBUD"</definedName>
    <definedName name="xlvar.PER_CLOSE.DESCR" localSheetId="9">"June 2021"</definedName>
    <definedName name="xlvar.PER_CLOSE.DESCRLONG" localSheetId="9">"June 2021"</definedName>
    <definedName name="xlvar.PER_CLOSE.MONTH" localSheetId="9">"June"</definedName>
    <definedName name="xlvar.PER_CLOSE.PERIODBEGINNINGDATE" localSheetId="9">"01-Jun-2021"</definedName>
    <definedName name="xlvar.PER_CLOSE.PERIODENDING" localSheetId="9">"30 June 2021"</definedName>
    <definedName name="xlvar.PER_CLOSE.PERIODENDINGDATE" localSheetId="9">"30-Jun-2021"</definedName>
    <definedName name="xlvar.PER_CLOSE.PERIODNUMBER" localSheetId="9">"12"</definedName>
    <definedName name="xlvar.PER_CLOSE.PRIORGLACTUALLEDGER" localSheetId="9">"20GLACT"</definedName>
    <definedName name="xlvar.PER_CLOSE.PRIORGLBUDGETLEDGER" localSheetId="9">"20GLBUD"</definedName>
    <definedName name="xlvar.PER_CLOSE.PRIORPJACTUALLEDGER" localSheetId="9">"20PJACT"</definedName>
    <definedName name="xlvar.PER_CLOSE.PRIORPJBUDGETLEDGER" localSheetId="9">"20PJBUD"</definedName>
    <definedName name="xlvar.PER_CLOSE.PROJECTYEAR" localSheetId="9">"2021"</definedName>
    <definedName name="xlvar.PER_CLOSE.YEAR" localSheetId="9">"2021"</definedName>
    <definedName name="zzXLOne.ORIGINALDEFNSHEET" localSheetId="9">"PROJECTS &amp; CONTRACTS REPORTS.XLSXProject_Financial_Summary"</definedName>
    <definedName name="zzXLOne.ORIGINALDEFNSHEET" localSheetId="7">"PROFIT &amp; LOSS TEMPLATE.XLSXDesign.Dept_2"</definedName>
    <definedName name="zzXLOne.ORIGINALDEFNSHEET" localSheetId="8">"PROFIT &amp; LOSS TEMPLATE.XLSXDesign.Dept_2"</definedName>
    <definedName name="zzXLOne.ORIGINALDEFNSHEET" localSheetId="6">"PROFIT &amp; LOSS TEMPLATE.XLSXDesign.Dept_2"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5" i="2" l="1"/>
  <c r="H14" i="4"/>
  <c r="H20" i="1" l="1"/>
  <c r="H12" i="3" l="1"/>
  <c r="H15" i="2"/>
  <c r="H19" i="1" l="1"/>
  <c r="H99" i="2"/>
  <c r="H98" i="2"/>
  <c r="H78" i="1"/>
  <c r="H76" i="1"/>
  <c r="H75" i="1"/>
  <c r="H77" i="1"/>
  <c r="H8" i="4" l="1"/>
  <c r="H38" i="3" l="1"/>
  <c r="H53" i="3"/>
  <c r="AD51" i="15"/>
  <c r="H52" i="3" s="1"/>
  <c r="H63" i="3"/>
  <c r="H64" i="3"/>
  <c r="H78" i="3"/>
  <c r="H88" i="2"/>
  <c r="H84" i="2"/>
  <c r="H104" i="2"/>
  <c r="H105" i="2"/>
  <c r="H109" i="2"/>
  <c r="H110" i="2"/>
  <c r="H117" i="2"/>
  <c r="H118" i="2"/>
  <c r="H132" i="2"/>
  <c r="H71" i="1"/>
  <c r="H68" i="1"/>
  <c r="H84" i="1"/>
  <c r="H83" i="1"/>
  <c r="H97" i="1" l="1"/>
  <c r="H96" i="1"/>
  <c r="AE316" i="17"/>
  <c r="AF316" i="17"/>
  <c r="AD316" i="17"/>
  <c r="AE315" i="17"/>
  <c r="AF315" i="17"/>
  <c r="AD315" i="17"/>
  <c r="AE314" i="17"/>
  <c r="AF314" i="17"/>
  <c r="AD314" i="17"/>
  <c r="AE313" i="17"/>
  <c r="AF313" i="17"/>
  <c r="AD313" i="17"/>
  <c r="AE312" i="17"/>
  <c r="AF312" i="17"/>
  <c r="AD312" i="17"/>
  <c r="AE311" i="17"/>
  <c r="AF311" i="17"/>
  <c r="AD311" i="17"/>
  <c r="AE310" i="17"/>
  <c r="AF310" i="17"/>
  <c r="AD310" i="17"/>
  <c r="AE309" i="17"/>
  <c r="AF309" i="17"/>
  <c r="AD309" i="17"/>
  <c r="AE308" i="17"/>
  <c r="AF308" i="17"/>
  <c r="AD308" i="17"/>
  <c r="AE307" i="17"/>
  <c r="AF307" i="17"/>
  <c r="AD307" i="17"/>
  <c r="AE306" i="17"/>
  <c r="AF306" i="17"/>
  <c r="AD306" i="17"/>
  <c r="AE305" i="17"/>
  <c r="AF305" i="17"/>
  <c r="AD305" i="17"/>
  <c r="AE304" i="17"/>
  <c r="AF304" i="17"/>
  <c r="AD304" i="17"/>
  <c r="AE303" i="17"/>
  <c r="AF303" i="17"/>
  <c r="AD303" i="17"/>
  <c r="AE302" i="17"/>
  <c r="AF302" i="17"/>
  <c r="AD302" i="17"/>
  <c r="AE301" i="17"/>
  <c r="AF301" i="17"/>
  <c r="AD301" i="17"/>
  <c r="AE300" i="17"/>
  <c r="AF300" i="17"/>
  <c r="AD300" i="17"/>
  <c r="AE299" i="17"/>
  <c r="AF299" i="17"/>
  <c r="AD299" i="17"/>
  <c r="AE298" i="17"/>
  <c r="AF298" i="17"/>
  <c r="AD298" i="17"/>
  <c r="AE297" i="17"/>
  <c r="AF297" i="17"/>
  <c r="AD297" i="17"/>
  <c r="AE296" i="17"/>
  <c r="AF296" i="17"/>
  <c r="AD296" i="17"/>
  <c r="AE295" i="17"/>
  <c r="AF295" i="17"/>
  <c r="AD295" i="17"/>
  <c r="AE294" i="17"/>
  <c r="AF294" i="17"/>
  <c r="AD294" i="17"/>
  <c r="AE293" i="17"/>
  <c r="AF293" i="17"/>
  <c r="AD293" i="17"/>
  <c r="AE292" i="17"/>
  <c r="AF292" i="17"/>
  <c r="AD292" i="17"/>
  <c r="AE291" i="17"/>
  <c r="AF291" i="17"/>
  <c r="AD291" i="17"/>
  <c r="AE290" i="17"/>
  <c r="AF290" i="17"/>
  <c r="AD290" i="17"/>
  <c r="AE289" i="17"/>
  <c r="AF289" i="17"/>
  <c r="AD289" i="17"/>
  <c r="AE288" i="17"/>
  <c r="AF288" i="17"/>
  <c r="AD288" i="17"/>
  <c r="AE287" i="17"/>
  <c r="AF287" i="17"/>
  <c r="AD287" i="17"/>
  <c r="AE286" i="17"/>
  <c r="AF286" i="17"/>
  <c r="AD286" i="17"/>
  <c r="AE285" i="17"/>
  <c r="AF285" i="17"/>
  <c r="AD285" i="17"/>
  <c r="AE284" i="17"/>
  <c r="AF284" i="17"/>
  <c r="AD284" i="17"/>
  <c r="AE283" i="17"/>
  <c r="AF283" i="17"/>
  <c r="AD283" i="17"/>
  <c r="AE282" i="17"/>
  <c r="AF282" i="17"/>
  <c r="AD282" i="17"/>
  <c r="AE281" i="17"/>
  <c r="AF281" i="17"/>
  <c r="AD281" i="17"/>
  <c r="AE280" i="17"/>
  <c r="AF280" i="17"/>
  <c r="AD280" i="17"/>
  <c r="AE279" i="17"/>
  <c r="AF279" i="17"/>
  <c r="AD279" i="17"/>
  <c r="AE278" i="17"/>
  <c r="AF278" i="17"/>
  <c r="AD278" i="17"/>
  <c r="AE277" i="17"/>
  <c r="AF277" i="17"/>
  <c r="AD277" i="17"/>
  <c r="AE276" i="17"/>
  <c r="AF276" i="17"/>
  <c r="AD276" i="17"/>
  <c r="AE275" i="17"/>
  <c r="AF275" i="17"/>
  <c r="AD275" i="17"/>
  <c r="AE274" i="17"/>
  <c r="AF274" i="17"/>
  <c r="AD274" i="17"/>
  <c r="AE273" i="17"/>
  <c r="AF273" i="17"/>
  <c r="AD273" i="17"/>
  <c r="AE272" i="17"/>
  <c r="AF272" i="17"/>
  <c r="AD272" i="17"/>
  <c r="AE271" i="17"/>
  <c r="AF271" i="17"/>
  <c r="AD271" i="17"/>
  <c r="AE270" i="17"/>
  <c r="AF270" i="17"/>
  <c r="AD270" i="17"/>
  <c r="AE268" i="17"/>
  <c r="AF268" i="17"/>
  <c r="AD268" i="17"/>
  <c r="AE267" i="17"/>
  <c r="AF267" i="17"/>
  <c r="AD267" i="17"/>
  <c r="AE266" i="17"/>
  <c r="AF266" i="17"/>
  <c r="AD266" i="17"/>
  <c r="AE265" i="17"/>
  <c r="AF265" i="17"/>
  <c r="AD265" i="17"/>
  <c r="AE264" i="17"/>
  <c r="AF264" i="17"/>
  <c r="AD264" i="17"/>
  <c r="AE263" i="17"/>
  <c r="AF263" i="17"/>
  <c r="AD263" i="17"/>
  <c r="AE262" i="17"/>
  <c r="AF262" i="17"/>
  <c r="AD262" i="17"/>
  <c r="AE261" i="17"/>
  <c r="AF261" i="17"/>
  <c r="AD261" i="17"/>
  <c r="AE260" i="17"/>
  <c r="AF260" i="17"/>
  <c r="AD260" i="17"/>
  <c r="AE259" i="17"/>
  <c r="AF259" i="17"/>
  <c r="AD259" i="17"/>
  <c r="AE258" i="17"/>
  <c r="AF258" i="17"/>
  <c r="AD258" i="17"/>
  <c r="AE257" i="17"/>
  <c r="AF257" i="17"/>
  <c r="AD257" i="17"/>
  <c r="AE256" i="17"/>
  <c r="AF256" i="17"/>
  <c r="AD256" i="17"/>
  <c r="AE255" i="17"/>
  <c r="AF255" i="17"/>
  <c r="AD255" i="17"/>
  <c r="AE254" i="17"/>
  <c r="AF254" i="17"/>
  <c r="AD254" i="17"/>
  <c r="AE253" i="17"/>
  <c r="AF253" i="17"/>
  <c r="AD253" i="17"/>
  <c r="AE252" i="17"/>
  <c r="AF252" i="17"/>
  <c r="AD252" i="17"/>
  <c r="AE251" i="17"/>
  <c r="AF251" i="17"/>
  <c r="AD251" i="17"/>
  <c r="AE250" i="17"/>
  <c r="AF250" i="17"/>
  <c r="AD250" i="17"/>
  <c r="AE249" i="17"/>
  <c r="AF249" i="17"/>
  <c r="AD249" i="17"/>
  <c r="AE248" i="17"/>
  <c r="AF248" i="17"/>
  <c r="AD248" i="17"/>
  <c r="AE247" i="17"/>
  <c r="AF247" i="17"/>
  <c r="AD247" i="17"/>
  <c r="AE246" i="17"/>
  <c r="AF246" i="17"/>
  <c r="AD246" i="17"/>
  <c r="AE245" i="17"/>
  <c r="AF245" i="17"/>
  <c r="AD245" i="17"/>
  <c r="AE244" i="17"/>
  <c r="AF244" i="17"/>
  <c r="AD244" i="17"/>
  <c r="AE243" i="17"/>
  <c r="AF243" i="17"/>
  <c r="AD243" i="17"/>
  <c r="AE242" i="17"/>
  <c r="AF242" i="17"/>
  <c r="AD242" i="17"/>
  <c r="AE241" i="17"/>
  <c r="AF241" i="17"/>
  <c r="AD241" i="17"/>
  <c r="AE240" i="17"/>
  <c r="AF240" i="17"/>
  <c r="AD240" i="17"/>
  <c r="AE239" i="17"/>
  <c r="AF239" i="17"/>
  <c r="AD239" i="17"/>
  <c r="AE238" i="17"/>
  <c r="AF238" i="17"/>
  <c r="AD238" i="17"/>
  <c r="AE237" i="17"/>
  <c r="AF237" i="17"/>
  <c r="AD237" i="17"/>
  <c r="AE236" i="17"/>
  <c r="AF236" i="17"/>
  <c r="AD236" i="17"/>
  <c r="AE235" i="17"/>
  <c r="AF235" i="17"/>
  <c r="AD235" i="17"/>
  <c r="AE234" i="17"/>
  <c r="AF234" i="17"/>
  <c r="AD234" i="17"/>
  <c r="AE233" i="17"/>
  <c r="AF233" i="17"/>
  <c r="AD233" i="17"/>
  <c r="AE231" i="17"/>
  <c r="AF231" i="17"/>
  <c r="AD231" i="17"/>
  <c r="AE230" i="17"/>
  <c r="AF230" i="17"/>
  <c r="AD230" i="17"/>
  <c r="AE229" i="17"/>
  <c r="AF229" i="17"/>
  <c r="AD229" i="17"/>
  <c r="AE228" i="17"/>
  <c r="AF228" i="17"/>
  <c r="AD228" i="17"/>
  <c r="AE227" i="17"/>
  <c r="AF227" i="17"/>
  <c r="AD227" i="17"/>
  <c r="AE226" i="17"/>
  <c r="AF226" i="17"/>
  <c r="AD226" i="17"/>
  <c r="AE225" i="17"/>
  <c r="AF225" i="17"/>
  <c r="AD225" i="17"/>
  <c r="AE224" i="17"/>
  <c r="AF224" i="17"/>
  <c r="AD224" i="17"/>
  <c r="AE223" i="17"/>
  <c r="AF223" i="17"/>
  <c r="AD223" i="17"/>
  <c r="AE222" i="17"/>
  <c r="AF222" i="17"/>
  <c r="AD222" i="17"/>
  <c r="AE221" i="17"/>
  <c r="AF221" i="17"/>
  <c r="AD221" i="17"/>
  <c r="AE220" i="17"/>
  <c r="AF220" i="17"/>
  <c r="AD220" i="17"/>
  <c r="AE219" i="17"/>
  <c r="AF219" i="17"/>
  <c r="AD219" i="17"/>
  <c r="AE218" i="17"/>
  <c r="AF218" i="17"/>
  <c r="AD218" i="17"/>
  <c r="AE217" i="17"/>
  <c r="AF217" i="17"/>
  <c r="AD217" i="17"/>
  <c r="AE216" i="17"/>
  <c r="AF216" i="17"/>
  <c r="AD216" i="17"/>
  <c r="AE215" i="17"/>
  <c r="AF215" i="17"/>
  <c r="AD215" i="17"/>
  <c r="AE214" i="17"/>
  <c r="AF214" i="17"/>
  <c r="AD214" i="17"/>
  <c r="AE213" i="17"/>
  <c r="AF213" i="17"/>
  <c r="AD213" i="17"/>
  <c r="AE211" i="17"/>
  <c r="AF211" i="17"/>
  <c r="AD211" i="17"/>
  <c r="AE210" i="17"/>
  <c r="AF210" i="17"/>
  <c r="AD210" i="17"/>
  <c r="AE209" i="17"/>
  <c r="AF209" i="17"/>
  <c r="AD209" i="17"/>
  <c r="AE208" i="17"/>
  <c r="AF208" i="17"/>
  <c r="AD208" i="17"/>
  <c r="AE207" i="17"/>
  <c r="AF207" i="17"/>
  <c r="AD207" i="17"/>
  <c r="AE206" i="17"/>
  <c r="AF206" i="17"/>
  <c r="AD206" i="17"/>
  <c r="AE205" i="17"/>
  <c r="AF205" i="17"/>
  <c r="AD205" i="17"/>
  <c r="AE204" i="17"/>
  <c r="AF204" i="17"/>
  <c r="AD204" i="17"/>
  <c r="AE203" i="17"/>
  <c r="AF203" i="17"/>
  <c r="AD203" i="17"/>
  <c r="AE202" i="17"/>
  <c r="AF202" i="17"/>
  <c r="AD202" i="17"/>
  <c r="AE201" i="17"/>
  <c r="AF201" i="17"/>
  <c r="AD201" i="17"/>
  <c r="AE200" i="17"/>
  <c r="AF200" i="17"/>
  <c r="AD200" i="17"/>
  <c r="AE199" i="17"/>
  <c r="AF199" i="17"/>
  <c r="AD199" i="17"/>
  <c r="AE198" i="17"/>
  <c r="AF198" i="17"/>
  <c r="AD198" i="17"/>
  <c r="AE197" i="17"/>
  <c r="AF197" i="17"/>
  <c r="AD197" i="17"/>
  <c r="AE196" i="17"/>
  <c r="AF196" i="17"/>
  <c r="AD196" i="17"/>
  <c r="AE195" i="17"/>
  <c r="AF195" i="17"/>
  <c r="AD195" i="17"/>
  <c r="AE194" i="17"/>
  <c r="AF194" i="17"/>
  <c r="AD194" i="17"/>
  <c r="AE193" i="17"/>
  <c r="AF193" i="17"/>
  <c r="AD193" i="17"/>
  <c r="AE192" i="17"/>
  <c r="AF192" i="17"/>
  <c r="AD192" i="17"/>
  <c r="AE191" i="17"/>
  <c r="AF191" i="17"/>
  <c r="AD191" i="17"/>
  <c r="AE190" i="17"/>
  <c r="AF190" i="17"/>
  <c r="AD190" i="17"/>
  <c r="AE189" i="17"/>
  <c r="AF189" i="17"/>
  <c r="AD189" i="17"/>
  <c r="AE188" i="17"/>
  <c r="AF188" i="17"/>
  <c r="AD188" i="17"/>
  <c r="AE187" i="17"/>
  <c r="AF187" i="17"/>
  <c r="AD187" i="17"/>
  <c r="AE186" i="17"/>
  <c r="AF186" i="17"/>
  <c r="AD186" i="17"/>
  <c r="AE185" i="17"/>
  <c r="AF185" i="17"/>
  <c r="AD185" i="17"/>
  <c r="AE184" i="17"/>
  <c r="AF184" i="17"/>
  <c r="AD184" i="17"/>
  <c r="AE183" i="17"/>
  <c r="AF183" i="17"/>
  <c r="AD183" i="17"/>
  <c r="AE182" i="17"/>
  <c r="AF182" i="17"/>
  <c r="AD182" i="17"/>
  <c r="AE181" i="17"/>
  <c r="AF181" i="17"/>
  <c r="AD181" i="17"/>
  <c r="AE180" i="17"/>
  <c r="AF180" i="17"/>
  <c r="AD180" i="17"/>
  <c r="AE179" i="17"/>
  <c r="AF179" i="17"/>
  <c r="AD179" i="17"/>
  <c r="AE178" i="17"/>
  <c r="AF178" i="17"/>
  <c r="AD178" i="17"/>
  <c r="AE177" i="17"/>
  <c r="AF177" i="17"/>
  <c r="AD177" i="17"/>
  <c r="AE176" i="17"/>
  <c r="AF176" i="17"/>
  <c r="AD176" i="17"/>
  <c r="AE175" i="17"/>
  <c r="AF175" i="17"/>
  <c r="AD175" i="17"/>
  <c r="AE174" i="17"/>
  <c r="AF174" i="17"/>
  <c r="AD174" i="17"/>
  <c r="AE173" i="17"/>
  <c r="AF173" i="17"/>
  <c r="AD173" i="17"/>
  <c r="AE172" i="17"/>
  <c r="AF172" i="17"/>
  <c r="AD172" i="17"/>
  <c r="AE171" i="17"/>
  <c r="AF171" i="17"/>
  <c r="AD171" i="17"/>
  <c r="AE170" i="17"/>
  <c r="AF170" i="17"/>
  <c r="AD170" i="17"/>
  <c r="AE169" i="17"/>
  <c r="AF169" i="17"/>
  <c r="AD169" i="17"/>
  <c r="AE168" i="17"/>
  <c r="AF168" i="17"/>
  <c r="AD168" i="17"/>
  <c r="AE167" i="17"/>
  <c r="AF167" i="17"/>
  <c r="AD167" i="17"/>
  <c r="AE166" i="17"/>
  <c r="AF166" i="17"/>
  <c r="AD166" i="17"/>
  <c r="AE165" i="17"/>
  <c r="AF165" i="17"/>
  <c r="AD165" i="17"/>
  <c r="AE164" i="17"/>
  <c r="AF164" i="17"/>
  <c r="AD164" i="17"/>
  <c r="AE163" i="17"/>
  <c r="AF163" i="17"/>
  <c r="AD163" i="17"/>
  <c r="AE162" i="17"/>
  <c r="AF162" i="17"/>
  <c r="AD162" i="17"/>
  <c r="AE161" i="17"/>
  <c r="AF161" i="17"/>
  <c r="AD161" i="17"/>
  <c r="AE160" i="17"/>
  <c r="AF160" i="17"/>
  <c r="AD160" i="17"/>
  <c r="AE159" i="17"/>
  <c r="AF159" i="17"/>
  <c r="AD159" i="17"/>
  <c r="AE158" i="17"/>
  <c r="AF158" i="17"/>
  <c r="AD158" i="17"/>
  <c r="AE157" i="17"/>
  <c r="AF157" i="17"/>
  <c r="AD157" i="17"/>
  <c r="AE156" i="17"/>
  <c r="AF156" i="17"/>
  <c r="AD156" i="17"/>
  <c r="AE155" i="17"/>
  <c r="AF155" i="17"/>
  <c r="AD155" i="17"/>
  <c r="AE154" i="17"/>
  <c r="AF154" i="17"/>
  <c r="AD154" i="17"/>
  <c r="AE153" i="17"/>
  <c r="AF153" i="17"/>
  <c r="AD153" i="17"/>
  <c r="AE152" i="17"/>
  <c r="AF152" i="17"/>
  <c r="AD152" i="17"/>
  <c r="AE151" i="17"/>
  <c r="AF151" i="17"/>
  <c r="AD151" i="17"/>
  <c r="AE150" i="17"/>
  <c r="AF150" i="17"/>
  <c r="AD150" i="17"/>
  <c r="AE149" i="17"/>
  <c r="AF149" i="17"/>
  <c r="AD149" i="17"/>
  <c r="AE148" i="17"/>
  <c r="AF148" i="17"/>
  <c r="AD148" i="17"/>
  <c r="AE147" i="17"/>
  <c r="AF147" i="17"/>
  <c r="AD147" i="17"/>
  <c r="AE146" i="17"/>
  <c r="AF146" i="17"/>
  <c r="AD146" i="17"/>
  <c r="AE144" i="17"/>
  <c r="AF144" i="17"/>
  <c r="AD144" i="17"/>
  <c r="AE143" i="17"/>
  <c r="AF143" i="17"/>
  <c r="AD143" i="17"/>
  <c r="AE142" i="17"/>
  <c r="AF142" i="17"/>
  <c r="AD142" i="17"/>
  <c r="AE141" i="17"/>
  <c r="AF141" i="17"/>
  <c r="AD141" i="17"/>
  <c r="AE140" i="17"/>
  <c r="AF140" i="17"/>
  <c r="AD140" i="17"/>
  <c r="AE139" i="17"/>
  <c r="AF139" i="17"/>
  <c r="AD139" i="17"/>
  <c r="AE138" i="17"/>
  <c r="AF138" i="17"/>
  <c r="AD138" i="17"/>
  <c r="AE137" i="17"/>
  <c r="AF137" i="17"/>
  <c r="AD137" i="17"/>
  <c r="AE136" i="17"/>
  <c r="AF136" i="17"/>
  <c r="AD136" i="17"/>
  <c r="AE135" i="17"/>
  <c r="AF135" i="17"/>
  <c r="AD135" i="17"/>
  <c r="AE134" i="17"/>
  <c r="AF134" i="17"/>
  <c r="AD134" i="17"/>
  <c r="AE133" i="17"/>
  <c r="AF133" i="17"/>
  <c r="AD133" i="17"/>
  <c r="AE132" i="17"/>
  <c r="AF132" i="17"/>
  <c r="AD132" i="17"/>
  <c r="AE131" i="17"/>
  <c r="AF131" i="17"/>
  <c r="AD131" i="17"/>
  <c r="AE130" i="17"/>
  <c r="AF130" i="17"/>
  <c r="AD130" i="17"/>
  <c r="AE129" i="17"/>
  <c r="AF129" i="17"/>
  <c r="AD129" i="17"/>
  <c r="AE128" i="17"/>
  <c r="AF128" i="17"/>
  <c r="AD128" i="17"/>
  <c r="AE126" i="17"/>
  <c r="AF126" i="17"/>
  <c r="AD126" i="17"/>
  <c r="AE125" i="17"/>
  <c r="AF125" i="17"/>
  <c r="AD125" i="17"/>
  <c r="AE124" i="17"/>
  <c r="AF124" i="17"/>
  <c r="AD124" i="17"/>
  <c r="AE123" i="17"/>
  <c r="AF123" i="17"/>
  <c r="AD123" i="17"/>
  <c r="AE122" i="17"/>
  <c r="AF122" i="17"/>
  <c r="AD122" i="17"/>
  <c r="AE121" i="17"/>
  <c r="AF121" i="17"/>
  <c r="AD121" i="17"/>
  <c r="AE120" i="17"/>
  <c r="AF120" i="17"/>
  <c r="AD120" i="17"/>
  <c r="AE119" i="17"/>
  <c r="AF119" i="17"/>
  <c r="AD119" i="17"/>
  <c r="AE118" i="17"/>
  <c r="AF118" i="17"/>
  <c r="AD118" i="17"/>
  <c r="AE117" i="17"/>
  <c r="AF117" i="17"/>
  <c r="AD117" i="17"/>
  <c r="AE116" i="17"/>
  <c r="AF116" i="17"/>
  <c r="AD116" i="17"/>
  <c r="AE115" i="17"/>
  <c r="AF115" i="17"/>
  <c r="AD115" i="17"/>
  <c r="AE113" i="17"/>
  <c r="AF113" i="17"/>
  <c r="AD113" i="17"/>
  <c r="AE112" i="17"/>
  <c r="AF112" i="17"/>
  <c r="AD112" i="17"/>
  <c r="AE111" i="17"/>
  <c r="AF111" i="17"/>
  <c r="AD111" i="17"/>
  <c r="AE110" i="17"/>
  <c r="AF110" i="17"/>
  <c r="AD110" i="17"/>
  <c r="AE109" i="17"/>
  <c r="AF109" i="17"/>
  <c r="AD109" i="17"/>
  <c r="AE108" i="17"/>
  <c r="AF108" i="17"/>
  <c r="AD108" i="17"/>
  <c r="AE107" i="17"/>
  <c r="AF107" i="17"/>
  <c r="AD107" i="17"/>
  <c r="AE106" i="17"/>
  <c r="AF106" i="17"/>
  <c r="AD106" i="17"/>
  <c r="AE105" i="17"/>
  <c r="AF105" i="17"/>
  <c r="AD105" i="17"/>
  <c r="AE104" i="17"/>
  <c r="AF104" i="17"/>
  <c r="AD104" i="17"/>
  <c r="AE103" i="17"/>
  <c r="AF103" i="17"/>
  <c r="AD103" i="17"/>
  <c r="AE102" i="17"/>
  <c r="AF102" i="17"/>
  <c r="AD102" i="17"/>
  <c r="AE101" i="17"/>
  <c r="AF101" i="17"/>
  <c r="AD101" i="17"/>
  <c r="AE100" i="17"/>
  <c r="AF100" i="17"/>
  <c r="AD100" i="17"/>
  <c r="AE99" i="17"/>
  <c r="AF99" i="17"/>
  <c r="AD99" i="17"/>
  <c r="AE98" i="17"/>
  <c r="AF98" i="17"/>
  <c r="AD98" i="17"/>
  <c r="AE97" i="17"/>
  <c r="AF97" i="17"/>
  <c r="AD97" i="17"/>
  <c r="AE96" i="17"/>
  <c r="AF96" i="17"/>
  <c r="AD96" i="17"/>
  <c r="AE95" i="17"/>
  <c r="AF95" i="17"/>
  <c r="AD95" i="17"/>
  <c r="AE94" i="17"/>
  <c r="AF94" i="17"/>
  <c r="AD94" i="17"/>
  <c r="AE93" i="17"/>
  <c r="AF93" i="17"/>
  <c r="AD93" i="17"/>
  <c r="AE92" i="17"/>
  <c r="AF92" i="17"/>
  <c r="AD92" i="17"/>
  <c r="AE91" i="17"/>
  <c r="AF91" i="17"/>
  <c r="AD91" i="17"/>
  <c r="AE90" i="17"/>
  <c r="AF90" i="17"/>
  <c r="AD90" i="17"/>
  <c r="AE89" i="17"/>
  <c r="AF89" i="17"/>
  <c r="AD89" i="17"/>
  <c r="AE88" i="17"/>
  <c r="AF88" i="17"/>
  <c r="AD88" i="17"/>
  <c r="AE87" i="17"/>
  <c r="AF87" i="17"/>
  <c r="AD87" i="17"/>
  <c r="AE86" i="17"/>
  <c r="AF86" i="17"/>
  <c r="AD86" i="17"/>
  <c r="AE85" i="17"/>
  <c r="AF85" i="17"/>
  <c r="AD85" i="17"/>
  <c r="AE84" i="17"/>
  <c r="AF84" i="17"/>
  <c r="AD84" i="17"/>
  <c r="AE83" i="17"/>
  <c r="AF83" i="17"/>
  <c r="AD83" i="17"/>
  <c r="AE82" i="17"/>
  <c r="AF82" i="17"/>
  <c r="AD82" i="17"/>
  <c r="AE81" i="17"/>
  <c r="AF81" i="17"/>
  <c r="AD81" i="17"/>
  <c r="AE80" i="17"/>
  <c r="AF80" i="17"/>
  <c r="AD80" i="17"/>
  <c r="AE79" i="17"/>
  <c r="AF79" i="17"/>
  <c r="AD79" i="17"/>
  <c r="AE78" i="17"/>
  <c r="AF78" i="17"/>
  <c r="AD78" i="17"/>
  <c r="AE77" i="17"/>
  <c r="AF77" i="17"/>
  <c r="AD77" i="17"/>
  <c r="AE76" i="17"/>
  <c r="AF76" i="17"/>
  <c r="AD76" i="17"/>
  <c r="AE75" i="17"/>
  <c r="AF75" i="17"/>
  <c r="AD75" i="17"/>
  <c r="AE74" i="17"/>
  <c r="AF74" i="17"/>
  <c r="AD74" i="17"/>
  <c r="AE73" i="17"/>
  <c r="AF73" i="17"/>
  <c r="AD73" i="17"/>
  <c r="AE72" i="17"/>
  <c r="AF72" i="17"/>
  <c r="AD72" i="17"/>
  <c r="AE71" i="17"/>
  <c r="AF71" i="17"/>
  <c r="AD71" i="17"/>
  <c r="AE70" i="17"/>
  <c r="AF70" i="17"/>
  <c r="AD70" i="17"/>
  <c r="AE69" i="17"/>
  <c r="AF69" i="17"/>
  <c r="AD69" i="17"/>
  <c r="AE68" i="17"/>
  <c r="AF68" i="17"/>
  <c r="AD68" i="17"/>
  <c r="AE67" i="17"/>
  <c r="AF67" i="17"/>
  <c r="AD67" i="17"/>
  <c r="AE65" i="17"/>
  <c r="AF65" i="17"/>
  <c r="AD65" i="17"/>
  <c r="AE64" i="17"/>
  <c r="AF64" i="17"/>
  <c r="AD64" i="17"/>
  <c r="AE63" i="17"/>
  <c r="AF63" i="17"/>
  <c r="AD63" i="17"/>
  <c r="AE62" i="17"/>
  <c r="AF62" i="17"/>
  <c r="AD62" i="17"/>
  <c r="AE61" i="17"/>
  <c r="AF61" i="17"/>
  <c r="AD61" i="17"/>
  <c r="AE59" i="17"/>
  <c r="AF59" i="17"/>
  <c r="AD59" i="17"/>
  <c r="AE58" i="17"/>
  <c r="AF58" i="17"/>
  <c r="AD58" i="17"/>
  <c r="AE57" i="17"/>
  <c r="AF57" i="17"/>
  <c r="AD57" i="17"/>
  <c r="AE56" i="17"/>
  <c r="AF56" i="17"/>
  <c r="AD56" i="17"/>
  <c r="AE55" i="17"/>
  <c r="AF55" i="17"/>
  <c r="AD55" i="17"/>
  <c r="AE54" i="17"/>
  <c r="AF54" i="17"/>
  <c r="AD54" i="17"/>
  <c r="AE53" i="17"/>
  <c r="AF53" i="17"/>
  <c r="AD53" i="17"/>
  <c r="AE52" i="17"/>
  <c r="AF52" i="17"/>
  <c r="AD52" i="17"/>
  <c r="AE51" i="17"/>
  <c r="AF51" i="17"/>
  <c r="AD51" i="17"/>
  <c r="AE49" i="17"/>
  <c r="AF49" i="17"/>
  <c r="AD49" i="17"/>
  <c r="AE48" i="17"/>
  <c r="AF48" i="17"/>
  <c r="AD48" i="17"/>
  <c r="AE47" i="17"/>
  <c r="AF47" i="17"/>
  <c r="AD47" i="17"/>
  <c r="AE46" i="17"/>
  <c r="AF46" i="17"/>
  <c r="AD46" i="17"/>
  <c r="AE45" i="17"/>
  <c r="AF45" i="17"/>
  <c r="AD45" i="17"/>
  <c r="AE44" i="17"/>
  <c r="AF44" i="17"/>
  <c r="AD44" i="17"/>
  <c r="AE43" i="17"/>
  <c r="AF43" i="17"/>
  <c r="AD43" i="17"/>
  <c r="AE42" i="17"/>
  <c r="AF42" i="17"/>
  <c r="AD42" i="17"/>
  <c r="AE41" i="17"/>
  <c r="AF41" i="17"/>
  <c r="AD41" i="17"/>
  <c r="AE39" i="17"/>
  <c r="AF39" i="17"/>
  <c r="AD39" i="17"/>
  <c r="AE38" i="17"/>
  <c r="AF38" i="17"/>
  <c r="AD38" i="17"/>
  <c r="AE36" i="17"/>
  <c r="AF36" i="17"/>
  <c r="AD36" i="17"/>
  <c r="AE35" i="17"/>
  <c r="AF35" i="17"/>
  <c r="AD35" i="17"/>
  <c r="AE34" i="17"/>
  <c r="AF34" i="17"/>
  <c r="AD34" i="17"/>
  <c r="AE33" i="17"/>
  <c r="AF33" i="17"/>
  <c r="AD33" i="17"/>
  <c r="AE32" i="17"/>
  <c r="AF32" i="17"/>
  <c r="AD32" i="17"/>
  <c r="AE31" i="17"/>
  <c r="AF31" i="17"/>
  <c r="AD31" i="17"/>
  <c r="AE30" i="17"/>
  <c r="AF30" i="17"/>
  <c r="AD30" i="17"/>
  <c r="AE29" i="17"/>
  <c r="AF29" i="17"/>
  <c r="AD29" i="17"/>
  <c r="AE28" i="17"/>
  <c r="AF28" i="17"/>
  <c r="AD28" i="17"/>
  <c r="AE27" i="17"/>
  <c r="AF27" i="17"/>
  <c r="AD27" i="17"/>
  <c r="AE26" i="17"/>
  <c r="AF26" i="17"/>
  <c r="AD26" i="17"/>
  <c r="AE25" i="17"/>
  <c r="AF25" i="17"/>
  <c r="AD25" i="17"/>
  <c r="AE24" i="17"/>
  <c r="AF24" i="17"/>
  <c r="AD24" i="17"/>
  <c r="AE23" i="17"/>
  <c r="AF23" i="17"/>
  <c r="AD23" i="17"/>
  <c r="AE22" i="17"/>
  <c r="AF22" i="17"/>
  <c r="AD22" i="17"/>
  <c r="AE21" i="17"/>
  <c r="AF21" i="17"/>
  <c r="AD21" i="17"/>
  <c r="AE20" i="17"/>
  <c r="AF20" i="17"/>
  <c r="AD20" i="17"/>
  <c r="AE19" i="17"/>
  <c r="AF19" i="17"/>
  <c r="AD19" i="17"/>
  <c r="AE18" i="17"/>
  <c r="AF18" i="17"/>
  <c r="AD18" i="17"/>
  <c r="AE17" i="17"/>
  <c r="AF17" i="17"/>
  <c r="AD17" i="17"/>
  <c r="AE16" i="17"/>
  <c r="AF16" i="17"/>
  <c r="AD16" i="17"/>
  <c r="AE15" i="17"/>
  <c r="AF15" i="17"/>
  <c r="AD15" i="17"/>
  <c r="AE14" i="17"/>
  <c r="AF14" i="17"/>
  <c r="AD14" i="17"/>
  <c r="AE13" i="17"/>
  <c r="AF13" i="17"/>
  <c r="AD13" i="17"/>
  <c r="AE12" i="17"/>
  <c r="AF12" i="17"/>
  <c r="AD12" i="17"/>
  <c r="AE11" i="17"/>
  <c r="AF11" i="17"/>
  <c r="AD11" i="17"/>
  <c r="AE10" i="17"/>
  <c r="AF10" i="17"/>
  <c r="AD10" i="17"/>
  <c r="AE9" i="17"/>
  <c r="AF9" i="17"/>
  <c r="AD9" i="17"/>
  <c r="AE7" i="17"/>
  <c r="AF7" i="17"/>
  <c r="AD7" i="17"/>
  <c r="H111" i="1"/>
  <c r="K317" i="17"/>
  <c r="J317" i="17"/>
  <c r="H317" i="17"/>
  <c r="G317" i="17"/>
  <c r="E317" i="17"/>
  <c r="B317" i="17"/>
  <c r="U316" i="17"/>
  <c r="T316" i="17"/>
  <c r="S316" i="17"/>
  <c r="L316" i="17"/>
  <c r="I316" i="17"/>
  <c r="U315" i="17"/>
  <c r="T315" i="17"/>
  <c r="S315" i="17"/>
  <c r="L315" i="17"/>
  <c r="I315" i="17"/>
  <c r="U314" i="17"/>
  <c r="T314" i="17"/>
  <c r="S314" i="17"/>
  <c r="L314" i="17"/>
  <c r="I314" i="17"/>
  <c r="U313" i="17"/>
  <c r="T313" i="17"/>
  <c r="S313" i="17"/>
  <c r="L313" i="17"/>
  <c r="I313" i="17"/>
  <c r="U312" i="17"/>
  <c r="T312" i="17"/>
  <c r="S312" i="17"/>
  <c r="L312" i="17"/>
  <c r="I312" i="17"/>
  <c r="U311" i="17"/>
  <c r="T311" i="17"/>
  <c r="S311" i="17"/>
  <c r="L311" i="17"/>
  <c r="I311" i="17"/>
  <c r="U310" i="17"/>
  <c r="T310" i="17"/>
  <c r="S310" i="17"/>
  <c r="L310" i="17"/>
  <c r="I310" i="17"/>
  <c r="U309" i="17"/>
  <c r="T309" i="17"/>
  <c r="S309" i="17"/>
  <c r="L309" i="17"/>
  <c r="I309" i="17"/>
  <c r="U308" i="17"/>
  <c r="T308" i="17"/>
  <c r="S308" i="17"/>
  <c r="L308" i="17"/>
  <c r="I308" i="17"/>
  <c r="U307" i="17"/>
  <c r="T307" i="17"/>
  <c r="S307" i="17"/>
  <c r="L307" i="17"/>
  <c r="I307" i="17"/>
  <c r="U306" i="17"/>
  <c r="T306" i="17"/>
  <c r="S306" i="17"/>
  <c r="L306" i="17"/>
  <c r="I306" i="17"/>
  <c r="U305" i="17"/>
  <c r="T305" i="17"/>
  <c r="S305" i="17"/>
  <c r="L305" i="17"/>
  <c r="I305" i="17"/>
  <c r="U304" i="17"/>
  <c r="T304" i="17"/>
  <c r="S304" i="17"/>
  <c r="L304" i="17"/>
  <c r="I304" i="17"/>
  <c r="U303" i="17"/>
  <c r="T303" i="17"/>
  <c r="S303" i="17"/>
  <c r="L303" i="17"/>
  <c r="I303" i="17"/>
  <c r="U302" i="17"/>
  <c r="T302" i="17"/>
  <c r="S302" i="17"/>
  <c r="L302" i="17"/>
  <c r="I302" i="17"/>
  <c r="U301" i="17"/>
  <c r="T301" i="17"/>
  <c r="S301" i="17"/>
  <c r="L301" i="17"/>
  <c r="I301" i="17"/>
  <c r="U300" i="17"/>
  <c r="T300" i="17"/>
  <c r="S300" i="17"/>
  <c r="L300" i="17"/>
  <c r="I300" i="17"/>
  <c r="U299" i="17"/>
  <c r="T299" i="17"/>
  <c r="S299" i="17"/>
  <c r="L299" i="17"/>
  <c r="I299" i="17"/>
  <c r="U298" i="17"/>
  <c r="T298" i="17"/>
  <c r="S298" i="17"/>
  <c r="L298" i="17"/>
  <c r="I298" i="17"/>
  <c r="U297" i="17"/>
  <c r="T297" i="17"/>
  <c r="S297" i="17"/>
  <c r="L297" i="17"/>
  <c r="I297" i="17"/>
  <c r="U296" i="17"/>
  <c r="T296" i="17"/>
  <c r="S296" i="17"/>
  <c r="L296" i="17"/>
  <c r="I296" i="17"/>
  <c r="U295" i="17"/>
  <c r="T295" i="17"/>
  <c r="S295" i="17"/>
  <c r="L295" i="17"/>
  <c r="I295" i="17"/>
  <c r="U294" i="17"/>
  <c r="T294" i="17"/>
  <c r="S294" i="17"/>
  <c r="L294" i="17"/>
  <c r="I294" i="17"/>
  <c r="U293" i="17"/>
  <c r="T293" i="17"/>
  <c r="S293" i="17"/>
  <c r="L293" i="17"/>
  <c r="I293" i="17"/>
  <c r="U292" i="17"/>
  <c r="T292" i="17"/>
  <c r="S292" i="17"/>
  <c r="L292" i="17"/>
  <c r="I292" i="17"/>
  <c r="U291" i="17"/>
  <c r="T291" i="17"/>
  <c r="S291" i="17"/>
  <c r="L291" i="17"/>
  <c r="I291" i="17"/>
  <c r="U290" i="17"/>
  <c r="T290" i="17"/>
  <c r="S290" i="17"/>
  <c r="L290" i="17"/>
  <c r="I290" i="17"/>
  <c r="U289" i="17"/>
  <c r="T289" i="17"/>
  <c r="S289" i="17"/>
  <c r="L289" i="17"/>
  <c r="I289" i="17"/>
  <c r="U288" i="17"/>
  <c r="T288" i="17"/>
  <c r="S288" i="17"/>
  <c r="L288" i="17"/>
  <c r="I288" i="17"/>
  <c r="U287" i="17"/>
  <c r="T287" i="17"/>
  <c r="S287" i="17"/>
  <c r="L287" i="17"/>
  <c r="I287" i="17"/>
  <c r="U286" i="17"/>
  <c r="T286" i="17"/>
  <c r="S286" i="17"/>
  <c r="L286" i="17"/>
  <c r="I286" i="17"/>
  <c r="U285" i="17"/>
  <c r="T285" i="17"/>
  <c r="S285" i="17"/>
  <c r="L285" i="17"/>
  <c r="I285" i="17"/>
  <c r="U284" i="17"/>
  <c r="T284" i="17"/>
  <c r="S284" i="17"/>
  <c r="L284" i="17"/>
  <c r="I284" i="17"/>
  <c r="U283" i="17"/>
  <c r="T283" i="17"/>
  <c r="S283" i="17"/>
  <c r="L283" i="17"/>
  <c r="I283" i="17"/>
  <c r="U282" i="17"/>
  <c r="T282" i="17"/>
  <c r="S282" i="17"/>
  <c r="L282" i="17"/>
  <c r="I282" i="17"/>
  <c r="U281" i="17"/>
  <c r="T281" i="17"/>
  <c r="S281" i="17"/>
  <c r="L281" i="17"/>
  <c r="I281" i="17"/>
  <c r="U280" i="17"/>
  <c r="T280" i="17"/>
  <c r="S280" i="17"/>
  <c r="L280" i="17"/>
  <c r="I280" i="17"/>
  <c r="U279" i="17"/>
  <c r="T279" i="17"/>
  <c r="S279" i="17"/>
  <c r="AC279" i="17" s="1"/>
  <c r="L279" i="17"/>
  <c r="I279" i="17"/>
  <c r="U278" i="17"/>
  <c r="T278" i="17"/>
  <c r="S278" i="17"/>
  <c r="L278" i="17"/>
  <c r="I278" i="17"/>
  <c r="U277" i="17"/>
  <c r="T277" i="17"/>
  <c r="S277" i="17"/>
  <c r="L277" i="17"/>
  <c r="I277" i="17"/>
  <c r="U276" i="17"/>
  <c r="T276" i="17"/>
  <c r="S276" i="17"/>
  <c r="L276" i="17"/>
  <c r="I276" i="17"/>
  <c r="U275" i="17"/>
  <c r="T275" i="17"/>
  <c r="S275" i="17"/>
  <c r="AC275" i="17" s="1"/>
  <c r="L275" i="17"/>
  <c r="I275" i="17"/>
  <c r="U274" i="17"/>
  <c r="T274" i="17"/>
  <c r="S274" i="17"/>
  <c r="L274" i="17"/>
  <c r="I274" i="17"/>
  <c r="U273" i="17"/>
  <c r="T273" i="17"/>
  <c r="S273" i="17"/>
  <c r="L273" i="17"/>
  <c r="I273" i="17"/>
  <c r="U272" i="17"/>
  <c r="T272" i="17"/>
  <c r="S272" i="17"/>
  <c r="L272" i="17"/>
  <c r="I272" i="17"/>
  <c r="U271" i="17"/>
  <c r="T271" i="17"/>
  <c r="S271" i="17"/>
  <c r="AC271" i="17" s="1"/>
  <c r="L271" i="17"/>
  <c r="I271" i="17"/>
  <c r="K269" i="17"/>
  <c r="J269" i="17"/>
  <c r="H269" i="17"/>
  <c r="G269" i="17"/>
  <c r="AE269" i="17" s="1"/>
  <c r="E269" i="17"/>
  <c r="B269" i="17"/>
  <c r="U268" i="17"/>
  <c r="T268" i="17"/>
  <c r="S268" i="17"/>
  <c r="L268" i="17"/>
  <c r="M268" i="17" s="1"/>
  <c r="I268" i="17"/>
  <c r="U267" i="17"/>
  <c r="T267" i="17"/>
  <c r="S267" i="17"/>
  <c r="L267" i="17"/>
  <c r="M267" i="17" s="1"/>
  <c r="I267" i="17"/>
  <c r="U266" i="17"/>
  <c r="T266" i="17"/>
  <c r="S266" i="17"/>
  <c r="AC266" i="17" s="1"/>
  <c r="L266" i="17"/>
  <c r="M266" i="17" s="1"/>
  <c r="I266" i="17"/>
  <c r="U265" i="17"/>
  <c r="T265" i="17"/>
  <c r="S265" i="17"/>
  <c r="L265" i="17"/>
  <c r="M265" i="17" s="1"/>
  <c r="I265" i="17"/>
  <c r="U264" i="17"/>
  <c r="T264" i="17"/>
  <c r="S264" i="17"/>
  <c r="L264" i="17"/>
  <c r="M264" i="17" s="1"/>
  <c r="I264" i="17"/>
  <c r="U263" i="17"/>
  <c r="T263" i="17"/>
  <c r="S263" i="17"/>
  <c r="L263" i="17"/>
  <c r="M263" i="17" s="1"/>
  <c r="I263" i="17"/>
  <c r="U262" i="17"/>
  <c r="T262" i="17"/>
  <c r="S262" i="17"/>
  <c r="L262" i="17"/>
  <c r="M262" i="17" s="1"/>
  <c r="I262" i="17"/>
  <c r="U261" i="17"/>
  <c r="T261" i="17"/>
  <c r="S261" i="17"/>
  <c r="L261" i="17"/>
  <c r="M261" i="17" s="1"/>
  <c r="I261" i="17"/>
  <c r="U260" i="17"/>
  <c r="T260" i="17"/>
  <c r="S260" i="17"/>
  <c r="AC260" i="17" s="1"/>
  <c r="L260" i="17"/>
  <c r="M260" i="17" s="1"/>
  <c r="I260" i="17"/>
  <c r="U259" i="17"/>
  <c r="T259" i="17"/>
  <c r="S259" i="17"/>
  <c r="L259" i="17"/>
  <c r="M259" i="17" s="1"/>
  <c r="I259" i="17"/>
  <c r="U258" i="17"/>
  <c r="T258" i="17"/>
  <c r="S258" i="17"/>
  <c r="AC258" i="17" s="1"/>
  <c r="L258" i="17"/>
  <c r="M258" i="17" s="1"/>
  <c r="I258" i="17"/>
  <c r="U257" i="17"/>
  <c r="T257" i="17"/>
  <c r="S257" i="17"/>
  <c r="L257" i="17"/>
  <c r="M257" i="17" s="1"/>
  <c r="I257" i="17"/>
  <c r="U256" i="17"/>
  <c r="T256" i="17"/>
  <c r="S256" i="17"/>
  <c r="L256" i="17"/>
  <c r="M256" i="17" s="1"/>
  <c r="I256" i="17"/>
  <c r="U255" i="17"/>
  <c r="T255" i="17"/>
  <c r="S255" i="17"/>
  <c r="L255" i="17"/>
  <c r="M255" i="17" s="1"/>
  <c r="I255" i="17"/>
  <c r="U254" i="17"/>
  <c r="T254" i="17"/>
  <c r="S254" i="17"/>
  <c r="L254" i="17"/>
  <c r="M254" i="17" s="1"/>
  <c r="I254" i="17"/>
  <c r="U253" i="17"/>
  <c r="T253" i="17"/>
  <c r="S253" i="17"/>
  <c r="L253" i="17"/>
  <c r="M253" i="17" s="1"/>
  <c r="I253" i="17"/>
  <c r="U252" i="17"/>
  <c r="T252" i="17"/>
  <c r="S252" i="17"/>
  <c r="N252" i="17"/>
  <c r="L252" i="17"/>
  <c r="M252" i="17" s="1"/>
  <c r="I252" i="17"/>
  <c r="U251" i="17"/>
  <c r="T251" i="17"/>
  <c r="S251" i="17"/>
  <c r="AC251" i="17" s="1"/>
  <c r="L251" i="17"/>
  <c r="M251" i="17" s="1"/>
  <c r="I251" i="17"/>
  <c r="U250" i="17"/>
  <c r="T250" i="17"/>
  <c r="S250" i="17"/>
  <c r="L250" i="17"/>
  <c r="M250" i="17" s="1"/>
  <c r="I250" i="17"/>
  <c r="U249" i="17"/>
  <c r="T249" i="17"/>
  <c r="S249" i="17"/>
  <c r="L249" i="17"/>
  <c r="M249" i="17" s="1"/>
  <c r="I249" i="17"/>
  <c r="U248" i="17"/>
  <c r="T248" i="17"/>
  <c r="S248" i="17"/>
  <c r="L248" i="17"/>
  <c r="M248" i="17" s="1"/>
  <c r="I248" i="17"/>
  <c r="U247" i="17"/>
  <c r="T247" i="17"/>
  <c r="S247" i="17"/>
  <c r="L247" i="17"/>
  <c r="M247" i="17" s="1"/>
  <c r="I247" i="17"/>
  <c r="U246" i="17"/>
  <c r="T246" i="17"/>
  <c r="S246" i="17"/>
  <c r="L246" i="17"/>
  <c r="M246" i="17" s="1"/>
  <c r="I246" i="17"/>
  <c r="U245" i="17"/>
  <c r="T245" i="17"/>
  <c r="S245" i="17"/>
  <c r="L245" i="17"/>
  <c r="M245" i="17" s="1"/>
  <c r="I245" i="17"/>
  <c r="U244" i="17"/>
  <c r="T244" i="17"/>
  <c r="S244" i="17"/>
  <c r="N244" i="17"/>
  <c r="L244" i="17"/>
  <c r="M244" i="17" s="1"/>
  <c r="I244" i="17"/>
  <c r="U243" i="17"/>
  <c r="T243" i="17"/>
  <c r="S243" i="17"/>
  <c r="L243" i="17"/>
  <c r="M243" i="17" s="1"/>
  <c r="I243" i="17"/>
  <c r="U242" i="17"/>
  <c r="T242" i="17"/>
  <c r="S242" i="17"/>
  <c r="AC242" i="17" s="1"/>
  <c r="N242" i="17"/>
  <c r="L242" i="17"/>
  <c r="M242" i="17" s="1"/>
  <c r="I242" i="17"/>
  <c r="U241" i="17"/>
  <c r="T241" i="17"/>
  <c r="S241" i="17"/>
  <c r="L241" i="17"/>
  <c r="M241" i="17" s="1"/>
  <c r="I241" i="17"/>
  <c r="U240" i="17"/>
  <c r="T240" i="17"/>
  <c r="S240" i="17"/>
  <c r="AC240" i="17" s="1"/>
  <c r="L240" i="17"/>
  <c r="M240" i="17" s="1"/>
  <c r="I240" i="17"/>
  <c r="U239" i="17"/>
  <c r="T239" i="17"/>
  <c r="S239" i="17"/>
  <c r="L239" i="17"/>
  <c r="M239" i="17" s="1"/>
  <c r="I239" i="17"/>
  <c r="U238" i="17"/>
  <c r="T238" i="17"/>
  <c r="S238" i="17"/>
  <c r="L238" i="17"/>
  <c r="M238" i="17" s="1"/>
  <c r="I238" i="17"/>
  <c r="U237" i="17"/>
  <c r="T237" i="17"/>
  <c r="S237" i="17"/>
  <c r="L237" i="17"/>
  <c r="M237" i="17" s="1"/>
  <c r="I237" i="17"/>
  <c r="U236" i="17"/>
  <c r="T236" i="17"/>
  <c r="S236" i="17"/>
  <c r="AC236" i="17" s="1"/>
  <c r="L236" i="17"/>
  <c r="M236" i="17" s="1"/>
  <c r="I236" i="17"/>
  <c r="U235" i="17"/>
  <c r="T235" i="17"/>
  <c r="S235" i="17"/>
  <c r="L235" i="17"/>
  <c r="M235" i="17" s="1"/>
  <c r="I235" i="17"/>
  <c r="U234" i="17"/>
  <c r="T234" i="17"/>
  <c r="S234" i="17"/>
  <c r="N234" i="17"/>
  <c r="L234" i="17"/>
  <c r="M234" i="17" s="1"/>
  <c r="I234" i="17"/>
  <c r="K232" i="17"/>
  <c r="J232" i="17"/>
  <c r="H232" i="17"/>
  <c r="G232" i="17"/>
  <c r="AF232" i="17" s="1"/>
  <c r="E232" i="17"/>
  <c r="B232" i="17"/>
  <c r="U231" i="17"/>
  <c r="T231" i="17"/>
  <c r="S231" i="17"/>
  <c r="L231" i="17"/>
  <c r="N231" i="17" s="1"/>
  <c r="I231" i="17"/>
  <c r="U230" i="17"/>
  <c r="T230" i="17"/>
  <c r="S230" i="17"/>
  <c r="L230" i="17"/>
  <c r="N230" i="17" s="1"/>
  <c r="I230" i="17"/>
  <c r="U229" i="17"/>
  <c r="T229" i="17"/>
  <c r="S229" i="17"/>
  <c r="AC229" i="17" s="1"/>
  <c r="L229" i="17"/>
  <c r="N229" i="17" s="1"/>
  <c r="I229" i="17"/>
  <c r="U228" i="17"/>
  <c r="T228" i="17"/>
  <c r="S228" i="17"/>
  <c r="L228" i="17"/>
  <c r="N228" i="17" s="1"/>
  <c r="I228" i="17"/>
  <c r="U227" i="17"/>
  <c r="T227" i="17"/>
  <c r="S227" i="17"/>
  <c r="L227" i="17"/>
  <c r="N227" i="17" s="1"/>
  <c r="I227" i="17"/>
  <c r="U226" i="17"/>
  <c r="T226" i="17"/>
  <c r="S226" i="17"/>
  <c r="L226" i="17"/>
  <c r="N226" i="17" s="1"/>
  <c r="I226" i="17"/>
  <c r="U225" i="17"/>
  <c r="T225" i="17"/>
  <c r="S225" i="17"/>
  <c r="L225" i="17"/>
  <c r="N225" i="17" s="1"/>
  <c r="I225" i="17"/>
  <c r="U224" i="17"/>
  <c r="T224" i="17"/>
  <c r="S224" i="17"/>
  <c r="L224" i="17"/>
  <c r="N224" i="17" s="1"/>
  <c r="I224" i="17"/>
  <c r="U223" i="17"/>
  <c r="T223" i="17"/>
  <c r="S223" i="17"/>
  <c r="L223" i="17"/>
  <c r="N223" i="17" s="1"/>
  <c r="I223" i="17"/>
  <c r="U222" i="17"/>
  <c r="T222" i="17"/>
  <c r="S222" i="17"/>
  <c r="L222" i="17"/>
  <c r="N222" i="17" s="1"/>
  <c r="I222" i="17"/>
  <c r="U221" i="17"/>
  <c r="T221" i="17"/>
  <c r="S221" i="17"/>
  <c r="AC221" i="17" s="1"/>
  <c r="L221" i="17"/>
  <c r="N221" i="17" s="1"/>
  <c r="I221" i="17"/>
  <c r="U220" i="17"/>
  <c r="T220" i="17"/>
  <c r="S220" i="17"/>
  <c r="L220" i="17"/>
  <c r="N220" i="17" s="1"/>
  <c r="I220" i="17"/>
  <c r="U219" i="17"/>
  <c r="T219" i="17"/>
  <c r="S219" i="17"/>
  <c r="L219" i="17"/>
  <c r="N219" i="17" s="1"/>
  <c r="I219" i="17"/>
  <c r="U218" i="17"/>
  <c r="T218" i="17"/>
  <c r="S218" i="17"/>
  <c r="L218" i="17"/>
  <c r="N218" i="17" s="1"/>
  <c r="I218" i="17"/>
  <c r="U217" i="17"/>
  <c r="T217" i="17"/>
  <c r="S217" i="17"/>
  <c r="L217" i="17"/>
  <c r="N217" i="17" s="1"/>
  <c r="I217" i="17"/>
  <c r="U216" i="17"/>
  <c r="T216" i="17"/>
  <c r="S216" i="17"/>
  <c r="L216" i="17"/>
  <c r="N216" i="17" s="1"/>
  <c r="I216" i="17"/>
  <c r="U215" i="17"/>
  <c r="T215" i="17"/>
  <c r="S215" i="17"/>
  <c r="L215" i="17"/>
  <c r="N215" i="17" s="1"/>
  <c r="I215" i="17"/>
  <c r="U214" i="17"/>
  <c r="T214" i="17"/>
  <c r="S214" i="17"/>
  <c r="L214" i="17"/>
  <c r="N214" i="17" s="1"/>
  <c r="I214" i="17"/>
  <c r="K212" i="17"/>
  <c r="J212" i="17"/>
  <c r="H212" i="17"/>
  <c r="G212" i="17"/>
  <c r="AE212" i="17" s="1"/>
  <c r="E212" i="17"/>
  <c r="B212" i="17"/>
  <c r="U211" i="17"/>
  <c r="T211" i="17"/>
  <c r="S211" i="17"/>
  <c r="L211" i="17"/>
  <c r="M211" i="17" s="1"/>
  <c r="I211" i="17"/>
  <c r="U210" i="17"/>
  <c r="T210" i="17"/>
  <c r="S210" i="17"/>
  <c r="L210" i="17"/>
  <c r="M210" i="17" s="1"/>
  <c r="I210" i="17"/>
  <c r="U209" i="17"/>
  <c r="T209" i="17"/>
  <c r="S209" i="17"/>
  <c r="AC209" i="17" s="1"/>
  <c r="N209" i="17"/>
  <c r="L209" i="17"/>
  <c r="M209" i="17" s="1"/>
  <c r="I209" i="17"/>
  <c r="U208" i="17"/>
  <c r="T208" i="17"/>
  <c r="AC208" i="17" s="1"/>
  <c r="S208" i="17"/>
  <c r="L208" i="17"/>
  <c r="M208" i="17" s="1"/>
  <c r="I208" i="17"/>
  <c r="U207" i="17"/>
  <c r="T207" i="17"/>
  <c r="S207" i="17"/>
  <c r="AC207" i="17" s="1"/>
  <c r="L207" i="17"/>
  <c r="M207" i="17" s="1"/>
  <c r="I207" i="17"/>
  <c r="U206" i="17"/>
  <c r="T206" i="17"/>
  <c r="S206" i="17"/>
  <c r="L206" i="17"/>
  <c r="M206" i="17" s="1"/>
  <c r="I206" i="17"/>
  <c r="U205" i="17"/>
  <c r="T205" i="17"/>
  <c r="S205" i="17"/>
  <c r="L205" i="17"/>
  <c r="M205" i="17" s="1"/>
  <c r="I205" i="17"/>
  <c r="U204" i="17"/>
  <c r="T204" i="17"/>
  <c r="S204" i="17"/>
  <c r="AC204" i="17" s="1"/>
  <c r="L204" i="17"/>
  <c r="M204" i="17" s="1"/>
  <c r="I204" i="17"/>
  <c r="U203" i="17"/>
  <c r="T203" i="17"/>
  <c r="S203" i="17"/>
  <c r="L203" i="17"/>
  <c r="M203" i="17" s="1"/>
  <c r="I203" i="17"/>
  <c r="U202" i="17"/>
  <c r="T202" i="17"/>
  <c r="S202" i="17"/>
  <c r="L202" i="17"/>
  <c r="M202" i="17" s="1"/>
  <c r="I202" i="17"/>
  <c r="U201" i="17"/>
  <c r="T201" i="17"/>
  <c r="S201" i="17"/>
  <c r="N201" i="17"/>
  <c r="L201" i="17"/>
  <c r="M201" i="17" s="1"/>
  <c r="I201" i="17"/>
  <c r="U200" i="17"/>
  <c r="T200" i="17"/>
  <c r="S200" i="17"/>
  <c r="L200" i="17"/>
  <c r="M200" i="17" s="1"/>
  <c r="I200" i="17"/>
  <c r="AC199" i="17"/>
  <c r="U199" i="17"/>
  <c r="T199" i="17"/>
  <c r="S199" i="17"/>
  <c r="L199" i="17"/>
  <c r="M199" i="17" s="1"/>
  <c r="I199" i="17"/>
  <c r="U198" i="17"/>
  <c r="T198" i="17"/>
  <c r="S198" i="17"/>
  <c r="L198" i="17"/>
  <c r="M198" i="17" s="1"/>
  <c r="I198" i="17"/>
  <c r="U197" i="17"/>
  <c r="T197" i="17"/>
  <c r="S197" i="17"/>
  <c r="L197" i="17"/>
  <c r="M197" i="17" s="1"/>
  <c r="I197" i="17"/>
  <c r="U196" i="17"/>
  <c r="T196" i="17"/>
  <c r="S196" i="17"/>
  <c r="L196" i="17"/>
  <c r="M196" i="17" s="1"/>
  <c r="I196" i="17"/>
  <c r="U195" i="17"/>
  <c r="T195" i="17"/>
  <c r="S195" i="17"/>
  <c r="L195" i="17"/>
  <c r="M195" i="17" s="1"/>
  <c r="I195" i="17"/>
  <c r="U194" i="17"/>
  <c r="T194" i="17"/>
  <c r="S194" i="17"/>
  <c r="AC194" i="17" s="1"/>
  <c r="L194" i="17"/>
  <c r="M194" i="17" s="1"/>
  <c r="I194" i="17"/>
  <c r="U193" i="17"/>
  <c r="T193" i="17"/>
  <c r="S193" i="17"/>
  <c r="L193" i="17"/>
  <c r="M193" i="17" s="1"/>
  <c r="I193" i="17"/>
  <c r="U192" i="17"/>
  <c r="T192" i="17"/>
  <c r="S192" i="17"/>
  <c r="L192" i="17"/>
  <c r="M192" i="17" s="1"/>
  <c r="I192" i="17"/>
  <c r="U191" i="17"/>
  <c r="T191" i="17"/>
  <c r="S191" i="17"/>
  <c r="AC191" i="17" s="1"/>
  <c r="L191" i="17"/>
  <c r="M191" i="17" s="1"/>
  <c r="I191" i="17"/>
  <c r="U190" i="17"/>
  <c r="T190" i="17"/>
  <c r="S190" i="17"/>
  <c r="L190" i="17"/>
  <c r="M190" i="17" s="1"/>
  <c r="I190" i="17"/>
  <c r="U189" i="17"/>
  <c r="T189" i="17"/>
  <c r="S189" i="17"/>
  <c r="L189" i="17"/>
  <c r="M189" i="17" s="1"/>
  <c r="I189" i="17"/>
  <c r="U188" i="17"/>
  <c r="T188" i="17"/>
  <c r="S188" i="17"/>
  <c r="L188" i="17"/>
  <c r="M188" i="17" s="1"/>
  <c r="I188" i="17"/>
  <c r="U187" i="17"/>
  <c r="T187" i="17"/>
  <c r="S187" i="17"/>
  <c r="L187" i="17"/>
  <c r="M187" i="17" s="1"/>
  <c r="I187" i="17"/>
  <c r="U186" i="17"/>
  <c r="T186" i="17"/>
  <c r="S186" i="17"/>
  <c r="AC186" i="17" s="1"/>
  <c r="L186" i="17"/>
  <c r="M186" i="17" s="1"/>
  <c r="I186" i="17"/>
  <c r="U185" i="17"/>
  <c r="T185" i="17"/>
  <c r="S185" i="17"/>
  <c r="L185" i="17"/>
  <c r="M185" i="17" s="1"/>
  <c r="I185" i="17"/>
  <c r="U184" i="17"/>
  <c r="T184" i="17"/>
  <c r="S184" i="17"/>
  <c r="L184" i="17"/>
  <c r="M184" i="17" s="1"/>
  <c r="I184" i="17"/>
  <c r="U183" i="17"/>
  <c r="T183" i="17"/>
  <c r="S183" i="17"/>
  <c r="AC183" i="17" s="1"/>
  <c r="L183" i="17"/>
  <c r="M183" i="17" s="1"/>
  <c r="I183" i="17"/>
  <c r="U182" i="17"/>
  <c r="T182" i="17"/>
  <c r="S182" i="17"/>
  <c r="L182" i="17"/>
  <c r="M182" i="17" s="1"/>
  <c r="I182" i="17"/>
  <c r="U181" i="17"/>
  <c r="T181" i="17"/>
  <c r="S181" i="17"/>
  <c r="L181" i="17"/>
  <c r="M181" i="17" s="1"/>
  <c r="I181" i="17"/>
  <c r="U180" i="17"/>
  <c r="T180" i="17"/>
  <c r="S180" i="17"/>
  <c r="AC180" i="17" s="1"/>
  <c r="L180" i="17"/>
  <c r="M180" i="17" s="1"/>
  <c r="I180" i="17"/>
  <c r="U179" i="17"/>
  <c r="T179" i="17"/>
  <c r="S179" i="17"/>
  <c r="L179" i="17"/>
  <c r="M179" i="17" s="1"/>
  <c r="I179" i="17"/>
  <c r="U178" i="17"/>
  <c r="T178" i="17"/>
  <c r="S178" i="17"/>
  <c r="AC178" i="17" s="1"/>
  <c r="L178" i="17"/>
  <c r="M178" i="17" s="1"/>
  <c r="I178" i="17"/>
  <c r="U177" i="17"/>
  <c r="T177" i="17"/>
  <c r="S177" i="17"/>
  <c r="L177" i="17"/>
  <c r="M177" i="17" s="1"/>
  <c r="I177" i="17"/>
  <c r="U176" i="17"/>
  <c r="T176" i="17"/>
  <c r="S176" i="17"/>
  <c r="L176" i="17"/>
  <c r="M176" i="17" s="1"/>
  <c r="I176" i="17"/>
  <c r="U175" i="17"/>
  <c r="T175" i="17"/>
  <c r="S175" i="17"/>
  <c r="AC175" i="17" s="1"/>
  <c r="L175" i="17"/>
  <c r="M175" i="17" s="1"/>
  <c r="I175" i="17"/>
  <c r="U174" i="17"/>
  <c r="AC174" i="17" s="1"/>
  <c r="T174" i="17"/>
  <c r="S174" i="17"/>
  <c r="L174" i="17"/>
  <c r="M174" i="17" s="1"/>
  <c r="I174" i="17"/>
  <c r="U173" i="17"/>
  <c r="T173" i="17"/>
  <c r="S173" i="17"/>
  <c r="L173" i="17"/>
  <c r="M173" i="17" s="1"/>
  <c r="I173" i="17"/>
  <c r="U172" i="17"/>
  <c r="T172" i="17"/>
  <c r="S172" i="17"/>
  <c r="L172" i="17"/>
  <c r="M172" i="17" s="1"/>
  <c r="I172" i="17"/>
  <c r="U171" i="17"/>
  <c r="T171" i="17"/>
  <c r="AC171" i="17" s="1"/>
  <c r="S171" i="17"/>
  <c r="L171" i="17"/>
  <c r="M171" i="17" s="1"/>
  <c r="I171" i="17"/>
  <c r="U170" i="17"/>
  <c r="T170" i="17"/>
  <c r="S170" i="17"/>
  <c r="AC170" i="17" s="1"/>
  <c r="L170" i="17"/>
  <c r="M170" i="17" s="1"/>
  <c r="I170" i="17"/>
  <c r="U169" i="17"/>
  <c r="T169" i="17"/>
  <c r="AC169" i="17" s="1"/>
  <c r="S169" i="17"/>
  <c r="L169" i="17"/>
  <c r="M169" i="17" s="1"/>
  <c r="I169" i="17"/>
  <c r="U168" i="17"/>
  <c r="T168" i="17"/>
  <c r="S168" i="17"/>
  <c r="L168" i="17"/>
  <c r="M168" i="17" s="1"/>
  <c r="I168" i="17"/>
  <c r="U167" i="17"/>
  <c r="T167" i="17"/>
  <c r="S167" i="17"/>
  <c r="AC167" i="17" s="1"/>
  <c r="L167" i="17"/>
  <c r="M167" i="17" s="1"/>
  <c r="I167" i="17"/>
  <c r="U166" i="17"/>
  <c r="T166" i="17"/>
  <c r="S166" i="17"/>
  <c r="L166" i="17"/>
  <c r="M166" i="17" s="1"/>
  <c r="I166" i="17"/>
  <c r="U165" i="17"/>
  <c r="T165" i="17"/>
  <c r="S165" i="17"/>
  <c r="L165" i="17"/>
  <c r="M165" i="17" s="1"/>
  <c r="I165" i="17"/>
  <c r="U164" i="17"/>
  <c r="T164" i="17"/>
  <c r="S164" i="17"/>
  <c r="AC164" i="17" s="1"/>
  <c r="L164" i="17"/>
  <c r="M164" i="17" s="1"/>
  <c r="I164" i="17"/>
  <c r="U163" i="17"/>
  <c r="T163" i="17"/>
  <c r="S163" i="17"/>
  <c r="L163" i="17"/>
  <c r="M163" i="17" s="1"/>
  <c r="I163" i="17"/>
  <c r="U162" i="17"/>
  <c r="T162" i="17"/>
  <c r="S162" i="17"/>
  <c r="AC162" i="17" s="1"/>
  <c r="L162" i="17"/>
  <c r="M162" i="17" s="1"/>
  <c r="I162" i="17"/>
  <c r="U161" i="17"/>
  <c r="T161" i="17"/>
  <c r="S161" i="17"/>
  <c r="L161" i="17"/>
  <c r="M161" i="17" s="1"/>
  <c r="I161" i="17"/>
  <c r="U160" i="17"/>
  <c r="T160" i="17"/>
  <c r="S160" i="17"/>
  <c r="L160" i="17"/>
  <c r="M160" i="17" s="1"/>
  <c r="I160" i="17"/>
  <c r="U159" i="17"/>
  <c r="T159" i="17"/>
  <c r="S159" i="17"/>
  <c r="AC159" i="17" s="1"/>
  <c r="L159" i="17"/>
  <c r="M159" i="17" s="1"/>
  <c r="I159" i="17"/>
  <c r="U158" i="17"/>
  <c r="T158" i="17"/>
  <c r="S158" i="17"/>
  <c r="L158" i="17"/>
  <c r="M158" i="17" s="1"/>
  <c r="I158" i="17"/>
  <c r="U157" i="17"/>
  <c r="T157" i="17"/>
  <c r="S157" i="17"/>
  <c r="N157" i="17"/>
  <c r="L157" i="17"/>
  <c r="M157" i="17" s="1"/>
  <c r="I157" i="17"/>
  <c r="U156" i="17"/>
  <c r="T156" i="17"/>
  <c r="S156" i="17"/>
  <c r="L156" i="17"/>
  <c r="M156" i="17" s="1"/>
  <c r="I156" i="17"/>
  <c r="U155" i="17"/>
  <c r="T155" i="17"/>
  <c r="S155" i="17"/>
  <c r="L155" i="17"/>
  <c r="M155" i="17" s="1"/>
  <c r="I155" i="17"/>
  <c r="U154" i="17"/>
  <c r="T154" i="17"/>
  <c r="S154" i="17"/>
  <c r="AC154" i="17" s="1"/>
  <c r="L154" i="17"/>
  <c r="M154" i="17" s="1"/>
  <c r="I154" i="17"/>
  <c r="U153" i="17"/>
  <c r="T153" i="17"/>
  <c r="S153" i="17"/>
  <c r="L153" i="17"/>
  <c r="M153" i="17" s="1"/>
  <c r="I153" i="17"/>
  <c r="U152" i="17"/>
  <c r="T152" i="17"/>
  <c r="S152" i="17"/>
  <c r="L152" i="17"/>
  <c r="M152" i="17" s="1"/>
  <c r="I152" i="17"/>
  <c r="U151" i="17"/>
  <c r="T151" i="17"/>
  <c r="S151" i="17"/>
  <c r="L151" i="17"/>
  <c r="M151" i="17" s="1"/>
  <c r="I151" i="17"/>
  <c r="U150" i="17"/>
  <c r="T150" i="17"/>
  <c r="S150" i="17"/>
  <c r="AC150" i="17" s="1"/>
  <c r="L150" i="17"/>
  <c r="M150" i="17" s="1"/>
  <c r="I150" i="17"/>
  <c r="U149" i="17"/>
  <c r="T149" i="17"/>
  <c r="AC149" i="17" s="1"/>
  <c r="S149" i="17"/>
  <c r="L149" i="17"/>
  <c r="M149" i="17" s="1"/>
  <c r="I149" i="17"/>
  <c r="U148" i="17"/>
  <c r="T148" i="17"/>
  <c r="S148" i="17"/>
  <c r="L148" i="17"/>
  <c r="M148" i="17" s="1"/>
  <c r="I148" i="17"/>
  <c r="U147" i="17"/>
  <c r="T147" i="17"/>
  <c r="S147" i="17"/>
  <c r="L147" i="17"/>
  <c r="M147" i="17" s="1"/>
  <c r="I147" i="17"/>
  <c r="K145" i="17"/>
  <c r="J145" i="17"/>
  <c r="H145" i="17"/>
  <c r="G145" i="17"/>
  <c r="AE145" i="17" s="1"/>
  <c r="E145" i="17"/>
  <c r="B145" i="17"/>
  <c r="U144" i="17"/>
  <c r="T144" i="17"/>
  <c r="S144" i="17"/>
  <c r="L144" i="17"/>
  <c r="I144" i="17"/>
  <c r="U143" i="17"/>
  <c r="T143" i="17"/>
  <c r="S143" i="17"/>
  <c r="L143" i="17"/>
  <c r="I143" i="17"/>
  <c r="U142" i="17"/>
  <c r="T142" i="17"/>
  <c r="S142" i="17"/>
  <c r="L142" i="17"/>
  <c r="I142" i="17"/>
  <c r="U141" i="17"/>
  <c r="T141" i="17"/>
  <c r="S141" i="17"/>
  <c r="L141" i="17"/>
  <c r="I141" i="17"/>
  <c r="U140" i="17"/>
  <c r="T140" i="17"/>
  <c r="S140" i="17"/>
  <c r="L140" i="17"/>
  <c r="I140" i="17"/>
  <c r="U139" i="17"/>
  <c r="T139" i="17"/>
  <c r="S139" i="17"/>
  <c r="L139" i="17"/>
  <c r="I139" i="17"/>
  <c r="U138" i="17"/>
  <c r="T138" i="17"/>
  <c r="S138" i="17"/>
  <c r="L138" i="17"/>
  <c r="I138" i="17"/>
  <c r="U137" i="17"/>
  <c r="T137" i="17"/>
  <c r="S137" i="17"/>
  <c r="L137" i="17"/>
  <c r="I137" i="17"/>
  <c r="U136" i="17"/>
  <c r="T136" i="17"/>
  <c r="S136" i="17"/>
  <c r="L136" i="17"/>
  <c r="I136" i="17"/>
  <c r="U135" i="17"/>
  <c r="T135" i="17"/>
  <c r="S135" i="17"/>
  <c r="L135" i="17"/>
  <c r="I135" i="17"/>
  <c r="U134" i="17"/>
  <c r="T134" i="17"/>
  <c r="S134" i="17"/>
  <c r="L134" i="17"/>
  <c r="I134" i="17"/>
  <c r="U133" i="17"/>
  <c r="T133" i="17"/>
  <c r="S133" i="17"/>
  <c r="L133" i="17"/>
  <c r="I133" i="17"/>
  <c r="U132" i="17"/>
  <c r="T132" i="17"/>
  <c r="S132" i="17"/>
  <c r="L132" i="17"/>
  <c r="I132" i="17"/>
  <c r="U131" i="17"/>
  <c r="T131" i="17"/>
  <c r="S131" i="17"/>
  <c r="L131" i="17"/>
  <c r="I131" i="17"/>
  <c r="U130" i="17"/>
  <c r="T130" i="17"/>
  <c r="S130" i="17"/>
  <c r="L130" i="17"/>
  <c r="I130" i="17"/>
  <c r="U129" i="17"/>
  <c r="T129" i="17"/>
  <c r="S129" i="17"/>
  <c r="L129" i="17"/>
  <c r="I129" i="17"/>
  <c r="K127" i="17"/>
  <c r="J127" i="17"/>
  <c r="H127" i="17"/>
  <c r="G127" i="17"/>
  <c r="E127" i="17"/>
  <c r="B127" i="17"/>
  <c r="U126" i="17"/>
  <c r="T126" i="17"/>
  <c r="S126" i="17"/>
  <c r="AC126" i="17" s="1"/>
  <c r="L126" i="17"/>
  <c r="M126" i="17" s="1"/>
  <c r="I126" i="17"/>
  <c r="U125" i="17"/>
  <c r="T125" i="17"/>
  <c r="S125" i="17"/>
  <c r="L125" i="17"/>
  <c r="M125" i="17" s="1"/>
  <c r="I125" i="17"/>
  <c r="U124" i="17"/>
  <c r="T124" i="17"/>
  <c r="S124" i="17"/>
  <c r="L124" i="17"/>
  <c r="M124" i="17" s="1"/>
  <c r="I124" i="17"/>
  <c r="U123" i="17"/>
  <c r="T123" i="17"/>
  <c r="S123" i="17"/>
  <c r="L123" i="17"/>
  <c r="M123" i="17" s="1"/>
  <c r="I123" i="17"/>
  <c r="U122" i="17"/>
  <c r="T122" i="17"/>
  <c r="S122" i="17"/>
  <c r="L122" i="17"/>
  <c r="M122" i="17" s="1"/>
  <c r="I122" i="17"/>
  <c r="U121" i="17"/>
  <c r="T121" i="17"/>
  <c r="S121" i="17"/>
  <c r="L121" i="17"/>
  <c r="M121" i="17" s="1"/>
  <c r="I121" i="17"/>
  <c r="U120" i="17"/>
  <c r="T120" i="17"/>
  <c r="S120" i="17"/>
  <c r="L120" i="17"/>
  <c r="M120" i="17" s="1"/>
  <c r="I120" i="17"/>
  <c r="U119" i="17"/>
  <c r="T119" i="17"/>
  <c r="S119" i="17"/>
  <c r="L119" i="17"/>
  <c r="M119" i="17" s="1"/>
  <c r="I119" i="17"/>
  <c r="U118" i="17"/>
  <c r="T118" i="17"/>
  <c r="S118" i="17"/>
  <c r="AC118" i="17" s="1"/>
  <c r="L118" i="17"/>
  <c r="M118" i="17" s="1"/>
  <c r="I118" i="17"/>
  <c r="U117" i="17"/>
  <c r="T117" i="17"/>
  <c r="S117" i="17"/>
  <c r="L117" i="17"/>
  <c r="M117" i="17" s="1"/>
  <c r="I117" i="17"/>
  <c r="U116" i="17"/>
  <c r="T116" i="17"/>
  <c r="S116" i="17"/>
  <c r="L116" i="17"/>
  <c r="M116" i="17" s="1"/>
  <c r="I116" i="17"/>
  <c r="K114" i="17"/>
  <c r="J114" i="17"/>
  <c r="H114" i="17"/>
  <c r="G114" i="17"/>
  <c r="AE114" i="17" s="1"/>
  <c r="E114" i="17"/>
  <c r="B114" i="17"/>
  <c r="U113" i="17"/>
  <c r="T113" i="17"/>
  <c r="S113" i="17"/>
  <c r="L113" i="17"/>
  <c r="N113" i="17" s="1"/>
  <c r="I113" i="17"/>
  <c r="U112" i="17"/>
  <c r="T112" i="17"/>
  <c r="S112" i="17"/>
  <c r="L112" i="17"/>
  <c r="M112" i="17" s="1"/>
  <c r="I112" i="17"/>
  <c r="U111" i="17"/>
  <c r="T111" i="17"/>
  <c r="S111" i="17"/>
  <c r="L111" i="17"/>
  <c r="M111" i="17" s="1"/>
  <c r="I111" i="17"/>
  <c r="U110" i="17"/>
  <c r="T110" i="17"/>
  <c r="S110" i="17"/>
  <c r="L110" i="17"/>
  <c r="M110" i="17" s="1"/>
  <c r="I110" i="17"/>
  <c r="U109" i="17"/>
  <c r="T109" i="17"/>
  <c r="S109" i="17"/>
  <c r="N109" i="17"/>
  <c r="L109" i="17"/>
  <c r="M109" i="17" s="1"/>
  <c r="I109" i="17"/>
  <c r="U108" i="17"/>
  <c r="T108" i="17"/>
  <c r="S108" i="17"/>
  <c r="L108" i="17"/>
  <c r="M108" i="17" s="1"/>
  <c r="I108" i="17"/>
  <c r="U107" i="17"/>
  <c r="T107" i="17"/>
  <c r="S107" i="17"/>
  <c r="L107" i="17"/>
  <c r="M107" i="17" s="1"/>
  <c r="I107" i="17"/>
  <c r="U106" i="17"/>
  <c r="T106" i="17"/>
  <c r="S106" i="17"/>
  <c r="L106" i="17"/>
  <c r="M106" i="17" s="1"/>
  <c r="I106" i="17"/>
  <c r="U105" i="17"/>
  <c r="T105" i="17"/>
  <c r="S105" i="17"/>
  <c r="L105" i="17"/>
  <c r="M105" i="17" s="1"/>
  <c r="I105" i="17"/>
  <c r="U104" i="17"/>
  <c r="T104" i="17"/>
  <c r="S104" i="17"/>
  <c r="L104" i="17"/>
  <c r="M104" i="17" s="1"/>
  <c r="I104" i="17"/>
  <c r="U103" i="17"/>
  <c r="T103" i="17"/>
  <c r="S103" i="17"/>
  <c r="L103" i="17"/>
  <c r="M103" i="17" s="1"/>
  <c r="I103" i="17"/>
  <c r="U102" i="17"/>
  <c r="T102" i="17"/>
  <c r="S102" i="17"/>
  <c r="L102" i="17"/>
  <c r="M102" i="17" s="1"/>
  <c r="I102" i="17"/>
  <c r="U101" i="17"/>
  <c r="T101" i="17"/>
  <c r="S101" i="17"/>
  <c r="L101" i="17"/>
  <c r="M101" i="17" s="1"/>
  <c r="I101" i="17"/>
  <c r="U100" i="17"/>
  <c r="T100" i="17"/>
  <c r="S100" i="17"/>
  <c r="L100" i="17"/>
  <c r="M100" i="17" s="1"/>
  <c r="I100" i="17"/>
  <c r="U99" i="17"/>
  <c r="T99" i="17"/>
  <c r="S99" i="17"/>
  <c r="L99" i="17"/>
  <c r="M99" i="17" s="1"/>
  <c r="I99" i="17"/>
  <c r="U98" i="17"/>
  <c r="T98" i="17"/>
  <c r="S98" i="17"/>
  <c r="L98" i="17"/>
  <c r="M98" i="17" s="1"/>
  <c r="I98" i="17"/>
  <c r="U97" i="17"/>
  <c r="T97" i="17"/>
  <c r="S97" i="17"/>
  <c r="L97" i="17"/>
  <c r="M97" i="17" s="1"/>
  <c r="I97" i="17"/>
  <c r="U96" i="17"/>
  <c r="T96" i="17"/>
  <c r="S96" i="17"/>
  <c r="L96" i="17"/>
  <c r="M96" i="17" s="1"/>
  <c r="I96" i="17"/>
  <c r="U95" i="17"/>
  <c r="T95" i="17"/>
  <c r="S95" i="17"/>
  <c r="L95" i="17"/>
  <c r="M95" i="17" s="1"/>
  <c r="I95" i="17"/>
  <c r="U94" i="17"/>
  <c r="T94" i="17"/>
  <c r="S94" i="17"/>
  <c r="N94" i="17"/>
  <c r="L94" i="17"/>
  <c r="M94" i="17" s="1"/>
  <c r="I94" i="17"/>
  <c r="U93" i="17"/>
  <c r="T93" i="17"/>
  <c r="S93" i="17"/>
  <c r="L93" i="17"/>
  <c r="M93" i="17" s="1"/>
  <c r="I93" i="17"/>
  <c r="U92" i="17"/>
  <c r="T92" i="17"/>
  <c r="S92" i="17"/>
  <c r="L92" i="17"/>
  <c r="M92" i="17" s="1"/>
  <c r="I92" i="17"/>
  <c r="U91" i="17"/>
  <c r="T91" i="17"/>
  <c r="S91" i="17"/>
  <c r="N91" i="17"/>
  <c r="L91" i="17"/>
  <c r="M91" i="17" s="1"/>
  <c r="I91" i="17"/>
  <c r="U90" i="17"/>
  <c r="T90" i="17"/>
  <c r="S90" i="17"/>
  <c r="L90" i="17"/>
  <c r="M90" i="17" s="1"/>
  <c r="I90" i="17"/>
  <c r="U89" i="17"/>
  <c r="T89" i="17"/>
  <c r="S89" i="17"/>
  <c r="L89" i="17"/>
  <c r="M89" i="17" s="1"/>
  <c r="I89" i="17"/>
  <c r="U88" i="17"/>
  <c r="T88" i="17"/>
  <c r="S88" i="17"/>
  <c r="L88" i="17"/>
  <c r="M88" i="17" s="1"/>
  <c r="I88" i="17"/>
  <c r="U87" i="17"/>
  <c r="T87" i="17"/>
  <c r="S87" i="17"/>
  <c r="L87" i="17"/>
  <c r="M87" i="17" s="1"/>
  <c r="I87" i="17"/>
  <c r="U86" i="17"/>
  <c r="T86" i="17"/>
  <c r="S86" i="17"/>
  <c r="N86" i="17"/>
  <c r="L86" i="17"/>
  <c r="M86" i="17" s="1"/>
  <c r="I86" i="17"/>
  <c r="U85" i="17"/>
  <c r="T85" i="17"/>
  <c r="S85" i="17"/>
  <c r="L85" i="17"/>
  <c r="M85" i="17" s="1"/>
  <c r="I85" i="17"/>
  <c r="U84" i="17"/>
  <c r="T84" i="17"/>
  <c r="S84" i="17"/>
  <c r="L84" i="17"/>
  <c r="M84" i="17" s="1"/>
  <c r="I84" i="17"/>
  <c r="U83" i="17"/>
  <c r="T83" i="17"/>
  <c r="S83" i="17"/>
  <c r="N83" i="17"/>
  <c r="L83" i="17"/>
  <c r="M83" i="17" s="1"/>
  <c r="I83" i="17"/>
  <c r="U82" i="17"/>
  <c r="T82" i="17"/>
  <c r="S82" i="17"/>
  <c r="L82" i="17"/>
  <c r="M82" i="17" s="1"/>
  <c r="I82" i="17"/>
  <c r="U81" i="17"/>
  <c r="T81" i="17"/>
  <c r="S81" i="17"/>
  <c r="L81" i="17"/>
  <c r="M81" i="17" s="1"/>
  <c r="I81" i="17"/>
  <c r="U80" i="17"/>
  <c r="T80" i="17"/>
  <c r="S80" i="17"/>
  <c r="L80" i="17"/>
  <c r="M80" i="17" s="1"/>
  <c r="I80" i="17"/>
  <c r="U79" i="17"/>
  <c r="T79" i="17"/>
  <c r="S79" i="17"/>
  <c r="L79" i="17"/>
  <c r="M79" i="17" s="1"/>
  <c r="I79" i="17"/>
  <c r="U78" i="17"/>
  <c r="T78" i="17"/>
  <c r="S78" i="17"/>
  <c r="L78" i="17"/>
  <c r="M78" i="17" s="1"/>
  <c r="I78" i="17"/>
  <c r="U77" i="17"/>
  <c r="T77" i="17"/>
  <c r="S77" i="17"/>
  <c r="N77" i="17"/>
  <c r="L77" i="17"/>
  <c r="M77" i="17" s="1"/>
  <c r="I77" i="17"/>
  <c r="U76" i="17"/>
  <c r="T76" i="17"/>
  <c r="S76" i="17"/>
  <c r="L76" i="17"/>
  <c r="M76" i="17" s="1"/>
  <c r="I76" i="17"/>
  <c r="U75" i="17"/>
  <c r="T75" i="17"/>
  <c r="S75" i="17"/>
  <c r="L75" i="17"/>
  <c r="M75" i="17" s="1"/>
  <c r="I75" i="17"/>
  <c r="U74" i="17"/>
  <c r="T74" i="17"/>
  <c r="S74" i="17"/>
  <c r="N74" i="17"/>
  <c r="L74" i="17"/>
  <c r="M74" i="17" s="1"/>
  <c r="I74" i="17"/>
  <c r="U73" i="17"/>
  <c r="T73" i="17"/>
  <c r="S73" i="17"/>
  <c r="L73" i="17"/>
  <c r="M73" i="17" s="1"/>
  <c r="I73" i="17"/>
  <c r="U72" i="17"/>
  <c r="T72" i="17"/>
  <c r="S72" i="17"/>
  <c r="L72" i="17"/>
  <c r="M72" i="17" s="1"/>
  <c r="I72" i="17"/>
  <c r="U71" i="17"/>
  <c r="T71" i="17"/>
  <c r="S71" i="17"/>
  <c r="L71" i="17"/>
  <c r="M71" i="17" s="1"/>
  <c r="I71" i="17"/>
  <c r="U70" i="17"/>
  <c r="T70" i="17"/>
  <c r="S70" i="17"/>
  <c r="L70" i="17"/>
  <c r="M70" i="17" s="1"/>
  <c r="I70" i="17"/>
  <c r="U69" i="17"/>
  <c r="T69" i="17"/>
  <c r="S69" i="17"/>
  <c r="L69" i="17"/>
  <c r="M69" i="17" s="1"/>
  <c r="I69" i="17"/>
  <c r="U68" i="17"/>
  <c r="T68" i="17"/>
  <c r="S68" i="17"/>
  <c r="L68" i="17"/>
  <c r="N68" i="17" s="1"/>
  <c r="I68" i="17"/>
  <c r="K66" i="17"/>
  <c r="J66" i="17"/>
  <c r="H66" i="17"/>
  <c r="G66" i="17"/>
  <c r="I66" i="17" s="1"/>
  <c r="E66" i="17"/>
  <c r="B66" i="17"/>
  <c r="U65" i="17"/>
  <c r="T65" i="17"/>
  <c r="S65" i="17"/>
  <c r="L65" i="17"/>
  <c r="N65" i="17" s="1"/>
  <c r="I65" i="17"/>
  <c r="U64" i="17"/>
  <c r="T64" i="17"/>
  <c r="S64" i="17"/>
  <c r="L64" i="17"/>
  <c r="N64" i="17" s="1"/>
  <c r="I64" i="17"/>
  <c r="U63" i="17"/>
  <c r="T63" i="17"/>
  <c r="S63" i="17"/>
  <c r="L63" i="17"/>
  <c r="N63" i="17" s="1"/>
  <c r="I63" i="17"/>
  <c r="U62" i="17"/>
  <c r="T62" i="17"/>
  <c r="S62" i="17"/>
  <c r="L62" i="17"/>
  <c r="N62" i="17" s="1"/>
  <c r="I62" i="17"/>
  <c r="K60" i="17"/>
  <c r="J60" i="17"/>
  <c r="H60" i="17"/>
  <c r="I60" i="17" s="1"/>
  <c r="G60" i="17"/>
  <c r="AE60" i="17" s="1"/>
  <c r="E60" i="17"/>
  <c r="B60" i="17"/>
  <c r="U59" i="17"/>
  <c r="T59" i="17"/>
  <c r="S59" i="17"/>
  <c r="L59" i="17"/>
  <c r="N59" i="17" s="1"/>
  <c r="I59" i="17"/>
  <c r="U58" i="17"/>
  <c r="T58" i="17"/>
  <c r="S58" i="17"/>
  <c r="L58" i="17"/>
  <c r="N58" i="17" s="1"/>
  <c r="I58" i="17"/>
  <c r="U57" i="17"/>
  <c r="T57" i="17"/>
  <c r="S57" i="17"/>
  <c r="L57" i="17"/>
  <c r="N57" i="17" s="1"/>
  <c r="I57" i="17"/>
  <c r="U56" i="17"/>
  <c r="T56" i="17"/>
  <c r="S56" i="17"/>
  <c r="L56" i="17"/>
  <c r="N56" i="17" s="1"/>
  <c r="I56" i="17"/>
  <c r="U55" i="17"/>
  <c r="T55" i="17"/>
  <c r="S55" i="17"/>
  <c r="L55" i="17"/>
  <c r="N55" i="17" s="1"/>
  <c r="I55" i="17"/>
  <c r="U54" i="17"/>
  <c r="T54" i="17"/>
  <c r="S54" i="17"/>
  <c r="L54" i="17"/>
  <c r="N54" i="17" s="1"/>
  <c r="I54" i="17"/>
  <c r="U53" i="17"/>
  <c r="T53" i="17"/>
  <c r="S53" i="17"/>
  <c r="L53" i="17"/>
  <c r="N53" i="17" s="1"/>
  <c r="I53" i="17"/>
  <c r="K50" i="17"/>
  <c r="J50" i="17"/>
  <c r="H50" i="17"/>
  <c r="G50" i="17"/>
  <c r="I50" i="17" s="1"/>
  <c r="E50" i="17"/>
  <c r="B50" i="17"/>
  <c r="U49" i="17"/>
  <c r="T49" i="17"/>
  <c r="S49" i="17"/>
  <c r="N49" i="17"/>
  <c r="L49" i="17"/>
  <c r="M49" i="17" s="1"/>
  <c r="I49" i="17"/>
  <c r="U48" i="17"/>
  <c r="T48" i="17"/>
  <c r="S48" i="17"/>
  <c r="L48" i="17"/>
  <c r="M48" i="17" s="1"/>
  <c r="I48" i="17"/>
  <c r="U47" i="17"/>
  <c r="T47" i="17"/>
  <c r="S47" i="17"/>
  <c r="L47" i="17"/>
  <c r="M47" i="17" s="1"/>
  <c r="I47" i="17"/>
  <c r="U46" i="17"/>
  <c r="T46" i="17"/>
  <c r="S46" i="17"/>
  <c r="L46" i="17"/>
  <c r="N46" i="17" s="1"/>
  <c r="I46" i="17"/>
  <c r="U45" i="17"/>
  <c r="T45" i="17"/>
  <c r="S45" i="17"/>
  <c r="L45" i="17"/>
  <c r="I45" i="17"/>
  <c r="U44" i="17"/>
  <c r="T44" i="17"/>
  <c r="S44" i="17"/>
  <c r="M44" i="17"/>
  <c r="L44" i="17"/>
  <c r="N44" i="17" s="1"/>
  <c r="I44" i="17"/>
  <c r="U43" i="17"/>
  <c r="T43" i="17"/>
  <c r="S43" i="17"/>
  <c r="L43" i="17"/>
  <c r="N43" i="17" s="1"/>
  <c r="I43" i="17"/>
  <c r="U42" i="17"/>
  <c r="T42" i="17"/>
  <c r="S42" i="17"/>
  <c r="L42" i="17"/>
  <c r="M42" i="17" s="1"/>
  <c r="I42" i="17"/>
  <c r="L40" i="17"/>
  <c r="N40" i="17" s="1"/>
  <c r="K40" i="17"/>
  <c r="J40" i="17"/>
  <c r="H40" i="17"/>
  <c r="G40" i="17"/>
  <c r="AF40" i="17" s="1"/>
  <c r="E40" i="17"/>
  <c r="B40" i="17"/>
  <c r="U39" i="17"/>
  <c r="T39" i="17"/>
  <c r="S39" i="17"/>
  <c r="L39" i="17"/>
  <c r="M39" i="17" s="1"/>
  <c r="M40" i="17" s="1"/>
  <c r="I39" i="17"/>
  <c r="K37" i="17"/>
  <c r="J37" i="17"/>
  <c r="H37" i="17"/>
  <c r="G37" i="17"/>
  <c r="AE37" i="17" s="1"/>
  <c r="E37" i="17"/>
  <c r="B37" i="17"/>
  <c r="U36" i="17"/>
  <c r="T36" i="17"/>
  <c r="S36" i="17"/>
  <c r="L36" i="17"/>
  <c r="N36" i="17" s="1"/>
  <c r="I36" i="17"/>
  <c r="U35" i="17"/>
  <c r="T35" i="17"/>
  <c r="S35" i="17"/>
  <c r="L35" i="17"/>
  <c r="N35" i="17" s="1"/>
  <c r="I35" i="17"/>
  <c r="U34" i="17"/>
  <c r="T34" i="17"/>
  <c r="S34" i="17"/>
  <c r="L34" i="17"/>
  <c r="M34" i="17" s="1"/>
  <c r="I34" i="17"/>
  <c r="U33" i="17"/>
  <c r="T33" i="17"/>
  <c r="S33" i="17"/>
  <c r="L33" i="17"/>
  <c r="N33" i="17" s="1"/>
  <c r="I33" i="17"/>
  <c r="U32" i="17"/>
  <c r="T32" i="17"/>
  <c r="S32" i="17"/>
  <c r="L32" i="17"/>
  <c r="N32" i="17" s="1"/>
  <c r="I32" i="17"/>
  <c r="U31" i="17"/>
  <c r="T31" i="17"/>
  <c r="S31" i="17"/>
  <c r="L31" i="17"/>
  <c r="N31" i="17" s="1"/>
  <c r="I31" i="17"/>
  <c r="U30" i="17"/>
  <c r="T30" i="17"/>
  <c r="S30" i="17"/>
  <c r="L30" i="17"/>
  <c r="N30" i="17" s="1"/>
  <c r="I30" i="17"/>
  <c r="U29" i="17"/>
  <c r="T29" i="17"/>
  <c r="S29" i="17"/>
  <c r="L29" i="17"/>
  <c r="N29" i="17" s="1"/>
  <c r="I29" i="17"/>
  <c r="U28" i="17"/>
  <c r="T28" i="17"/>
  <c r="S28" i="17"/>
  <c r="L28" i="17"/>
  <c r="N28" i="17" s="1"/>
  <c r="I28" i="17"/>
  <c r="U27" i="17"/>
  <c r="T27" i="17"/>
  <c r="S27" i="17"/>
  <c r="L27" i="17"/>
  <c r="N27" i="17" s="1"/>
  <c r="I27" i="17"/>
  <c r="U26" i="17"/>
  <c r="T26" i="17"/>
  <c r="S26" i="17"/>
  <c r="L26" i="17"/>
  <c r="M26" i="17" s="1"/>
  <c r="I26" i="17"/>
  <c r="U25" i="17"/>
  <c r="T25" i="17"/>
  <c r="S25" i="17"/>
  <c r="L25" i="17"/>
  <c r="N25" i="17" s="1"/>
  <c r="I25" i="17"/>
  <c r="U24" i="17"/>
  <c r="T24" i="17"/>
  <c r="S24" i="17"/>
  <c r="L24" i="17"/>
  <c r="N24" i="17" s="1"/>
  <c r="I24" i="17"/>
  <c r="U23" i="17"/>
  <c r="T23" i="17"/>
  <c r="S23" i="17"/>
  <c r="L23" i="17"/>
  <c r="M23" i="17" s="1"/>
  <c r="I23" i="17"/>
  <c r="U22" i="17"/>
  <c r="T22" i="17"/>
  <c r="S22" i="17"/>
  <c r="L22" i="17"/>
  <c r="N22" i="17" s="1"/>
  <c r="I22" i="17"/>
  <c r="U21" i="17"/>
  <c r="T21" i="17"/>
  <c r="S21" i="17"/>
  <c r="L21" i="17"/>
  <c r="N21" i="17" s="1"/>
  <c r="I21" i="17"/>
  <c r="U20" i="17"/>
  <c r="T20" i="17"/>
  <c r="S20" i="17"/>
  <c r="L20" i="17"/>
  <c r="N20" i="17" s="1"/>
  <c r="I20" i="17"/>
  <c r="U19" i="17"/>
  <c r="T19" i="17"/>
  <c r="S19" i="17"/>
  <c r="L19" i="17"/>
  <c r="M19" i="17" s="1"/>
  <c r="I19" i="17"/>
  <c r="U18" i="17"/>
  <c r="T18" i="17"/>
  <c r="S18" i="17"/>
  <c r="L18" i="17"/>
  <c r="N18" i="17" s="1"/>
  <c r="I18" i="17"/>
  <c r="U17" i="17"/>
  <c r="T17" i="17"/>
  <c r="S17" i="17"/>
  <c r="L17" i="17"/>
  <c r="N17" i="17" s="1"/>
  <c r="I17" i="17"/>
  <c r="U16" i="17"/>
  <c r="T16" i="17"/>
  <c r="S16" i="17"/>
  <c r="L16" i="17"/>
  <c r="M16" i="17" s="1"/>
  <c r="I16" i="17"/>
  <c r="U15" i="17"/>
  <c r="T15" i="17"/>
  <c r="S15" i="17"/>
  <c r="L15" i="17"/>
  <c r="N15" i="17" s="1"/>
  <c r="I15" i="17"/>
  <c r="U14" i="17"/>
  <c r="T14" i="17"/>
  <c r="S14" i="17"/>
  <c r="L14" i="17"/>
  <c r="N14" i="17" s="1"/>
  <c r="I14" i="17"/>
  <c r="U13" i="17"/>
  <c r="T13" i="17"/>
  <c r="S13" i="17"/>
  <c r="L13" i="17"/>
  <c r="M13" i="17" s="1"/>
  <c r="I13" i="17"/>
  <c r="U12" i="17"/>
  <c r="T12" i="17"/>
  <c r="S12" i="17"/>
  <c r="L12" i="17"/>
  <c r="N12" i="17" s="1"/>
  <c r="I12" i="17"/>
  <c r="U11" i="17"/>
  <c r="T11" i="17"/>
  <c r="S11" i="17"/>
  <c r="L11" i="17"/>
  <c r="N11" i="17" s="1"/>
  <c r="I11" i="17"/>
  <c r="U10" i="17"/>
  <c r="T10" i="17"/>
  <c r="S10" i="17"/>
  <c r="L10" i="17"/>
  <c r="M10" i="17" s="1"/>
  <c r="I10" i="17"/>
  <c r="K8" i="17"/>
  <c r="J8" i="17"/>
  <c r="G8" i="17"/>
  <c r="AF8" i="17" s="1"/>
  <c r="E8" i="17"/>
  <c r="B8" i="17"/>
  <c r="I7" i="17"/>
  <c r="H7" i="17"/>
  <c r="U7" i="17" s="1"/>
  <c r="H76" i="3" l="1"/>
  <c r="H75" i="3"/>
  <c r="H74" i="3"/>
  <c r="H128" i="2"/>
  <c r="H130" i="2"/>
  <c r="H124" i="2"/>
  <c r="H129" i="2"/>
  <c r="H125" i="2"/>
  <c r="H126" i="2"/>
  <c r="H70" i="3"/>
  <c r="H71" i="3"/>
  <c r="M46" i="17"/>
  <c r="AC55" i="17"/>
  <c r="AC109" i="17"/>
  <c r="AC122" i="17"/>
  <c r="I127" i="17"/>
  <c r="AC151" i="17"/>
  <c r="N181" i="17"/>
  <c r="AC182" i="17"/>
  <c r="AC201" i="17"/>
  <c r="AD145" i="17"/>
  <c r="AC276" i="17"/>
  <c r="H108" i="1"/>
  <c r="H103" i="1"/>
  <c r="N42" i="17"/>
  <c r="N248" i="17"/>
  <c r="N99" i="17"/>
  <c r="AC197" i="17"/>
  <c r="AC200" i="17"/>
  <c r="N262" i="17"/>
  <c r="N268" i="17"/>
  <c r="H104" i="1"/>
  <c r="AC17" i="17"/>
  <c r="AC25" i="17"/>
  <c r="N39" i="17"/>
  <c r="I40" i="17"/>
  <c r="AC48" i="17"/>
  <c r="N81" i="17"/>
  <c r="N107" i="17"/>
  <c r="N120" i="17"/>
  <c r="AC123" i="17"/>
  <c r="N155" i="17"/>
  <c r="AC177" i="17"/>
  <c r="N196" i="17"/>
  <c r="N205" i="17"/>
  <c r="AC257" i="17"/>
  <c r="H105" i="1"/>
  <c r="N70" i="17"/>
  <c r="N111" i="17"/>
  <c r="N236" i="17"/>
  <c r="N254" i="17"/>
  <c r="N48" i="17"/>
  <c r="AC14" i="17"/>
  <c r="AC22" i="17"/>
  <c r="AC39" i="17"/>
  <c r="AC69" i="17"/>
  <c r="AC81" i="17"/>
  <c r="AC117" i="17"/>
  <c r="AC152" i="17"/>
  <c r="AC193" i="17"/>
  <c r="AC196" i="17"/>
  <c r="AC248" i="17"/>
  <c r="AC253" i="17"/>
  <c r="AC256" i="17"/>
  <c r="AC192" i="17"/>
  <c r="I212" i="17"/>
  <c r="AC255" i="17"/>
  <c r="AC54" i="17"/>
  <c r="AC58" i="17"/>
  <c r="AC110" i="17"/>
  <c r="AC244" i="17"/>
  <c r="AC250" i="17"/>
  <c r="AC261" i="17"/>
  <c r="AC262" i="17"/>
  <c r="AC264" i="17"/>
  <c r="AC267" i="17"/>
  <c r="AC272" i="17"/>
  <c r="AC274" i="17"/>
  <c r="AC280" i="17"/>
  <c r="AC285" i="17"/>
  <c r="AC293" i="17"/>
  <c r="AC301" i="17"/>
  <c r="AC309" i="17"/>
  <c r="AC57" i="17"/>
  <c r="AC101" i="17"/>
  <c r="AC137" i="17"/>
  <c r="AC153" i="17"/>
  <c r="AC163" i="17"/>
  <c r="AC172" i="17"/>
  <c r="AC185" i="17"/>
  <c r="AC188" i="17"/>
  <c r="AC202" i="17"/>
  <c r="AC210" i="17"/>
  <c r="M269" i="17"/>
  <c r="AC238" i="17"/>
  <c r="AC273" i="17"/>
  <c r="AC278" i="17"/>
  <c r="AC281" i="17"/>
  <c r="AC305" i="17"/>
  <c r="H107" i="1"/>
  <c r="AE8" i="17"/>
  <c r="AE40" i="17"/>
  <c r="AE232" i="17"/>
  <c r="L7" i="17"/>
  <c r="N7" i="17" s="1"/>
  <c r="AC27" i="17"/>
  <c r="AC35" i="17"/>
  <c r="AC59" i="17"/>
  <c r="N73" i="17"/>
  <c r="AC77" i="17"/>
  <c r="N87" i="17"/>
  <c r="N90" i="17"/>
  <c r="N100" i="17"/>
  <c r="N110" i="17"/>
  <c r="AC111" i="17"/>
  <c r="AC124" i="17"/>
  <c r="AC131" i="17"/>
  <c r="AC139" i="17"/>
  <c r="N151" i="17"/>
  <c r="AC158" i="17"/>
  <c r="AC165" i="17"/>
  <c r="AC168" i="17"/>
  <c r="N171" i="17"/>
  <c r="AC184" i="17"/>
  <c r="N187" i="17"/>
  <c r="N197" i="17"/>
  <c r="AC198" i="17"/>
  <c r="AC206" i="17"/>
  <c r="AC234" i="17"/>
  <c r="AC237" i="17"/>
  <c r="N250" i="17"/>
  <c r="AC265" i="17"/>
  <c r="AC268" i="17"/>
  <c r="AC283" i="17"/>
  <c r="AC291" i="17"/>
  <c r="AC299" i="17"/>
  <c r="H109" i="1"/>
  <c r="AD60" i="17"/>
  <c r="AF145" i="17"/>
  <c r="H72" i="3" s="1"/>
  <c r="AD212" i="17"/>
  <c r="AC16" i="17"/>
  <c r="AC24" i="17"/>
  <c r="AC32" i="17"/>
  <c r="AC53" i="17"/>
  <c r="AC56" i="17"/>
  <c r="AC73" i="17"/>
  <c r="AC93" i="17"/>
  <c r="N103" i="17"/>
  <c r="N106" i="17"/>
  <c r="AC121" i="17"/>
  <c r="AC133" i="17"/>
  <c r="AC148" i="17"/>
  <c r="AC155" i="17"/>
  <c r="N161" i="17"/>
  <c r="N167" i="17"/>
  <c r="N177" i="17"/>
  <c r="AC181" i="17"/>
  <c r="AC187" i="17"/>
  <c r="N193" i="17"/>
  <c r="N204" i="17"/>
  <c r="AC205" i="17"/>
  <c r="AC243" i="17"/>
  <c r="N246" i="17"/>
  <c r="AC247" i="17"/>
  <c r="AC254" i="17"/>
  <c r="N260" i="17"/>
  <c r="AC277" i="17"/>
  <c r="AF60" i="17"/>
  <c r="AD127" i="17"/>
  <c r="AF212" i="17"/>
  <c r="M212" i="17"/>
  <c r="L317" i="17"/>
  <c r="N317" i="17" s="1"/>
  <c r="AD50" i="17"/>
  <c r="AD66" i="17"/>
  <c r="AD114" i="17"/>
  <c r="AF127" i="17"/>
  <c r="AC46" i="17"/>
  <c r="N79" i="17"/>
  <c r="N102" i="17"/>
  <c r="M127" i="17"/>
  <c r="AC138" i="17"/>
  <c r="N147" i="17"/>
  <c r="AC161" i="17"/>
  <c r="N189" i="17"/>
  <c r="AC190" i="17"/>
  <c r="N203" i="17"/>
  <c r="N211" i="17"/>
  <c r="AC246" i="17"/>
  <c r="AC249" i="17"/>
  <c r="N266" i="17"/>
  <c r="AD37" i="17"/>
  <c r="AF50" i="17"/>
  <c r="AF66" i="17"/>
  <c r="AF114" i="17"/>
  <c r="AE127" i="17"/>
  <c r="AD269" i="17"/>
  <c r="H8" i="17"/>
  <c r="I8" i="17" s="1"/>
  <c r="L50" i="17"/>
  <c r="N50" i="17" s="1"/>
  <c r="N75" i="17"/>
  <c r="N82" i="17"/>
  <c r="N95" i="17"/>
  <c r="N98" i="17"/>
  <c r="AC105" i="17"/>
  <c r="AC120" i="17"/>
  <c r="L145" i="17"/>
  <c r="N145" i="17" s="1"/>
  <c r="AC135" i="17"/>
  <c r="AC147" i="17"/>
  <c r="N153" i="17"/>
  <c r="AC157" i="17"/>
  <c r="AC160" i="17"/>
  <c r="N163" i="17"/>
  <c r="AC166" i="17"/>
  <c r="AC173" i="17"/>
  <c r="AC176" i="17"/>
  <c r="N179" i="17"/>
  <c r="N195" i="17"/>
  <c r="AC203" i="17"/>
  <c r="AC211" i="17"/>
  <c r="AC239" i="17"/>
  <c r="AC245" i="17"/>
  <c r="AC259" i="17"/>
  <c r="AC287" i="17"/>
  <c r="AD8" i="17"/>
  <c r="AF37" i="17"/>
  <c r="AD40" i="17"/>
  <c r="AE50" i="17"/>
  <c r="AE66" i="17"/>
  <c r="AD232" i="17"/>
  <c r="AF269" i="17"/>
  <c r="AC42" i="17"/>
  <c r="AC45" i="17"/>
  <c r="N71" i="17"/>
  <c r="N78" i="17"/>
  <c r="AC85" i="17"/>
  <c r="AC98" i="17"/>
  <c r="AC112" i="17"/>
  <c r="AC116" i="17"/>
  <c r="AC119" i="17"/>
  <c r="AC125" i="17"/>
  <c r="AC129" i="17"/>
  <c r="AC132" i="17"/>
  <c r="AC156" i="17"/>
  <c r="N159" i="17"/>
  <c r="N169" i="17"/>
  <c r="N175" i="17"/>
  <c r="AC179" i="17"/>
  <c r="N185" i="17"/>
  <c r="AC189" i="17"/>
  <c r="AC195" i="17"/>
  <c r="N206" i="17"/>
  <c r="AC228" i="17"/>
  <c r="AC235" i="17"/>
  <c r="AC241" i="17"/>
  <c r="AC252" i="17"/>
  <c r="N258" i="17"/>
  <c r="AC263" i="17"/>
  <c r="AC284" i="17"/>
  <c r="AC292" i="17"/>
  <c r="AC10" i="17"/>
  <c r="N47" i="17"/>
  <c r="L66" i="17"/>
  <c r="N66" i="17" s="1"/>
  <c r="AC15" i="17"/>
  <c r="AC23" i="17"/>
  <c r="AC31" i="17"/>
  <c r="L37" i="17"/>
  <c r="N37" i="17" s="1"/>
  <c r="M45" i="17"/>
  <c r="AC47" i="17"/>
  <c r="AC65" i="17"/>
  <c r="AC70" i="17"/>
  <c r="AC74" i="17"/>
  <c r="AC78" i="17"/>
  <c r="AC82" i="17"/>
  <c r="AC86" i="17"/>
  <c r="AC90" i="17"/>
  <c r="AC94" i="17"/>
  <c r="AC102" i="17"/>
  <c r="AC106" i="17"/>
  <c r="J320" i="17"/>
  <c r="N123" i="17"/>
  <c r="AC130" i="17"/>
  <c r="AC136" i="17"/>
  <c r="AC144" i="17"/>
  <c r="N152" i="17"/>
  <c r="N160" i="17"/>
  <c r="N168" i="17"/>
  <c r="N176" i="17"/>
  <c r="N184" i="17"/>
  <c r="N192" i="17"/>
  <c r="N200" i="17"/>
  <c r="N208" i="17"/>
  <c r="L212" i="17"/>
  <c r="N212" i="17" s="1"/>
  <c r="AC218" i="17"/>
  <c r="AC226" i="17"/>
  <c r="N241" i="17"/>
  <c r="N249" i="17"/>
  <c r="N257" i="17"/>
  <c r="N265" i="17"/>
  <c r="L269" i="17"/>
  <c r="N269" i="17" s="1"/>
  <c r="AC282" i="17"/>
  <c r="AC290" i="17"/>
  <c r="AC298" i="17"/>
  <c r="AC306" i="17"/>
  <c r="AC314" i="17"/>
  <c r="AC18" i="17"/>
  <c r="AC26" i="17"/>
  <c r="AC34" i="17"/>
  <c r="AC12" i="17"/>
  <c r="AC20" i="17"/>
  <c r="AC28" i="17"/>
  <c r="AC36" i="17"/>
  <c r="N45" i="17"/>
  <c r="AC62" i="17"/>
  <c r="N69" i="17"/>
  <c r="N85" i="17"/>
  <c r="N89" i="17"/>
  <c r="N93" i="17"/>
  <c r="N97" i="17"/>
  <c r="N101" i="17"/>
  <c r="N105" i="17"/>
  <c r="K320" i="17"/>
  <c r="AC141" i="17"/>
  <c r="N183" i="17"/>
  <c r="N191" i="17"/>
  <c r="N199" i="17"/>
  <c r="N207" i="17"/>
  <c r="N240" i="17"/>
  <c r="N256" i="17"/>
  <c r="N264" i="17"/>
  <c r="AC295" i="17"/>
  <c r="AC303" i="17"/>
  <c r="AC311" i="17"/>
  <c r="H320" i="17"/>
  <c r="AC33" i="17"/>
  <c r="M43" i="17"/>
  <c r="M50" i="17" s="1"/>
  <c r="L60" i="17"/>
  <c r="N60" i="17" s="1"/>
  <c r="AC89" i="17"/>
  <c r="AC97" i="17"/>
  <c r="N150" i="17"/>
  <c r="N158" i="17"/>
  <c r="N166" i="17"/>
  <c r="N174" i="17"/>
  <c r="N182" i="17"/>
  <c r="N190" i="17"/>
  <c r="N198" i="17"/>
  <c r="AC220" i="17"/>
  <c r="L232" i="17"/>
  <c r="N232" i="17" s="1"/>
  <c r="N239" i="17"/>
  <c r="N247" i="17"/>
  <c r="N255" i="17"/>
  <c r="N263" i="17"/>
  <c r="AC300" i="17"/>
  <c r="AC308" i="17"/>
  <c r="AC316" i="17"/>
  <c r="AC30" i="17"/>
  <c r="AC44" i="17"/>
  <c r="AC64" i="17"/>
  <c r="N72" i="17"/>
  <c r="N76" i="17"/>
  <c r="N80" i="17"/>
  <c r="N84" i="17"/>
  <c r="N88" i="17"/>
  <c r="N92" i="17"/>
  <c r="N96" i="17"/>
  <c r="N104" i="17"/>
  <c r="N108" i="17"/>
  <c r="N112" i="17"/>
  <c r="AC143" i="17"/>
  <c r="N149" i="17"/>
  <c r="N165" i="17"/>
  <c r="N173" i="17"/>
  <c r="N238" i="17"/>
  <c r="AC289" i="17"/>
  <c r="AC297" i="17"/>
  <c r="AC313" i="17"/>
  <c r="AC11" i="17"/>
  <c r="AC19" i="17"/>
  <c r="I37" i="17"/>
  <c r="AC43" i="17"/>
  <c r="AC68" i="17"/>
  <c r="AC72" i="17"/>
  <c r="AC76" i="17"/>
  <c r="AC80" i="17"/>
  <c r="AC84" i="17"/>
  <c r="AC88" i="17"/>
  <c r="AC92" i="17"/>
  <c r="AC96" i="17"/>
  <c r="AC100" i="17"/>
  <c r="AC104" i="17"/>
  <c r="AC108" i="17"/>
  <c r="AC140" i="17"/>
  <c r="I145" i="17"/>
  <c r="N148" i="17"/>
  <c r="N156" i="17"/>
  <c r="N164" i="17"/>
  <c r="N172" i="17"/>
  <c r="N180" i="17"/>
  <c r="N188" i="17"/>
  <c r="N237" i="17"/>
  <c r="N245" i="17"/>
  <c r="N253" i="17"/>
  <c r="N261" i="17"/>
  <c r="AC286" i="17"/>
  <c r="AC294" i="17"/>
  <c r="AC302" i="17"/>
  <c r="AC310" i="17"/>
  <c r="AC307" i="17"/>
  <c r="AC315" i="17"/>
  <c r="L127" i="17"/>
  <c r="N127" i="17" s="1"/>
  <c r="AC13" i="17"/>
  <c r="AC21" i="17"/>
  <c r="AC29" i="17"/>
  <c r="AC49" i="17"/>
  <c r="AC63" i="17"/>
  <c r="AC71" i="17"/>
  <c r="AC75" i="17"/>
  <c r="AC79" i="17"/>
  <c r="AC83" i="17"/>
  <c r="AC87" i="17"/>
  <c r="AC91" i="17"/>
  <c r="AC95" i="17"/>
  <c r="AC99" i="17"/>
  <c r="AC103" i="17"/>
  <c r="AC107" i="17"/>
  <c r="N119" i="17"/>
  <c r="AC134" i="17"/>
  <c r="AC142" i="17"/>
  <c r="N154" i="17"/>
  <c r="N162" i="17"/>
  <c r="N170" i="17"/>
  <c r="N178" i="17"/>
  <c r="N186" i="17"/>
  <c r="N194" i="17"/>
  <c r="N202" i="17"/>
  <c r="N210" i="17"/>
  <c r="AC216" i="17"/>
  <c r="AC224" i="17"/>
  <c r="I232" i="17"/>
  <c r="N235" i="17"/>
  <c r="N243" i="17"/>
  <c r="N251" i="17"/>
  <c r="N259" i="17"/>
  <c r="N267" i="17"/>
  <c r="AC288" i="17"/>
  <c r="AC296" i="17"/>
  <c r="AC304" i="17"/>
  <c r="AC312" i="17"/>
  <c r="I317" i="17"/>
  <c r="AC113" i="17"/>
  <c r="N139" i="17"/>
  <c r="M139" i="17"/>
  <c r="AC219" i="17"/>
  <c r="AC227" i="17"/>
  <c r="N285" i="17"/>
  <c r="M285" i="17"/>
  <c r="N293" i="17"/>
  <c r="M293" i="17"/>
  <c r="N301" i="17"/>
  <c r="M301" i="17"/>
  <c r="N309" i="17"/>
  <c r="M309" i="17"/>
  <c r="N133" i="17"/>
  <c r="M133" i="17"/>
  <c r="N144" i="17"/>
  <c r="M144" i="17"/>
  <c r="N282" i="17"/>
  <c r="M282" i="17"/>
  <c r="N298" i="17"/>
  <c r="M298" i="17"/>
  <c r="N306" i="17"/>
  <c r="M306" i="17"/>
  <c r="N118" i="17"/>
  <c r="N126" i="17"/>
  <c r="N141" i="17"/>
  <c r="M141" i="17"/>
  <c r="N287" i="17"/>
  <c r="M287" i="17"/>
  <c r="N295" i="17"/>
  <c r="M295" i="17"/>
  <c r="N303" i="17"/>
  <c r="M303" i="17"/>
  <c r="N311" i="17"/>
  <c r="M311" i="17"/>
  <c r="N136" i="17"/>
  <c r="M136" i="17"/>
  <c r="M53" i="17"/>
  <c r="M54" i="17"/>
  <c r="M55" i="17"/>
  <c r="M56" i="17"/>
  <c r="M57" i="17"/>
  <c r="M58" i="17"/>
  <c r="M59" i="17"/>
  <c r="N117" i="17"/>
  <c r="N125" i="17"/>
  <c r="N132" i="17"/>
  <c r="M132" i="17"/>
  <c r="N138" i="17"/>
  <c r="M138" i="17"/>
  <c r="N273" i="17"/>
  <c r="M273" i="17"/>
  <c r="N277" i="17"/>
  <c r="M277" i="17"/>
  <c r="N281" i="17"/>
  <c r="M281" i="17"/>
  <c r="N284" i="17"/>
  <c r="M284" i="17"/>
  <c r="N292" i="17"/>
  <c r="M292" i="17"/>
  <c r="N300" i="17"/>
  <c r="M300" i="17"/>
  <c r="N308" i="17"/>
  <c r="M308" i="17"/>
  <c r="N316" i="17"/>
  <c r="M316" i="17"/>
  <c r="N314" i="17"/>
  <c r="M314" i="17"/>
  <c r="N116" i="17"/>
  <c r="N124" i="17"/>
  <c r="N135" i="17"/>
  <c r="M135" i="17"/>
  <c r="N143" i="17"/>
  <c r="M143" i="17"/>
  <c r="AC215" i="17"/>
  <c r="AC223" i="17"/>
  <c r="AC231" i="17"/>
  <c r="N289" i="17"/>
  <c r="M289" i="17"/>
  <c r="N297" i="17"/>
  <c r="M297" i="17"/>
  <c r="N305" i="17"/>
  <c r="M305" i="17"/>
  <c r="N313" i="17"/>
  <c r="M313" i="17"/>
  <c r="N278" i="17"/>
  <c r="M278" i="17"/>
  <c r="M12" i="17"/>
  <c r="M15" i="17"/>
  <c r="M18" i="17"/>
  <c r="M21" i="17"/>
  <c r="M24" i="17"/>
  <c r="M27" i="17"/>
  <c r="M28" i="17"/>
  <c r="M29" i="17"/>
  <c r="M30" i="17"/>
  <c r="M31" i="17"/>
  <c r="M32" i="17"/>
  <c r="M35" i="17"/>
  <c r="M36" i="17"/>
  <c r="M62" i="17"/>
  <c r="M63" i="17"/>
  <c r="M64" i="17"/>
  <c r="M65" i="17"/>
  <c r="I114" i="17"/>
  <c r="G320" i="17"/>
  <c r="N131" i="17"/>
  <c r="M131" i="17"/>
  <c r="N140" i="17"/>
  <c r="M140" i="17"/>
  <c r="N272" i="17"/>
  <c r="M272" i="17"/>
  <c r="N276" i="17"/>
  <c r="M276" i="17"/>
  <c r="N280" i="17"/>
  <c r="M280" i="17"/>
  <c r="N286" i="17"/>
  <c r="M286" i="17"/>
  <c r="N294" i="17"/>
  <c r="M294" i="17"/>
  <c r="N302" i="17"/>
  <c r="M302" i="17"/>
  <c r="N310" i="17"/>
  <c r="M310" i="17"/>
  <c r="N129" i="17"/>
  <c r="M129" i="17"/>
  <c r="N274" i="17"/>
  <c r="M274" i="17"/>
  <c r="M11" i="17"/>
  <c r="M14" i="17"/>
  <c r="M17" i="17"/>
  <c r="M20" i="17"/>
  <c r="M22" i="17"/>
  <c r="M25" i="17"/>
  <c r="M33" i="17"/>
  <c r="T7" i="17"/>
  <c r="N10" i="17"/>
  <c r="N13" i="17"/>
  <c r="N16" i="17"/>
  <c r="N19" i="17"/>
  <c r="N23" i="17"/>
  <c r="N26" i="17"/>
  <c r="N34" i="17"/>
  <c r="L114" i="17"/>
  <c r="N114" i="17" s="1"/>
  <c r="M113" i="17"/>
  <c r="N122" i="17"/>
  <c r="N137" i="17"/>
  <c r="M137" i="17"/>
  <c r="AC217" i="17"/>
  <c r="AC225" i="17"/>
  <c r="N283" i="17"/>
  <c r="M283" i="17"/>
  <c r="N291" i="17"/>
  <c r="M291" i="17"/>
  <c r="N299" i="17"/>
  <c r="M299" i="17"/>
  <c r="N307" i="17"/>
  <c r="M307" i="17"/>
  <c r="N315" i="17"/>
  <c r="M315" i="17"/>
  <c r="N290" i="17"/>
  <c r="M290" i="17"/>
  <c r="S7" i="17"/>
  <c r="M68" i="17"/>
  <c r="N121" i="17"/>
  <c r="N130" i="17"/>
  <c r="M130" i="17"/>
  <c r="N134" i="17"/>
  <c r="M134" i="17"/>
  <c r="N142" i="17"/>
  <c r="M142" i="17"/>
  <c r="AC214" i="17"/>
  <c r="AC222" i="17"/>
  <c r="AC230" i="17"/>
  <c r="I269" i="17"/>
  <c r="N271" i="17"/>
  <c r="M271" i="17"/>
  <c r="N275" i="17"/>
  <c r="M275" i="17"/>
  <c r="N279" i="17"/>
  <c r="M279" i="17"/>
  <c r="N288" i="17"/>
  <c r="M288" i="17"/>
  <c r="N296" i="17"/>
  <c r="M296" i="17"/>
  <c r="N304" i="17"/>
  <c r="M304" i="17"/>
  <c r="N312" i="17"/>
  <c r="M312" i="17"/>
  <c r="M214" i="17"/>
  <c r="M215" i="17"/>
  <c r="M216" i="17"/>
  <c r="M217" i="17"/>
  <c r="M218" i="17"/>
  <c r="M219" i="17"/>
  <c r="M220" i="17"/>
  <c r="M221" i="17"/>
  <c r="M222" i="17"/>
  <c r="M223" i="17"/>
  <c r="M224" i="17"/>
  <c r="M225" i="17"/>
  <c r="M226" i="17"/>
  <c r="M227" i="17"/>
  <c r="M228" i="17"/>
  <c r="M229" i="17"/>
  <c r="M230" i="17"/>
  <c r="M231" i="17"/>
  <c r="M37" i="17" l="1"/>
  <c r="M7" i="17"/>
  <c r="M8" i="17" s="1"/>
  <c r="L8" i="17"/>
  <c r="N8" i="17" s="1"/>
  <c r="AC7" i="17"/>
  <c r="M232" i="17"/>
  <c r="M145" i="17"/>
  <c r="M60" i="17"/>
  <c r="M320" i="17" s="1"/>
  <c r="M66" i="17"/>
  <c r="I320" i="17"/>
  <c r="M317" i="17"/>
  <c r="M114" i="17"/>
  <c r="L320" i="17"/>
  <c r="AK42" i="15" l="1"/>
  <c r="AJ42" i="15"/>
  <c r="AI42" i="15"/>
  <c r="AH42" i="15"/>
  <c r="AG42" i="15"/>
  <c r="AF42" i="15"/>
  <c r="AE42" i="15"/>
  <c r="AD42" i="15"/>
  <c r="AC42" i="15"/>
  <c r="AB42" i="15"/>
  <c r="AA42" i="15"/>
  <c r="Z42" i="15"/>
  <c r="P42" i="15"/>
  <c r="Q42" i="15" s="1"/>
  <c r="I42" i="15"/>
  <c r="H42" i="15"/>
  <c r="E42" i="15"/>
  <c r="D42" i="15"/>
  <c r="J40" i="15"/>
  <c r="F40" i="15"/>
  <c r="J39" i="15"/>
  <c r="F39" i="15"/>
  <c r="J38" i="15"/>
  <c r="F38" i="15"/>
  <c r="AK33" i="15"/>
  <c r="AJ33" i="15"/>
  <c r="AI33" i="15"/>
  <c r="AH33" i="15"/>
  <c r="AG33" i="15"/>
  <c r="AF33" i="15"/>
  <c r="AE33" i="15"/>
  <c r="AD33" i="15"/>
  <c r="AC33" i="15"/>
  <c r="AB33" i="15"/>
  <c r="AA33" i="15"/>
  <c r="Z33" i="15"/>
  <c r="P33" i="15"/>
  <c r="L33" i="15"/>
  <c r="I33" i="15"/>
  <c r="I35" i="15" s="1"/>
  <c r="H33" i="15"/>
  <c r="E33" i="15"/>
  <c r="D33" i="15"/>
  <c r="N31" i="15"/>
  <c r="R31" i="15" s="1"/>
  <c r="T31" i="15" s="1"/>
  <c r="J31" i="15"/>
  <c r="F31" i="15"/>
  <c r="N30" i="15"/>
  <c r="S30" i="15" s="1"/>
  <c r="J30" i="15"/>
  <c r="F30" i="15"/>
  <c r="N29" i="15"/>
  <c r="S29" i="15" s="1"/>
  <c r="J29" i="15"/>
  <c r="F29" i="15"/>
  <c r="N28" i="15"/>
  <c r="S28" i="15" s="1"/>
  <c r="J28" i="15"/>
  <c r="F28" i="15"/>
  <c r="N27" i="15"/>
  <c r="S27" i="15" s="1"/>
  <c r="J27" i="15"/>
  <c r="F27" i="15"/>
  <c r="N26" i="15"/>
  <c r="S26" i="15" s="1"/>
  <c r="J26" i="15"/>
  <c r="F26" i="15"/>
  <c r="N25" i="15"/>
  <c r="R25" i="15" s="1"/>
  <c r="T25" i="15" s="1"/>
  <c r="J25" i="15"/>
  <c r="F25" i="15"/>
  <c r="N24" i="15"/>
  <c r="S24" i="15" s="1"/>
  <c r="J24" i="15"/>
  <c r="F24" i="15"/>
  <c r="N23" i="15"/>
  <c r="S23" i="15" s="1"/>
  <c r="J23" i="15"/>
  <c r="F23" i="15"/>
  <c r="N22" i="15"/>
  <c r="R22" i="15" s="1"/>
  <c r="T22" i="15" s="1"/>
  <c r="J22" i="15"/>
  <c r="F22" i="15"/>
  <c r="N21" i="15"/>
  <c r="S21" i="15" s="1"/>
  <c r="J21" i="15"/>
  <c r="F21" i="15"/>
  <c r="N20" i="15"/>
  <c r="S20" i="15" s="1"/>
  <c r="J20" i="15"/>
  <c r="F20" i="15"/>
  <c r="R19" i="15"/>
  <c r="T19" i="15" s="1"/>
  <c r="N19" i="15"/>
  <c r="J19" i="15"/>
  <c r="F19" i="15"/>
  <c r="AK17" i="15"/>
  <c r="AJ17" i="15"/>
  <c r="AI17" i="15"/>
  <c r="AH17" i="15"/>
  <c r="AG17" i="15"/>
  <c r="AG35" i="15" s="1"/>
  <c r="AF17" i="15"/>
  <c r="AE17" i="15"/>
  <c r="AD17" i="15"/>
  <c r="AC17" i="15"/>
  <c r="AC35" i="15" s="1"/>
  <c r="AB17" i="15"/>
  <c r="AA17" i="15"/>
  <c r="Z17" i="15"/>
  <c r="P17" i="15"/>
  <c r="P35" i="15" s="1"/>
  <c r="L17" i="15"/>
  <c r="I17" i="15"/>
  <c r="H17" i="15"/>
  <c r="H35" i="15" s="1"/>
  <c r="E17" i="15"/>
  <c r="E35" i="15" s="1"/>
  <c r="D17" i="15"/>
  <c r="S15" i="15"/>
  <c r="N15" i="15"/>
  <c r="R15" i="15" s="1"/>
  <c r="T15" i="15" s="1"/>
  <c r="J15" i="15"/>
  <c r="F15" i="15"/>
  <c r="N14" i="15"/>
  <c r="J14" i="15"/>
  <c r="F14" i="15"/>
  <c r="N13" i="15"/>
  <c r="R13" i="15" s="1"/>
  <c r="T13" i="15" s="1"/>
  <c r="J13" i="15"/>
  <c r="F13" i="15"/>
  <c r="AK45" i="14"/>
  <c r="AJ45" i="14"/>
  <c r="AI45" i="14"/>
  <c r="AH45" i="14"/>
  <c r="AG45" i="14"/>
  <c r="AF45" i="14"/>
  <c r="AE45" i="14"/>
  <c r="AD45" i="14"/>
  <c r="AC45" i="14"/>
  <c r="AB45" i="14"/>
  <c r="AA45" i="14"/>
  <c r="Z45" i="14"/>
  <c r="P45" i="14"/>
  <c r="Q45" i="14" s="1"/>
  <c r="I45" i="14"/>
  <c r="H45" i="14"/>
  <c r="E45" i="14"/>
  <c r="D45" i="14"/>
  <c r="J43" i="14"/>
  <c r="F43" i="14"/>
  <c r="J42" i="14"/>
  <c r="F42" i="14"/>
  <c r="J41" i="14"/>
  <c r="F41" i="14"/>
  <c r="J40" i="14"/>
  <c r="F40" i="14"/>
  <c r="AK35" i="14"/>
  <c r="AJ35" i="14"/>
  <c r="AI35" i="14"/>
  <c r="AH35" i="14"/>
  <c r="AG35" i="14"/>
  <c r="AF35" i="14"/>
  <c r="AE35" i="14"/>
  <c r="AD35" i="14"/>
  <c r="AC35" i="14"/>
  <c r="AB35" i="14"/>
  <c r="AA35" i="14"/>
  <c r="Z35" i="14"/>
  <c r="P35" i="14"/>
  <c r="L35" i="14"/>
  <c r="I35" i="14"/>
  <c r="H35" i="14"/>
  <c r="E35" i="14"/>
  <c r="D35" i="14"/>
  <c r="N33" i="14"/>
  <c r="S33" i="14" s="1"/>
  <c r="J33" i="14"/>
  <c r="F33" i="14"/>
  <c r="N32" i="14"/>
  <c r="S32" i="14" s="1"/>
  <c r="J32" i="14"/>
  <c r="F32" i="14"/>
  <c r="N31" i="14"/>
  <c r="R31" i="14" s="1"/>
  <c r="T31" i="14" s="1"/>
  <c r="J31" i="14"/>
  <c r="F31" i="14"/>
  <c r="N30" i="14"/>
  <c r="J30" i="14"/>
  <c r="F30" i="14"/>
  <c r="N29" i="14"/>
  <c r="S29" i="14" s="1"/>
  <c r="J29" i="14"/>
  <c r="F29" i="14"/>
  <c r="N28" i="14"/>
  <c r="S28" i="14" s="1"/>
  <c r="J28" i="14"/>
  <c r="F28" i="14"/>
  <c r="N27" i="14"/>
  <c r="S27" i="14" s="1"/>
  <c r="J27" i="14"/>
  <c r="F27" i="14"/>
  <c r="N26" i="14"/>
  <c r="J26" i="14"/>
  <c r="F26" i="14"/>
  <c r="N25" i="14"/>
  <c r="S25" i="14" s="1"/>
  <c r="J25" i="14"/>
  <c r="F25" i="14"/>
  <c r="N24" i="14"/>
  <c r="S24" i="14" s="1"/>
  <c r="J24" i="14"/>
  <c r="F24" i="14"/>
  <c r="N23" i="14"/>
  <c r="R23" i="14" s="1"/>
  <c r="T23" i="14" s="1"/>
  <c r="J23" i="14"/>
  <c r="F23" i="14"/>
  <c r="N22" i="14"/>
  <c r="J22" i="14"/>
  <c r="F22" i="14"/>
  <c r="N21" i="14"/>
  <c r="R21" i="14" s="1"/>
  <c r="T21" i="14" s="1"/>
  <c r="J21" i="14"/>
  <c r="F21" i="14"/>
  <c r="N20" i="14"/>
  <c r="S20" i="14" s="1"/>
  <c r="J20" i="14"/>
  <c r="F20" i="14"/>
  <c r="N19" i="14"/>
  <c r="S19" i="14" s="1"/>
  <c r="J19" i="14"/>
  <c r="F19" i="14"/>
  <c r="AK17" i="14"/>
  <c r="AK37" i="14" s="1"/>
  <c r="AJ17" i="14"/>
  <c r="AJ37" i="14" s="1"/>
  <c r="AI17" i="14"/>
  <c r="AH17" i="14"/>
  <c r="AG17" i="14"/>
  <c r="AG37" i="14" s="1"/>
  <c r="AF17" i="14"/>
  <c r="AF37" i="14" s="1"/>
  <c r="AE17" i="14"/>
  <c r="AD17" i="14"/>
  <c r="AC17" i="14"/>
  <c r="AC37" i="14" s="1"/>
  <c r="AB17" i="14"/>
  <c r="AB37" i="14" s="1"/>
  <c r="AA17" i="14"/>
  <c r="Z17" i="14"/>
  <c r="P17" i="14"/>
  <c r="L17" i="14"/>
  <c r="I17" i="14"/>
  <c r="I37" i="14" s="1"/>
  <c r="H17" i="14"/>
  <c r="E17" i="14"/>
  <c r="E37" i="14" s="1"/>
  <c r="D17" i="14"/>
  <c r="D37" i="14" s="1"/>
  <c r="N15" i="14"/>
  <c r="S15" i="14" s="1"/>
  <c r="J15" i="14"/>
  <c r="F15" i="14"/>
  <c r="N14" i="14"/>
  <c r="S14" i="14" s="1"/>
  <c r="J14" i="14"/>
  <c r="F14" i="14"/>
  <c r="N13" i="14"/>
  <c r="S13" i="14" s="1"/>
  <c r="J13" i="14"/>
  <c r="F13" i="14"/>
  <c r="N12" i="14"/>
  <c r="R12" i="14" s="1"/>
  <c r="T12" i="14" s="1"/>
  <c r="J12" i="14"/>
  <c r="F12" i="14"/>
  <c r="N11" i="14"/>
  <c r="S11" i="14" s="1"/>
  <c r="J11" i="14"/>
  <c r="F11" i="14"/>
  <c r="AK49" i="13"/>
  <c r="AJ49" i="13"/>
  <c r="AI49" i="13"/>
  <c r="AH49" i="13"/>
  <c r="AG49" i="13"/>
  <c r="AF49" i="13"/>
  <c r="AE49" i="13"/>
  <c r="AD49" i="13"/>
  <c r="AC49" i="13"/>
  <c r="AB49" i="13"/>
  <c r="AA49" i="13"/>
  <c r="Z49" i="13"/>
  <c r="P49" i="13"/>
  <c r="Q49" i="13" s="1"/>
  <c r="I49" i="13"/>
  <c r="H49" i="13"/>
  <c r="E49" i="13"/>
  <c r="D49" i="13"/>
  <c r="J47" i="13"/>
  <c r="F47" i="13"/>
  <c r="J46" i="13"/>
  <c r="F46" i="13"/>
  <c r="J45" i="13"/>
  <c r="F45" i="13"/>
  <c r="AK40" i="13"/>
  <c r="AJ40" i="13"/>
  <c r="AI40" i="13"/>
  <c r="AH40" i="13"/>
  <c r="AG40" i="13"/>
  <c r="AF40" i="13"/>
  <c r="AE40" i="13"/>
  <c r="AD40" i="13"/>
  <c r="AC40" i="13"/>
  <c r="AB40" i="13"/>
  <c r="AA40" i="13"/>
  <c r="Z40" i="13"/>
  <c r="P40" i="13"/>
  <c r="L40" i="13"/>
  <c r="I40" i="13"/>
  <c r="H40" i="13"/>
  <c r="E40" i="13"/>
  <c r="D40" i="13"/>
  <c r="N38" i="13"/>
  <c r="R38" i="13" s="1"/>
  <c r="T38" i="13" s="1"/>
  <c r="J38" i="13"/>
  <c r="F38" i="13"/>
  <c r="N37" i="13"/>
  <c r="S37" i="13" s="1"/>
  <c r="J37" i="13"/>
  <c r="F37" i="13"/>
  <c r="N36" i="13"/>
  <c r="S36" i="13" s="1"/>
  <c r="J36" i="13"/>
  <c r="F36" i="13"/>
  <c r="N35" i="13"/>
  <c r="S35" i="13" s="1"/>
  <c r="J35" i="13"/>
  <c r="F35" i="13"/>
  <c r="S34" i="13"/>
  <c r="N34" i="13"/>
  <c r="R34" i="13" s="1"/>
  <c r="T34" i="13" s="1"/>
  <c r="J34" i="13"/>
  <c r="F34" i="13"/>
  <c r="N33" i="13"/>
  <c r="S33" i="13" s="1"/>
  <c r="J33" i="13"/>
  <c r="F33" i="13"/>
  <c r="N32" i="13"/>
  <c r="S32" i="13" s="1"/>
  <c r="J32" i="13"/>
  <c r="F32" i="13"/>
  <c r="N31" i="13"/>
  <c r="S31" i="13" s="1"/>
  <c r="J31" i="13"/>
  <c r="F31" i="13"/>
  <c r="N30" i="13"/>
  <c r="R30" i="13" s="1"/>
  <c r="T30" i="13" s="1"/>
  <c r="J30" i="13"/>
  <c r="F30" i="13"/>
  <c r="N29" i="13"/>
  <c r="S29" i="13" s="1"/>
  <c r="J29" i="13"/>
  <c r="F29" i="13"/>
  <c r="N28" i="13"/>
  <c r="S28" i="13" s="1"/>
  <c r="J28" i="13"/>
  <c r="F28" i="13"/>
  <c r="N27" i="13"/>
  <c r="S27" i="13" s="1"/>
  <c r="J27" i="13"/>
  <c r="F27" i="13"/>
  <c r="N26" i="13"/>
  <c r="R26" i="13" s="1"/>
  <c r="T26" i="13" s="1"/>
  <c r="J26" i="13"/>
  <c r="F26" i="13"/>
  <c r="N25" i="13"/>
  <c r="S25" i="13" s="1"/>
  <c r="J25" i="13"/>
  <c r="F25" i="13"/>
  <c r="N24" i="13"/>
  <c r="S24" i="13" s="1"/>
  <c r="J24" i="13"/>
  <c r="F24" i="13"/>
  <c r="N23" i="13"/>
  <c r="S23" i="13" s="1"/>
  <c r="J23" i="13"/>
  <c r="F23" i="13"/>
  <c r="N22" i="13"/>
  <c r="R22" i="13" s="1"/>
  <c r="T22" i="13" s="1"/>
  <c r="J22" i="13"/>
  <c r="F22" i="13"/>
  <c r="N21" i="13"/>
  <c r="S21" i="13" s="1"/>
  <c r="J21" i="13"/>
  <c r="F21" i="13"/>
  <c r="AK19" i="13"/>
  <c r="AJ19" i="13"/>
  <c r="AJ42" i="13" s="1"/>
  <c r="AI19" i="13"/>
  <c r="AH19" i="13"/>
  <c r="AG19" i="13"/>
  <c r="AF19" i="13"/>
  <c r="AE19" i="13"/>
  <c r="AD19" i="13"/>
  <c r="AC19" i="13"/>
  <c r="AB19" i="13"/>
  <c r="AB42" i="13" s="1"/>
  <c r="AA19" i="13"/>
  <c r="Z19" i="13"/>
  <c r="P19" i="13"/>
  <c r="P42" i="13" s="1"/>
  <c r="L19" i="13"/>
  <c r="L42" i="13" s="1"/>
  <c r="I19" i="13"/>
  <c r="H19" i="13"/>
  <c r="E19" i="13"/>
  <c r="D19" i="13"/>
  <c r="D42" i="13" s="1"/>
  <c r="N17" i="13"/>
  <c r="J17" i="13"/>
  <c r="F17" i="13"/>
  <c r="T16" i="13"/>
  <c r="N16" i="13"/>
  <c r="R16" i="13" s="1"/>
  <c r="J16" i="13"/>
  <c r="F16" i="13"/>
  <c r="N15" i="13"/>
  <c r="S15" i="13" s="1"/>
  <c r="J15" i="13"/>
  <c r="F15" i="13"/>
  <c r="N14" i="13"/>
  <c r="R14" i="13" s="1"/>
  <c r="J14" i="13"/>
  <c r="F14" i="13"/>
  <c r="Q35" i="15" l="1"/>
  <c r="R15" i="14"/>
  <c r="T15" i="14" s="1"/>
  <c r="AA37" i="14"/>
  <c r="AI37" i="14"/>
  <c r="R26" i="15"/>
  <c r="T26" i="15" s="1"/>
  <c r="R28" i="15"/>
  <c r="T28" i="15" s="1"/>
  <c r="AH37" i="14"/>
  <c r="J17" i="15"/>
  <c r="R30" i="15"/>
  <c r="T30" i="15" s="1"/>
  <c r="S14" i="13"/>
  <c r="H37" i="14"/>
  <c r="AD37" i="14"/>
  <c r="Z42" i="13"/>
  <c r="AA35" i="15"/>
  <c r="AI35" i="15"/>
  <c r="AH42" i="13"/>
  <c r="AA42" i="13"/>
  <c r="AI42" i="13"/>
  <c r="S23" i="14"/>
  <c r="S21" i="14"/>
  <c r="Z37" i="14"/>
  <c r="J17" i="14"/>
  <c r="R13" i="14"/>
  <c r="T13" i="14" s="1"/>
  <c r="R29" i="14"/>
  <c r="T29" i="14" s="1"/>
  <c r="S31" i="14"/>
  <c r="Q35" i="14"/>
  <c r="F45" i="14"/>
  <c r="R25" i="14"/>
  <c r="T25" i="14" s="1"/>
  <c r="F17" i="14"/>
  <c r="Q17" i="14"/>
  <c r="R19" i="14"/>
  <c r="T19" i="14" s="1"/>
  <c r="R33" i="14"/>
  <c r="T33" i="14" s="1"/>
  <c r="J45" i="14"/>
  <c r="R27" i="14"/>
  <c r="T27" i="14" s="1"/>
  <c r="R32" i="14"/>
  <c r="T32" i="14" s="1"/>
  <c r="N17" i="14"/>
  <c r="S17" i="14" s="1"/>
  <c r="R11" i="14"/>
  <c r="T11" i="14" s="1"/>
  <c r="L37" i="14"/>
  <c r="J35" i="14"/>
  <c r="F35" i="14"/>
  <c r="F37" i="14" s="1"/>
  <c r="AE37" i="14"/>
  <c r="S25" i="15"/>
  <c r="R27" i="15"/>
  <c r="T27" i="15" s="1"/>
  <c r="R29" i="15"/>
  <c r="T29" i="15" s="1"/>
  <c r="Q33" i="15"/>
  <c r="L35" i="15"/>
  <c r="AE35" i="15"/>
  <c r="F17" i="15"/>
  <c r="AF35" i="15"/>
  <c r="N33" i="15"/>
  <c r="S31" i="15"/>
  <c r="F42" i="15"/>
  <c r="Q17" i="15"/>
  <c r="D35" i="15"/>
  <c r="AK35" i="15"/>
  <c r="S13" i="15"/>
  <c r="S22" i="15"/>
  <c r="Z35" i="15"/>
  <c r="AH35" i="15"/>
  <c r="S19" i="15"/>
  <c r="R21" i="15"/>
  <c r="T21" i="15" s="1"/>
  <c r="AB35" i="15"/>
  <c r="AJ35" i="15"/>
  <c r="R23" i="15"/>
  <c r="T23" i="15" s="1"/>
  <c r="J42" i="15"/>
  <c r="AD35" i="15"/>
  <c r="F33" i="15"/>
  <c r="F19" i="13"/>
  <c r="F42" i="13" s="1"/>
  <c r="H42" i="13"/>
  <c r="AD42" i="13"/>
  <c r="I42" i="13"/>
  <c r="AE42" i="13"/>
  <c r="R21" i="13"/>
  <c r="T21" i="13" s="1"/>
  <c r="R27" i="13"/>
  <c r="T27" i="13" s="1"/>
  <c r="R29" i="13"/>
  <c r="T29" i="13" s="1"/>
  <c r="R31" i="13"/>
  <c r="T31" i="13" s="1"/>
  <c r="R35" i="13"/>
  <c r="T35" i="13" s="1"/>
  <c r="R37" i="13"/>
  <c r="T37" i="13" s="1"/>
  <c r="Q40" i="13"/>
  <c r="R23" i="13"/>
  <c r="T23" i="13" s="1"/>
  <c r="R25" i="13"/>
  <c r="T25" i="13" s="1"/>
  <c r="AF42" i="13"/>
  <c r="AC42" i="13"/>
  <c r="S22" i="13"/>
  <c r="S30" i="13"/>
  <c r="S38" i="13"/>
  <c r="E42" i="13"/>
  <c r="AK42" i="13"/>
  <c r="F40" i="13"/>
  <c r="S16" i="13"/>
  <c r="J33" i="15"/>
  <c r="R14" i="15"/>
  <c r="T14" i="15" s="1"/>
  <c r="N17" i="15"/>
  <c r="S14" i="15"/>
  <c r="R17" i="15"/>
  <c r="R20" i="15"/>
  <c r="R24" i="15"/>
  <c r="T24" i="15" s="1"/>
  <c r="S22" i="14"/>
  <c r="R22" i="14"/>
  <c r="T22" i="14" s="1"/>
  <c r="S26" i="14"/>
  <c r="R26" i="14"/>
  <c r="T26" i="14" s="1"/>
  <c r="S30" i="14"/>
  <c r="R30" i="14"/>
  <c r="T30" i="14" s="1"/>
  <c r="S12" i="14"/>
  <c r="P37" i="14"/>
  <c r="R14" i="14"/>
  <c r="T14" i="14" s="1"/>
  <c r="R20" i="14"/>
  <c r="R24" i="14"/>
  <c r="T24" i="14" s="1"/>
  <c r="R28" i="14"/>
  <c r="T28" i="14" s="1"/>
  <c r="N35" i="14"/>
  <c r="J40" i="13"/>
  <c r="R33" i="13"/>
  <c r="T33" i="13" s="1"/>
  <c r="J19" i="13"/>
  <c r="S17" i="13"/>
  <c r="R17" i="13"/>
  <c r="T17" i="13" s="1"/>
  <c r="F49" i="13"/>
  <c r="Q19" i="13"/>
  <c r="N19" i="13"/>
  <c r="S19" i="13" s="1"/>
  <c r="AG42" i="13"/>
  <c r="J49" i="13"/>
  <c r="T14" i="13"/>
  <c r="R15" i="13"/>
  <c r="T15" i="13" s="1"/>
  <c r="S26" i="13"/>
  <c r="N40" i="13"/>
  <c r="Q42" i="13"/>
  <c r="R24" i="13"/>
  <c r="T24" i="13" s="1"/>
  <c r="R28" i="13"/>
  <c r="T28" i="13" s="1"/>
  <c r="R32" i="13"/>
  <c r="T32" i="13" s="1"/>
  <c r="R36" i="13"/>
  <c r="T36" i="13" s="1"/>
  <c r="F35" i="15" l="1"/>
  <c r="J35" i="15"/>
  <c r="J37" i="14"/>
  <c r="N37" i="14"/>
  <c r="J42" i="13"/>
  <c r="T20" i="15"/>
  <c r="R33" i="15"/>
  <c r="R35" i="15" s="1"/>
  <c r="T17" i="15"/>
  <c r="N35" i="15"/>
  <c r="S17" i="15"/>
  <c r="T20" i="14"/>
  <c r="R35" i="14"/>
  <c r="Q37" i="14"/>
  <c r="R17" i="14"/>
  <c r="R40" i="13"/>
  <c r="N42" i="13"/>
  <c r="R19" i="13"/>
  <c r="H47" i="1"/>
  <c r="H48" i="1"/>
  <c r="H49" i="1" s="1"/>
  <c r="H50" i="1" s="1"/>
  <c r="T35" i="15" l="1"/>
  <c r="S35" i="15"/>
  <c r="T33" i="15"/>
  <c r="S33" i="15"/>
  <c r="R37" i="14"/>
  <c r="T17" i="14"/>
  <c r="T35" i="14"/>
  <c r="S35" i="14"/>
  <c r="S40" i="13"/>
  <c r="T40" i="13"/>
  <c r="T19" i="13"/>
  <c r="R42" i="13"/>
  <c r="H14" i="1"/>
  <c r="H15" i="1"/>
  <c r="T37" i="14" l="1"/>
  <c r="S37" i="14"/>
  <c r="T42" i="13"/>
  <c r="S42" i="13"/>
  <c r="G47" i="2"/>
  <c r="G49" i="2"/>
  <c r="G50" i="2"/>
  <c r="G51" i="2"/>
  <c r="E3" i="2"/>
  <c r="G26" i="4"/>
  <c r="G17" i="4"/>
  <c r="G18" i="4"/>
  <c r="G19" i="4"/>
  <c r="G20" i="4"/>
  <c r="G21" i="4"/>
  <c r="G22" i="4"/>
  <c r="G23" i="4"/>
  <c r="G24" i="4"/>
  <c r="G25" i="4"/>
  <c r="G31" i="4"/>
  <c r="G11" i="4" l="1"/>
  <c r="G15" i="4"/>
  <c r="G7" i="4"/>
  <c r="G9" i="4"/>
  <c r="G16" i="4"/>
  <c r="G8" i="4"/>
  <c r="G14" i="4"/>
  <c r="G30" i="4"/>
  <c r="G13" i="4"/>
  <c r="G12" i="4"/>
  <c r="G10" i="4"/>
  <c r="G27" i="4"/>
  <c r="G29" i="4"/>
  <c r="G28" i="4"/>
  <c r="G7" i="2"/>
  <c r="B51" i="2" l="1"/>
  <c r="B50" i="2"/>
  <c r="B49" i="2"/>
  <c r="B48" i="2"/>
  <c r="B83" i="2"/>
  <c r="B82" i="2"/>
  <c r="B80" i="2"/>
  <c r="B75" i="2"/>
  <c r="B81" i="2"/>
  <c r="B30" i="4"/>
  <c r="B22" i="4"/>
  <c r="B21" i="4"/>
  <c r="B18" i="4" l="1"/>
  <c r="H77" i="2"/>
  <c r="H53" i="1"/>
  <c r="H38" i="2" l="1"/>
  <c r="B38" i="2"/>
  <c r="B33" i="2"/>
  <c r="H39" i="2" l="1"/>
  <c r="H42" i="2"/>
  <c r="H43" i="2"/>
  <c r="H40" i="2"/>
  <c r="G40" i="2" l="1"/>
  <c r="G75" i="2"/>
  <c r="H73" i="1" l="1"/>
  <c r="H70" i="1"/>
  <c r="H92" i="2" l="1"/>
  <c r="H58" i="2"/>
  <c r="H33" i="2" l="1"/>
  <c r="H46" i="2" s="1"/>
  <c r="B34" i="2"/>
  <c r="H59" i="1"/>
  <c r="H7" i="2"/>
  <c r="H34" i="2" l="1"/>
  <c r="H13" i="2"/>
  <c r="G31" i="3" l="1"/>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45" i="2"/>
  <c r="G38" i="2"/>
  <c r="G39" i="2"/>
  <c r="G41" i="2"/>
  <c r="G42" i="2"/>
  <c r="G43" i="2"/>
  <c r="G44" i="2"/>
  <c r="G46" i="2"/>
  <c r="G52" i="2"/>
  <c r="G53" i="2"/>
  <c r="G54" i="2"/>
  <c r="G55" i="2"/>
  <c r="G56" i="2"/>
  <c r="G57" i="2"/>
  <c r="G58" i="2"/>
  <c r="G59" i="2"/>
  <c r="G60" i="2"/>
  <c r="G61" i="2"/>
  <c r="G62" i="2"/>
  <c r="G63" i="2"/>
  <c r="G64" i="2"/>
  <c r="G65" i="2"/>
  <c r="G66" i="2"/>
  <c r="G67" i="2"/>
  <c r="G68" i="2"/>
  <c r="G69" i="2"/>
  <c r="G70" i="2"/>
  <c r="G71" i="2"/>
  <c r="G72" i="2"/>
  <c r="G73" i="2"/>
  <c r="G74" i="2"/>
  <c r="G76" i="2"/>
  <c r="G77" i="2"/>
  <c r="G78" i="2"/>
  <c r="G79"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14" i="1"/>
  <c r="G115" i="1"/>
  <c r="G36" i="2" l="1"/>
  <c r="B81" i="3"/>
  <c r="B80" i="3"/>
  <c r="B79" i="3"/>
  <c r="B78" i="3"/>
  <c r="B77" i="3"/>
  <c r="B76" i="3"/>
  <c r="B75" i="3"/>
  <c r="B74" i="3"/>
  <c r="B73" i="3"/>
  <c r="B72" i="3"/>
  <c r="B71" i="3"/>
  <c r="B70" i="3"/>
  <c r="B69" i="3"/>
  <c r="B68" i="3"/>
  <c r="B67" i="3"/>
  <c r="B66" i="3"/>
  <c r="B65" i="3"/>
  <c r="B64" i="3"/>
  <c r="B63" i="3"/>
  <c r="B62" i="3"/>
  <c r="B61" i="3"/>
  <c r="B60" i="3"/>
  <c r="B59" i="3"/>
  <c r="B58" i="3"/>
  <c r="B57" i="3"/>
  <c r="B56" i="3"/>
  <c r="B55" i="3"/>
  <c r="B5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B13" i="3"/>
  <c r="B12" i="3"/>
  <c r="B11" i="3"/>
  <c r="B10" i="3"/>
  <c r="B9" i="3"/>
  <c r="B8" i="3"/>
  <c r="B7" i="3"/>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79" i="2"/>
  <c r="B47" i="2"/>
  <c r="B78" i="2"/>
  <c r="B77" i="2"/>
  <c r="B76" i="2"/>
  <c r="B74" i="2"/>
  <c r="B73" i="2"/>
  <c r="B72" i="2"/>
  <c r="B71" i="2"/>
  <c r="B70" i="2"/>
  <c r="B69" i="2"/>
  <c r="B68" i="2"/>
  <c r="B67" i="2"/>
  <c r="B66" i="2"/>
  <c r="B65" i="2"/>
  <c r="B64" i="2"/>
  <c r="B63" i="2"/>
  <c r="B62" i="2"/>
  <c r="B61" i="2"/>
  <c r="B60" i="2"/>
  <c r="B59" i="2"/>
  <c r="B58" i="2"/>
  <c r="B57" i="2"/>
  <c r="B56" i="2"/>
  <c r="B55" i="2"/>
  <c r="B54" i="2"/>
  <c r="B53" i="2"/>
  <c r="B52" i="2"/>
  <c r="B46" i="2"/>
  <c r="B45" i="2"/>
  <c r="B44" i="2"/>
  <c r="B43" i="2"/>
  <c r="B42" i="2"/>
  <c r="B41" i="2"/>
  <c r="B40" i="2"/>
  <c r="B39" i="2"/>
  <c r="B37" i="2"/>
  <c r="B36" i="2"/>
  <c r="B35" i="2"/>
  <c r="B32" i="2"/>
  <c r="B31" i="2"/>
  <c r="B30" i="2"/>
  <c r="B29" i="2"/>
  <c r="B28" i="2"/>
  <c r="B27" i="2"/>
  <c r="B26" i="2"/>
  <c r="B25" i="2"/>
  <c r="B24" i="2"/>
  <c r="B23" i="2"/>
  <c r="B22" i="2"/>
  <c r="B21" i="2"/>
  <c r="B20" i="2"/>
  <c r="B19" i="2"/>
  <c r="B18" i="2"/>
  <c r="B17" i="2"/>
  <c r="B16" i="2"/>
  <c r="B15" i="2"/>
  <c r="B14" i="2"/>
  <c r="B13" i="2"/>
  <c r="B12" i="2"/>
  <c r="B11" i="2"/>
  <c r="B10" i="2"/>
  <c r="B9" i="2"/>
  <c r="B8" i="2"/>
  <c r="B7" i="2"/>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7" i="1"/>
  <c r="B31" i="4"/>
  <c r="B29" i="4"/>
  <c r="B28" i="4"/>
  <c r="B27" i="4"/>
  <c r="B26" i="4"/>
  <c r="B25" i="4"/>
  <c r="B24" i="4"/>
  <c r="B23" i="4"/>
  <c r="B20" i="4"/>
  <c r="B19" i="4"/>
  <c r="B17" i="4"/>
  <c r="B16" i="4"/>
  <c r="B15" i="4"/>
  <c r="B14" i="4"/>
  <c r="B13" i="4"/>
  <c r="B12" i="4"/>
  <c r="B11" i="4"/>
  <c r="B10" i="4"/>
  <c r="B9" i="4"/>
  <c r="B8" i="4"/>
  <c r="B7" i="4"/>
  <c r="H7" i="1" l="1"/>
  <c r="H10" i="1"/>
  <c r="H69" i="3" l="1"/>
  <c r="NN2" i="7" l="1"/>
  <c r="NO2" i="7"/>
  <c r="G108" i="1"/>
  <c r="G54" i="1"/>
  <c r="G63" i="1"/>
  <c r="G72" i="1"/>
  <c r="G88" i="1"/>
  <c r="G97" i="1"/>
  <c r="G106" i="1"/>
  <c r="G100" i="1"/>
  <c r="G64" i="1"/>
  <c r="G98" i="1"/>
  <c r="G91" i="1"/>
  <c r="G59" i="1"/>
  <c r="G102" i="1"/>
  <c r="G92" i="1"/>
  <c r="G56" i="1"/>
  <c r="G66" i="1"/>
  <c r="G75" i="1"/>
  <c r="G90" i="1"/>
  <c r="G99" i="1"/>
  <c r="G109" i="1"/>
  <c r="G84" i="1"/>
  <c r="G58" i="1"/>
  <c r="G67" i="1"/>
  <c r="G76" i="1"/>
  <c r="G82" i="1"/>
  <c r="G101" i="1"/>
  <c r="G83" i="1"/>
  <c r="G81" i="1"/>
  <c r="G68" i="1"/>
  <c r="G73" i="1"/>
  <c r="G60" i="1"/>
  <c r="G69" i="1"/>
  <c r="G78" i="1"/>
  <c r="G85" i="1"/>
  <c r="G94" i="1"/>
  <c r="G103" i="1"/>
  <c r="G112" i="1"/>
  <c r="G53" i="1"/>
  <c r="G71" i="1"/>
  <c r="G87" i="1"/>
  <c r="G105" i="1"/>
  <c r="G55" i="1"/>
  <c r="G89" i="1"/>
  <c r="G93" i="1"/>
  <c r="G65" i="1"/>
  <c r="G61" i="1"/>
  <c r="G70" i="1"/>
  <c r="G79" i="1"/>
  <c r="G86" i="1"/>
  <c r="G95" i="1"/>
  <c r="G104" i="1"/>
  <c r="G113" i="1"/>
  <c r="G57" i="1"/>
  <c r="G62" i="1"/>
  <c r="G80" i="1"/>
  <c r="G96" i="1"/>
  <c r="G74" i="1"/>
  <c r="G107" i="1"/>
  <c r="G110" i="1"/>
  <c r="G77" i="1"/>
  <c r="G111" i="1"/>
  <c r="H80" i="3"/>
  <c r="H135" i="2"/>
  <c r="H114" i="1"/>
  <c r="NJ2" i="7"/>
  <c r="H44" i="1"/>
  <c r="H74" i="1" l="1"/>
  <c r="NK2" i="7"/>
  <c r="B6" i="3" l="1"/>
  <c r="MC2" i="7" l="1"/>
  <c r="JO5" i="7"/>
  <c r="JW5" i="7"/>
  <c r="KE5" i="7"/>
  <c r="KM5" i="7"/>
  <c r="KU5" i="7"/>
  <c r="LC5" i="7"/>
  <c r="LK5" i="7"/>
  <c r="LS5" i="7"/>
  <c r="MA5" i="7"/>
  <c r="KS5" i="7"/>
  <c r="KT5" i="7"/>
  <c r="LT2" i="7"/>
  <c r="ME2" i="7"/>
  <c r="JP5" i="7"/>
  <c r="JX5" i="7"/>
  <c r="KF5" i="7"/>
  <c r="KN5" i="7"/>
  <c r="KV5" i="7"/>
  <c r="LD5" i="7"/>
  <c r="LL5" i="7"/>
  <c r="LT5" i="7"/>
  <c r="MB5" i="7"/>
  <c r="LZ2" i="7"/>
  <c r="JV5" i="7"/>
  <c r="LZ5" i="7"/>
  <c r="LU2" i="7"/>
  <c r="JI5" i="7"/>
  <c r="JQ5" i="7"/>
  <c r="JY5" i="7"/>
  <c r="KG5" i="7"/>
  <c r="KO5" i="7"/>
  <c r="KW5" i="7"/>
  <c r="LE5" i="7"/>
  <c r="LM5" i="7"/>
  <c r="LU5" i="7"/>
  <c r="MC5" i="7"/>
  <c r="JM5" i="7"/>
  <c r="LA5" i="7"/>
  <c r="KD5" i="7"/>
  <c r="LR5" i="7"/>
  <c r="LV2" i="7"/>
  <c r="JJ5" i="7"/>
  <c r="JR5" i="7"/>
  <c r="JZ5" i="7"/>
  <c r="KH5" i="7"/>
  <c r="KP5" i="7"/>
  <c r="KX5" i="7"/>
  <c r="LF5" i="7"/>
  <c r="LN5" i="7"/>
  <c r="LV5" i="7"/>
  <c r="MD5" i="7"/>
  <c r="JU5" i="7"/>
  <c r="LY5" i="7"/>
  <c r="KL5" i="7"/>
  <c r="LX2" i="7"/>
  <c r="JK5" i="7"/>
  <c r="JS5" i="7"/>
  <c r="KA5" i="7"/>
  <c r="KI5" i="7"/>
  <c r="KQ5" i="7"/>
  <c r="KY5" i="7"/>
  <c r="LG5" i="7"/>
  <c r="LO5" i="7"/>
  <c r="LW5" i="7"/>
  <c r="ME5" i="7"/>
  <c r="KK5" i="7"/>
  <c r="LI5" i="7"/>
  <c r="JN5" i="7"/>
  <c r="LB5" i="7"/>
  <c r="LY2" i="7"/>
  <c r="JL5" i="7"/>
  <c r="JT5" i="7"/>
  <c r="KB5" i="7"/>
  <c r="KJ5" i="7"/>
  <c r="KR5" i="7"/>
  <c r="KZ5" i="7"/>
  <c r="LH5" i="7"/>
  <c r="LP5" i="7"/>
  <c r="LX5" i="7"/>
  <c r="JH5" i="7"/>
  <c r="KC5" i="7"/>
  <c r="LQ5" i="7"/>
  <c r="MB2" i="7"/>
  <c r="LJ5" i="7"/>
  <c r="LS2" i="7"/>
  <c r="MD2" i="7"/>
  <c r="G17" i="1"/>
  <c r="G13" i="1"/>
  <c r="G12" i="1"/>
  <c r="E3" i="3" l="1"/>
  <c r="E3" i="1"/>
  <c r="H6" i="4" l="1"/>
  <c r="H7" i="4"/>
  <c r="G11" i="1"/>
  <c r="G14" i="1"/>
  <c r="G23" i="1"/>
  <c r="G31" i="1"/>
  <c r="G39" i="1"/>
  <c r="G47" i="1"/>
  <c r="G42" i="1"/>
  <c r="G10" i="1"/>
  <c r="G46" i="1"/>
  <c r="G15" i="1"/>
  <c r="G24" i="1"/>
  <c r="G32" i="1"/>
  <c r="G40" i="1"/>
  <c r="G48" i="1"/>
  <c r="G29" i="1"/>
  <c r="G16" i="1"/>
  <c r="G25" i="1"/>
  <c r="G33" i="1"/>
  <c r="G41" i="1"/>
  <c r="G49" i="1"/>
  <c r="G18" i="1"/>
  <c r="G34" i="1"/>
  <c r="G20" i="1"/>
  <c r="G44" i="1"/>
  <c r="G37" i="1"/>
  <c r="G38" i="1"/>
  <c r="G26" i="1"/>
  <c r="G50" i="1"/>
  <c r="G45" i="1"/>
  <c r="G22" i="1"/>
  <c r="G8" i="1"/>
  <c r="G19" i="1"/>
  <c r="G27" i="1"/>
  <c r="G35" i="1"/>
  <c r="G43" i="1"/>
  <c r="G51" i="1"/>
  <c r="G9" i="1"/>
  <c r="G28" i="1"/>
  <c r="G36" i="1"/>
  <c r="G21" i="1"/>
  <c r="G30" i="1"/>
  <c r="G52" i="1" l="1"/>
  <c r="H11" i="4"/>
  <c r="H6" i="1" l="1"/>
  <c r="H16" i="1" s="1"/>
  <c r="H6" i="3"/>
  <c r="H6" i="2"/>
  <c r="G6" i="1" l="1"/>
  <c r="H53" i="2" l="1"/>
  <c r="H73" i="3" l="1"/>
  <c r="H61" i="3"/>
  <c r="H66" i="3" s="1"/>
  <c r="H54" i="3"/>
  <c r="H65" i="3" s="1"/>
  <c r="H9" i="3"/>
  <c r="H46" i="3" s="1"/>
  <c r="H40" i="3"/>
  <c r="LW2" i="7" l="1"/>
  <c r="H67" i="3"/>
  <c r="H68" i="3" s="1"/>
  <c r="H43" i="3"/>
  <c r="H77" i="3"/>
  <c r="MA2" i="7" s="1"/>
  <c r="H55" i="3"/>
  <c r="H62" i="3"/>
  <c r="H10" i="2"/>
  <c r="H127" i="2"/>
  <c r="H123" i="2"/>
  <c r="H102" i="1"/>
  <c r="H115" i="2"/>
  <c r="H106" i="2"/>
  <c r="H85" i="1"/>
  <c r="H94" i="1"/>
  <c r="O74" i="1"/>
  <c r="M74" i="1"/>
  <c r="N74" i="1"/>
  <c r="P74" i="1"/>
  <c r="Q74" i="1"/>
  <c r="R74" i="1"/>
  <c r="S74" i="1"/>
  <c r="T74" i="1"/>
  <c r="U74" i="1"/>
  <c r="V74" i="1"/>
  <c r="W74" i="1"/>
  <c r="X74" i="1"/>
  <c r="Y74" i="1"/>
  <c r="Z74" i="1"/>
  <c r="AA74" i="1"/>
  <c r="AB74" i="1"/>
  <c r="AC74" i="1"/>
  <c r="AD74" i="1"/>
  <c r="AE74" i="1"/>
  <c r="AF74" i="1"/>
  <c r="G8" i="2"/>
  <c r="G9" i="2"/>
  <c r="G10" i="2"/>
  <c r="G11" i="2"/>
  <c r="G12" i="2"/>
  <c r="G13" i="2"/>
  <c r="G14" i="2"/>
  <c r="G15" i="2"/>
  <c r="G16" i="2"/>
  <c r="G17" i="2"/>
  <c r="G18" i="2"/>
  <c r="G19" i="2"/>
  <c r="G20" i="2"/>
  <c r="G21" i="2"/>
  <c r="G22" i="2"/>
  <c r="G23" i="2"/>
  <c r="G24" i="2"/>
  <c r="G25" i="2"/>
  <c r="G26" i="2"/>
  <c r="G27" i="2"/>
  <c r="G28" i="2"/>
  <c r="G29" i="2"/>
  <c r="G30" i="2"/>
  <c r="G31" i="2"/>
  <c r="G33" i="2"/>
  <c r="G34" i="2"/>
  <c r="G37" i="2"/>
  <c r="G6" i="2"/>
  <c r="H119" i="2" l="1"/>
  <c r="H120" i="2"/>
  <c r="H121" i="2"/>
  <c r="H107" i="2"/>
  <c r="H56" i="1"/>
  <c r="H66" i="1"/>
  <c r="H131" i="2"/>
  <c r="H102" i="2"/>
  <c r="H97" i="2"/>
  <c r="H99" i="1"/>
  <c r="H95" i="1"/>
  <c r="H86" i="1"/>
  <c r="H98" i="1"/>
  <c r="H116" i="2"/>
  <c r="G7" i="3"/>
  <c r="G8" i="3"/>
  <c r="G9" i="3"/>
  <c r="G10" i="3"/>
  <c r="G11" i="3"/>
  <c r="G12" i="3"/>
  <c r="G13" i="3"/>
  <c r="G14" i="3"/>
  <c r="G15" i="3"/>
  <c r="G16" i="3"/>
  <c r="G17" i="3"/>
  <c r="G18" i="3"/>
  <c r="G19" i="3"/>
  <c r="G20" i="3"/>
  <c r="G21" i="3"/>
  <c r="G22" i="3"/>
  <c r="G23" i="3"/>
  <c r="G24" i="3"/>
  <c r="G25" i="3"/>
  <c r="G26" i="3"/>
  <c r="G27" i="3"/>
  <c r="G28" i="3"/>
  <c r="G29" i="3"/>
  <c r="G30" i="3"/>
  <c r="G6" i="3"/>
  <c r="H106" i="1"/>
  <c r="H100" i="1" s="1"/>
  <c r="H122" i="2" l="1"/>
  <c r="H101" i="1"/>
  <c r="H110" i="1"/>
  <c r="G6" i="4"/>
  <c r="NL2" i="7" l="1"/>
  <c r="NM2" i="7"/>
  <c r="H10" i="4" l="1"/>
  <c r="B6" i="2" l="1"/>
  <c r="B6" i="1"/>
  <c r="BW2" i="7" s="1"/>
  <c r="B6" i="4"/>
  <c r="V5" i="7" l="1"/>
  <c r="W2" i="7"/>
  <c r="V2" i="7"/>
  <c r="Y2" i="7"/>
  <c r="X2" i="7"/>
  <c r="W5" i="7"/>
  <c r="Y5" i="7"/>
  <c r="Z2" i="7"/>
  <c r="Z5" i="7"/>
  <c r="X5" i="7"/>
  <c r="IY5" i="7"/>
  <c r="JG5" i="7"/>
  <c r="JA2" i="7"/>
  <c r="IZ5" i="7"/>
  <c r="IY2" i="7"/>
  <c r="JA5" i="7"/>
  <c r="JB5" i="7"/>
  <c r="JC5" i="7"/>
  <c r="JD5" i="7"/>
  <c r="JD2" i="7"/>
  <c r="IZ2" i="7"/>
  <c r="JE5" i="7"/>
  <c r="JE2" i="7"/>
  <c r="JG2" i="7"/>
  <c r="JC2" i="7"/>
  <c r="JF5" i="7"/>
  <c r="JF2" i="7"/>
  <c r="JB2" i="7"/>
  <c r="A5" i="7"/>
  <c r="D5" i="7"/>
  <c r="U5" i="7"/>
  <c r="F5" i="7"/>
  <c r="J5" i="7"/>
  <c r="C5" i="7"/>
  <c r="E5" i="7"/>
  <c r="B5" i="7"/>
  <c r="G5" i="7"/>
  <c r="H5" i="7"/>
  <c r="I5" i="7"/>
  <c r="K5" i="7"/>
  <c r="L5" i="7"/>
  <c r="R5" i="7"/>
  <c r="M5" i="7"/>
  <c r="P5" i="7"/>
  <c r="N5" i="7"/>
  <c r="Q5" i="7"/>
  <c r="T5" i="7"/>
  <c r="O5" i="7"/>
  <c r="S5" i="7"/>
  <c r="A2" i="7"/>
  <c r="EI2" i="7"/>
  <c r="IC2" i="7"/>
  <c r="EJ2" i="7"/>
  <c r="ET2" i="7"/>
  <c r="FB2" i="7"/>
  <c r="FL2" i="7"/>
  <c r="FZ2" i="7"/>
  <c r="GI2" i="7"/>
  <c r="GQ2" i="7"/>
  <c r="GZ2" i="7"/>
  <c r="HJ2" i="7"/>
  <c r="HT2" i="7"/>
  <c r="IF2" i="7"/>
  <c r="IU2" i="7"/>
  <c r="EV2" i="7"/>
  <c r="FN2" i="7"/>
  <c r="GS2" i="7"/>
  <c r="HM2" i="7"/>
  <c r="HX2" i="7"/>
  <c r="IW2" i="7"/>
  <c r="GH2" i="7"/>
  <c r="IS2" i="7"/>
  <c r="EL2" i="7"/>
  <c r="EU2" i="7"/>
  <c r="FC2" i="7"/>
  <c r="FM2" i="7"/>
  <c r="GA2" i="7"/>
  <c r="GJ2" i="7"/>
  <c r="GR2" i="7"/>
  <c r="HA2" i="7"/>
  <c r="HK2" i="7"/>
  <c r="HW2" i="7"/>
  <c r="IG2" i="7"/>
  <c r="IV2" i="7"/>
  <c r="EM2" i="7"/>
  <c r="FD2" i="7"/>
  <c r="GK2" i="7"/>
  <c r="HB2" i="7"/>
  <c r="IM2" i="7"/>
  <c r="FY2" i="7"/>
  <c r="HI2" i="7"/>
  <c r="GC2" i="7"/>
  <c r="EO2" i="7"/>
  <c r="EW2" i="7"/>
  <c r="FE2" i="7"/>
  <c r="FS2" i="7"/>
  <c r="GD2" i="7"/>
  <c r="GL2" i="7"/>
  <c r="GU2" i="7"/>
  <c r="HC2" i="7"/>
  <c r="HN2" i="7"/>
  <c r="HY2" i="7"/>
  <c r="IN2" i="7"/>
  <c r="ER2" i="7"/>
  <c r="FX2" i="7"/>
  <c r="GX2" i="7"/>
  <c r="IB2" i="7"/>
  <c r="ES2" i="7"/>
  <c r="GY2" i="7"/>
  <c r="EP2" i="7"/>
  <c r="EX2" i="7"/>
  <c r="FF2" i="7"/>
  <c r="FT2" i="7"/>
  <c r="GE2" i="7"/>
  <c r="GM2" i="7"/>
  <c r="GV2" i="7"/>
  <c r="HD2" i="7"/>
  <c r="HO2" i="7"/>
  <c r="HZ2" i="7"/>
  <c r="IO2" i="7"/>
  <c r="FJ2" i="7"/>
  <c r="GO2" i="7"/>
  <c r="HR2" i="7"/>
  <c r="FA2" i="7"/>
  <c r="GP2" i="7"/>
  <c r="EQ2" i="7"/>
  <c r="EY2" i="7"/>
  <c r="FG2" i="7"/>
  <c r="FV2" i="7"/>
  <c r="GF2" i="7"/>
  <c r="GN2" i="7"/>
  <c r="GW2" i="7"/>
  <c r="HE2" i="7"/>
  <c r="HP2" i="7"/>
  <c r="IA2" i="7"/>
  <c r="IQ2" i="7"/>
  <c r="EZ2" i="7"/>
  <c r="GG2" i="7"/>
  <c r="HH2" i="7"/>
  <c r="IR2" i="7"/>
  <c r="FK2" i="7"/>
  <c r="HS2" i="7"/>
  <c r="EH2" i="7"/>
  <c r="GT2" i="7"/>
  <c r="FP2" i="7"/>
  <c r="EN2" i="7"/>
  <c r="FQ2" i="7"/>
  <c r="FR2" i="7"/>
  <c r="FH2" i="7"/>
  <c r="FO2" i="7"/>
  <c r="FU2" i="7"/>
  <c r="FI2" i="7"/>
  <c r="HG2" i="7"/>
  <c r="IX2" i="7"/>
  <c r="EG2" i="7"/>
  <c r="FW2" i="7"/>
  <c r="GB2" i="7"/>
  <c r="IL2" i="7"/>
  <c r="HF2" i="7"/>
  <c r="IP2" i="7"/>
  <c r="EK2" i="7"/>
  <c r="HU2" i="7"/>
  <c r="II2" i="7"/>
  <c r="ID2" i="7"/>
  <c r="IH2" i="7"/>
  <c r="HQ2" i="7"/>
  <c r="HL2" i="7"/>
  <c r="HV2" i="7"/>
  <c r="IT2" i="7"/>
  <c r="IE2" i="7"/>
  <c r="IJ2" i="7"/>
  <c r="IK2" i="7"/>
  <c r="AI5" i="7"/>
  <c r="AQ5" i="7"/>
  <c r="AY5" i="7"/>
  <c r="BG5" i="7"/>
  <c r="AA5" i="7"/>
  <c r="AX5" i="7"/>
  <c r="AB5" i="7"/>
  <c r="AJ5" i="7"/>
  <c r="AR5" i="7"/>
  <c r="AZ5" i="7"/>
  <c r="BH5" i="7"/>
  <c r="AH5" i="7"/>
  <c r="AC5" i="7"/>
  <c r="AK5" i="7"/>
  <c r="AS5" i="7"/>
  <c r="BA5" i="7"/>
  <c r="BT5" i="7"/>
  <c r="AD5" i="7"/>
  <c r="AL5" i="7"/>
  <c r="AT5" i="7"/>
  <c r="BB5" i="7"/>
  <c r="CJ5" i="7"/>
  <c r="BF5" i="7"/>
  <c r="AE5" i="7"/>
  <c r="AM5" i="7"/>
  <c r="AU5" i="7"/>
  <c r="BC5" i="7"/>
  <c r="AG5" i="7"/>
  <c r="AW5" i="7"/>
  <c r="DZ5" i="7"/>
  <c r="AP5" i="7"/>
  <c r="AF5" i="7"/>
  <c r="AN5" i="7"/>
  <c r="AV5" i="7"/>
  <c r="BD5" i="7"/>
  <c r="DR5" i="7"/>
  <c r="AO5" i="7"/>
  <c r="BE5" i="7"/>
  <c r="BM5" i="7"/>
  <c r="DF5" i="7"/>
  <c r="CA5" i="7"/>
  <c r="CX5" i="7"/>
  <c r="EA5" i="7"/>
  <c r="BQ5" i="7"/>
  <c r="BW5" i="7"/>
  <c r="CL5" i="7"/>
  <c r="CD5" i="7"/>
  <c r="BJ5" i="7"/>
  <c r="DG5" i="7"/>
  <c r="ED5" i="7"/>
  <c r="EC5" i="7"/>
  <c r="BS5" i="7"/>
  <c r="CP5" i="7"/>
  <c r="DS5" i="7"/>
  <c r="BI5" i="7"/>
  <c r="DY5" i="7"/>
  <c r="BO5" i="7"/>
  <c r="CS5" i="7"/>
  <c r="CY5" i="7"/>
  <c r="CF5" i="7"/>
  <c r="DH5" i="7"/>
  <c r="DJ5" i="7"/>
  <c r="CE5" i="7"/>
  <c r="CR5" i="7"/>
  <c r="DU5" i="7"/>
  <c r="BK5" i="7"/>
  <c r="CH5" i="7"/>
  <c r="DK5" i="7"/>
  <c r="DB5" i="7"/>
  <c r="DQ5" i="7"/>
  <c r="EF5" i="7"/>
  <c r="BV5" i="7"/>
  <c r="CK5" i="7"/>
  <c r="BN5" i="7"/>
  <c r="DN5" i="7"/>
  <c r="CU5" i="7"/>
  <c r="CT5" i="7"/>
  <c r="DV5" i="7"/>
  <c r="DM5" i="7"/>
  <c r="BZ5" i="7"/>
  <c r="DC5" i="7"/>
  <c r="CV5" i="7"/>
  <c r="DI5" i="7"/>
  <c r="DX5" i="7"/>
  <c r="CC5" i="7"/>
  <c r="CO5" i="7"/>
  <c r="DD5" i="7"/>
  <c r="BP5" i="7"/>
  <c r="CB5" i="7"/>
  <c r="DE5" i="7"/>
  <c r="EB5" i="7"/>
  <c r="BR5" i="7"/>
  <c r="CW5" i="7"/>
  <c r="CN5" i="7"/>
  <c r="DA5" i="7"/>
  <c r="DP5" i="7"/>
  <c r="EE5" i="7"/>
  <c r="BU5" i="7"/>
  <c r="DT5" i="7"/>
  <c r="DW5" i="7"/>
  <c r="CI5" i="7"/>
  <c r="BY5" i="7"/>
  <c r="BL5" i="7"/>
  <c r="CQ5" i="7"/>
  <c r="DL5" i="7"/>
  <c r="CG5" i="7"/>
  <c r="BX5" i="7"/>
  <c r="CM5" i="7"/>
  <c r="CZ5" i="7"/>
  <c r="DO5" i="7"/>
  <c r="EL5" i="7"/>
  <c r="ET5" i="7"/>
  <c r="FB5" i="7"/>
  <c r="FJ5" i="7"/>
  <c r="FR5" i="7"/>
  <c r="FZ5" i="7"/>
  <c r="HP5" i="7"/>
  <c r="ES5" i="7"/>
  <c r="EM5" i="7"/>
  <c r="EU5" i="7"/>
  <c r="FC5" i="7"/>
  <c r="FK5" i="7"/>
  <c r="FS5" i="7"/>
  <c r="GA5" i="7"/>
  <c r="HX5" i="7"/>
  <c r="EK5" i="7"/>
  <c r="HH5" i="7"/>
  <c r="EN5" i="7"/>
  <c r="EV5" i="7"/>
  <c r="FD5" i="7"/>
  <c r="FL5" i="7"/>
  <c r="FT5" i="7"/>
  <c r="GB5" i="7"/>
  <c r="IF5" i="7"/>
  <c r="FI5" i="7"/>
  <c r="EO5" i="7"/>
  <c r="EW5" i="7"/>
  <c r="FE5" i="7"/>
  <c r="FM5" i="7"/>
  <c r="FU5" i="7"/>
  <c r="GC5" i="7"/>
  <c r="IN5" i="7"/>
  <c r="FQ5" i="7"/>
  <c r="EH5" i="7"/>
  <c r="EP5" i="7"/>
  <c r="EX5" i="7"/>
  <c r="FF5" i="7"/>
  <c r="FN5" i="7"/>
  <c r="FV5" i="7"/>
  <c r="GJ5" i="7"/>
  <c r="IV5" i="7"/>
  <c r="EI5" i="7"/>
  <c r="EQ5" i="7"/>
  <c r="EY5" i="7"/>
  <c r="FG5" i="7"/>
  <c r="FO5" i="7"/>
  <c r="FW5" i="7"/>
  <c r="GR5" i="7"/>
  <c r="EG5" i="7"/>
  <c r="FA5" i="7"/>
  <c r="FY5" i="7"/>
  <c r="EJ5" i="7"/>
  <c r="ER5" i="7"/>
  <c r="EZ5" i="7"/>
  <c r="FH5" i="7"/>
  <c r="FP5" i="7"/>
  <c r="FX5" i="7"/>
  <c r="GZ5" i="7"/>
  <c r="GN5" i="7"/>
  <c r="HS5" i="7"/>
  <c r="IP5" i="7"/>
  <c r="GD5" i="7"/>
  <c r="HA5" i="7"/>
  <c r="HO5" i="7"/>
  <c r="ID5" i="7"/>
  <c r="GO5" i="7"/>
  <c r="IA5" i="7"/>
  <c r="IR5" i="7"/>
  <c r="GF5" i="7"/>
  <c r="HK5" i="7"/>
  <c r="IH5" i="7"/>
  <c r="GS5" i="7"/>
  <c r="HG5" i="7"/>
  <c r="HV5" i="7"/>
  <c r="IS5" i="7"/>
  <c r="GG5" i="7"/>
  <c r="HU5" i="7"/>
  <c r="HM5" i="7"/>
  <c r="HI5" i="7"/>
  <c r="IJ5" i="7"/>
  <c r="HC5" i="7"/>
  <c r="HZ5" i="7"/>
  <c r="IW5" i="7"/>
  <c r="GK5" i="7"/>
  <c r="GY5" i="7"/>
  <c r="HN5" i="7"/>
  <c r="IK5" i="7"/>
  <c r="HY5" i="7"/>
  <c r="GV5" i="7"/>
  <c r="IL5" i="7"/>
  <c r="IB5" i="7"/>
  <c r="GU5" i="7"/>
  <c r="HR5" i="7"/>
  <c r="IO5" i="7"/>
  <c r="GQ5" i="7"/>
  <c r="HF5" i="7"/>
  <c r="IC5" i="7"/>
  <c r="HT5" i="7"/>
  <c r="GM5" i="7"/>
  <c r="HJ5" i="7"/>
  <c r="IG5" i="7"/>
  <c r="IU5" i="7"/>
  <c r="GI5" i="7"/>
  <c r="GX5" i="7"/>
  <c r="IM5" i="7"/>
  <c r="IX5" i="7"/>
  <c r="GW5" i="7"/>
  <c r="HL5" i="7"/>
  <c r="IQ5" i="7"/>
  <c r="GE5" i="7"/>
  <c r="HB5" i="7"/>
  <c r="GP5" i="7"/>
  <c r="HW5" i="7"/>
  <c r="HD5" i="7"/>
  <c r="II5" i="7"/>
  <c r="GT5" i="7"/>
  <c r="HQ5" i="7"/>
  <c r="IE5" i="7"/>
  <c r="IT5" i="7"/>
  <c r="GH5" i="7"/>
  <c r="HE5" i="7"/>
  <c r="GL5" i="7"/>
  <c r="KA2" i="7"/>
  <c r="KC2" i="7"/>
  <c r="JI2" i="7"/>
  <c r="JJ2" i="7"/>
  <c r="KI2" i="7"/>
  <c r="JN2" i="7"/>
  <c r="KD2" i="7"/>
  <c r="JW2" i="7"/>
  <c r="JX2" i="7"/>
  <c r="JO2" i="7"/>
  <c r="JQ2" i="7"/>
  <c r="JR2" i="7"/>
  <c r="JY2" i="7"/>
  <c r="JZ2" i="7"/>
  <c r="KB2" i="7"/>
  <c r="JV2" i="7"/>
  <c r="JH2" i="7"/>
  <c r="KG2" i="7"/>
  <c r="KH2" i="7"/>
  <c r="KJ2" i="7"/>
  <c r="KE2" i="7"/>
  <c r="JM2" i="7"/>
  <c r="LF2" i="7"/>
  <c r="JL2" i="7"/>
  <c r="JU2" i="7"/>
  <c r="JP2" i="7"/>
  <c r="JT2" i="7"/>
  <c r="JK2" i="7"/>
  <c r="KF2" i="7"/>
  <c r="JS2" i="7"/>
  <c r="LK2" i="7"/>
  <c r="KO2" i="7"/>
  <c r="LN2" i="7"/>
  <c r="KT2" i="7"/>
  <c r="KN2" i="7"/>
  <c r="LE2" i="7"/>
  <c r="KL2" i="7"/>
  <c r="KS2" i="7"/>
  <c r="KY2" i="7"/>
  <c r="KM2" i="7"/>
  <c r="LL2" i="7"/>
  <c r="LG2" i="7"/>
  <c r="KU2" i="7"/>
  <c r="KP2" i="7"/>
  <c r="LB2" i="7"/>
  <c r="LH2" i="7"/>
  <c r="LR2" i="7"/>
  <c r="KW2" i="7"/>
  <c r="KK2" i="7"/>
  <c r="KV2" i="7"/>
  <c r="LM2" i="7"/>
  <c r="KQ2" i="7"/>
  <c r="LA2" i="7"/>
  <c r="LD2" i="7"/>
  <c r="KZ2" i="7"/>
  <c r="LI2" i="7"/>
  <c r="LJ2" i="7"/>
  <c r="LQ2" i="7"/>
  <c r="LP2" i="7"/>
  <c r="LO2" i="7"/>
  <c r="LC2" i="7"/>
  <c r="KX2" i="7"/>
  <c r="KR2" i="7"/>
  <c r="D2" i="7"/>
  <c r="C2" i="7"/>
  <c r="B2" i="7"/>
  <c r="F2" i="7"/>
  <c r="E2" i="7"/>
  <c r="DT2" i="7"/>
  <c r="AH2" i="7"/>
  <c r="AR2" i="7"/>
  <c r="AZ2" i="7"/>
  <c r="BH2" i="7"/>
  <c r="BP2" i="7"/>
  <c r="BX2" i="7"/>
  <c r="AC2" i="7"/>
  <c r="BC2" i="7"/>
  <c r="BF2" i="7"/>
  <c r="AQ2" i="7"/>
  <c r="AI2" i="7"/>
  <c r="AS2" i="7"/>
  <c r="BA2" i="7"/>
  <c r="BI2" i="7"/>
  <c r="BQ2" i="7"/>
  <c r="BY2" i="7"/>
  <c r="AM2" i="7"/>
  <c r="BS2" i="7"/>
  <c r="BN2" i="7"/>
  <c r="AY2" i="7"/>
  <c r="AJ2" i="7"/>
  <c r="AT2" i="7"/>
  <c r="BB2" i="7"/>
  <c r="BJ2" i="7"/>
  <c r="BR2" i="7"/>
  <c r="AU2" i="7"/>
  <c r="BK2" i="7"/>
  <c r="AX2" i="7"/>
  <c r="AG2" i="7"/>
  <c r="BO2" i="7"/>
  <c r="AD2" i="7"/>
  <c r="AN2" i="7"/>
  <c r="AV2" i="7"/>
  <c r="BD2" i="7"/>
  <c r="BL2" i="7"/>
  <c r="BT2" i="7"/>
  <c r="AE2" i="7"/>
  <c r="AO2" i="7"/>
  <c r="AW2" i="7"/>
  <c r="BE2" i="7"/>
  <c r="BM2" i="7"/>
  <c r="BU2" i="7"/>
  <c r="AF2" i="7"/>
  <c r="AP2" i="7"/>
  <c r="BV2" i="7"/>
  <c r="BG2" i="7"/>
  <c r="AK2" i="7"/>
  <c r="BZ2" i="7"/>
  <c r="DJ2" i="7"/>
  <c r="CM2" i="7"/>
  <c r="EE2" i="7"/>
  <c r="EF2" i="7"/>
  <c r="DY2" i="7"/>
  <c r="EA2" i="7"/>
  <c r="CE2" i="7"/>
  <c r="CH2" i="7"/>
  <c r="CA2" i="7"/>
  <c r="CB2" i="7"/>
  <c r="DR2" i="7"/>
  <c r="DB2" i="7"/>
  <c r="CV2" i="7"/>
  <c r="DZ2" i="7"/>
  <c r="DS2" i="7"/>
  <c r="CP2" i="7"/>
  <c r="CQ2" i="7"/>
  <c r="CJ2" i="7"/>
  <c r="CC2" i="7"/>
  <c r="CD2" i="7"/>
  <c r="CF2" i="7"/>
  <c r="CG2" i="7"/>
  <c r="DF2" i="7"/>
  <c r="CW2" i="7"/>
  <c r="EB2" i="7"/>
  <c r="DX2" i="7"/>
  <c r="CY2" i="7"/>
  <c r="CR2" i="7"/>
  <c r="CS2" i="7"/>
  <c r="CL2" i="7"/>
  <c r="CN2" i="7"/>
  <c r="CU2" i="7"/>
  <c r="DE2" i="7"/>
  <c r="CZ2" i="7"/>
  <c r="CT2" i="7"/>
  <c r="DD2" i="7"/>
  <c r="DP2" i="7"/>
  <c r="DK2" i="7"/>
  <c r="DW2" i="7"/>
  <c r="DQ2" i="7"/>
  <c r="DM2" i="7"/>
  <c r="DN2" i="7"/>
  <c r="DG2" i="7"/>
  <c r="DH2" i="7"/>
  <c r="DA2" i="7"/>
  <c r="DC2" i="7"/>
  <c r="DL2" i="7"/>
  <c r="DU2" i="7"/>
  <c r="DV2" i="7"/>
  <c r="DO2" i="7"/>
  <c r="DI2" i="7"/>
  <c r="ED2" i="7"/>
  <c r="EC2" i="7"/>
  <c r="CI2" i="7"/>
  <c r="CK2" i="7"/>
  <c r="CO2" i="7"/>
  <c r="AA2" i="7"/>
  <c r="AL2" i="7"/>
  <c r="AB2" i="7"/>
  <c r="T2" i="7"/>
  <c r="P2" i="7"/>
  <c r="G2" i="7"/>
  <c r="Q2" i="7"/>
  <c r="R2" i="7"/>
  <c r="S2" i="7"/>
  <c r="H2" i="7"/>
  <c r="U2" i="7"/>
  <c r="I2" i="7"/>
  <c r="J2" i="7"/>
  <c r="L2" i="7"/>
  <c r="M2" i="7"/>
  <c r="K2" i="7"/>
  <c r="N2" i="7"/>
  <c r="O2" i="7"/>
  <c r="MK2" i="7" l="1"/>
  <c r="MP2" i="7"/>
  <c r="MJ2" i="7"/>
  <c r="MX2" i="7"/>
  <c r="ND2" i="7"/>
  <c r="ML2" i="7"/>
  <c r="NV2" i="7"/>
  <c r="MW2" i="7"/>
  <c r="MZ2" i="7"/>
  <c r="NE2" i="7"/>
  <c r="NC2" i="7"/>
  <c r="MN2" i="7"/>
  <c r="NH2" i="7"/>
  <c r="NP2" i="7"/>
  <c r="MO2" i="7"/>
  <c r="MM2" i="7"/>
  <c r="MG2" i="7"/>
  <c r="MH2" i="7"/>
  <c r="MT2" i="7"/>
  <c r="NA2" i="7"/>
  <c r="MY2" i="7"/>
  <c r="NU2" i="7"/>
  <c r="NG2" i="7"/>
  <c r="MV2" i="7"/>
  <c r="NS2" i="7"/>
  <c r="NT2" i="7"/>
  <c r="MU2" i="7"/>
  <c r="NR2" i="7"/>
  <c r="NF2" i="7"/>
  <c r="MF2" i="7"/>
  <c r="NQ2" i="7"/>
  <c r="NB2" i="7"/>
  <c r="MS2" i="7"/>
  <c r="MQ2" i="7"/>
  <c r="MR2" i="7"/>
  <c r="NI2" i="7"/>
  <c r="MI2" i="7"/>
</calcChain>
</file>

<file path=xl/sharedStrings.xml><?xml version="1.0" encoding="utf-8"?>
<sst xmlns="http://schemas.openxmlformats.org/spreadsheetml/2006/main" count="6920" uniqueCount="2865">
  <si>
    <t>National Performance Review 2020/2021</t>
  </si>
  <si>
    <t>INSTRUCTIONS</t>
  </si>
  <si>
    <r>
      <rPr>
        <b/>
        <sz val="11"/>
        <color theme="1"/>
        <rFont val="Calibri"/>
        <family val="2"/>
      </rPr>
      <t>Data submission</t>
    </r>
    <r>
      <rPr>
        <sz val="11"/>
        <color theme="1"/>
        <rFont val="Calibri"/>
        <family val="2"/>
      </rPr>
      <t xml:space="preserve">
Data should be submitted to </t>
    </r>
    <r>
      <rPr>
        <u/>
        <sz val="11"/>
        <color theme="3"/>
        <rFont val="Calibri"/>
        <family val="2"/>
      </rPr>
      <t>Lesley.smith@waternz.org.nz</t>
    </r>
    <r>
      <rPr>
        <sz val="11"/>
        <color theme="1"/>
        <rFont val="Calibri"/>
        <family val="2"/>
      </rPr>
      <t xml:space="preserve">  no later than COB 1st October 2021. It is responsibility of the nominated representative to check all data thoroughly prior to submission.</t>
    </r>
  </si>
  <si>
    <r>
      <rPr>
        <b/>
        <sz val="11"/>
        <rFont val="Calibri"/>
        <family val="2"/>
        <scheme val="minor"/>
      </rPr>
      <t>Enabling spreadsheet functions</t>
    </r>
    <r>
      <rPr>
        <sz val="11"/>
        <rFont val="Calibri"/>
        <family val="2"/>
        <scheme val="minor"/>
      </rPr>
      <t xml:space="preserve">
To enable full functionality of the spreadsheet Macros will need to be enabled the first time the data collection spreadsheet is opened, whenever the spreadsheet is resaved, or, opened on a new machine. Instructions for enabling macros are available at the following link:</t>
    </r>
    <r>
      <rPr>
        <u/>
        <sz val="11"/>
        <color theme="10"/>
        <rFont val="Calibri"/>
        <family val="2"/>
        <scheme val="minor"/>
      </rPr>
      <t xml:space="preserve"> </t>
    </r>
    <r>
      <rPr>
        <u/>
        <sz val="11"/>
        <color theme="4" tint="-0.499984740745262"/>
        <rFont val="Calibri"/>
        <family val="2"/>
        <scheme val="minor"/>
      </rPr>
      <t xml:space="preserve">https://support.office.com/en-us/article/enable-or-disable-macros-in-office-files-12b036fd-d140-4e74-b45e-16fed1a7e5c6 </t>
    </r>
    <r>
      <rPr>
        <u/>
        <sz val="11"/>
        <color theme="10"/>
        <rFont val="Calibri"/>
        <family val="2"/>
        <scheme val="minor"/>
      </rPr>
      <t xml:space="preserve">
</t>
    </r>
    <r>
      <rPr>
        <sz val="11"/>
        <rFont val="Calibri"/>
        <family val="2"/>
        <scheme val="minor"/>
      </rPr>
      <t xml:space="preserve">
The "Undo" function may not always work unless the macro enabled spreadsheet is opened in safe mode. To open excel in safe mode hold Ctrl while you click on the app's shortcut. An onscreen message will appear. Click Yes to confirm your choice and the Safe Mode app will start. Open the spreadsheet in this version of excel.</t>
    </r>
  </si>
  <si>
    <r>
      <rPr>
        <b/>
        <sz val="11"/>
        <rFont val="Calibri"/>
        <family val="2"/>
        <scheme val="minor"/>
      </rPr>
      <t>Populating data</t>
    </r>
    <r>
      <rPr>
        <sz val="11"/>
        <rFont val="Calibri"/>
        <family val="2"/>
        <scheme val="minor"/>
      </rPr>
      <t xml:space="preserve">
Populate white boxes ONLY on each of the four worksheets provided in this spreadsheet as outlined in the table below. Data values are to adhere to definition guidelines, available at:</t>
    </r>
    <r>
      <rPr>
        <u/>
        <sz val="11"/>
        <color theme="10"/>
        <rFont val="Calibri"/>
        <family val="2"/>
        <scheme val="minor"/>
      </rPr>
      <t xml:space="preserve"> </t>
    </r>
    <r>
      <rPr>
        <u/>
        <sz val="11"/>
        <color theme="3"/>
        <rFont val="Calibri"/>
        <family val="2"/>
        <scheme val="minor"/>
      </rPr>
      <t>https://www.waternz.org.nz/NationalPerformanceReview/DefinitionsGuide</t>
    </r>
    <r>
      <rPr>
        <u/>
        <sz val="11"/>
        <color theme="10"/>
        <rFont val="Calibri"/>
        <family val="2"/>
        <scheme val="minor"/>
      </rPr>
      <t xml:space="preserve">
</t>
    </r>
    <r>
      <rPr>
        <sz val="11"/>
        <rFont val="Calibri"/>
        <family val="2"/>
        <scheme val="minor"/>
      </rPr>
      <t xml:space="preserve">Where measure and code fields are in </t>
    </r>
    <r>
      <rPr>
        <b/>
        <sz val="11"/>
        <rFont val="Calibri"/>
        <family val="2"/>
        <scheme val="minor"/>
      </rPr>
      <t>bold text</t>
    </r>
    <r>
      <rPr>
        <sz val="11"/>
        <rFont val="Calibri"/>
        <family val="2"/>
        <scheme val="minor"/>
      </rPr>
      <t xml:space="preserve"> changes or clarifications have been made to the data definition used in previous years. A description of the change is included in the data definition guidelines. 
</t>
    </r>
    <r>
      <rPr>
        <u/>
        <sz val="11"/>
        <color theme="10"/>
        <rFont val="Calibri"/>
        <family val="2"/>
        <scheme val="minor"/>
      </rPr>
      <t xml:space="preserve">
</t>
    </r>
    <r>
      <rPr>
        <sz val="11"/>
        <rFont val="Calibri"/>
        <family val="2"/>
        <scheme val="minor"/>
      </rPr>
      <t>Data in grey and coloured boxes is either pre-populated, calculated automatically from other entered values, or not required. If more accurate figures are available pre-populated and calculated values may be overwritten. In these circumstances an explanation of the data source used should be provided in the ‘Comments’ column.
Take note of data in calculated fields. These figures provide a means of validating other data as well as providing useful insights in their own right.</t>
    </r>
  </si>
  <si>
    <t>For fields for which data is not available leave the space blank. The comments field may be used to indicate if data is not relevant or why it is not available.</t>
  </si>
  <si>
    <t>Code</t>
  </si>
  <si>
    <t>Measure</t>
  </si>
  <si>
    <t>Units</t>
  </si>
  <si>
    <t>2019/20 Data</t>
  </si>
  <si>
    <t>Data</t>
  </si>
  <si>
    <t>Data Confidence</t>
  </si>
  <si>
    <t>Data Source</t>
  </si>
  <si>
    <t>Reporter Name</t>
  </si>
  <si>
    <t>Comments</t>
  </si>
  <si>
    <t>A pre-populated data code, used to align collected information with reporting and definition guidelines</t>
  </si>
  <si>
    <t>A pre-populated measure name used to refer to the data point</t>
  </si>
  <si>
    <t>A pre-populated units field. Do not list units in the ‘Data’ field. If units other than those specified are provided indicate this in the ‘Comments’ column.</t>
  </si>
  <si>
    <t>For those who provided data in 2019/20 previous years values will be provided here as a reference. This data cannot be retrospectively updated.</t>
  </si>
  <si>
    <t xml:space="preserve">Data pertaining to  1/7/2020 to 30/6/2021.
Data entered is to align with data provided in the definition guide. A summary of definitions displays when field is selected. </t>
  </si>
  <si>
    <t>Data confidence values are required wherever a drop down boxes appears in the ‘Data Confidence’ column. Definitions for the data confidence fields are below.</t>
  </si>
  <si>
    <t>Where data is sourced from (e.g. Asset Management System, Water Balance Report etc). Populating will streamline data checks and assist with future years reporting however this fields is not mandatory.</t>
  </si>
  <si>
    <t>Who provided the data. Populating will streamline data checks and assist with future years reporting however this fields is not mandatory.</t>
  </si>
  <si>
    <t xml:space="preserve">An optional field to note any relevant info e.g. reasons data deviates from previous years, deviations from standard data definitions, or reasons data is not provided. </t>
  </si>
  <si>
    <t>Highly reliable/ Audited</t>
  </si>
  <si>
    <t>Reliable/ Verified</t>
  </si>
  <si>
    <t>Less Reliable</t>
  </si>
  <si>
    <t>Uncertain</t>
  </si>
  <si>
    <t>Very uncertain</t>
  </si>
  <si>
    <t>Processes</t>
  </si>
  <si>
    <t xml:space="preserve">Formal process for collecting and analysing data.  Process is documented and always followed by all staff.  </t>
  </si>
  <si>
    <t xml:space="preserve">Strong process to collect data.  May not be fully documented but usually undertaken by most staff. </t>
  </si>
  <si>
    <t>Process to collect data established.  May not be fully documented but usually undertaken by most staff.</t>
  </si>
  <si>
    <t>Semi formal process usually followed. Poor documentation.  Process to collect data followed about half the time.</t>
  </si>
  <si>
    <t>Ad hoc procedures to collect data.  Minimal or no process documentation.  Process followed occasionally.</t>
  </si>
  <si>
    <t>Asset Data</t>
  </si>
  <si>
    <t>Very high level of data confidence.  Data is believed to be 95-100% complete and + or - 5% accurate. Regular data audits verify high level of accuracy in data received.</t>
  </si>
  <si>
    <t xml:space="preserve">Good level of data confidence.  Data is believed to be 80-95% complete and + or - 10% to15% accurate. Some minor data extrapolation or assumptions has been applied.  Occasional data audits verify reasonable level of confidence. </t>
  </si>
  <si>
    <t xml:space="preserve">Average level of data confidence.  Data is believed to be 50-80% complete and + or - 15 to 20% accurate.  Some  data extrapolation has been applied based on supported assumptions.  Occasional data audits verify reasonable level of confidence. </t>
  </si>
  <si>
    <t xml:space="preserve">Not sure of data confidence, or data confidence is good for some data, but most of dataset is based on extrapolation of incomplete data set with unsupported assumptions.  </t>
  </si>
  <si>
    <t xml:space="preserve">Very low data confidence. Data based on very large unsupported assumptions, cursory inspection and analysis.  Data may have been developed by extrapolation from small, unverified data sets. </t>
  </si>
  <si>
    <r>
      <rPr>
        <b/>
        <sz val="11"/>
        <rFont val="Calibri"/>
        <family val="2"/>
        <scheme val="minor"/>
      </rPr>
      <t>Working with macros disabled</t>
    </r>
    <r>
      <rPr>
        <sz val="11"/>
        <rFont val="Calibri"/>
        <family val="2"/>
        <scheme val="minor"/>
      </rPr>
      <t xml:space="preserve">
Water charge [WSS7-WSS9] and wastewater treatment [WWA7] fields allow for information on multiple schemes and treatment plants to be entered. Columns will automatically appear when the number of schemes and treatment plants is entered if macros are enabled.  </t>
    </r>
    <r>
      <rPr>
        <u/>
        <sz val="11"/>
        <color theme="10"/>
        <rFont val="Calibri"/>
        <family val="2"/>
        <scheme val="minor"/>
      </rPr>
      <t xml:space="preserve">
</t>
    </r>
    <r>
      <rPr>
        <sz val="11"/>
        <rFont val="Calibri"/>
        <family val="2"/>
        <scheme val="minor"/>
      </rPr>
      <t xml:space="preserve">
If you are blocked from enabling macros on your PC additional cells may be manually accessed by unhiding columns (L to AG on the water worksheet, L to AE on the wastewater worksheet). </t>
    </r>
  </si>
  <si>
    <t>Common Data:</t>
  </si>
  <si>
    <t>Queenstown-Lakes</t>
  </si>
  <si>
    <t>Headings</t>
  </si>
  <si>
    <t>Audit Comments</t>
  </si>
  <si>
    <t>Audit Response</t>
  </si>
  <si>
    <t>Background</t>
  </si>
  <si>
    <t>CB1</t>
  </si>
  <si>
    <t>Total Area</t>
  </si>
  <si>
    <r>
      <t>km</t>
    </r>
    <r>
      <rPr>
        <vertAlign val="superscript"/>
        <sz val="11"/>
        <color theme="1"/>
        <rFont val="Calibri"/>
        <family val="2"/>
        <scheme val="minor"/>
      </rPr>
      <t>2</t>
    </r>
  </si>
  <si>
    <t>Statistics New Zealand</t>
  </si>
  <si>
    <t>CB2</t>
  </si>
  <si>
    <t>Total Population</t>
  </si>
  <si>
    <t>Number</t>
  </si>
  <si>
    <t>CB3</t>
  </si>
  <si>
    <t>Residential properties</t>
  </si>
  <si>
    <t>Reliable</t>
  </si>
  <si>
    <t>Rates</t>
  </si>
  <si>
    <t>Alex/Mark</t>
  </si>
  <si>
    <t>Rating units (SUIPs) not demand units e.g. commercial accom may have multi demand units under 1 SUIP. This number includes visitor accom. Downgraded reliability slightly as I can't go back in time and this isn't saved during the year.</t>
  </si>
  <si>
    <t>CB4</t>
  </si>
  <si>
    <t>Non-residential properties</t>
  </si>
  <si>
    <t>SUIPs. Downgraded reliability slightly as I can't go back in time and this isn't saved during the year.</t>
  </si>
  <si>
    <t>CB5</t>
  </si>
  <si>
    <t>Total  Properties</t>
  </si>
  <si>
    <t>Calc</t>
  </si>
  <si>
    <t>CB6</t>
  </si>
  <si>
    <t xml:space="preserve">Household Occupancy </t>
  </si>
  <si>
    <t>Staff</t>
  </si>
  <si>
    <t>CB10</t>
  </si>
  <si>
    <t>Internal staff</t>
  </si>
  <si>
    <t>FTE</t>
  </si>
  <si>
    <t>Direct and indirect staff from DIA RfI</t>
  </si>
  <si>
    <t>CB10a</t>
  </si>
  <si>
    <t>Staff vacancies</t>
  </si>
  <si>
    <t>At 30 June? Not sure.</t>
  </si>
  <si>
    <t>CB11</t>
  </si>
  <si>
    <t>Contracted staff</t>
  </si>
  <si>
    <t>Andrew/Simon</t>
  </si>
  <si>
    <t>Prior year return included Veolia Cap Ex team - excluded this year</t>
  </si>
  <si>
    <t>CB12</t>
  </si>
  <si>
    <t>Near miss reports</t>
  </si>
  <si>
    <t>CB13</t>
  </si>
  <si>
    <t>Lost time injuries</t>
  </si>
  <si>
    <t>days</t>
  </si>
  <si>
    <t>CB14a-1</t>
  </si>
  <si>
    <t>Staff training hours allocated</t>
  </si>
  <si>
    <t>hours/year</t>
  </si>
  <si>
    <t>HR</t>
  </si>
  <si>
    <t>CB14a-2</t>
  </si>
  <si>
    <t>Staff training hours undertaken</t>
  </si>
  <si>
    <t>CB14b</t>
  </si>
  <si>
    <t>Staff training enrolments</t>
  </si>
  <si>
    <t>CB15a-1</t>
  </si>
  <si>
    <t>Staff with an engineering degree</t>
  </si>
  <si>
    <t>CB15a-2</t>
  </si>
  <si>
    <t>Staff with an science degree</t>
  </si>
  <si>
    <t>CB15a-3</t>
  </si>
  <si>
    <t>Staff with another applicable degree</t>
  </si>
  <si>
    <t>CB15b</t>
  </si>
  <si>
    <t>Staff with a NZ Diploma</t>
  </si>
  <si>
    <t>CB15c</t>
  </si>
  <si>
    <t>Staff with a NZ Certificate</t>
  </si>
  <si>
    <t>CB15d</t>
  </si>
  <si>
    <t>Staff with completed apprenticeships</t>
  </si>
  <si>
    <t>CB16</t>
  </si>
  <si>
    <t>Continuing professional development enrolments</t>
  </si>
  <si>
    <t>Technology</t>
  </si>
  <si>
    <t>CB19a</t>
  </si>
  <si>
    <t>Analogue SCADA/telemetry</t>
  </si>
  <si>
    <t>%</t>
  </si>
  <si>
    <t>Bob</t>
  </si>
  <si>
    <t>CB19b</t>
  </si>
  <si>
    <t>Digital SCADA/telemetry</t>
  </si>
  <si>
    <t>CB19c</t>
  </si>
  <si>
    <t>SCADA/telemetry controls</t>
  </si>
  <si>
    <t>CB19d</t>
  </si>
  <si>
    <t>SCADA/telemetry monitoring</t>
  </si>
  <si>
    <t>CB20</t>
  </si>
  <si>
    <t>Internet of things</t>
  </si>
  <si>
    <t>Yes/No</t>
  </si>
  <si>
    <t>No</t>
  </si>
  <si>
    <t xml:space="preserve">Staff </t>
  </si>
  <si>
    <t>Water Supply</t>
  </si>
  <si>
    <t>WSB1a</t>
  </si>
  <si>
    <t>Water Serviced Population</t>
  </si>
  <si>
    <t>WSB1b</t>
  </si>
  <si>
    <t>Water Supply Service Coverage</t>
  </si>
  <si>
    <t>WSB2</t>
  </si>
  <si>
    <t>Water Serviced Properties: Residential</t>
  </si>
  <si>
    <t>Elliot</t>
  </si>
  <si>
    <t>From DIA RfI - year end connections</t>
  </si>
  <si>
    <t>WSB3</t>
  </si>
  <si>
    <t>Water Serviced Properties: Non-Residential</t>
  </si>
  <si>
    <t>WSB4</t>
  </si>
  <si>
    <t>Total Water Serviced Properties</t>
  </si>
  <si>
    <t>WSB5</t>
  </si>
  <si>
    <t>Water Supplied to Own System</t>
  </si>
  <si>
    <r>
      <t>m</t>
    </r>
    <r>
      <rPr>
        <vertAlign val="superscript"/>
        <sz val="11"/>
        <color theme="1"/>
        <rFont val="Calibri"/>
        <family val="2"/>
        <scheme val="minor"/>
      </rPr>
      <t>3</t>
    </r>
    <r>
      <rPr>
        <sz val="11"/>
        <color theme="1"/>
        <rFont val="Calibri"/>
        <family val="2"/>
        <scheme val="minor"/>
      </rPr>
      <t>/year</t>
    </r>
  </si>
  <si>
    <t>DIA Reporting SCADA Veolia and Fulton Hogan</t>
  </si>
  <si>
    <t>WSB5a</t>
  </si>
  <si>
    <t>Water imported from other authorities</t>
  </si>
  <si>
    <t>WSB5b</t>
  </si>
  <si>
    <t>Water exported to other authorities</t>
  </si>
  <si>
    <t>WSB6</t>
  </si>
  <si>
    <t>Authorised Consumption</t>
  </si>
  <si>
    <t>DIA Reporting</t>
  </si>
  <si>
    <t xml:space="preserve">Vaughn </t>
  </si>
  <si>
    <t>Assumed 67% of total, leakage measured at 31% and assumed 2 % for unauthorised</t>
  </si>
  <si>
    <t>WSB7</t>
  </si>
  <si>
    <t>Non-residential Water Consumption</t>
  </si>
  <si>
    <t>Estimate</t>
  </si>
  <si>
    <t>Assumed 20% of authorised, does not include accomodation use</t>
  </si>
  <si>
    <t>WSB8</t>
  </si>
  <si>
    <t>Average Daily Residential Water Consumption</t>
  </si>
  <si>
    <t>L/person/day</t>
  </si>
  <si>
    <t>WSB9</t>
  </si>
  <si>
    <t>Water Demand Forecasting</t>
  </si>
  <si>
    <t>Selection</t>
  </si>
  <si>
    <t>Yes</t>
  </si>
  <si>
    <t>Demand Forecasts</t>
  </si>
  <si>
    <t>Multiple issues identified, reflected in LTP and/or 30 Strat</t>
  </si>
  <si>
    <t>Pipelines</t>
  </si>
  <si>
    <t>WSA1a</t>
  </si>
  <si>
    <t>Length of Water Supply Network</t>
  </si>
  <si>
    <t>km</t>
  </si>
  <si>
    <t>GIS</t>
  </si>
  <si>
    <t>WSA1b</t>
  </si>
  <si>
    <t>Length of water mains renewed using internal CAPEX</t>
  </si>
  <si>
    <t>Andrew/Marcus</t>
  </si>
  <si>
    <t>WSA1c</t>
  </si>
  <si>
    <t>Length of new water mains constructed using internal CAPEX</t>
  </si>
  <si>
    <t>Andrew/Marcus/PMO</t>
  </si>
  <si>
    <t>WSA2a</t>
  </si>
  <si>
    <t>Condition grade 1: Water pipelines</t>
  </si>
  <si>
    <t>Staffing and systems issues - not reported this year</t>
  </si>
  <si>
    <t>WSA2b</t>
  </si>
  <si>
    <t>Condition grade 2: Water pipelines</t>
  </si>
  <si>
    <t>WSA2c</t>
  </si>
  <si>
    <t>Condition grade 3: Water pipelines</t>
  </si>
  <si>
    <t>WSA2d</t>
  </si>
  <si>
    <t>Condition grade 4: Water pipelines</t>
  </si>
  <si>
    <t>WSA2e</t>
  </si>
  <si>
    <t>Condition grade 5: Water pipelines</t>
  </si>
  <si>
    <t>WSA2f</t>
  </si>
  <si>
    <t>Not assessed: Water pipelines</t>
  </si>
  <si>
    <t>WSA2g</t>
  </si>
  <si>
    <t>Pipeline Condition Assessment Approach</t>
  </si>
  <si>
    <t>Informal</t>
  </si>
  <si>
    <t>WSA3</t>
  </si>
  <si>
    <t>Average Age of Water Pipelines</t>
  </si>
  <si>
    <t>years</t>
  </si>
  <si>
    <t>Other assets</t>
  </si>
  <si>
    <t>WSA4</t>
  </si>
  <si>
    <t>Water Treatment Plants</t>
  </si>
  <si>
    <t>Karelia</t>
  </si>
  <si>
    <t>WSA4a</t>
  </si>
  <si>
    <t>Water Treatment Plant Standby Generators</t>
  </si>
  <si>
    <t>Techone</t>
  </si>
  <si>
    <t>WSA5</t>
  </si>
  <si>
    <t>Water Pump Stations</t>
  </si>
  <si>
    <t>WSA5a</t>
  </si>
  <si>
    <t>Water Pump Stations Standby Generators</t>
  </si>
  <si>
    <t>TechOne</t>
  </si>
  <si>
    <t>WSA6</t>
  </si>
  <si>
    <t>Water Supply Reservoirs</t>
  </si>
  <si>
    <t>This number includes private tanks</t>
  </si>
  <si>
    <t>WSA7</t>
  </si>
  <si>
    <t>Water Stored in Reservoirs</t>
  </si>
  <si>
    <r>
      <t>m</t>
    </r>
    <r>
      <rPr>
        <vertAlign val="superscript"/>
        <sz val="11"/>
        <color theme="1"/>
        <rFont val="Calibri"/>
        <family val="2"/>
        <scheme val="minor"/>
      </rPr>
      <t>3</t>
    </r>
  </si>
  <si>
    <t>SCADA</t>
  </si>
  <si>
    <t>Based on previous values and double check on SCADA system</t>
  </si>
  <si>
    <t>WSA8</t>
  </si>
  <si>
    <t>Capacity of Water Storage Reservoirs</t>
  </si>
  <si>
    <t>WSA9a</t>
  </si>
  <si>
    <t>Properties with Water Meters - Residential</t>
  </si>
  <si>
    <t>WSA9b</t>
  </si>
  <si>
    <t xml:space="preserve">Properties with Water Meters - Non-Residential </t>
  </si>
  <si>
    <t>WSA10</t>
  </si>
  <si>
    <t>Properties with Water Restrictors</t>
  </si>
  <si>
    <t>Based on previous year value</t>
  </si>
  <si>
    <t>WSA11</t>
  </si>
  <si>
    <t>Water Treatment Sludge Production</t>
  </si>
  <si>
    <t>tDS/year</t>
  </si>
  <si>
    <t>WSA13a</t>
  </si>
  <si>
    <t>Above ground asset condition assessment programme</t>
  </si>
  <si>
    <t>Veolia</t>
  </si>
  <si>
    <t>WSA13b</t>
  </si>
  <si>
    <t>Protocol used for above ground condition assessments</t>
  </si>
  <si>
    <t>WSA13c</t>
  </si>
  <si>
    <t>Percent of above ground assets assessed within 3 years</t>
  </si>
  <si>
    <t>Water loss</t>
  </si>
  <si>
    <t>WSE1a</t>
  </si>
  <si>
    <t>Estimated total network water loss</t>
  </si>
  <si>
    <t>Nightflow Assessment 2021</t>
  </si>
  <si>
    <t>WSE1b</t>
  </si>
  <si>
    <t>Percentage Estimated Total Network Water Loss</t>
  </si>
  <si>
    <t>WSE1c</t>
  </si>
  <si>
    <t>CARL (current annual real loss)</t>
  </si>
  <si>
    <t>WSE1d</t>
  </si>
  <si>
    <t>L/connection/day</t>
  </si>
  <si>
    <t>WSE1e</t>
  </si>
  <si>
    <r>
      <t>m</t>
    </r>
    <r>
      <rPr>
        <vertAlign val="superscript"/>
        <sz val="11"/>
        <color theme="1"/>
        <rFont val="Calibri"/>
        <family val="2"/>
        <scheme val="minor"/>
      </rPr>
      <t>3</t>
    </r>
    <r>
      <rPr>
        <sz val="11"/>
        <color theme="1"/>
        <rFont val="Calibri"/>
        <family val="2"/>
        <scheme val="minor"/>
      </rPr>
      <t>/km mains/day</t>
    </r>
  </si>
  <si>
    <t>WSE1f</t>
  </si>
  <si>
    <t>UARL (unavoidable annual real loss)</t>
  </si>
  <si>
    <t>WSE1g</t>
  </si>
  <si>
    <t>WSE1h</t>
  </si>
  <si>
    <t>ILI ( infrastructure leakage index (=CARL/UARL)</t>
  </si>
  <si>
    <t>non-dimensional</t>
  </si>
  <si>
    <t>WSE2</t>
  </si>
  <si>
    <t>Average system pressure</t>
  </si>
  <si>
    <t>m</t>
  </si>
  <si>
    <t>Calibrated Model</t>
  </si>
  <si>
    <t>Energy use</t>
  </si>
  <si>
    <t>WSE3</t>
  </si>
  <si>
    <t>Energy Consumption: Water Supply</t>
  </si>
  <si>
    <t>GJ/year</t>
  </si>
  <si>
    <t>can we get this from the power bills?</t>
  </si>
  <si>
    <t>WSE3a</t>
  </si>
  <si>
    <t>Energy Intensity: Water Supply</t>
  </si>
  <si>
    <r>
      <t>GJ/m</t>
    </r>
    <r>
      <rPr>
        <vertAlign val="superscript"/>
        <sz val="11"/>
        <color theme="1"/>
        <rFont val="Calibri"/>
        <family val="2"/>
        <scheme val="minor"/>
      </rPr>
      <t>3</t>
    </r>
  </si>
  <si>
    <t>WSE4</t>
  </si>
  <si>
    <t>Energy Generation: Water Supply</t>
  </si>
  <si>
    <t>Outages</t>
  </si>
  <si>
    <t>WSS1</t>
  </si>
  <si>
    <t>Unplanned Total Interruptions: Water Supply</t>
  </si>
  <si>
    <t>Number/year</t>
  </si>
  <si>
    <t>FH to come</t>
  </si>
  <si>
    <t>WSS2</t>
  </si>
  <si>
    <t>Unplanned Interruption Frequency: Water Supply</t>
  </si>
  <si>
    <t>Number/1000 prop</t>
  </si>
  <si>
    <t>WSS3</t>
  </si>
  <si>
    <t>Planned Interruptions: Water Supply</t>
  </si>
  <si>
    <t>WSS4</t>
  </si>
  <si>
    <t>Third Party Incidents: Water Supply</t>
  </si>
  <si>
    <t>Complaints</t>
  </si>
  <si>
    <t>WSS5</t>
  </si>
  <si>
    <t>Water Supply Complaints</t>
  </si>
  <si>
    <t>WSS5a</t>
  </si>
  <si>
    <t>Drinking water clarity complaints</t>
  </si>
  <si>
    <t>WSS5b</t>
  </si>
  <si>
    <t>Drinking water taste complaints</t>
  </si>
  <si>
    <t>WSS5c</t>
  </si>
  <si>
    <t>Drinking water odour complaints</t>
  </si>
  <si>
    <t>WSS5d</t>
  </si>
  <si>
    <t>Drinking water pressure or flow complaints</t>
  </si>
  <si>
    <t>WSS5e</t>
  </si>
  <si>
    <t>Continuity of water supply complaints</t>
  </si>
  <si>
    <t>WSS5f</t>
  </si>
  <si>
    <t>The authorities response to any of these issues</t>
  </si>
  <si>
    <t>WSS6</t>
  </si>
  <si>
    <t>Water Supply Complaints Frequency</t>
  </si>
  <si>
    <t>Regime 1</t>
  </si>
  <si>
    <t>Regime 2</t>
  </si>
  <si>
    <t>Regime 3</t>
  </si>
  <si>
    <t>Regime 4</t>
  </si>
  <si>
    <t>Regime 5</t>
  </si>
  <si>
    <t>Regime 6</t>
  </si>
  <si>
    <t>Regime 7</t>
  </si>
  <si>
    <t>Regime 8</t>
  </si>
  <si>
    <t>Regime 9</t>
  </si>
  <si>
    <t>Regime 10</t>
  </si>
  <si>
    <t>Regime 11</t>
  </si>
  <si>
    <t>Regime 12</t>
  </si>
  <si>
    <t>Regime 13</t>
  </si>
  <si>
    <t>Regime 14</t>
  </si>
  <si>
    <t>Regime 15</t>
  </si>
  <si>
    <t>Regime 16</t>
  </si>
  <si>
    <t>Regime 17</t>
  </si>
  <si>
    <t>Regime 18</t>
  </si>
  <si>
    <t>Regime 19</t>
  </si>
  <si>
    <t>Regime 20</t>
  </si>
  <si>
    <t>Charges</t>
  </si>
  <si>
    <t>WSS7</t>
  </si>
  <si>
    <t>Number of different water charging regimes</t>
  </si>
  <si>
    <t>WSS7a</t>
  </si>
  <si>
    <t>Fixed Charge: Non-residential water</t>
  </si>
  <si>
    <t>$</t>
  </si>
  <si>
    <t>Median Rates tab per Stew B</t>
  </si>
  <si>
    <t>Gus / Vaughn</t>
  </si>
  <si>
    <t>WSS7b</t>
  </si>
  <si>
    <t>Fixed Charge Type: Non-residential water</t>
  </si>
  <si>
    <t>Targeted Rate</t>
  </si>
  <si>
    <t>WSS7c</t>
  </si>
  <si>
    <t>Volumetric Charge: Non-residential water</t>
  </si>
  <si>
    <r>
      <t>$/m</t>
    </r>
    <r>
      <rPr>
        <vertAlign val="superscript"/>
        <sz val="11"/>
        <color theme="1"/>
        <rFont val="Calibri"/>
        <family val="2"/>
        <scheme val="minor"/>
      </rPr>
      <t>3</t>
    </r>
  </si>
  <si>
    <t>WSS8a</t>
  </si>
  <si>
    <t>Fixed Charge: Residential water</t>
  </si>
  <si>
    <t>WSS8b</t>
  </si>
  <si>
    <t>Fixed Charge Type: Residential water</t>
  </si>
  <si>
    <t>WSS8c</t>
  </si>
  <si>
    <t>Volumetric Charge: Residential water</t>
  </si>
  <si>
    <t>WSS9</t>
  </si>
  <si>
    <t xml:space="preserve">Average Residential Water Charge Based on 200 m3/yr </t>
  </si>
  <si>
    <r>
      <t>$/200m</t>
    </r>
    <r>
      <rPr>
        <vertAlign val="superscript"/>
        <sz val="11"/>
        <color theme="1"/>
        <rFont val="Calibri"/>
        <family val="2"/>
        <scheme val="minor"/>
      </rPr>
      <t>3</t>
    </r>
  </si>
  <si>
    <t>Response times</t>
  </si>
  <si>
    <t>WSS10a</t>
  </si>
  <si>
    <t>Attendance for urgent water supply fault call-outs</t>
  </si>
  <si>
    <t>hrs</t>
  </si>
  <si>
    <t>WSS10b</t>
  </si>
  <si>
    <t>Resolution for urgent water supply fault call-outs</t>
  </si>
  <si>
    <t>WSS10c</t>
  </si>
  <si>
    <t>Attendance for non-urgent water supply fault call-outs</t>
  </si>
  <si>
    <t>WSS10d</t>
  </si>
  <si>
    <t>Resolution for non-urgent water supply fault call-outs</t>
  </si>
  <si>
    <t>Restrictions</t>
  </si>
  <si>
    <t>WSS11</t>
  </si>
  <si>
    <t>Water restriction days</t>
  </si>
  <si>
    <t>Properties*days</t>
  </si>
  <si>
    <t>Fire fighting</t>
  </si>
  <si>
    <t>WSS12a</t>
  </si>
  <si>
    <t>Fire hydrants tested in the previous five years</t>
  </si>
  <si>
    <t>83 tested last year - stats for prior years not available</t>
  </si>
  <si>
    <t>WSS12b</t>
  </si>
  <si>
    <t>Non-compliant fire hydrants</t>
  </si>
  <si>
    <t>Revenue</t>
  </si>
  <si>
    <t>WSF1</t>
  </si>
  <si>
    <t>Revenue from Supply of Water to Other Local Authorities</t>
  </si>
  <si>
    <t>N/a</t>
  </si>
  <si>
    <t>Andrew S</t>
  </si>
  <si>
    <t>WSF2</t>
  </si>
  <si>
    <t>Operating Revenue: Water Supply</t>
  </si>
  <si>
    <t>P&amp;L / TechOne</t>
  </si>
  <si>
    <t>WSF3</t>
  </si>
  <si>
    <t>Development Contribution Revenue: Water Supply</t>
  </si>
  <si>
    <t>WSF4</t>
  </si>
  <si>
    <t>Total Revenue: Water Supply</t>
  </si>
  <si>
    <t>WSF5</t>
  </si>
  <si>
    <t>Revenue per Property: Water Supply</t>
  </si>
  <si>
    <t>$/property</t>
  </si>
  <si>
    <t>WSF6</t>
  </si>
  <si>
    <t>Debt funding: Water Supply</t>
  </si>
  <si>
    <t>Stew / Vaughn</t>
  </si>
  <si>
    <t>Expenditure</t>
  </si>
  <si>
    <t>WSF7</t>
  </si>
  <si>
    <t>Energy Costs: Water Supply</t>
  </si>
  <si>
    <t>Finance team</t>
  </si>
  <si>
    <t>WSF8</t>
  </si>
  <si>
    <t>Chemicals and Consumables: Water Supply</t>
  </si>
  <si>
    <t>Not readily identifiable</t>
  </si>
  <si>
    <t>WSF9a</t>
  </si>
  <si>
    <t>Routine maintenance: Water Supply</t>
  </si>
  <si>
    <t>WSF9b</t>
  </si>
  <si>
    <t>Reactive maintenance: Water Supply</t>
  </si>
  <si>
    <t>WSF10</t>
  </si>
  <si>
    <t>Management Costs: Water Supply</t>
  </si>
  <si>
    <t>WSF11</t>
  </si>
  <si>
    <t>Council Contract Management Costs : Water Supply</t>
  </si>
  <si>
    <t>Included in WSF10</t>
  </si>
  <si>
    <t>WSF12</t>
  </si>
  <si>
    <t>Operating Cost: Water Supply</t>
  </si>
  <si>
    <t>WSF13</t>
  </si>
  <si>
    <t>Operating Cost per Property: Water Supply</t>
  </si>
  <si>
    <t>WSF14</t>
  </si>
  <si>
    <t>Annual Depreciation: Water Supply</t>
  </si>
  <si>
    <t>WSF15a</t>
  </si>
  <si>
    <t>Interest: Water Supply</t>
  </si>
  <si>
    <t>WSF15b</t>
  </si>
  <si>
    <t>Debt affordability: Water Supply</t>
  </si>
  <si>
    <t>WSF16</t>
  </si>
  <si>
    <t>Operational Cost Coverage: Water Supply</t>
  </si>
  <si>
    <t>WSF17</t>
  </si>
  <si>
    <t>Total Cost: Water Supply</t>
  </si>
  <si>
    <t>WSF18</t>
  </si>
  <si>
    <t>Total Cost per Property: Water Supply</t>
  </si>
  <si>
    <t>WSF19</t>
  </si>
  <si>
    <t>Budgeted Capital Expenditure: Water Supply</t>
  </si>
  <si>
    <t>WSF19a</t>
  </si>
  <si>
    <t>Budgeted capital to meet additional demand</t>
  </si>
  <si>
    <t>Project Financials</t>
  </si>
  <si>
    <t>WSF19b</t>
  </si>
  <si>
    <t>Budgeted capital to improve the level of service</t>
  </si>
  <si>
    <t>WSF19c</t>
  </si>
  <si>
    <t>Budgeted capital to replace existing assets</t>
  </si>
  <si>
    <t>WSF20</t>
  </si>
  <si>
    <t>Actual Capital Expenditure: Water Supply</t>
  </si>
  <si>
    <t>WSF20a</t>
  </si>
  <si>
    <t>Actual capital to meet additional demand</t>
  </si>
  <si>
    <t>WSF20b</t>
  </si>
  <si>
    <t>Actual capital to improve the level of service</t>
  </si>
  <si>
    <t>WSF20c</t>
  </si>
  <si>
    <t>Actual capital to replace existing assets</t>
  </si>
  <si>
    <t>WSF21</t>
  </si>
  <si>
    <t>Actual Capital Expenditure per Property: Water Supply</t>
  </si>
  <si>
    <t>Asset value</t>
  </si>
  <si>
    <t>WSF22</t>
  </si>
  <si>
    <t>Development Contributions: Water Supply assets</t>
  </si>
  <si>
    <t>Vested Assets on P&amp;L consistent with prior year</t>
  </si>
  <si>
    <t>WSF23a</t>
  </si>
  <si>
    <t>Water treatment facility value at end of reporting year</t>
  </si>
  <si>
    <t>WSF23b</t>
  </si>
  <si>
    <t>Other water supply asset value</t>
  </si>
  <si>
    <t>WSF24</t>
  </si>
  <si>
    <t>Decline in Service Potential: Water Supply</t>
  </si>
  <si>
    <t>Grants</t>
  </si>
  <si>
    <t>WSF25</t>
  </si>
  <si>
    <t>External Grants: Water Supply</t>
  </si>
  <si>
    <t>3 Waters Reform Funding</t>
  </si>
  <si>
    <t>Wastewater</t>
  </si>
  <si>
    <t>WWB1a</t>
  </si>
  <si>
    <t>Wastewater Serviced Population</t>
  </si>
  <si>
    <t xml:space="preserve">WWB1b </t>
  </si>
  <si>
    <t>Wastewater Service Coverage</t>
  </si>
  <si>
    <t>WWB2</t>
  </si>
  <si>
    <t>Wastewater Serviced Properties: Residential</t>
  </si>
  <si>
    <t>WWB3</t>
  </si>
  <si>
    <t>Wastewater Serviced Properties: Non-residential</t>
  </si>
  <si>
    <t>WWB4</t>
  </si>
  <si>
    <t>Total Wastewater Serviced Properties</t>
  </si>
  <si>
    <t>WWB5</t>
  </si>
  <si>
    <t>Wastewater Exported for Treatment</t>
  </si>
  <si>
    <t>WWB6</t>
  </si>
  <si>
    <t>Wastewater Imported for Treatment</t>
  </si>
  <si>
    <t>WWB7</t>
  </si>
  <si>
    <t>Total Wastewater Produced</t>
  </si>
  <si>
    <t>WWA1a</t>
  </si>
  <si>
    <t>Total Length of Public Wastewater Network</t>
  </si>
  <si>
    <t>Highly reliable</t>
  </si>
  <si>
    <t>Alex</t>
  </si>
  <si>
    <t>WWA1b</t>
  </si>
  <si>
    <t>Length of wastewater mains renewed using internal CAPEX</t>
  </si>
  <si>
    <t>Mark Baker</t>
  </si>
  <si>
    <t>WWA1c</t>
  </si>
  <si>
    <t>Length of new wastewater mains constructed using internal CAPEX</t>
  </si>
  <si>
    <t>Simon/Andrew</t>
  </si>
  <si>
    <t>WWA2a</t>
  </si>
  <si>
    <t>Condition Grade 1: Wastewater pipelines</t>
  </si>
  <si>
    <t>WWA2b</t>
  </si>
  <si>
    <t>Condition Grade 2: Wastewater pipelines</t>
  </si>
  <si>
    <t>WWA2c</t>
  </si>
  <si>
    <t>Condition Grade 3: Wastewater pipelines</t>
  </si>
  <si>
    <t>WWA2d</t>
  </si>
  <si>
    <t>Condition Grade 4: Wastewater pipelines</t>
  </si>
  <si>
    <t>WWA2e</t>
  </si>
  <si>
    <t>Condition Grade 5: Wastewater pipelines</t>
  </si>
  <si>
    <t>WWA2f</t>
  </si>
  <si>
    <t>Not assessed: Wastewater pipelines</t>
  </si>
  <si>
    <t>WWA2g</t>
  </si>
  <si>
    <t>Text</t>
  </si>
  <si>
    <t>WWA3</t>
  </si>
  <si>
    <t>Average Age of Wastewater Pipelines</t>
  </si>
  <si>
    <t>WWA4</t>
  </si>
  <si>
    <t>Wastewater CCTV inspection</t>
  </si>
  <si>
    <t>FH to provide</t>
  </si>
  <si>
    <t>WWA5</t>
  </si>
  <si>
    <t>Wastewater Pump Stations</t>
  </si>
  <si>
    <t>WWA5a</t>
  </si>
  <si>
    <t>Wastewater Pump Stations Standby Generators</t>
  </si>
  <si>
    <t>WWA6</t>
  </si>
  <si>
    <t>WWA6a</t>
  </si>
  <si>
    <t>WWA6b</t>
  </si>
  <si>
    <t>Plant 1</t>
  </si>
  <si>
    <t>Plant 2</t>
  </si>
  <si>
    <t>Plant 3</t>
  </si>
  <si>
    <t>Plant 4</t>
  </si>
  <si>
    <t>Plant 5</t>
  </si>
  <si>
    <t>Plant 6</t>
  </si>
  <si>
    <t>Plant 7</t>
  </si>
  <si>
    <t>Plant 8</t>
  </si>
  <si>
    <t>Plant 9</t>
  </si>
  <si>
    <t>Plant 10</t>
  </si>
  <si>
    <t>Plant 11</t>
  </si>
  <si>
    <t>Plant 12</t>
  </si>
  <si>
    <t>Plant 13</t>
  </si>
  <si>
    <t>Plant 14</t>
  </si>
  <si>
    <t>Plant 15</t>
  </si>
  <si>
    <t>Plant 16</t>
  </si>
  <si>
    <t>Plant 17</t>
  </si>
  <si>
    <t>Plant 18</t>
  </si>
  <si>
    <t>Treatment plants</t>
  </si>
  <si>
    <t>WWA7</t>
  </si>
  <si>
    <t>Number of wastewater treatment plants</t>
  </si>
  <si>
    <t>WWA7a</t>
  </si>
  <si>
    <t>Wastewater treatment plant name</t>
  </si>
  <si>
    <t xml:space="preserve">Queenstown WWTP (Project Shotover) </t>
  </si>
  <si>
    <t>Wanaka WWTP (Project Pure)</t>
  </si>
  <si>
    <t>Cardrona WWTP</t>
  </si>
  <si>
    <t xml:space="preserve"> Hawea WWTP</t>
  </si>
  <si>
    <t>Glendhu Bay campground</t>
  </si>
  <si>
    <t>Albert Town campground</t>
  </si>
  <si>
    <t>WWA7d</t>
  </si>
  <si>
    <t>Volume of wastewater treated at treatment plant</t>
  </si>
  <si>
    <t>WaterOutlook</t>
  </si>
  <si>
    <t>Rebecca Mcloud  / Vaughn</t>
  </si>
  <si>
    <t>WWA7f</t>
  </si>
  <si>
    <t>Proportion of trade waste at treatment plant</t>
  </si>
  <si>
    <t>Alex Huizenga</t>
  </si>
  <si>
    <t>Not filled out. No data to inform.</t>
  </si>
  <si>
    <t>WWA7g</t>
  </si>
  <si>
    <t>Number of consents at each treatment plant</t>
  </si>
  <si>
    <t>CS-VUE</t>
  </si>
  <si>
    <t>WWA7h</t>
  </si>
  <si>
    <t>Treatment Plant effluent resource consent expiry date</t>
  </si>
  <si>
    <t>Date</t>
  </si>
  <si>
    <t>WWA7i</t>
  </si>
  <si>
    <t>Treatment plant effluent consent status</t>
  </si>
  <si>
    <t>Current</t>
  </si>
  <si>
    <t>WWA7j-1</t>
  </si>
  <si>
    <t>Treatment Plant sludge production of wet sludge/biosolids</t>
  </si>
  <si>
    <t>tonne/year</t>
  </si>
  <si>
    <t>WWA7j-2</t>
  </si>
  <si>
    <t>Percentage of dry solids in wastewater sludge/biosolids</t>
  </si>
  <si>
    <t>WWA7k-1</t>
  </si>
  <si>
    <t>Disposal of wastewater sludge in year to on site stockpile</t>
  </si>
  <si>
    <t>WWA7k-2</t>
  </si>
  <si>
    <t>Disposal of wastewater sludge in year to landfill</t>
  </si>
  <si>
    <t>WWA7k-3</t>
  </si>
  <si>
    <t>Disposal of wastewater sludge in year to composting and reuse</t>
  </si>
  <si>
    <t>WWA7k-4</t>
  </si>
  <si>
    <t>Disposal of wastewater sludge in year to other routes</t>
  </si>
  <si>
    <t>WWA7k-5</t>
  </si>
  <si>
    <t>Last year desludged</t>
  </si>
  <si>
    <t>year</t>
  </si>
  <si>
    <t>WWA7l</t>
  </si>
  <si>
    <t>Treatment Plant backup generators</t>
  </si>
  <si>
    <t>WWA7m</t>
  </si>
  <si>
    <t>Treatment plant peak wet to average dry weather flow ratio</t>
  </si>
  <si>
    <t>Greenhouse gas</t>
  </si>
  <si>
    <t>WWA7n</t>
  </si>
  <si>
    <t>Wastewater treatment plant process emissions</t>
  </si>
  <si>
    <t>tCO2-e/yr</t>
  </si>
  <si>
    <t>EY Otago region GHG report</t>
  </si>
  <si>
    <t>Mark Baker / Katherine Durman</t>
  </si>
  <si>
    <t>Total tCO2-e/yr for WW valdated by T&amp;T district GHG inventory report</t>
  </si>
  <si>
    <t>No available at this level at this point in time.</t>
  </si>
  <si>
    <t xml:space="preserve"> emissions</t>
  </si>
  <si>
    <t>WWA7o</t>
  </si>
  <si>
    <t>Wastewater treatment wetland emissions</t>
  </si>
  <si>
    <t>mark</t>
  </si>
  <si>
    <t>In above</t>
  </si>
  <si>
    <t>WWA7p</t>
  </si>
  <si>
    <t>Wastewater effluent disposal emissions</t>
  </si>
  <si>
    <t>WWA7q</t>
  </si>
  <si>
    <t>Wastewater sludge treatment emissions</t>
  </si>
  <si>
    <t>WWA7r</t>
  </si>
  <si>
    <t>Wastewater sludge disposal emissions</t>
  </si>
  <si>
    <t>Combined networks</t>
  </si>
  <si>
    <t>WWA8</t>
  </si>
  <si>
    <t>Total Length of Combined Wastewater and Stormwater Pipelines</t>
  </si>
  <si>
    <t>No combined systems</t>
  </si>
  <si>
    <t>Overflows</t>
  </si>
  <si>
    <t>WWE1</t>
  </si>
  <si>
    <t>Dry Weather Wastewater Overflows</t>
  </si>
  <si>
    <t>WWE1a</t>
  </si>
  <si>
    <t>Overflows caused by blockages</t>
  </si>
  <si>
    <t>WWE1b</t>
  </si>
  <si>
    <t>Overflows caused by plant failures</t>
  </si>
  <si>
    <t>WWE2a</t>
  </si>
  <si>
    <t>Wet weather overflows from the wastewater network</t>
  </si>
  <si>
    <t>WWE2b</t>
  </si>
  <si>
    <t>Wet weather overflows from combined stormwater and wastewater networks</t>
  </si>
  <si>
    <t>WWE3</t>
  </si>
  <si>
    <t xml:space="preserve">Total Wastewater Overflows </t>
  </si>
  <si>
    <t>WWE3a</t>
  </si>
  <si>
    <t>Wastewater overflows on private properties</t>
  </si>
  <si>
    <t>WWE7</t>
  </si>
  <si>
    <t>Sewage design standards for network capacity</t>
  </si>
  <si>
    <t>NZS4404</t>
  </si>
  <si>
    <t>CoP</t>
  </si>
  <si>
    <t>WWE8</t>
  </si>
  <si>
    <t>Sewage containment of the existing network</t>
  </si>
  <si>
    <t>WWE9a</t>
  </si>
  <si>
    <t>Overflows recorded through verbal reports</t>
  </si>
  <si>
    <t>WWE9b</t>
  </si>
  <si>
    <t>Overflows recorded through SCADA monitoring</t>
  </si>
  <si>
    <t>WWE9c</t>
  </si>
  <si>
    <t>Overflows calculated through hydraulic models</t>
  </si>
  <si>
    <t>WWE9d</t>
  </si>
  <si>
    <t>Overflows calculated through calibrated hydraulic models</t>
  </si>
  <si>
    <t>Compliance</t>
  </si>
  <si>
    <t>WWE4a</t>
  </si>
  <si>
    <t>Wastewater consent abatement notices</t>
  </si>
  <si>
    <t>Confirmed with the Regional Council</t>
  </si>
  <si>
    <t>WWE4b</t>
  </si>
  <si>
    <t>Wastewater consent infringement notices</t>
  </si>
  <si>
    <t>WWE4c</t>
  </si>
  <si>
    <t>Wastewater consent enforcement orders</t>
  </si>
  <si>
    <t>WWE4d</t>
  </si>
  <si>
    <t>Wastewater consent successful prosecutions</t>
  </si>
  <si>
    <t>WWE4e</t>
  </si>
  <si>
    <t>Wastewater treatment plant consent non-conformance</t>
  </si>
  <si>
    <t>Non-compliances recorded with each treatment plant, with the exception of the Albert Town Campground. These non-compliances are generally due to exceeding effluent quality limits, or others such as ponding of effluent.</t>
  </si>
  <si>
    <t>WWE4f</t>
  </si>
  <si>
    <t>Wastewater network discharge non-conformance</t>
  </si>
  <si>
    <t>WWE4g</t>
  </si>
  <si>
    <t>Wet weather overflow regulation approach</t>
  </si>
  <si>
    <t>No regulatory approach</t>
  </si>
  <si>
    <t>WWE4h</t>
  </si>
  <si>
    <t>Wastewater consent letter of direction</t>
  </si>
  <si>
    <t>WWE4i</t>
  </si>
  <si>
    <t>Wastewater consent formal warming</t>
  </si>
  <si>
    <t>WWE5a</t>
  </si>
  <si>
    <t>Energy Consumption: Wastewater</t>
  </si>
  <si>
    <t>WWE5b</t>
  </si>
  <si>
    <t>Energy Intensity: Wastewater</t>
  </si>
  <si>
    <t>WWE5c</t>
  </si>
  <si>
    <t>Energy Generation: Wastewater</t>
  </si>
  <si>
    <t>Trade waste</t>
  </si>
  <si>
    <t>WWE6a</t>
  </si>
  <si>
    <t>Trade waste bylaw</t>
  </si>
  <si>
    <t>WWE6b</t>
  </si>
  <si>
    <t>Individual trade waste consents</t>
  </si>
  <si>
    <t>System now just being implemented, no consents processed as yet.</t>
  </si>
  <si>
    <t>WWE6c</t>
  </si>
  <si>
    <t>Companies breaching trade waste consents</t>
  </si>
  <si>
    <t>WWE6d</t>
  </si>
  <si>
    <t>Non-compliance actions in response to trade waste breaches</t>
  </si>
  <si>
    <t>Comment</t>
  </si>
  <si>
    <t>WWE6e</t>
  </si>
  <si>
    <t>Dedicated trade waste officer(s) on staff</t>
  </si>
  <si>
    <t>WWS1a</t>
  </si>
  <si>
    <t>Fixed Charge: Non residential wastewater</t>
  </si>
  <si>
    <t>Gus</t>
  </si>
  <si>
    <t>WWS1b</t>
  </si>
  <si>
    <t>Fixed  Charge Type: Non residential wastewater</t>
  </si>
  <si>
    <t>WWS1c</t>
  </si>
  <si>
    <t>Volumetric Charge: Non residential wastewater</t>
  </si>
  <si>
    <t>WWS1d</t>
  </si>
  <si>
    <t>Contaminant Based Charging</t>
  </si>
  <si>
    <t>WWS2a</t>
  </si>
  <si>
    <t>Fixed Charge: Residential wastewater</t>
  </si>
  <si>
    <t>WWS2b</t>
  </si>
  <si>
    <t>Fixed Charge Type: Residential wastewater</t>
  </si>
  <si>
    <t>WWS2c</t>
  </si>
  <si>
    <t>Volumetric Charge: Residential wastewater</t>
  </si>
  <si>
    <t>WWS3</t>
  </si>
  <si>
    <r>
      <t>Average Annual Residential Wastewater Charge Based on 200 m</t>
    </r>
    <r>
      <rPr>
        <vertAlign val="superscript"/>
        <sz val="11"/>
        <color theme="1"/>
        <rFont val="Calibri"/>
        <family val="2"/>
        <scheme val="minor"/>
      </rPr>
      <t>3</t>
    </r>
    <r>
      <rPr>
        <sz val="11"/>
        <color theme="1"/>
        <rFont val="Calibri"/>
        <family val="2"/>
        <scheme val="minor"/>
      </rPr>
      <t xml:space="preserve">/yr </t>
    </r>
  </si>
  <si>
    <t>WWS4</t>
  </si>
  <si>
    <t>Wastewater complaints</t>
  </si>
  <si>
    <t>WWS4a</t>
  </si>
  <si>
    <t>Sewage odour complaints</t>
  </si>
  <si>
    <t>WWS4b</t>
  </si>
  <si>
    <t>Sewerage system fault complaints</t>
  </si>
  <si>
    <t>WWS4c</t>
  </si>
  <si>
    <t>Sewerage system blockage complaints</t>
  </si>
  <si>
    <t>WWS4d</t>
  </si>
  <si>
    <t>The authority’s response to issues with its sewerage system</t>
  </si>
  <si>
    <t>WWS5</t>
  </si>
  <si>
    <t>Wastewater complaints frequency</t>
  </si>
  <si>
    <t>WWS6a</t>
  </si>
  <si>
    <t>Wastewater fault attendance time</t>
  </si>
  <si>
    <t>Response time</t>
  </si>
  <si>
    <t>WWS6b</t>
  </si>
  <si>
    <t>Wastewater fault resolution time</t>
  </si>
  <si>
    <t>WWS7a</t>
  </si>
  <si>
    <t>Unplanned Total Interruptions: Wastewater</t>
  </si>
  <si>
    <t>WWS7b</t>
  </si>
  <si>
    <t>Third party Incidents: Wastewater</t>
  </si>
  <si>
    <t>WWS7c</t>
  </si>
  <si>
    <t>Unplanned Interruption Frequency: Wastewater</t>
  </si>
  <si>
    <t>WWF1</t>
  </si>
  <si>
    <t>Revenue from the Provision of Wastewater Treatment Services to Another Local Authority</t>
  </si>
  <si>
    <t>WWF2</t>
  </si>
  <si>
    <t>Operating Revenue: Wastewater</t>
  </si>
  <si>
    <t>WWF3</t>
  </si>
  <si>
    <t>Development Contribution Revenue: Wastewater</t>
  </si>
  <si>
    <t>WWF4</t>
  </si>
  <si>
    <t>Total Revenue: Wastewater</t>
  </si>
  <si>
    <t>WWF5</t>
  </si>
  <si>
    <t>Revenue per Property: Wastewater</t>
  </si>
  <si>
    <t>WWF6</t>
  </si>
  <si>
    <t>Debt funding: Wastewater</t>
  </si>
  <si>
    <t>Stew</t>
  </si>
  <si>
    <t>WWF7</t>
  </si>
  <si>
    <t>Energy Costs: Wastewater</t>
  </si>
  <si>
    <t>Andrew/Simon/Gus</t>
  </si>
  <si>
    <t>WWF8</t>
  </si>
  <si>
    <t>Sludge Disposal Costs: Wastewater</t>
  </si>
  <si>
    <t>WWF9</t>
  </si>
  <si>
    <t>Routine Maintenance: Wastewater</t>
  </si>
  <si>
    <t>WWF10</t>
  </si>
  <si>
    <t>Reactive Maintenance: Wastewater</t>
  </si>
  <si>
    <t>WWF11</t>
  </si>
  <si>
    <t>Management Costs: Wastewater</t>
  </si>
  <si>
    <t>WWF12</t>
  </si>
  <si>
    <t xml:space="preserve">Councils Contract Management Costs: Wastewater </t>
  </si>
  <si>
    <t>Simon</t>
  </si>
  <si>
    <t>Included in WSF11</t>
  </si>
  <si>
    <t>WWF13</t>
  </si>
  <si>
    <t>Operating Cost: Wastewater</t>
  </si>
  <si>
    <t>WWF14</t>
  </si>
  <si>
    <t>Operating Cost per Property: Wastewater</t>
  </si>
  <si>
    <t>WWF15</t>
  </si>
  <si>
    <t>Annual Depreciation: Wastewater</t>
  </si>
  <si>
    <t>WWF16a</t>
  </si>
  <si>
    <t>Interest: Wastewater</t>
  </si>
  <si>
    <t>WWF16b</t>
  </si>
  <si>
    <t>Debt affordability: Wastewater</t>
  </si>
  <si>
    <t>WWF17</t>
  </si>
  <si>
    <t>Operational Cost Coverage: Wastewater</t>
  </si>
  <si>
    <t>WWF18</t>
  </si>
  <si>
    <t>Total Cost: Wastewater</t>
  </si>
  <si>
    <t>WWF19</t>
  </si>
  <si>
    <t>Total Cost per Property: Wastewater</t>
  </si>
  <si>
    <t>WWF20</t>
  </si>
  <si>
    <t>Budgeted Capital Expenditure: Wastewater</t>
  </si>
  <si>
    <t>WWF20a</t>
  </si>
  <si>
    <t>WWF20b</t>
  </si>
  <si>
    <t>WWF20c</t>
  </si>
  <si>
    <t>WWF21</t>
  </si>
  <si>
    <t>Actual Capital Expenditure: Wastewater</t>
  </si>
  <si>
    <t>WWF21a</t>
  </si>
  <si>
    <t>WWF21b</t>
  </si>
  <si>
    <t>WWF21c</t>
  </si>
  <si>
    <t>WWF22</t>
  </si>
  <si>
    <t>Actual Capital Expenditure per Property: Wastewater</t>
  </si>
  <si>
    <t>WWF23</t>
  </si>
  <si>
    <t>Development Contributions: Wastewater assets</t>
  </si>
  <si>
    <t>WWF24a</t>
  </si>
  <si>
    <t>Wastewater facility value at end of reporting year</t>
  </si>
  <si>
    <t>WWF24b</t>
  </si>
  <si>
    <t>Other wastewater asset value</t>
  </si>
  <si>
    <t>WWF25</t>
  </si>
  <si>
    <t>Decline in Service Potential: Wastewater</t>
  </si>
  <si>
    <t>WWF26</t>
  </si>
  <si>
    <t>External Grants: Wastewater</t>
  </si>
  <si>
    <t>Stormwater</t>
  </si>
  <si>
    <t>SWB1</t>
  </si>
  <si>
    <t>Stormwater Serviced Population</t>
  </si>
  <si>
    <t>SWB2</t>
  </si>
  <si>
    <t>Stormwater Serviced Properties - Residential</t>
  </si>
  <si>
    <t>SWB3</t>
  </si>
  <si>
    <t>Stormwater Serviced Properties - Non-residential</t>
  </si>
  <si>
    <t>SWB4</t>
  </si>
  <si>
    <t>Total Stormwater Serviced Properties</t>
  </si>
  <si>
    <t>SWA1a</t>
  </si>
  <si>
    <t>Total Length of Public Stormwater Network</t>
  </si>
  <si>
    <t>SWA1b</t>
  </si>
  <si>
    <t>Length of stormwater mains renewed using internal CAPEX</t>
  </si>
  <si>
    <t>SWA1c</t>
  </si>
  <si>
    <t>Length of new stormwater mains constructed using internal CAPEX</t>
  </si>
  <si>
    <t>SWA2a</t>
  </si>
  <si>
    <t>Condition Grade 1: Stormwater pipelines</t>
  </si>
  <si>
    <t>SWA2b</t>
  </si>
  <si>
    <t>Condition Grade 2: Stormwater pipelines</t>
  </si>
  <si>
    <t>SWA2c</t>
  </si>
  <si>
    <t>Condition Grade 3: Stormwater pipelines</t>
  </si>
  <si>
    <t>SWA2d</t>
  </si>
  <si>
    <t>Condition Grade 4: Stormwater pipelines</t>
  </si>
  <si>
    <t>SWA2e</t>
  </si>
  <si>
    <t>Condition Grade 5: Stormwater pipelines</t>
  </si>
  <si>
    <t>SWA2f</t>
  </si>
  <si>
    <t>Not assessed: Stormwater pipelines</t>
  </si>
  <si>
    <t>SWA2g</t>
  </si>
  <si>
    <t>Stormwater Pipeline Condition Assessment Approach</t>
  </si>
  <si>
    <t>SWA3</t>
  </si>
  <si>
    <t>Average Age of Stormwater Pipelines</t>
  </si>
  <si>
    <t>SWA5a</t>
  </si>
  <si>
    <t>Above ground stormwater asset assessment program</t>
  </si>
  <si>
    <t>SWA5b</t>
  </si>
  <si>
    <t>Protocol used for above ground stormwater asset assessments</t>
  </si>
  <si>
    <t>SWA5c</t>
  </si>
  <si>
    <t>Percentage of above ground stormwater assets assessed in 3 years</t>
  </si>
  <si>
    <t>SWA6</t>
  </si>
  <si>
    <t>Stormwater network CCTV inspection</t>
  </si>
  <si>
    <t>SWA7</t>
  </si>
  <si>
    <t>Stormwater Pump Stations</t>
  </si>
  <si>
    <t>Discharges</t>
  </si>
  <si>
    <t>SWE1a</t>
  </si>
  <si>
    <t>Number of stormwater discharges from the piped network</t>
  </si>
  <si>
    <t>SWE1b</t>
  </si>
  <si>
    <t>Number of stormwater discharges with resource consents</t>
  </si>
  <si>
    <t>NA</t>
  </si>
  <si>
    <t>SWE2a</t>
  </si>
  <si>
    <t>Stormwater consent abatement notices</t>
  </si>
  <si>
    <t>SWE2b</t>
  </si>
  <si>
    <t>Stormwater consent infringement notices</t>
  </si>
  <si>
    <t>SWE2c</t>
  </si>
  <si>
    <t>Stormwater consent enforcement orders</t>
  </si>
  <si>
    <t>SWE2d</t>
  </si>
  <si>
    <t>Stormwater successful prosecutions</t>
  </si>
  <si>
    <t>SWE2e</t>
  </si>
  <si>
    <t>Stormwater consent non-conformance</t>
  </si>
  <si>
    <t>SWE2f</t>
  </si>
  <si>
    <t>Stormwater consent letters of direction</t>
  </si>
  <si>
    <t>SWE2g</t>
  </si>
  <si>
    <t>Stormwater consent formal warning</t>
  </si>
  <si>
    <t>Quality</t>
  </si>
  <si>
    <t>SWE3</t>
  </si>
  <si>
    <t>Stormwater quality monitoring</t>
  </si>
  <si>
    <t>Full programme in development</t>
  </si>
  <si>
    <t>SWE4</t>
  </si>
  <si>
    <t>Stormwater catchment management plans</t>
  </si>
  <si>
    <t>Some catchments in draft, but workin through a programme of CMPs.</t>
  </si>
  <si>
    <t>SWE5</t>
  </si>
  <si>
    <t>Energy consumption: Stormwater</t>
  </si>
  <si>
    <t>N pump stations or mechanical treatment</t>
  </si>
  <si>
    <t>SWS1</t>
  </si>
  <si>
    <t>Stormwater Charge</t>
  </si>
  <si>
    <t>Median Rates per Stew B</t>
  </si>
  <si>
    <t>SWS2</t>
  </si>
  <si>
    <t>Stormwater Charge type</t>
  </si>
  <si>
    <t>SWS3</t>
  </si>
  <si>
    <t>Stormwater Complaints</t>
  </si>
  <si>
    <t>SWS3a</t>
  </si>
  <si>
    <t>Stormwater blockage complaints</t>
  </si>
  <si>
    <t>SWS3b</t>
  </si>
  <si>
    <t>Stormwater fault complaints</t>
  </si>
  <si>
    <t>SWS4</t>
  </si>
  <si>
    <t>Stormwater Complaints Frequency</t>
  </si>
  <si>
    <t>Number/1000 props</t>
  </si>
  <si>
    <t>Flooding</t>
  </si>
  <si>
    <t>SWS5</t>
  </si>
  <si>
    <t>Flooding events resulting from storms exceeding stormwater capacity</t>
  </si>
  <si>
    <t>SWS5a</t>
  </si>
  <si>
    <t>Number of habitable floors affected by storms exceeding stormwater capacity</t>
  </si>
  <si>
    <t>SWS5b</t>
  </si>
  <si>
    <t>Number of habitable floors affected per 1000 stormwater serviced properties</t>
  </si>
  <si>
    <t>SWS5c</t>
  </si>
  <si>
    <t>Flooding events resulting from other causes</t>
  </si>
  <si>
    <t>SWS5d</t>
  </si>
  <si>
    <t>Number of habitable floors affected by flooding from other causes</t>
  </si>
  <si>
    <t>SWS6</t>
  </si>
  <si>
    <t>Flooding Response Time</t>
  </si>
  <si>
    <t>SWS7a</t>
  </si>
  <si>
    <t>Primary stormwater network capacity</t>
  </si>
  <si>
    <t>AEP%</t>
  </si>
  <si>
    <t>SWS7b</t>
  </si>
  <si>
    <t>Secondary stormwater network capacity</t>
  </si>
  <si>
    <t>SWF1</t>
  </si>
  <si>
    <t>Operating Revenue: Stormwater</t>
  </si>
  <si>
    <t>SWF2</t>
  </si>
  <si>
    <t>Development Contribution Revenue: Stormwater</t>
  </si>
  <si>
    <t>SWF3</t>
  </si>
  <si>
    <t>Total Revenue: Stormwater</t>
  </si>
  <si>
    <t>SWF4</t>
  </si>
  <si>
    <t>Total Revenue per Property: Stormwater</t>
  </si>
  <si>
    <t>SWF5</t>
  </si>
  <si>
    <t>Debt funding: Stormwater</t>
  </si>
  <si>
    <t>SWF6a</t>
  </si>
  <si>
    <t xml:space="preserve">Routine maintenance: Stormwater </t>
  </si>
  <si>
    <t>SWF6b</t>
  </si>
  <si>
    <t xml:space="preserve">Reactive maintenance: Stormwater </t>
  </si>
  <si>
    <t>SWF7</t>
  </si>
  <si>
    <t>Management Costs: Stormwater</t>
  </si>
  <si>
    <t>SWF8</t>
  </si>
  <si>
    <t>Council Contract Management Costs: Stormwater</t>
  </si>
  <si>
    <t>Included in SWF7</t>
  </si>
  <si>
    <t>SWF9</t>
  </si>
  <si>
    <t>Operating Cost: Stormwater</t>
  </si>
  <si>
    <t>SWF10</t>
  </si>
  <si>
    <t>Operating Cost per Property: Stormwater</t>
  </si>
  <si>
    <t>SWF11</t>
  </si>
  <si>
    <t>Annual Depreciation: Stormwater</t>
  </si>
  <si>
    <t>SWF12a</t>
  </si>
  <si>
    <t>Interest: Stormwater</t>
  </si>
  <si>
    <t>SWF12b</t>
  </si>
  <si>
    <t>Debt Affordability: Stormwater</t>
  </si>
  <si>
    <t>SWF13</t>
  </si>
  <si>
    <t>Operational Cost Coverage: Stormwater</t>
  </si>
  <si>
    <t>SWF14</t>
  </si>
  <si>
    <t>Total Cost: Stormwater</t>
  </si>
  <si>
    <t>SWF15</t>
  </si>
  <si>
    <t>Total Cost per Property: Stormwater</t>
  </si>
  <si>
    <t>SWF16</t>
  </si>
  <si>
    <t>Budgeted Capital Expenditure: Stormwater</t>
  </si>
  <si>
    <t>SWF16a</t>
  </si>
  <si>
    <t>SWF16b</t>
  </si>
  <si>
    <t>SWF16c</t>
  </si>
  <si>
    <t>SWF17</t>
  </si>
  <si>
    <t>Actual Capital Expenditure: Stormwater</t>
  </si>
  <si>
    <t>SWF17a</t>
  </si>
  <si>
    <t>SWF17b</t>
  </si>
  <si>
    <t>SWF17c</t>
  </si>
  <si>
    <t>SWF18</t>
  </si>
  <si>
    <t>Actual Capital Expenditure per Property: Stormwater</t>
  </si>
  <si>
    <t>SWF19</t>
  </si>
  <si>
    <t>Development Contributions: Stormwater assets</t>
  </si>
  <si>
    <t>SWF20</t>
  </si>
  <si>
    <t>Stormwater asset value at end of reporting year</t>
  </si>
  <si>
    <t>SWF21</t>
  </si>
  <si>
    <t>Decline in Service Potential: Stormwater</t>
  </si>
  <si>
    <t>SWF22</t>
  </si>
  <si>
    <t>External Grants: Stormwater</t>
  </si>
  <si>
    <t>RESIDENTIAL</t>
  </si>
  <si>
    <t>QUEENSTOWN</t>
  </si>
  <si>
    <t>WANAKA</t>
  </si>
  <si>
    <t>ARROWTOWN</t>
  </si>
  <si>
    <t>EST 2019/20</t>
  </si>
  <si>
    <t>EST 2020/21</t>
  </si>
  <si>
    <t>DIFF</t>
  </si>
  <si>
    <t>Capital Value</t>
  </si>
  <si>
    <t>Uniform Annual General Charge</t>
  </si>
  <si>
    <t>Sports, Halls &amp; Libraries Charge (District)</t>
  </si>
  <si>
    <t>Combined Fixed Charges (Rec, Gov &amp; Reg)</t>
  </si>
  <si>
    <t>Aquatic  Centre Charge (Ward)</t>
  </si>
  <si>
    <t xml:space="preserve">General Rate </t>
  </si>
  <si>
    <t xml:space="preserve">Recreation &amp; Events Rate </t>
  </si>
  <si>
    <t xml:space="preserve">Governance Rate </t>
  </si>
  <si>
    <t xml:space="preserve">Regulatory Rate </t>
  </si>
  <si>
    <t>Roading Rate (Ward)</t>
  </si>
  <si>
    <t>Stormwater Rate (Ward)</t>
  </si>
  <si>
    <t>Total General Rates</t>
  </si>
  <si>
    <t>Water</t>
  </si>
  <si>
    <t>Uniform Annual Charge</t>
  </si>
  <si>
    <t>Capital Value Base Rate</t>
  </si>
  <si>
    <t>Sewerage</t>
  </si>
  <si>
    <t>Connection Charge</t>
  </si>
  <si>
    <t>Waste Management Charge (District)</t>
  </si>
  <si>
    <t>Total Rates</t>
  </si>
  <si>
    <t>COMMERCIAL</t>
  </si>
  <si>
    <t>Combined new Fixed Charges (Rec, Gov &amp; Reg)</t>
  </si>
  <si>
    <t>Roading Rate</t>
  </si>
  <si>
    <t>Stormwater Rate</t>
  </si>
  <si>
    <t>Promotion Rate</t>
  </si>
  <si>
    <t>Total General Rate</t>
  </si>
  <si>
    <t>Waste Management</t>
  </si>
  <si>
    <t>UTILITIES</t>
  </si>
  <si>
    <t>HYDRO</t>
  </si>
  <si>
    <t>Type</t>
  </si>
  <si>
    <t>Primary Industry</t>
  </si>
  <si>
    <t>Country Dwelling</t>
  </si>
  <si>
    <t>ACCOMMODATION</t>
  </si>
  <si>
    <t>MIXED - USE ACCOMMODATION</t>
  </si>
  <si>
    <t>PRIMARY INDUSTRY</t>
  </si>
  <si>
    <t>WAKATIPU</t>
  </si>
  <si>
    <t>COUNTRY DWELLING</t>
  </si>
  <si>
    <t>VACANT</t>
  </si>
  <si>
    <t>Aquatic  Centre Charge</t>
  </si>
  <si>
    <t xml:space="preserve">Recreation Rate </t>
  </si>
  <si>
    <t>MIXED - USE COMMERCIAL</t>
  </si>
  <si>
    <t>GLENORCHY</t>
  </si>
  <si>
    <t>ALBERT TOWN</t>
  </si>
  <si>
    <t>HAWEA</t>
  </si>
  <si>
    <t>KINGSTON</t>
  </si>
  <si>
    <t>ARTHURS POINT</t>
  </si>
  <si>
    <t>LAKE HAYES</t>
  </si>
  <si>
    <t>LUGGATE</t>
  </si>
  <si>
    <t xml:space="preserve"> 2013/14</t>
  </si>
  <si>
    <t>EST 2013/14</t>
  </si>
  <si>
    <t>n/a</t>
  </si>
  <si>
    <t>SUMMARY OF INDICATIVE TOTAL RATE MOVEMENTS 20/21</t>
  </si>
  <si>
    <t>Median Values</t>
  </si>
  <si>
    <t>MEDIAN</t>
  </si>
  <si>
    <t>PROPERTY TYPE</t>
  </si>
  <si>
    <t>CV</t>
  </si>
  <si>
    <t>LOCATION</t>
  </si>
  <si>
    <t>PROPOSED FUNDING CHANGES 2011/12</t>
  </si>
  <si>
    <t>L) DISTRICT PLAN</t>
  </si>
  <si>
    <t>a) Existing Treatment (000's)</t>
  </si>
  <si>
    <t>b) Proposed Treatment (000's)</t>
  </si>
  <si>
    <t>Net Operating Cost</t>
  </si>
  <si>
    <t>Loan (65%)</t>
  </si>
  <si>
    <t>Loan (0%)</t>
  </si>
  <si>
    <t>Rate Funded</t>
  </si>
  <si>
    <t>Loan Repayment</t>
  </si>
  <si>
    <t>Rates Required</t>
  </si>
  <si>
    <t>Additional Loan</t>
  </si>
  <si>
    <t>M/U ACCOMMODATION</t>
  </si>
  <si>
    <t>M) DEPRECIATION FUNDING</t>
  </si>
  <si>
    <t>Expense (000's)</t>
  </si>
  <si>
    <t>Movement (000's)</t>
  </si>
  <si>
    <t>2012/13</t>
  </si>
  <si>
    <t>Roading</t>
  </si>
  <si>
    <t>M/U COMMERCIAL</t>
  </si>
  <si>
    <t>Total</t>
  </si>
  <si>
    <t>To Fund (000's)</t>
  </si>
  <si>
    <t>Indicative Residential Rates 2013-14</t>
  </si>
  <si>
    <t>Revised</t>
  </si>
  <si>
    <t>Draft</t>
  </si>
  <si>
    <t>Location</t>
  </si>
  <si>
    <t>Queenstown</t>
  </si>
  <si>
    <t>Wanaka</t>
  </si>
  <si>
    <t>Arrowtown</t>
  </si>
  <si>
    <t>Glenorchy</t>
  </si>
  <si>
    <t>Kingston</t>
  </si>
  <si>
    <t>Albert Town</t>
  </si>
  <si>
    <t>Hawea</t>
  </si>
  <si>
    <t>Lake Hayes</t>
  </si>
  <si>
    <t xml:space="preserve"> CV</t>
  </si>
  <si>
    <t>UAGC</t>
  </si>
  <si>
    <t>Sports, Halls &amp; Libraries</t>
  </si>
  <si>
    <t xml:space="preserve">Aquatic Centre </t>
  </si>
  <si>
    <t>% Funded</t>
  </si>
  <si>
    <t>General Rate</t>
  </si>
  <si>
    <t>WATER &amp; SEWERAGE CHARGES 2011/12</t>
  </si>
  <si>
    <t>Water Rates/Charges</t>
  </si>
  <si>
    <t>2014/15</t>
  </si>
  <si>
    <t>plus CV Rate</t>
  </si>
  <si>
    <t>Waste Mgmt</t>
  </si>
  <si>
    <t>% Increase</t>
  </si>
  <si>
    <t>$ Increase</t>
  </si>
  <si>
    <t>Indicative Commercial Rates 2013-14</t>
  </si>
  <si>
    <t>Sewer Rates/Charges</t>
  </si>
  <si>
    <t>Commercial</t>
  </si>
  <si>
    <t>Mixed Use</t>
  </si>
  <si>
    <t>Indicative Accommodation Rates 2013-14</t>
  </si>
  <si>
    <t>Accommodation</t>
  </si>
  <si>
    <t>Indicative Rural Rates 2013-14</t>
  </si>
  <si>
    <t>Wakatipu</t>
  </si>
  <si>
    <t>FORMAT XLONE REPORT</t>
  </si>
  <si>
    <t>DefnSheetName=_defntmp_</t>
  </si>
  <si>
    <t>SET</t>
  </si>
  <si>
    <t>REPEAT</t>
  </si>
  <si>
    <t>:REPEAT</t>
  </si>
  <si>
    <t>:*</t>
  </si>
  <si>
    <t>2021 Profit &amp; Loss by Department</t>
  </si>
  <si>
    <t>2020-21 Profit &amp; Loss - Budget Review Template by Department</t>
  </si>
  <si>
    <t>24 - Wastewater</t>
  </si>
  <si>
    <t>as at June</t>
  </si>
  <si>
    <t>Run as at: 27-Sep-2021 16:40:10</t>
  </si>
  <si>
    <t>Manager: SIMONM</t>
  </si>
  <si>
    <t>:SIGN</t>
  </si>
  <si>
    <t>Account</t>
  </si>
  <si>
    <t>Description</t>
  </si>
  <si>
    <t>June</t>
  </si>
  <si>
    <t>YTD</t>
  </si>
  <si>
    <t xml:space="preserve">Full Year </t>
  </si>
  <si>
    <t>Full Year</t>
  </si>
  <si>
    <t>% of Full Year</t>
  </si>
  <si>
    <t>Fav /</t>
  </si>
  <si>
    <t>Fcast % of</t>
  </si>
  <si>
    <t xml:space="preserve"> YTD Comments</t>
  </si>
  <si>
    <t>JUL</t>
  </si>
  <si>
    <t>AUG</t>
  </si>
  <si>
    <t>SEP</t>
  </si>
  <si>
    <t>OCT</t>
  </si>
  <si>
    <t>NOV</t>
  </si>
  <si>
    <t>DEC</t>
  </si>
  <si>
    <t>JAN</t>
  </si>
  <si>
    <t>FEB</t>
  </si>
  <si>
    <t>MAR</t>
  </si>
  <si>
    <t>APR</t>
  </si>
  <si>
    <t>MAY</t>
  </si>
  <si>
    <t>JUN</t>
  </si>
  <si>
    <t>Actual</t>
  </si>
  <si>
    <t>Budget</t>
  </si>
  <si>
    <t>Var</t>
  </si>
  <si>
    <t xml:space="preserve">Actual </t>
  </si>
  <si>
    <t>Forecast</t>
  </si>
  <si>
    <t>Budget Spent</t>
  </si>
  <si>
    <t>Forecast Var</t>
  </si>
  <si>
    <t>Unfav</t>
  </si>
  <si>
    <t>:LIST</t>
  </si>
  <si>
    <t>1102</t>
  </si>
  <si>
    <t>Sewerage rates</t>
  </si>
  <si>
    <t>1</t>
  </si>
  <si>
    <t>127</t>
  </si>
  <si>
    <t>101271001102</t>
  </si>
  <si>
    <t>1699</t>
  </si>
  <si>
    <t>Sundry income - User Charges</t>
  </si>
  <si>
    <t>219</t>
  </si>
  <si>
    <t>102191001699</t>
  </si>
  <si>
    <t>1806</t>
  </si>
  <si>
    <t>Grants - General</t>
  </si>
  <si>
    <t>118</t>
  </si>
  <si>
    <t>101181001806</t>
  </si>
  <si>
    <t>1950</t>
  </si>
  <si>
    <t>Gain/(loss) on diposal of property, plant &amp; equipment</t>
  </si>
  <si>
    <t>101271001950</t>
  </si>
  <si>
    <t>Total Income</t>
  </si>
  <si>
    <t>2001</t>
  </si>
  <si>
    <t>Depreciation</t>
  </si>
  <si>
    <t>2</t>
  </si>
  <si>
    <t>102191002001</t>
  </si>
  <si>
    <t>2030</t>
  </si>
  <si>
    <t>Amortisation - software</t>
  </si>
  <si>
    <t>126</t>
  </si>
  <si>
    <t>101261002030</t>
  </si>
  <si>
    <t>2140</t>
  </si>
  <si>
    <t>Provide for doubtful debts</t>
  </si>
  <si>
    <t>101181002140</t>
  </si>
  <si>
    <t>2312</t>
  </si>
  <si>
    <t>Insurance premiums - other</t>
  </si>
  <si>
    <t>102191002312</t>
  </si>
  <si>
    <t>2320</t>
  </si>
  <si>
    <t>Legal fees</t>
  </si>
  <si>
    <t>101272002320</t>
  </si>
  <si>
    <t>2330</t>
  </si>
  <si>
    <t>Electricity</t>
  </si>
  <si>
    <t>102191002330</t>
  </si>
  <si>
    <t>2334</t>
  </si>
  <si>
    <t>Rates - council owned ORC</t>
  </si>
  <si>
    <t>102191002334</t>
  </si>
  <si>
    <t>2335</t>
  </si>
  <si>
    <t>Rates - council owned QLDC</t>
  </si>
  <si>
    <t>102191002335</t>
  </si>
  <si>
    <t>2350</t>
  </si>
  <si>
    <t>Advertising</t>
  </si>
  <si>
    <t>101272002350</t>
  </si>
  <si>
    <t>2461</t>
  </si>
  <si>
    <t>Sundry expenses</t>
  </si>
  <si>
    <t>101272002461</t>
  </si>
  <si>
    <t>2469</t>
  </si>
  <si>
    <t>Technical Services</t>
  </si>
  <si>
    <t>101272002469</t>
  </si>
  <si>
    <t>2520</t>
  </si>
  <si>
    <t>Water maintenance contract</t>
  </si>
  <si>
    <t>102192002520</t>
  </si>
  <si>
    <t>2534</t>
  </si>
  <si>
    <t>Landfill costs</t>
  </si>
  <si>
    <t>102192002534</t>
  </si>
  <si>
    <t>2535</t>
  </si>
  <si>
    <t>Other Consultants</t>
  </si>
  <si>
    <t>102192002535</t>
  </si>
  <si>
    <t>2565</t>
  </si>
  <si>
    <t>Engineering Services Consultant</t>
  </si>
  <si>
    <t>125</t>
  </si>
  <si>
    <t>101252002565</t>
  </si>
  <si>
    <t>2568</t>
  </si>
  <si>
    <t>Network Investigations</t>
  </si>
  <si>
    <t>124</t>
  </si>
  <si>
    <t>101242002568</t>
  </si>
  <si>
    <t>2800</t>
  </si>
  <si>
    <t>Interest - borrowings</t>
  </si>
  <si>
    <t>101271002800</t>
  </si>
  <si>
    <t>3050</t>
  </si>
  <si>
    <t>Overhead allocation</t>
  </si>
  <si>
    <t>3</t>
  </si>
  <si>
    <t>102191003050</t>
  </si>
  <si>
    <t>Total Expenses</t>
  </si>
  <si>
    <t>Net Operating Surplus/(Deficit)</t>
  </si>
  <si>
    <t>Capital Revenue</t>
  </si>
  <si>
    <t>1501</t>
  </si>
  <si>
    <t>Development contributions Wastewater</t>
  </si>
  <si>
    <t>216</t>
  </si>
  <si>
    <t>102161001501</t>
  </si>
  <si>
    <t>1901</t>
  </si>
  <si>
    <t>Vested assets</t>
  </si>
  <si>
    <t>101261001901</t>
  </si>
  <si>
    <t>:REPEAT END</t>
  </si>
  <si>
    <t>25 - Stormwater</t>
  </si>
  <si>
    <t>1678</t>
  </si>
  <si>
    <t>Concession fees</t>
  </si>
  <si>
    <t>128</t>
  </si>
  <si>
    <t>101281001678</t>
  </si>
  <si>
    <t>129</t>
  </si>
  <si>
    <t>101291001950</t>
  </si>
  <si>
    <t>1999</t>
  </si>
  <si>
    <t>Other Income</t>
  </si>
  <si>
    <t>101281001999</t>
  </si>
  <si>
    <t>101291002001</t>
  </si>
  <si>
    <t>101291002030</t>
  </si>
  <si>
    <t>101291002312</t>
  </si>
  <si>
    <t>101292002320</t>
  </si>
  <si>
    <t>101291002334</t>
  </si>
  <si>
    <t>101291002335</t>
  </si>
  <si>
    <t>101292002461</t>
  </si>
  <si>
    <t>101292002469</t>
  </si>
  <si>
    <t>101292002520</t>
  </si>
  <si>
    <t>101292002535</t>
  </si>
  <si>
    <t>2571</t>
  </si>
  <si>
    <t>Operations &amp; maintenance</t>
  </si>
  <si>
    <t>101282002571</t>
  </si>
  <si>
    <t>101291002800</t>
  </si>
  <si>
    <t>101291003050</t>
  </si>
  <si>
    <t>1502</t>
  </si>
  <si>
    <t>Development contributions Stormwater</t>
  </si>
  <si>
    <t>101291001502</t>
  </si>
  <si>
    <t>101291001901</t>
  </si>
  <si>
    <t>Account Number</t>
  </si>
  <si>
    <t>Debit</t>
  </si>
  <si>
    <t>Credit</t>
  </si>
  <si>
    <t>Long Description</t>
  </si>
  <si>
    <t>10.050.100.1116</t>
  </si>
  <si>
    <t>Storm rate Wak</t>
  </si>
  <si>
    <t>QLDC            Rates           Default         Revenue         Storm rate Wak</t>
  </si>
  <si>
    <t>10.050.100.1117</t>
  </si>
  <si>
    <t>Storm rate Wan</t>
  </si>
  <si>
    <t>QLDC            Rates           Default         Revenue         Storm rate Wan</t>
  </si>
  <si>
    <t>26 - Water Supply</t>
  </si>
  <si>
    <t>1101</t>
  </si>
  <si>
    <t>Water rates</t>
  </si>
  <si>
    <t>140</t>
  </si>
  <si>
    <t>101401001101</t>
  </si>
  <si>
    <t>131</t>
  </si>
  <si>
    <t>101311001699</t>
  </si>
  <si>
    <t>1902</t>
  </si>
  <si>
    <t>Insurance recoveries</t>
  </si>
  <si>
    <t>130</t>
  </si>
  <si>
    <t>101301001902</t>
  </si>
  <si>
    <t>101401001950</t>
  </si>
  <si>
    <t>137</t>
  </si>
  <si>
    <t>101371001999</t>
  </si>
  <si>
    <t>101401002001</t>
  </si>
  <si>
    <t>138</t>
  </si>
  <si>
    <t>101381002030</t>
  </si>
  <si>
    <t>2142</t>
  </si>
  <si>
    <t>Bad debt expense</t>
  </si>
  <si>
    <t>101371002142</t>
  </si>
  <si>
    <t>101401002312</t>
  </si>
  <si>
    <t>101402002320</t>
  </si>
  <si>
    <t>101401002330</t>
  </si>
  <si>
    <t>101401002334</t>
  </si>
  <si>
    <t>101371002335</t>
  </si>
  <si>
    <t>101402002461</t>
  </si>
  <si>
    <t>101402002469</t>
  </si>
  <si>
    <t>101402002520</t>
  </si>
  <si>
    <t>101402002535</t>
  </si>
  <si>
    <t>101402002568</t>
  </si>
  <si>
    <t>101401002800</t>
  </si>
  <si>
    <t>101401003050</t>
  </si>
  <si>
    <t>1500</t>
  </si>
  <si>
    <t>Development contributions Water Supply</t>
  </si>
  <si>
    <t>215</t>
  </si>
  <si>
    <t>102151001500</t>
  </si>
  <si>
    <t>1854</t>
  </si>
  <si>
    <t>Capital revenue - externally funded</t>
  </si>
  <si>
    <t>101301001854</t>
  </si>
  <si>
    <t>101381001901</t>
  </si>
  <si>
    <t xml:space="preserve">Capital Projects Financial Summary Report - </t>
  </si>
  <si>
    <t>*</t>
  </si>
  <si>
    <t>As at June 2021</t>
  </si>
  <si>
    <t>SKIP</t>
  </si>
  <si>
    <t>10-Aug-2021 15:02:41</t>
  </si>
  <si>
    <t>BUDGET</t>
  </si>
  <si>
    <t>SKIP END</t>
  </si>
  <si>
    <t>Programme</t>
  </si>
  <si>
    <t>CP ID</t>
  </si>
  <si>
    <t>Project Code</t>
  </si>
  <si>
    <t>Project Description</t>
  </si>
  <si>
    <t>Project Manager</t>
  </si>
  <si>
    <t>June 2021 YE Budget</t>
  </si>
  <si>
    <t>June 2021 YE Actual</t>
  </si>
  <si>
    <t xml:space="preserve"> Var</t>
  </si>
  <si>
    <t>PO
Commitments</t>
  </si>
  <si>
    <t>Contract Commitments</t>
  </si>
  <si>
    <t>YTD Actual Total 
(Act + Com)</t>
  </si>
  <si>
    <t>Var Budget to Actual Total</t>
  </si>
  <si>
    <t>% of Budget Allocated</t>
  </si>
  <si>
    <t>Project Narration</t>
  </si>
  <si>
    <t>Growth %</t>
  </si>
  <si>
    <t>Renewal %</t>
  </si>
  <si>
    <t>Level of Service %</t>
  </si>
  <si>
    <t>20/21 Growth Amount</t>
  </si>
  <si>
    <t>20/21 Renewal Amount</t>
  </si>
  <si>
    <t>20/21 Level of Service Amount</t>
  </si>
  <si>
    <t>Transport NZTA FAR Approved</t>
  </si>
  <si>
    <t>Transport NZTA FAR Pending</t>
  </si>
  <si>
    <t>Transport Funding Comments</t>
  </si>
  <si>
    <t>Third Party Approved</t>
  </si>
  <si>
    <t>Third Party Pending</t>
  </si>
  <si>
    <t>Third Party  Funding Comments</t>
  </si>
  <si>
    <t>check</t>
  </si>
  <si>
    <t>LIST</t>
  </si>
  <si>
    <t>3 Waters</t>
  </si>
  <si>
    <t>000755</t>
  </si>
  <si>
    <t>LTP 3 Waters Programme Procurement</t>
  </si>
  <si>
    <t>Alison Howie</t>
  </si>
  <si>
    <t>Strategic procurement plan and associated tender and contact documents for LTP programme delivery focusing on first 3 years of the plan.</t>
  </si>
  <si>
    <t>REPEAT END</t>
  </si>
  <si>
    <t>Buildings</t>
  </si>
  <si>
    <t>CP0006121</t>
  </si>
  <si>
    <t>000109</t>
  </si>
  <si>
    <t>Hawea Flat Hall - Renewals</t>
  </si>
  <si>
    <t>Morgan Govender</t>
  </si>
  <si>
    <t>Minor renewals based on the AMP;;</t>
  </si>
  <si>
    <t>CP0006111</t>
  </si>
  <si>
    <t>000148</t>
  </si>
  <si>
    <t>Lakeview Development</t>
  </si>
  <si>
    <t>Jessica Mannix</t>
  </si>
  <si>
    <t>To progress Lakeview Development including land exchange, NTT lease agreement, public realm, road reallignments &amp;  connection to arterial</t>
  </si>
  <si>
    <t>CP0006028</t>
  </si>
  <si>
    <t>000221</t>
  </si>
  <si>
    <t>Gorge Rd Office Civic Building - Renewal</t>
  </si>
  <si>
    <t>CP0006500</t>
  </si>
  <si>
    <t>000286</t>
  </si>
  <si>
    <t>Lakeview Development - Other Inf</t>
  </si>
  <si>
    <t>Andrew Timms</t>
  </si>
  <si>
    <t>Lakeview Development - Other Infrastructure. Includes Telecoms, Gas and Power</t>
  </si>
  <si>
    <t>CP0006507</t>
  </si>
  <si>
    <t>000290</t>
  </si>
  <si>
    <t>46 Connor St Wanaka</t>
  </si>
  <si>
    <t>Essential insulation, ventilation and heating renewals to comply with new legislation;;</t>
  </si>
  <si>
    <t>CP0006630</t>
  </si>
  <si>
    <t>000453</t>
  </si>
  <si>
    <t>Gorge Road Car Pound Upgrade</t>
  </si>
  <si>
    <t>Scoping for potectial new car pound location and expansion of current</t>
  </si>
  <si>
    <t>CP0006730</t>
  </si>
  <si>
    <t>000493</t>
  </si>
  <si>
    <t>Project Connect New Office Accommodation</t>
  </si>
  <si>
    <t>Paul Speedy</t>
  </si>
  <si>
    <t>Design &amp; construction of new council office accommodation building;;</t>
  </si>
  <si>
    <t>CP0006735</t>
  </si>
  <si>
    <t>000520</t>
  </si>
  <si>
    <t>QEC Resilience Project - Stage 1</t>
  </si>
  <si>
    <t>Simon Battrick</t>
  </si>
  <si>
    <t>Budget approved per 27/1/17 council agenda to get urgent strenghtening works underway and complete a BBC into remainder of works required through the LTP incl a dedicated back up potable water supply, sewerage disposal and emergency supplies.</t>
  </si>
  <si>
    <t>CP0006706</t>
  </si>
  <si>
    <t>000607</t>
  </si>
  <si>
    <t>Event Signage</t>
  </si>
  <si>
    <t>To improve positioning of signage in the district for better organisation of events. $20k for investigation, design, and consenting, 20k for construction. Awaiting confirmation of locations from events team. Feb 19 designs under dispute by NZTA</t>
  </si>
  <si>
    <t>CP0006927</t>
  </si>
  <si>
    <t>000730</t>
  </si>
  <si>
    <t>Luggate Hall Replacement</t>
  </si>
  <si>
    <t>Construction of the new Luggate Memorial Centre</t>
  </si>
  <si>
    <t>Central Lakes Trust approved a grant of $750k, Otago Community Trust granted an additional $400k. $1m to be funded from Wanaka Land Reserve</t>
  </si>
  <si>
    <t>000732</t>
  </si>
  <si>
    <t>Church Street Office Extension</t>
  </si>
  <si>
    <t>New budget in 17/18 re-forecast Additional office space at Church St for lease mid July.  New budget required to; reconfigure office area, refurbish and fit out.</t>
  </si>
  <si>
    <t>CP0004865</t>
  </si>
  <si>
    <t>000736</t>
  </si>
  <si>
    <t>Frankton Beach Jetty</t>
  </si>
  <si>
    <t>Pete Hansby</t>
  </si>
  <si>
    <t>Installation of new water taxi jetties Frankton Beach. Ongoing community consultation for resource consent;;</t>
  </si>
  <si>
    <t>CP0006321</t>
  </si>
  <si>
    <t>000772</t>
  </si>
  <si>
    <t>Glenorchy Hall - Renewals</t>
  </si>
  <si>
    <t>CP0006996</t>
  </si>
  <si>
    <t>000814</t>
  </si>
  <si>
    <t>Civic Heart</t>
  </si>
  <si>
    <t>Business case planning for the new Civic Heart including a town hall upgrade in lieu of the memorial Hall which may be demolished.</t>
  </si>
  <si>
    <t>CP0006794</t>
  </si>
  <si>
    <t>000855</t>
  </si>
  <si>
    <t>Ruby Island Jetty</t>
  </si>
  <si>
    <t>Minor refurbishment of jetty</t>
  </si>
  <si>
    <t>CP0006795</t>
  </si>
  <si>
    <t>000856</t>
  </si>
  <si>
    <t>Kingston Historic Jetty</t>
  </si>
  <si>
    <t>Structural Assessment &amp; Repairs</t>
  </si>
  <si>
    <t>CP0006942</t>
  </si>
  <si>
    <t>000913</t>
  </si>
  <si>
    <t>Artificial Turf Programme</t>
  </si>
  <si>
    <t>Multi use artificial turf at QEC including lighting (equivalent use of 3 sports fields LoS). 18/19 feasibility and design costs.</t>
  </si>
  <si>
    <t>CP0006928</t>
  </si>
  <si>
    <t>000921</t>
  </si>
  <si>
    <t>Queenstown Bay Lake Wall</t>
  </si>
  <si>
    <t>Detailed Structural Survey following waterways condition assessment report which showed evidence of cracks/fractures</t>
  </si>
  <si>
    <t>000958</t>
  </si>
  <si>
    <t>Qtn Old St John Building Fire Reinstate</t>
  </si>
  <si>
    <t>Queenstown Old St John Building Fire Reinstatement Costs.  Stage one immediate fire repairs completed.  Change of use now to be designed and constructed.</t>
  </si>
  <si>
    <t>000964</t>
  </si>
  <si>
    <t>Wanaka Rec Centre Prefab</t>
  </si>
  <si>
    <t>Wanaka Rec Centre Prefab. New project in April 19 re-forecast</t>
  </si>
  <si>
    <t>CP0007015</t>
  </si>
  <si>
    <t>000998</t>
  </si>
  <si>
    <t>QEC Roof &amp; Ventilation improvements</t>
  </si>
  <si>
    <t>Richard Pope</t>
  </si>
  <si>
    <t>Replacement of aquatic roof tiles including scaffolding and ventilation system upgrade</t>
  </si>
  <si>
    <t>CP0007691</t>
  </si>
  <si>
    <t>001004</t>
  </si>
  <si>
    <t>516 Ladies Mile Community Centre</t>
  </si>
  <si>
    <t>516 Ladies Mile Highway Community Centre. Project added in May 19 re-forecast following acquisition</t>
  </si>
  <si>
    <t>001114</t>
  </si>
  <si>
    <t>Property Security Upgrades</t>
  </si>
  <si>
    <t>New project in March 19 reforecast</t>
  </si>
  <si>
    <t>001133</t>
  </si>
  <si>
    <t>Provincial Growth Fund Venue Renovations</t>
  </si>
  <si>
    <t>Provincial Growth fund Venue Renovations. Relates to 4 community assets: Lake Wanaka Centre, Lake Hayes Pavilion, Arrowtown Hall, Queenstown Memorial Centre.</t>
  </si>
  <si>
    <t>PGF Funded</t>
  </si>
  <si>
    <t>001134</t>
  </si>
  <si>
    <t>Healthy Homes</t>
  </si>
  <si>
    <t>$700k required for Healthy Homes compliance upgrades (approx. 80 properties).</t>
  </si>
  <si>
    <t>001140</t>
  </si>
  <si>
    <t>Wanaka EV (Electric Vehicle) Charges</t>
  </si>
  <si>
    <t>Wanaka EV (Electric Vehicle) Charges. new project in March reforecast</t>
  </si>
  <si>
    <t>001141</t>
  </si>
  <si>
    <t>Queenstown EV (Electric Vehicle) Charge</t>
  </si>
  <si>
    <t>Wakatipu EV (Electric Vehicle) Charges. New project in March reforecast</t>
  </si>
  <si>
    <t>Camp Grounds</t>
  </si>
  <si>
    <t>001101</t>
  </si>
  <si>
    <t>Frankton Campground upgrade</t>
  </si>
  <si>
    <t>Thunes Cloete</t>
  </si>
  <si>
    <t>Project to develop the Frankton campground in line with the responsible camping strategy to return the campground to short-term recreation accommodation only. There is the intention that part or all be repaid for by the new incoming lessee at the camp.</t>
  </si>
  <si>
    <t>Information Management</t>
  </si>
  <si>
    <t>CP0006158</t>
  </si>
  <si>
    <t>000145</t>
  </si>
  <si>
    <t>ICT Projects</t>
  </si>
  <si>
    <t>Ryan Clements</t>
  </si>
  <si>
    <t>ICT Projects, Strategy and Consultancy</t>
  </si>
  <si>
    <t>CP0006164</t>
  </si>
  <si>
    <t>000146</t>
  </si>
  <si>
    <t>Business Continuity</t>
  </si>
  <si>
    <t>Disaster Recovery and backup</t>
  </si>
  <si>
    <t>CP0006159</t>
  </si>
  <si>
    <t>000149</t>
  </si>
  <si>
    <t>ICT Hardware &amp; Software</t>
  </si>
  <si>
    <t>Hardware replacement cycle and Software purchases</t>
  </si>
  <si>
    <t>CP0006167</t>
  </si>
  <si>
    <t>000151</t>
  </si>
  <si>
    <t>GIS software and projects</t>
  </si>
  <si>
    <t>Aerial Photo and Terrain data capture, 3D Building generation</t>
  </si>
  <si>
    <t>CP0006160</t>
  </si>
  <si>
    <t>000152</t>
  </si>
  <si>
    <t>ICT Network</t>
  </si>
  <si>
    <t>Routers, switches, network replacement cycle</t>
  </si>
  <si>
    <t>CP0006162</t>
  </si>
  <si>
    <t>000158</t>
  </si>
  <si>
    <t>Mobile Computing</t>
  </si>
  <si>
    <t>Tablets, mobile data capture units, ticketing units</t>
  </si>
  <si>
    <t>CP0006502</t>
  </si>
  <si>
    <t>000287</t>
  </si>
  <si>
    <t>Website Development</t>
  </si>
  <si>
    <t>QLDC, Sport and Recreation and Library website development</t>
  </si>
  <si>
    <t>CP0006503</t>
  </si>
  <si>
    <t>000288</t>
  </si>
  <si>
    <t>Enterprise System</t>
  </si>
  <si>
    <t>Technology One project roadmap delivery</t>
  </si>
  <si>
    <t>Libraries</t>
  </si>
  <si>
    <t>CP0006264</t>
  </si>
  <si>
    <t>000130</t>
  </si>
  <si>
    <t>Library Stock - District Wide</t>
  </si>
  <si>
    <t>Sue Gwilliam</t>
  </si>
  <si>
    <t>Amalgamation of various book replacement budgets for Wakatipu and Upper Clutha</t>
  </si>
  <si>
    <t>CP0006163</t>
  </si>
  <si>
    <t>000159</t>
  </si>
  <si>
    <t>Library Systems</t>
  </si>
  <si>
    <t>Library systems upgrades and projects</t>
  </si>
  <si>
    <t>CP0007035</t>
  </si>
  <si>
    <t>000223</t>
  </si>
  <si>
    <t>Wanaka Library - Renewals</t>
  </si>
  <si>
    <t>Minor fit out renewals based on the AMP;;</t>
  </si>
  <si>
    <t>CP0005188</t>
  </si>
  <si>
    <t>000323</t>
  </si>
  <si>
    <t>Glenorchy Library - Renewals</t>
  </si>
  <si>
    <t>CP0005186</t>
  </si>
  <si>
    <t>000758</t>
  </si>
  <si>
    <t>Wakatipu Libraries Furniture and Equip</t>
  </si>
  <si>
    <t>Renewal of furniture &amp; equipment at libraries (Wakatipu);;</t>
  </si>
  <si>
    <t>CP0006053</t>
  </si>
  <si>
    <t>000886</t>
  </si>
  <si>
    <t>Wakatipu Library Service</t>
  </si>
  <si>
    <t>Delivery of Library services</t>
  </si>
  <si>
    <t>CP0006922</t>
  </si>
  <si>
    <t>000931</t>
  </si>
  <si>
    <t>Upper Clutha Libraries Furniture &amp; Equip</t>
  </si>
  <si>
    <t>Renewal of furniture &amp; equipment at libraries (Upper Clutha)</t>
  </si>
  <si>
    <t>Not Applicable</t>
  </si>
  <si>
    <t>CP0006919</t>
  </si>
  <si>
    <t>000800</t>
  </si>
  <si>
    <t>Emergency Management</t>
  </si>
  <si>
    <t>William Nicoll</t>
  </si>
  <si>
    <t>Satelite Phones, CD packs</t>
  </si>
  <si>
    <t>CP0006921</t>
  </si>
  <si>
    <t>000826</t>
  </si>
  <si>
    <t>Parking officer personal transportation</t>
  </si>
  <si>
    <t>Anthony Hall</t>
  </si>
  <si>
    <t>Purchase and Storage for personal transporters</t>
  </si>
  <si>
    <t>CP0007666</t>
  </si>
  <si>
    <t>001135</t>
  </si>
  <si>
    <t>Reform Stimulus Delivery Plan (3W)</t>
  </si>
  <si>
    <t>Mr Simon Mason</t>
  </si>
  <si>
    <t>The proposed programme of work covers a range of work activities including; improving compliance levels (both drinking water and wastewater), asset management initiatives, network resilience improvements, and the delivery of network renewals. Refer attach</t>
  </si>
  <si>
    <t>3 Waters Reform Funded</t>
  </si>
  <si>
    <t>001136</t>
  </si>
  <si>
    <t>Lakes District Museum Council funding</t>
  </si>
  <si>
    <t>Stewart Burns</t>
  </si>
  <si>
    <t>Council funding for earthquake strengthening at the Lakes District Museum.</t>
  </si>
  <si>
    <t>Parks and Reserves</t>
  </si>
  <si>
    <t>CP0006426</t>
  </si>
  <si>
    <t>000259</t>
  </si>
  <si>
    <t>Parks &amp; Reserves Tree Planting prog QT</t>
  </si>
  <si>
    <t>Clare Tomkins</t>
  </si>
  <si>
    <t>Continuation of plant replacement programme</t>
  </si>
  <si>
    <t>CP0006427</t>
  </si>
  <si>
    <t>000260</t>
  </si>
  <si>
    <t>Parks &amp; Reserves Tree Planting prog WN</t>
  </si>
  <si>
    <t>Continuation of plant replacement programme.</t>
  </si>
  <si>
    <t>CP0004801</t>
  </si>
  <si>
    <t>000355</t>
  </si>
  <si>
    <t>Wanaka Show Grounds field development</t>
  </si>
  <si>
    <t>Briana Pringle</t>
  </si>
  <si>
    <t>Wanaka Show Grounds field development. Powerboxes, irrigation, roading, planting.</t>
  </si>
  <si>
    <t>CP0006581</t>
  </si>
  <si>
    <t>000420</t>
  </si>
  <si>
    <t>Playground Renewals - Wakatipu</t>
  </si>
  <si>
    <t>Mr Adrian Hoddinott</t>
  </si>
  <si>
    <t>CP0006582</t>
  </si>
  <si>
    <t>000421</t>
  </si>
  <si>
    <t>Playground Renewals - Wanaka</t>
  </si>
  <si>
    <t>CP0006958</t>
  </si>
  <si>
    <t>000422</t>
  </si>
  <si>
    <t>Tracks and Trails Renewals - Wakatipu</t>
  </si>
  <si>
    <t>$50k TRF to Wakatipu Trail development. $44k TRF from AMP improvements. Wakatipu Trails Trust to get MBIE funding to cover 50%. Contract signed with The Roading company to complete the work started in May. Invoice WTT at end of project.</t>
  </si>
  <si>
    <t>CP0006959</t>
  </si>
  <si>
    <t>000423</t>
  </si>
  <si>
    <t>Tracks and Trails  Renewals - Wanaka</t>
  </si>
  <si>
    <t>Tracks and Trails  Renewals - Wanaka.  Contract signed with The Roading company to complete the work which commenced the last week of May. Contract commitment should only be approx $90k not $150k.</t>
  </si>
  <si>
    <t>CP0006589</t>
  </si>
  <si>
    <t>000428</t>
  </si>
  <si>
    <t>Queenstown Gardens Development Plan</t>
  </si>
  <si>
    <t>Survey work and entrance designs completed by Opus. RFT out to market mid-June to appoint Landscape Architect. Stakeholders to be engaged mid-June . RMP needs changing before some aspects of development can take place. CF remaining.</t>
  </si>
  <si>
    <t>CP0006590</t>
  </si>
  <si>
    <t>000429</t>
  </si>
  <si>
    <t>Parks &amp; Reserves Roading Minor Imp WAK</t>
  </si>
  <si>
    <t>Parks &amp; Reserves Roading Minor Imp WAKATIPU. Budget to be used to lake hayes entrance and McBride upgrade, access in Fernhill and park in Matakauri.</t>
  </si>
  <si>
    <t>CP0006591</t>
  </si>
  <si>
    <t>000430</t>
  </si>
  <si>
    <t>Parks &amp; Reserves Roading Minor Imp WAN</t>
  </si>
  <si>
    <t>Parks &amp; Reserves Roading Minor Imp WANAKA. To be used for Wanaka recreation reserve driveway.</t>
  </si>
  <si>
    <t>CP0006619</t>
  </si>
  <si>
    <t>000468</t>
  </si>
  <si>
    <t>AMP Improvements - Parks</t>
  </si>
  <si>
    <t>AMP Improvements- Parks. Budget split equally over Parks and Reserves - Wakatipu/Wanaka Wards. To be used for open spaces strategy.</t>
  </si>
  <si>
    <t>CP0006950</t>
  </si>
  <si>
    <t>000757</t>
  </si>
  <si>
    <t>TIF 2 - Glenorchy New Toilets</t>
  </si>
  <si>
    <t>New toilets upgrade  - TIF round 2 funding received. All TIF funded toilets to be completed January 2020 per construction contract. 2 toilet sites PO's raised - skate park end and new carpark.</t>
  </si>
  <si>
    <t>TIF 2 Funded</t>
  </si>
  <si>
    <t>CP0006932</t>
  </si>
  <si>
    <t>000759</t>
  </si>
  <si>
    <t>Coronet Forest Revegetation</t>
  </si>
  <si>
    <t>Revegetation in conjunction with harvest of forest</t>
  </si>
  <si>
    <t>CP0006961</t>
  </si>
  <si>
    <t>000803</t>
  </si>
  <si>
    <t>Parks Internal CAPEX Plant &amp; Equip Wan</t>
  </si>
  <si>
    <t>Replacement of field team equipment such as mowers, weed wackers, trailers, etc</t>
  </si>
  <si>
    <t>CP0006964</t>
  </si>
  <si>
    <t>000804</t>
  </si>
  <si>
    <t>Parks Open Spaces Minor Improvements Wak</t>
  </si>
  <si>
    <t>Amalgamation of individual minor improvement projects including fencing and entrances, signs and furniture, BBQ'S, fountains, etc.</t>
  </si>
  <si>
    <t>CP0006965</t>
  </si>
  <si>
    <t>000820</t>
  </si>
  <si>
    <t>Parks Open Spaces Minor Improvements Wan</t>
  </si>
  <si>
    <t>CP0006957</t>
  </si>
  <si>
    <t>000828</t>
  </si>
  <si>
    <t>High Profile Gardens Renewals Wanaka</t>
  </si>
  <si>
    <t>Amalgamation of individual field team projects including turf renovation, irrigation, planting etc. $10k plants to buy.</t>
  </si>
  <si>
    <t>CP0006960</t>
  </si>
  <si>
    <t>000831</t>
  </si>
  <si>
    <t>Parks Internal CAPEX Plant &amp; Equip Wak</t>
  </si>
  <si>
    <t>CP0006962</t>
  </si>
  <si>
    <t>000837</t>
  </si>
  <si>
    <t>Parks Open Spaces Renewals Wakatipu</t>
  </si>
  <si>
    <t>Amalgamation of individual minor renewals projects including fencing and entrances, signs and furniture, turf renovation, BBQ'S, fountains, shelters, irrigation, etc.</t>
  </si>
  <si>
    <t>CP0006963</t>
  </si>
  <si>
    <t>000838</t>
  </si>
  <si>
    <t>Parks Open Spaces Renewals Wanaka</t>
  </si>
  <si>
    <t>CP0006534</t>
  </si>
  <si>
    <t>000894</t>
  </si>
  <si>
    <t>Wanaka Lakefront Development Plan</t>
  </si>
  <si>
    <t>Stage 2 on hold awaiting outcomes from the Wanaka Town Centre Masterplan. Progressing with Stage 3 includ carrying out community consultation on Stage 3 concept in order to progress with detailed design.</t>
  </si>
  <si>
    <t>CP0006956</t>
  </si>
  <si>
    <t>000908</t>
  </si>
  <si>
    <t>High Profile Gardens Renewals Wakatipu</t>
  </si>
  <si>
    <t>Amalgamation of individual field team projects including turf renovation, irrigation, planting etc. $20k for turf renovations in Qtown gardens.</t>
  </si>
  <si>
    <t>CP0006948</t>
  </si>
  <si>
    <t>000915</t>
  </si>
  <si>
    <t>Wanaka Tracks Development</t>
  </si>
  <si>
    <t>Extend and improve the Wanaka track network. $50k for Dublin Bay Track - Maungawera Road link as a CF from 18/19. $25k standard grant drawn down by Upper Clutha Tracks Trust.</t>
  </si>
  <si>
    <t>CP0006933</t>
  </si>
  <si>
    <t>000919</t>
  </si>
  <si>
    <t>Frankton Beach upgrade</t>
  </si>
  <si>
    <t>Working with community on low level enhancement for Frankton Beach area, design in progress, $150k for staged implementation/construction in 19/20. If additional funding required, community to seek external funding via the various trust funders.</t>
  </si>
  <si>
    <t>CP0006953</t>
  </si>
  <si>
    <t>000920</t>
  </si>
  <si>
    <t>TIF 2 - Albert Town new toilet</t>
  </si>
  <si>
    <t>New Norski toilet in Albert Town</t>
  </si>
  <si>
    <t>CP0006954</t>
  </si>
  <si>
    <t>000923</t>
  </si>
  <si>
    <t>TIF 2 - Luggate Red Bridge new toilet</t>
  </si>
  <si>
    <t>New toilets and car park - TIF 2 funded</t>
  </si>
  <si>
    <t>CP0006939</t>
  </si>
  <si>
    <t>000928</t>
  </si>
  <si>
    <t>Tennis Court renewals - Wakatipu</t>
  </si>
  <si>
    <t>Tennis courts and hardsurface renewals programme based on condition assessment report - identified Kingston tennis court, Kent Street. TIF toilet to go in along side - Wilson's contractor priced to do both. June update: CF and combine with 19/20 budget.</t>
  </si>
  <si>
    <t>000933</t>
  </si>
  <si>
    <t>Responsible Camping Strategy</t>
  </si>
  <si>
    <t>To produce and implement a joint strategy for responsible camping in the QLD. Contributions from DOC, LINZ, MBIE, NZTA and QLDC.</t>
  </si>
  <si>
    <t>CP0007434</t>
  </si>
  <si>
    <t>000951</t>
  </si>
  <si>
    <t>Freedom Camping - TIF 3</t>
  </si>
  <si>
    <t>Timothy Dowson</t>
  </si>
  <si>
    <t>MBIE funding agreed for trial of camping hubs, signage, enforcement officers, camping manager and education.</t>
  </si>
  <si>
    <t>TIF 3 Funded</t>
  </si>
  <si>
    <t>000953</t>
  </si>
  <si>
    <t>TIF 2 - Lake Hayes rowing club toilet</t>
  </si>
  <si>
    <t>New toilet at Lake Hayes rowing club reserve agreed per TIF funding from MBIE</t>
  </si>
  <si>
    <t>000954</t>
  </si>
  <si>
    <t>TIF 2 - Bennetts Bluff, Glenorchy toilet</t>
  </si>
  <si>
    <t>New toilet at Bennetts Bluff, Glenorchy to Queenstown Road agreed per TIF funding from MBIE. June update: On hold due to NZTA wanting to re-confirm location.</t>
  </si>
  <si>
    <t>000955</t>
  </si>
  <si>
    <t>TIF 2 - Johns Creek toilet (prev CraigB)</t>
  </si>
  <si>
    <t>New toilet at Craigburn agreed per TIF funding from MBIE. Updated location to be Johns Creek.</t>
  </si>
  <si>
    <t>000960</t>
  </si>
  <si>
    <t>Wanaka Skate Park Stage 1 - upgrade</t>
  </si>
  <si>
    <t>Upgrade to fix cracks in the bowl. Opus currently working on scope of services to go to tender for design &amp; construction. Waiting for Opus to re-do the tender doc to be just for Wanaka.</t>
  </si>
  <si>
    <t>CP0006966</t>
  </si>
  <si>
    <t>000981</t>
  </si>
  <si>
    <t>New Street Sweeper - Wakatipu</t>
  </si>
  <si>
    <t>Periodic replacements of Hako Street Sweeper (every 3 years)</t>
  </si>
  <si>
    <t>CP0006893</t>
  </si>
  <si>
    <t>000983</t>
  </si>
  <si>
    <t>Freedom Camping Waste Facilities</t>
  </si>
  <si>
    <t>Design and construction of facilities to assist freedom campers with waste disposal</t>
  </si>
  <si>
    <t>CP0006452</t>
  </si>
  <si>
    <t>001000</t>
  </si>
  <si>
    <t>Wanaka Skate Park Stage 3</t>
  </si>
  <si>
    <t>Wanaka Skate Park Stage 3 - renewal of existing skate park.  To be done at same time as stage 1 upgrade. Going out for tender this October. ;;Waiting for Opus to re-do the tender doc to be just for Wanaka.</t>
  </si>
  <si>
    <t>CP0006946</t>
  </si>
  <si>
    <t>001027</t>
  </si>
  <si>
    <t>Wanaka new sports fields provision</t>
  </si>
  <si>
    <t>Implement new sports fields in Wanaka. Development costs only.</t>
  </si>
  <si>
    <t>CP0006951</t>
  </si>
  <si>
    <t>001028</t>
  </si>
  <si>
    <t>Shotover Country sports field upgrades</t>
  </si>
  <si>
    <t>New toilets, changing rooms and carpark</t>
  </si>
  <si>
    <t>CP0006949</t>
  </si>
  <si>
    <t>001099</t>
  </si>
  <si>
    <t>TIF 3 - Bendemeer Toilet</t>
  </si>
  <si>
    <t>New toilet at Bendemeer agreed per TIF 50% funding from MBIE. Budget including QLDC contribution in 2020/21 - portion will be bought forward as part of next re-forecast.</t>
  </si>
  <si>
    <t>CP0007019</t>
  </si>
  <si>
    <t>001100</t>
  </si>
  <si>
    <t>TIF 3 - Peter Fraser Park new toilet</t>
  </si>
  <si>
    <t>New toilet at Peter Fraser Park, Hawea agreed per TIF 50% funding from MBIE. Budget including QLDC contribution in 2020/21 - portion will be bought forward as part of next re-forecast.</t>
  </si>
  <si>
    <t>001103</t>
  </si>
  <si>
    <t>Parks Emergency reinstatement costs</t>
  </si>
  <si>
    <t>Wanaka Tracks and Trails Flood works.	Total work excluding project management is approx  $230k;;All of the sites are in Wanaka;;An insurance claim is not possible;;</t>
  </si>
  <si>
    <t>CP0007022</t>
  </si>
  <si>
    <t>001106</t>
  </si>
  <si>
    <t>Gorge Road Jump Park Relocation</t>
  </si>
  <si>
    <t>Contribution to Queenstown Mountain Bike Club for costs to move the bike jump park off of Gorge Rd freeing the land up for parking</t>
  </si>
  <si>
    <t>CP0007018</t>
  </si>
  <si>
    <t>001110</t>
  </si>
  <si>
    <t>New Rugby/Football posts</t>
  </si>
  <si>
    <t>New posts and sleeves required for Lower Shotover</t>
  </si>
  <si>
    <t>001117</t>
  </si>
  <si>
    <t>Ramshaw Lane Toilet repair</t>
  </si>
  <si>
    <t>Fixing the toilet at Ramshaw Lane in Arrowtown that was crashed into before Christmas.  The claim has been approved.</t>
  </si>
  <si>
    <t>001137</t>
  </si>
  <si>
    <t>TIF 2 - Kerry Drive</t>
  </si>
  <si>
    <t>New toilet at Kerry Drive (As pert of Gorge Road Jump Park Relocation)</t>
  </si>
  <si>
    <t>001138</t>
  </si>
  <si>
    <t>TIF 2  - Lake Wanaka</t>
  </si>
  <si>
    <t>New toilet at Lake Wanaka</t>
  </si>
  <si>
    <t>Solid Waste</t>
  </si>
  <si>
    <t>CP0006142</t>
  </si>
  <si>
    <t>000370</t>
  </si>
  <si>
    <t>Weighbridge Transfer Station Renewal Wak</t>
  </si>
  <si>
    <t>Laura Gledhill</t>
  </si>
  <si>
    <t>Weighbridge renewals will be considered as part of facility upgrades</t>
  </si>
  <si>
    <t>CP0006592</t>
  </si>
  <si>
    <t>000431</t>
  </si>
  <si>
    <t>Public Litter Bin Upgrades</t>
  </si>
  <si>
    <t>Public Litter Bin Upgrades -currently in scoping for 19/20 year</t>
  </si>
  <si>
    <t>CP0006631</t>
  </si>
  <si>
    <t>000454</t>
  </si>
  <si>
    <t>Recycle centre plant upgrade</t>
  </si>
  <si>
    <t>Recycle centre plant coming to end of life. High level concept and feasibility works ready for build 19-21</t>
  </si>
  <si>
    <t>CP0006800</t>
  </si>
  <si>
    <t>000557</t>
  </si>
  <si>
    <t>Install Commercial Waste Storage CBD</t>
  </si>
  <si>
    <t>CBD has inadequate space for service areas or waste collection.  Potential sites (Athol Street Carpark, Searle Lane, Church Street and Brecon Street) now ruled out. Looking into underground facility option. To progress options in TCMP. C/f to 18/19</t>
  </si>
  <si>
    <t>CP0006710</t>
  </si>
  <si>
    <t>000582</t>
  </si>
  <si>
    <t>Waste Diversion Project</t>
  </si>
  <si>
    <t>Sophie Mander</t>
  </si>
  <si>
    <t>Investigation into diversion of sludge, food, green waste, FOGs and construction demolition waste from Victoria landfill</t>
  </si>
  <si>
    <t>CP0006676</t>
  </si>
  <si>
    <t>000590</t>
  </si>
  <si>
    <t>Solid Waste AM Imps (Asset Renewals)</t>
  </si>
  <si>
    <t>Signage</t>
  </si>
  <si>
    <t>CP0006672</t>
  </si>
  <si>
    <t>000735</t>
  </si>
  <si>
    <t>Transfer Station Upgrades - Wanaka</t>
  </si>
  <si>
    <t>Scoping of facilities underay.  Proposal due end Nov</t>
  </si>
  <si>
    <t>CP0006675</t>
  </si>
  <si>
    <t>000782</t>
  </si>
  <si>
    <t>Solid Waste Asset/Activity Man. Imps</t>
  </si>
  <si>
    <t>Polly Lambert</t>
  </si>
  <si>
    <t>Programme of improvement investments required for asset management maturity (National Infrastructure Plan).</t>
  </si>
  <si>
    <t>CP0006673</t>
  </si>
  <si>
    <t>000845</t>
  </si>
  <si>
    <t>Transfer Station Upgrades - Wakatipu</t>
  </si>
  <si>
    <t>Consent, design, and construction of improvements and extensions to the Glenda Drive Transfer Station.</t>
  </si>
  <si>
    <t>CP0006677</t>
  </si>
  <si>
    <t>000865</t>
  </si>
  <si>
    <t>Solid Waste Asset Renewals - Queenstown</t>
  </si>
  <si>
    <t>Programme of solid waste asset renewals including bins, signage etc; AM Plan documentation.</t>
  </si>
  <si>
    <t>CP0006668</t>
  </si>
  <si>
    <t>000872</t>
  </si>
  <si>
    <t>Waste Minimisation Implementation</t>
  </si>
  <si>
    <t>Programme of improvement investments required for meeting obligations under WMA and QLDC's WMMP.</t>
  </si>
  <si>
    <t>Storm Water</t>
  </si>
  <si>
    <t>CP0005053</t>
  </si>
  <si>
    <t>000046</t>
  </si>
  <si>
    <t>Stormwater - Renewals - Wakatipu</t>
  </si>
  <si>
    <t>Andrew Strahan</t>
  </si>
  <si>
    <t>Replace existing reticulation and facility assets as identified by network manager valuation</t>
  </si>
  <si>
    <t>CP0005054</t>
  </si>
  <si>
    <t>000047</t>
  </si>
  <si>
    <t>Stormwater - Renewals - Wanaka</t>
  </si>
  <si>
    <t>Replace existing reticulation and facility assets as identified by network manager  valuation</t>
  </si>
  <si>
    <t>CP0006275</t>
  </si>
  <si>
    <t>000226</t>
  </si>
  <si>
    <t>Stormwater - AM Improvements</t>
  </si>
  <si>
    <t>Alexander Huizenga</t>
  </si>
  <si>
    <t>AM improvements: Policy, documentation, data/process improvements and network analytics</t>
  </si>
  <si>
    <t>CP0006491</t>
  </si>
  <si>
    <t>000283</t>
  </si>
  <si>
    <t>Lakeview Storm Water upgrade</t>
  </si>
  <si>
    <t>Storm Water upgrades for connection to the Lakeview Development. On hold subject to development agreement. c/f</t>
  </si>
  <si>
    <t>CP0006890</t>
  </si>
  <si>
    <t>000728</t>
  </si>
  <si>
    <t>N East Frankton Stormwater conveyance</t>
  </si>
  <si>
    <t>Simon Brackstone</t>
  </si>
  <si>
    <t>New stormwater pipeline from Frankton Flats to Lake at Frankton Beach. $150k + $350k budget tfrd from EAR per memo</t>
  </si>
  <si>
    <t>CP0006835</t>
  </si>
  <si>
    <t>000766</t>
  </si>
  <si>
    <t>Recreation Ground SW new box culverts</t>
  </si>
  <si>
    <t>Catriona Lamont</t>
  </si>
  <si>
    <t>Construction of a new box culvert system along Shotover Street, Rees Street and Beach St to discharge to Lake Wakatipu (QTN03)</t>
  </si>
  <si>
    <t>CP0006684</t>
  </si>
  <si>
    <t>000785</t>
  </si>
  <si>
    <t>Stormwater - Master plan update Wanaka</t>
  </si>
  <si>
    <t>Placeholder funding for revision to master plans, network strategies &amp; BBCs for new infrastructure requirements (growth driven)</t>
  </si>
  <si>
    <t>CP0006832</t>
  </si>
  <si>
    <t>000786</t>
  </si>
  <si>
    <t>Ladies Mile HIF Stormwater new scheme</t>
  </si>
  <si>
    <t>Construct trunk main to support new subdivision. Stage 1 completed by Queenstown Country Club in advance of development (awaiting invoice - to bring forward funds from 19/20) - subject to Council approval;;</t>
  </si>
  <si>
    <t>CP0006851</t>
  </si>
  <si>
    <t>000847</t>
  </si>
  <si>
    <t>Aubrey Rd Rec Reserve SW detention pond</t>
  </si>
  <si>
    <t>Development of a detention pond at Kelleys Flat Recreation Reserve to mitigate flooding onto private properties at this depression area (WNK_03)</t>
  </si>
  <si>
    <t>CP0006831</t>
  </si>
  <si>
    <t>000858</t>
  </si>
  <si>
    <t>Kingston HIF Stormwater new scheme</t>
  </si>
  <si>
    <t>Tim Court-Patience</t>
  </si>
  <si>
    <t>Construct trunk main to support new subdivision. Awaiting developer agreement</t>
  </si>
  <si>
    <t>000870</t>
  </si>
  <si>
    <t>Stormwater - Master Plan Update Wakatipu</t>
  </si>
  <si>
    <t>CP0004366</t>
  </si>
  <si>
    <t>000878</t>
  </si>
  <si>
    <t>Magnolia Place duplicate SW pipeline</t>
  </si>
  <si>
    <t>Provision of a duplicate pipe to the outlet drain to allow pipe containment in a 50 year event. 55m of 375mm dia stormwater pipe (FNK 04)</t>
  </si>
  <si>
    <t>CP0004364</t>
  </si>
  <si>
    <t>000907</t>
  </si>
  <si>
    <t>Kawarau Place duplicate SW pipeline</t>
  </si>
  <si>
    <t>Duplication of the existing pipe to allow pipe containment in a 50 year event (only high flows being picked up by 600mm dia main plus flooding of No 24 Kawarau Place).  Possible stormwater treatment req prior to discharge to river (FNK 02)</t>
  </si>
  <si>
    <t>CP0004107</t>
  </si>
  <si>
    <t>000922</t>
  </si>
  <si>
    <t>Lucas Place SW upgrades existing pipes</t>
  </si>
  <si>
    <t>Upgrades of the existing piped network to 10 year pipe containments</t>
  </si>
  <si>
    <t>CP0006849</t>
  </si>
  <si>
    <t>000950</t>
  </si>
  <si>
    <t>Bills Way SW pipeline replacement</t>
  </si>
  <si>
    <t>Replace existing 450mm dia pipe with 900mm dia pipe along Bills Way and the lake (between Mill End &amp; Sargood Dr) (WNK 19).</t>
  </si>
  <si>
    <t>CP0007215</t>
  </si>
  <si>
    <t>001116</t>
  </si>
  <si>
    <t>Alpha Series SW bypass</t>
  </si>
  <si>
    <t>New project in March 19 reforecast as included within Wanaka SW bundle scope.</t>
  </si>
  <si>
    <t>Transport</t>
  </si>
  <si>
    <t>CP0005142</t>
  </si>
  <si>
    <t>000051</t>
  </si>
  <si>
    <t>CROWN RANGE SPR - Drainage renewals</t>
  </si>
  <si>
    <t>Benjamin Greenwood</t>
  </si>
  <si>
    <t>CP0004699</t>
  </si>
  <si>
    <t>000052</t>
  </si>
  <si>
    <t>Crown Range SPR - Traffic services renew</t>
  </si>
  <si>
    <t>CP0004485</t>
  </si>
  <si>
    <t>000053</t>
  </si>
  <si>
    <t>WAKATIPU - Sealed rd resurfacing</t>
  </si>
  <si>
    <t>WAKATIPU - Sealed road resurfacing</t>
  </si>
  <si>
    <t>CP0004499</t>
  </si>
  <si>
    <t>000054</t>
  </si>
  <si>
    <t>WANAKA - Sealed rd resurfacing</t>
  </si>
  <si>
    <t>WANAKA - Sealed road resurfacing</t>
  </si>
  <si>
    <t>CP0004490</t>
  </si>
  <si>
    <t>000055</t>
  </si>
  <si>
    <t>WAKATIPU - Unsealed road metalling</t>
  </si>
  <si>
    <t>CP0004503</t>
  </si>
  <si>
    <t>000056</t>
  </si>
  <si>
    <t>WANAKA - Unsealed road metalling</t>
  </si>
  <si>
    <t>OTTA seals programme (List of roads)</t>
  </si>
  <si>
    <t>CP0005063</t>
  </si>
  <si>
    <t>000058</t>
  </si>
  <si>
    <t>Wakatipu - Minor Improvements</t>
  </si>
  <si>
    <t>Wakatipu - Minor Improvements.</t>
  </si>
  <si>
    <t>CP0005064</t>
  </si>
  <si>
    <t>000060</t>
  </si>
  <si>
    <t>Wanaka - Minor Improvements</t>
  </si>
  <si>
    <t>Wanaka - Minor Improvements.</t>
  </si>
  <si>
    <t>CP0004478</t>
  </si>
  <si>
    <t>000062</t>
  </si>
  <si>
    <t>WAKATIPU - Drainage renewals</t>
  </si>
  <si>
    <t>CP0004481</t>
  </si>
  <si>
    <t>000063</t>
  </si>
  <si>
    <t>WAKATIPU - Sealed road pavement rehab</t>
  </si>
  <si>
    <t>WAKATIPU - Sealed road pavement rehabilitation</t>
  </si>
  <si>
    <t>CP0004469</t>
  </si>
  <si>
    <t>000064</t>
  </si>
  <si>
    <t>GLENORCHY SPR - Sealed rd resurfacing</t>
  </si>
  <si>
    <t>GLENORCHY SPR - Sealed road resurfacing. $100k 18/19 budget to be allocated from Glenorchy Rehab</t>
  </si>
  <si>
    <t>CP0004489</t>
  </si>
  <si>
    <t>000065</t>
  </si>
  <si>
    <t>WAKATIPU - Traffic services renewals</t>
  </si>
  <si>
    <t>CP0004492</t>
  </si>
  <si>
    <t>000066</t>
  </si>
  <si>
    <t>WANAKA - Drainage renewals</t>
  </si>
  <si>
    <t>Swales and culverts</t>
  </si>
  <si>
    <t>CP0005964</t>
  </si>
  <si>
    <t>000067</t>
  </si>
  <si>
    <t>WAKATIPU - Structures component replacem</t>
  </si>
  <si>
    <t>WAKATIPU - Structures component replacement</t>
  </si>
  <si>
    <t>CP0005141</t>
  </si>
  <si>
    <t>000068</t>
  </si>
  <si>
    <t>GLENORCHY SPR - Structures component rep</t>
  </si>
  <si>
    <t>CP0004501</t>
  </si>
  <si>
    <t>000069</t>
  </si>
  <si>
    <t>WANAKA Structures component replacement</t>
  </si>
  <si>
    <t>WANAKA - Structures component replacemen</t>
  </si>
  <si>
    <t>CP0004502</t>
  </si>
  <si>
    <t>000070</t>
  </si>
  <si>
    <t>WANAKA - Traffic services renewals</t>
  </si>
  <si>
    <t>Signage and road markings</t>
  </si>
  <si>
    <t>CP0004697</t>
  </si>
  <si>
    <t>000071</t>
  </si>
  <si>
    <t>Glenorchy SPR - Drainage Renewals</t>
  </si>
  <si>
    <t>CP0005059</t>
  </si>
  <si>
    <t>000072</t>
  </si>
  <si>
    <t>Crown Range SPR - Structures component r</t>
  </si>
  <si>
    <t>Looking after the bridges in the Cardrona Valley</t>
  </si>
  <si>
    <t>CP0004698</t>
  </si>
  <si>
    <t>000073</t>
  </si>
  <si>
    <t>Glenorchy SPR - Traffic services renewal</t>
  </si>
  <si>
    <t>CP0005062</t>
  </si>
  <si>
    <t>000074</t>
  </si>
  <si>
    <t>Glenorchy SPR - Minor improvements</t>
  </si>
  <si>
    <t>Glenorchy SPR - Minor improvements. Bennetts Bluff safety improvements 18/19.</t>
  </si>
  <si>
    <t>CP0005965</t>
  </si>
  <si>
    <t>000075</t>
  </si>
  <si>
    <t>Glenorchy SPR - Unsealed road metalling</t>
  </si>
  <si>
    <t>CP0006051</t>
  </si>
  <si>
    <t>000076</t>
  </si>
  <si>
    <t>Wakatipu - Unsub Minor Improvements</t>
  </si>
  <si>
    <t>Amalgamation of any pedestrian facility, streetlighting and kerb &amp; channel projects etc under one non-sub minor improvements project.. 18/19 budget $155k to be reallocated from proj 77 Wanaka unsub MI for Glenorchy foreshore carpark</t>
  </si>
  <si>
    <t>CP0005061</t>
  </si>
  <si>
    <t>000217</t>
  </si>
  <si>
    <t>Crown Range SPR - Minor Improvements</t>
  </si>
  <si>
    <t>CP0006497</t>
  </si>
  <si>
    <t>000285</t>
  </si>
  <si>
    <t>Lakeview Development - Transportation</t>
  </si>
  <si>
    <t>Improvements to existing road network connections to the Lakeview Development; optimising existing transport links and multi modal accessibility to town centre</t>
  </si>
  <si>
    <t>Not subsidised</t>
  </si>
  <si>
    <t>CP0004466</t>
  </si>
  <si>
    <t>000352</t>
  </si>
  <si>
    <t>CROWN RANGE SPR - Sealed rd resurfacing</t>
  </si>
  <si>
    <t>CROWN RANGE SPR - Sealed road resurface</t>
  </si>
  <si>
    <t>CP0006376</t>
  </si>
  <si>
    <t>000379</t>
  </si>
  <si>
    <t>Resilience - GY Road Land Stabilisation</t>
  </si>
  <si>
    <t>Resilience - GY Road Land Stabilisation -Additional budget in 18/19 for construction</t>
  </si>
  <si>
    <t>CP0006380</t>
  </si>
  <si>
    <t>000380</t>
  </si>
  <si>
    <t>Resilience - Crown Range Road Land Const</t>
  </si>
  <si>
    <t>Resource Consent application to be lodged May 17. HNZ have now issued the archaeological authority  permitting the works to be undertaken and agreement made with owner. On hold 2018 subject to further decision on remediation measures to be undertaken</t>
  </si>
  <si>
    <t>CP0006773</t>
  </si>
  <si>
    <t>000527</t>
  </si>
  <si>
    <t>Queenstown Public Transport Hub in CBD</t>
  </si>
  <si>
    <t>Tony Pickard</t>
  </si>
  <si>
    <t>Queenstown PT Improvements Hub</t>
  </si>
  <si>
    <t>CP0006766</t>
  </si>
  <si>
    <t>000529</t>
  </si>
  <si>
    <t>Town Centre Arterials</t>
  </si>
  <si>
    <t>Investigate and construct a new arterial enabling expansion of the town centre including PC50, development of the lake front and development of town centre PT hub.</t>
  </si>
  <si>
    <t>Designations not subsidised. Future stages not yet approved. Stage 1 funded under CIP project 1123</t>
  </si>
  <si>
    <t>CP0006738</t>
  </si>
  <si>
    <t>000580</t>
  </si>
  <si>
    <t>Ballantyne Road Reseal</t>
  </si>
  <si>
    <t>Detailed design and consenting 19/20.  Construction works planned for 20/21.</t>
  </si>
  <si>
    <t>CP0006719</t>
  </si>
  <si>
    <t>000589</t>
  </si>
  <si>
    <t>CCTV Network Upgrades &amp; Expansion</t>
  </si>
  <si>
    <t>CBD Upgrade and expansion of systems to support the growth and town centre strategy outcomes</t>
  </si>
  <si>
    <t>CP0006688</t>
  </si>
  <si>
    <t>000591</t>
  </si>
  <si>
    <t>LED street light replacements Wanaka</t>
  </si>
  <si>
    <t>Alison Tomlinson</t>
  </si>
  <si>
    <t>LED street lighting replacements included in traffic services renewals sub budget. LEDs to be purchased 17/18 &amp; installed May-Dec 2018</t>
  </si>
  <si>
    <t>000600</t>
  </si>
  <si>
    <t>LED street light replacements Wakatipu</t>
  </si>
  <si>
    <t>LED Street Lighting replacements. Included in Traffic Services Renewals Sub Budget. LEDs to be purchased 17/18 &amp; installed May-Dec 2018</t>
  </si>
  <si>
    <t>CP0006997</t>
  </si>
  <si>
    <t>000739</t>
  </si>
  <si>
    <t>Wanaka Town Centre Masterplan</t>
  </si>
  <si>
    <t>Contract agreed with Stantec for provision of master plan and programme business case 18/19</t>
  </si>
  <si>
    <t>CP0007007</t>
  </si>
  <si>
    <t>000747</t>
  </si>
  <si>
    <t>Frankton Masterplan</t>
  </si>
  <si>
    <t>Contract agreed with GHDfor provision of master plan and programme business case 18/19</t>
  </si>
  <si>
    <t>CP0006375</t>
  </si>
  <si>
    <t>000764</t>
  </si>
  <si>
    <t>Dangerous Trees - Resilience Wakatipu</t>
  </si>
  <si>
    <t>NZTA subsidised resilience improvements required to protect the serviceability of roads, road structures and eligible cycle facilities from damage and to minimise the threat of road closure arising from natural phenomena. Dangerous Tree Removals</t>
  </si>
  <si>
    <t>CP0006764</t>
  </si>
  <si>
    <t>000788</t>
  </si>
  <si>
    <t>Queenstown Parking Improvements</t>
  </si>
  <si>
    <t>Management of parking cost, supply &amp; time restrictions to encourage mode shift, manage travel demand and use of infrastructure in the town centre and Frankton. P&amp;R activities separated out as a PT item.</t>
  </si>
  <si>
    <t>CP0006894</t>
  </si>
  <si>
    <t>000794</t>
  </si>
  <si>
    <t>Lakeview Development Road &amp; Public Realm</t>
  </si>
  <si>
    <t>Design and construct internal road network including footpaths and shared spaces.</t>
  </si>
  <si>
    <t>CP0006993</t>
  </si>
  <si>
    <t>000818</t>
  </si>
  <si>
    <t>Dangerous Trees - Resilience Wanaka</t>
  </si>
  <si>
    <t>NZTA subsidised resilience improvements required to protect the serviceability of roads, road structures and eligible cycle facilities from damage and to minimise the threat of road closure arising from natural phenomena</t>
  </si>
  <si>
    <t>CP0006994</t>
  </si>
  <si>
    <t>000819</t>
  </si>
  <si>
    <t>Wanaka Town Centre Shared Space</t>
  </si>
  <si>
    <t>Development of a shared community and transport area; programme aligns with Wanaka Lakefront Development Plan. Working with Parks &amp; Reserves on promenade walkway/cycleway. ;;</t>
  </si>
  <si>
    <t>CP0006879</t>
  </si>
  <si>
    <t>000846</t>
  </si>
  <si>
    <t>Ladies Mile HIF Roading New Scheme</t>
  </si>
  <si>
    <t>Ulrich Glasner</t>
  </si>
  <si>
    <t>Ladies Mile HIF Roading New Scheme. Land acquisition and affected party approvals under negotiations</t>
  </si>
  <si>
    <t>CP0006765</t>
  </si>
  <si>
    <t>000850</t>
  </si>
  <si>
    <t>Queenstown Town Centre Pedestrianisation</t>
  </si>
  <si>
    <t>Restrict vehicle access by time and/or location, including delivery restrictions on freight. Include circulation of buses around the town centre. Assumed to include portions of Shotover, Camp, Ballarat and Church Streets. Contract awarded for $1.7m 18/19</t>
  </si>
  <si>
    <t>$35m funding from CIP for costs from July 20 under project 1124</t>
  </si>
  <si>
    <t>CP0006769</t>
  </si>
  <si>
    <t>000852</t>
  </si>
  <si>
    <t>Park and Ride Transport Services</t>
  </si>
  <si>
    <t>Provision of parking facilities at appropriate locations (such as Frankton, Ladies Mile, Jacks Point, Arrwtown/Arrow Jn) to enable greater use of public transport and may provide opportunity to develop a rental car P&amp;R facility. Subject to Frankton M/Plan</t>
  </si>
  <si>
    <t>CP0006763</t>
  </si>
  <si>
    <t>000868</t>
  </si>
  <si>
    <t>Wakatipu Active Travel Network</t>
  </si>
  <si>
    <t>Gareth Noble</t>
  </si>
  <si>
    <t>On/off road connected pedestrian cycle network. Additional active mode crossing of Shotover River. Improve high level bicycle link to Fernhill. Cycle hire scheme. Marketing, promotion &amp; education. Cycle storage facilities, lockers &amp; showers. Ext PM Guilio</t>
  </si>
  <si>
    <t>CP0006378</t>
  </si>
  <si>
    <t>000891</t>
  </si>
  <si>
    <t>Resilience Glenorchy Rd Dangerous Trees</t>
  </si>
  <si>
    <t>CP0006995</t>
  </si>
  <si>
    <t>000893</t>
  </si>
  <si>
    <t>Lakeview Development - Market Square</t>
  </si>
  <si>
    <t>Design and construction of Market Square (reserve)</t>
  </si>
  <si>
    <t>CP0006296</t>
  </si>
  <si>
    <t>000903</t>
  </si>
  <si>
    <t>Shotover River Bridge AP Duplication</t>
  </si>
  <si>
    <t>Design and construct new bridge to replace existing two way single lane bridge which is under increasing pressure from traffic growth. Intermediary works including traffic signals on Edith Cavell Bridge.</t>
  </si>
  <si>
    <t>CP0007011</t>
  </si>
  <si>
    <t>000910</t>
  </si>
  <si>
    <t>HIF Quail Rise to Hawthorne Dr Stage 1</t>
  </si>
  <si>
    <t>Connection from Quail Rise to Hawthorne Drive roundabout to provide accessibility for the delivery of HIF to address rapid growth and lack of affordable housing.  Awaiting final outcomes of district plan appeals.</t>
  </si>
  <si>
    <t>CP0006884</t>
  </si>
  <si>
    <t>000914</t>
  </si>
  <si>
    <t>Travel Management Queenstown</t>
  </si>
  <si>
    <t>Intelligent transport systems, including implementation of communication networks, VMS and on street data gathering</t>
  </si>
  <si>
    <t>CP0007016</t>
  </si>
  <si>
    <t>000935</t>
  </si>
  <si>
    <t>Public Transport Minor Infrastructure</t>
  </si>
  <si>
    <t>Marc Ducharme</t>
  </si>
  <si>
    <t>TIF (Transport Infrastructure Fund) allocation for public transport improvements.</t>
  </si>
  <si>
    <t>ORC funded at 51%</t>
  </si>
  <si>
    <t>CP0007013</t>
  </si>
  <si>
    <t>000974</t>
  </si>
  <si>
    <t>HIF Quail Rise to Hawthorne Dr Bus Stop</t>
  </si>
  <si>
    <t>Connection from Quail Rise to Hawthorne Drive roundabout to provide accessibility for the delivery of HIF to address rapid growth and lack of affordable housing</t>
  </si>
  <si>
    <t>CP0006999</t>
  </si>
  <si>
    <t>000975</t>
  </si>
  <si>
    <t>Crown Estate access Greenstone</t>
  </si>
  <si>
    <t>Improved access road to Crown Estate. High growth in visitor demand means that the unsealed network is becoming increasingly difficult to maintain as 'fit for purpose'.</t>
  </si>
  <si>
    <t>CP0007000</t>
  </si>
  <si>
    <t>000976</t>
  </si>
  <si>
    <t>Crown Estate access Paradise</t>
  </si>
  <si>
    <t>CP0007012</t>
  </si>
  <si>
    <t>000977</t>
  </si>
  <si>
    <t>HIF Quail Rise to Hawthorne Dr Stage 2</t>
  </si>
  <si>
    <t>CP0006381</t>
  </si>
  <si>
    <t>000990</t>
  </si>
  <si>
    <t>Crown Estate access Routeburn</t>
  </si>
  <si>
    <t>CP0006294</t>
  </si>
  <si>
    <t>001001</t>
  </si>
  <si>
    <t>Crown Estate Access Mt Aspiring</t>
  </si>
  <si>
    <t>001005</t>
  </si>
  <si>
    <t>New Footpath Arthurs Point</t>
  </si>
  <si>
    <t>New Footpath Arthurs Point. New project added in May 19 re-forecast</t>
  </si>
  <si>
    <t>CP0006869</t>
  </si>
  <si>
    <t>001055</t>
  </si>
  <si>
    <t>Public Realm Upgrades</t>
  </si>
  <si>
    <t>Street Scaping and Improvements</t>
  </si>
  <si>
    <t>CP0007084</t>
  </si>
  <si>
    <t>001123</t>
  </si>
  <si>
    <t>Qtn Town Centre Arterials - CIP Stage 1</t>
  </si>
  <si>
    <t>CIP funded construction ($50M) of Queenstown stage 1 arterial route from Frankton Road with connection of Melbourne &amp; Henry Streets to Gorge Road.</t>
  </si>
  <si>
    <t>$50M CIP funding</t>
  </si>
  <si>
    <t>001124</t>
  </si>
  <si>
    <t>Queenstown Street Upgrades - CIP</t>
  </si>
  <si>
    <t>Queenstown Street Upgrades - per CIP application funding approval of $35m and council decision approved 4/8/2020 to reallocate budget from project 000850 Qtn Town Ctr Pedestrianisation</t>
  </si>
  <si>
    <t>$35M CIP funding</t>
  </si>
  <si>
    <t>001130</t>
  </si>
  <si>
    <t>Bennetts Bluff Safety Improvements</t>
  </si>
  <si>
    <t>Alex Hooren</t>
  </si>
  <si>
    <t>Bennetts Bluff Safety Improvements. 20/21 overspend offset with Minor improvements Gy underspend</t>
  </si>
  <si>
    <t>001131</t>
  </si>
  <si>
    <t>Lucas Place Road Rehab</t>
  </si>
  <si>
    <t>001132</t>
  </si>
  <si>
    <t>Malaghans Road Rehab</t>
  </si>
  <si>
    <t>001139</t>
  </si>
  <si>
    <t>Lakeview - Thompson St Asbestos Removal</t>
  </si>
  <si>
    <t>Lakeview - Thompson St Asbestos Removal. New Proj in March 21 reforecast</t>
  </si>
  <si>
    <t>Unsub</t>
  </si>
  <si>
    <t>Venues and Facilities</t>
  </si>
  <si>
    <t>CP0007456</t>
  </si>
  <si>
    <t>000093</t>
  </si>
  <si>
    <t>Alpine Aqualand - plant &amp; equipment</t>
  </si>
  <si>
    <t>Various plant and equipment.</t>
  </si>
  <si>
    <t>CP0006241</t>
  </si>
  <si>
    <t>000096</t>
  </si>
  <si>
    <t>Alpine Health &amp; Fitness - Gym Equipment</t>
  </si>
  <si>
    <t>Alpine Health &amp; Fitness - Gym Equipment replacement</t>
  </si>
  <si>
    <t>CP0007467</t>
  </si>
  <si>
    <t>000237</t>
  </si>
  <si>
    <t>Lake Wanaka Centre - Renewals</t>
  </si>
  <si>
    <t>CP0007461</t>
  </si>
  <si>
    <t>000377</t>
  </si>
  <si>
    <t>QEC - Fit Out Renewals</t>
  </si>
  <si>
    <t>CP0006562</t>
  </si>
  <si>
    <t>000402</t>
  </si>
  <si>
    <t>Queenstown Memorial Hall - Renewals</t>
  </si>
  <si>
    <t>CP0006318</t>
  </si>
  <si>
    <t>000776</t>
  </si>
  <si>
    <t>Arrowtown Community Pool Refurbishment</t>
  </si>
  <si>
    <t>External heating installation, move location of the toddlers pool, change room facilities upgrade. The budget is for both report and construction. Heating assessment work started. Budget for design of redevelopment.</t>
  </si>
  <si>
    <t>CP0007464</t>
  </si>
  <si>
    <t>000806</t>
  </si>
  <si>
    <t>QEC - Master Plan Development</t>
  </si>
  <si>
    <t>Development of QEC masterplan</t>
  </si>
  <si>
    <t>CP0006319</t>
  </si>
  <si>
    <t>000823</t>
  </si>
  <si>
    <t>Arrowtown Pool - Plant and equipment</t>
  </si>
  <si>
    <t>Arrowtown Pool - Plant and equipment (Watershed)</t>
  </si>
  <si>
    <t>CP0006918</t>
  </si>
  <si>
    <t>000824</t>
  </si>
  <si>
    <t>Arrowtown Pool Building - Renewals</t>
  </si>
  <si>
    <t>CP0006976</t>
  </si>
  <si>
    <t>000827</t>
  </si>
  <si>
    <t>Extension of Alpine Health and Fitness</t>
  </si>
  <si>
    <t>Council gym has reached its capacity during peak hours and won't have the ability to cope with the forecasted growth. 18/19 budget for design costs and business case development.</t>
  </si>
  <si>
    <t>CP0006898</t>
  </si>
  <si>
    <t>000832</t>
  </si>
  <si>
    <t>QEC security &amp; emergency lighting</t>
  </si>
  <si>
    <t>QEC - New Security &amp; emergency lighting. Budget to be used for access gates. TBC add links cards costs which are within opex.</t>
  </si>
  <si>
    <t>CP0006903</t>
  </si>
  <si>
    <t>000835</t>
  </si>
  <si>
    <t>New Wanaka Pool</t>
  </si>
  <si>
    <t>Swimming Pool - New Pool Wanaka. This is for pool capex replacements/renewals of equipment etc</t>
  </si>
  <si>
    <t>CP0006906</t>
  </si>
  <si>
    <t>000843</t>
  </si>
  <si>
    <t>Arrowtown Hall - Alarm panel</t>
  </si>
  <si>
    <t>Alarm isolation panel.</t>
  </si>
  <si>
    <t>CP0004956</t>
  </si>
  <si>
    <t>000879</t>
  </si>
  <si>
    <t>Queenstown Event Centre facility renewal</t>
  </si>
  <si>
    <t>Budget to be used for new cafe. PO raised for $100k estimated costs, waiting on final costing.</t>
  </si>
  <si>
    <t>CP0006129</t>
  </si>
  <si>
    <t>000889</t>
  </si>
  <si>
    <t>Arrowtown Community Hall</t>
  </si>
  <si>
    <t>Hampton Jones renewals. 19/20 Budget transferred to Athenaeum Hall roof capex project 000112 due to re prioritisation</t>
  </si>
  <si>
    <t>CP0006925</t>
  </si>
  <si>
    <t>000918</t>
  </si>
  <si>
    <t>Wanaka Pool Building &amp; Storage Works</t>
  </si>
  <si>
    <t>Additional Poolside seating $15k, leisure additions $35k</t>
  </si>
  <si>
    <t>CP0006897</t>
  </si>
  <si>
    <t>000984</t>
  </si>
  <si>
    <t>Qtwn Mem Hall - upgrade LED lighting</t>
  </si>
  <si>
    <t>Queenstown Memorial Hall - Ugrade to LED lighting - Priority One</t>
  </si>
  <si>
    <t>CP0007020</t>
  </si>
  <si>
    <t>001107</t>
  </si>
  <si>
    <t>QEC Changing room upgrade</t>
  </si>
  <si>
    <t>QEC Changing room upgrade (Showers, Toilets, Changing areas etc)</t>
  </si>
  <si>
    <t>Waste Water</t>
  </si>
  <si>
    <t>CP0004157</t>
  </si>
  <si>
    <t>000024</t>
  </si>
  <si>
    <t>Wastewater - Renewals - Queenstown</t>
  </si>
  <si>
    <t>CP0004161</t>
  </si>
  <si>
    <t>000025</t>
  </si>
  <si>
    <t>Wastewater - Renewals - Wanaka</t>
  </si>
  <si>
    <t>Replace existing reticulation and facility assets as identified by valuation.</t>
  </si>
  <si>
    <t>CP0004158</t>
  </si>
  <si>
    <t>000026</t>
  </si>
  <si>
    <t>Wastewater - Renewals - Arrowtown</t>
  </si>
  <si>
    <t>CP0004163</t>
  </si>
  <si>
    <t>000027</t>
  </si>
  <si>
    <t>Wastewater - Renewals - Hawea</t>
  </si>
  <si>
    <t>CP0004159</t>
  </si>
  <si>
    <t>000028</t>
  </si>
  <si>
    <t>Wastewater - Renewals - Lake Hayes</t>
  </si>
  <si>
    <t>CP0004160</t>
  </si>
  <si>
    <t>000030</t>
  </si>
  <si>
    <t>Wastewater - Renewals - Arthurs Point</t>
  </si>
  <si>
    <t>Replace existing reticulation and facility assets as identified by valuation.  Additional budget tfr request in Apr 16 re-forecast</t>
  </si>
  <si>
    <t>CP0005052</t>
  </si>
  <si>
    <t>000031</t>
  </si>
  <si>
    <t>Wastewater - Renewals - Luggate</t>
  </si>
  <si>
    <t>Renew existing assets as they fail or where risk of failure is unacceptable. Distributed and Facility assets.</t>
  </si>
  <si>
    <t>CP0006613</t>
  </si>
  <si>
    <t>000037</t>
  </si>
  <si>
    <t>Glenorchy New Wastewater Scheme</t>
  </si>
  <si>
    <t>Review and update Masterplan BBC, determine Levels of Service. Continue with public consultation &amp; resource consenting.</t>
  </si>
  <si>
    <t>CP0004060</t>
  </si>
  <si>
    <t>000164</t>
  </si>
  <si>
    <t>Cardrona new Wastewater Scheme</t>
  </si>
  <si>
    <t>Contract for reticulation and disposal field upgrades awarded to Downers.  Costs include Physical works contract, MSQA, QLDC internal and ongoing design of CVP.  Negotiating with developers to build. Design 18/19, Construction 20/21.</t>
  </si>
  <si>
    <t>CP0006292</t>
  </si>
  <si>
    <t>000229</t>
  </si>
  <si>
    <t>Wastewater - AM Improvements</t>
  </si>
  <si>
    <t>Asset Management Improvements. Includes implementation of Hansen modules, wastewater model(s) re-build and calibration, level of service analysis, etc</t>
  </si>
  <si>
    <t>CP0005930</t>
  </si>
  <si>
    <t>000366</t>
  </si>
  <si>
    <t>Recreation Ground new WW Pump Station</t>
  </si>
  <si>
    <t>Trent Beckman-Cross</t>
  </si>
  <si>
    <t>Construction of a new waste water pump station at the Queenstown Rec Ground. Due to risks and issues with horizontal drilling, the CE Report 18/3/2021 approved variations for SP3,4 and 5 to extend pipes to Park St.;;</t>
  </si>
  <si>
    <t>CP0006474</t>
  </si>
  <si>
    <t>000384</t>
  </si>
  <si>
    <t>Lakeview Development WW servicing</t>
  </si>
  <si>
    <t>Lakeview Development - Wastewater Upgrades</t>
  </si>
  <si>
    <t>CP0006743</t>
  </si>
  <si>
    <t>000561</t>
  </si>
  <si>
    <t>Marine Parade WWPS upgrades</t>
  </si>
  <si>
    <t>Upgrades include; emergency storage, electrical equipment upgrades and the architectural upgrade of the WWPS building 21/22.</t>
  </si>
  <si>
    <t>CP0006645</t>
  </si>
  <si>
    <t>000588</t>
  </si>
  <si>
    <t>Trade Waste - Customer Management System</t>
  </si>
  <si>
    <t>Stage 1 - Purchase and setup of trade waste customer management system. Review of Tradewaste Bylaw.</t>
  </si>
  <si>
    <t>CP0006284</t>
  </si>
  <si>
    <t>000625</t>
  </si>
  <si>
    <t>Project Pure WWTP upgrade</t>
  </si>
  <si>
    <t>IBC underway to determine long term strategy of investment in Project Pure. Recommendation to purchase land.  Detailed design 19/20. To include FOG Treatment facility previously under 943</t>
  </si>
  <si>
    <t>CP0006616</t>
  </si>
  <si>
    <t>000771</t>
  </si>
  <si>
    <t>Ladies Mile HIF Wastewater new Scheme</t>
  </si>
  <si>
    <t>HIF Project -  Wastewater infrastructure.  Development agreements under negotiation - subhect to Council approval</t>
  </si>
  <si>
    <t>CP0004036</t>
  </si>
  <si>
    <t>000779</t>
  </si>
  <si>
    <t>Hawea Wastewater Management (WW)</t>
  </si>
  <si>
    <t>Connect Hawea community to Project Pure (Wanaka) wastewater treatment plant and decommission existing plant. Previously Hawea WW Cxn to Project Pure WWTP</t>
  </si>
  <si>
    <t>CP0006826</t>
  </si>
  <si>
    <t>000781</t>
  </si>
  <si>
    <t>Willow Place WWPS Rising Main upgrade</t>
  </si>
  <si>
    <t>Julia Lovrich</t>
  </si>
  <si>
    <t>Replacement of the first section of Willow Place Rising main and a connection to the Kawarau Bridge crossing at the end of the rising main</t>
  </si>
  <si>
    <t>CP0006680</t>
  </si>
  <si>
    <t>000784</t>
  </si>
  <si>
    <t>Drainage Water Minor Capex</t>
  </si>
  <si>
    <t>Minor improvements projects for wastewater services - Wanaka</t>
  </si>
  <si>
    <t>CP0006980</t>
  </si>
  <si>
    <t>000822</t>
  </si>
  <si>
    <t>Events Centre WWPS decommission</t>
  </si>
  <si>
    <t>Extend gravity line from toilet block at Events Centre to trunk main to Shotover WTP. This allows for decommissioning of toilet block WWPS. Decommision of a redundant asset - a gravity main was installed within the airport boundary that allowed for it.</t>
  </si>
  <si>
    <t>CP0006828</t>
  </si>
  <si>
    <t>000863</t>
  </si>
  <si>
    <t>Kawarau Bridge Remarks Pk WW Rising Main</t>
  </si>
  <si>
    <t>Louise Clarke</t>
  </si>
  <si>
    <t>Extension of sewer rising main from Kawarau Bridge (Frankton side) to terminal manhole off Mountain Ash Dr (Remarks Park) via Robertson Street.</t>
  </si>
  <si>
    <t>000867</t>
  </si>
  <si>
    <t>Drainage Water Minor Capex Qtn</t>
  </si>
  <si>
    <t>Minor improvements projects for wastewater services - Queenstown</t>
  </si>
  <si>
    <t>CP0006666</t>
  </si>
  <si>
    <t>000871</t>
  </si>
  <si>
    <t>Project Shotover FOG Treatment facility</t>
  </si>
  <si>
    <t>Design and construction of fats, oils and grease capture and treatment facility (Trade Waste)</t>
  </si>
  <si>
    <t>CP0006287</t>
  </si>
  <si>
    <t>000892</t>
  </si>
  <si>
    <t>Project Shotover WWTP upgrade</t>
  </si>
  <si>
    <t>Duplication of MLE tank, clarifier and full capacity upgrade of wastewater treatment plant followed by decommission and removal of oxidation ponds.</t>
  </si>
  <si>
    <t>CP0006612</t>
  </si>
  <si>
    <t>000896</t>
  </si>
  <si>
    <t>Cardrona WW Master Planning</t>
  </si>
  <si>
    <t>Review and update Masterplan BBC, determine Levels of Service. Earmarked for consenting/legal/planning fees to connect to MCS plant.</t>
  </si>
  <si>
    <t>CP0006608</t>
  </si>
  <si>
    <t>000901</t>
  </si>
  <si>
    <t>Queenstown WW Master Planning</t>
  </si>
  <si>
    <t>Review and update Masterplan BBC, determine Levels of Service.</t>
  </si>
  <si>
    <t>CP0007009</t>
  </si>
  <si>
    <t>000909</t>
  </si>
  <si>
    <t>Kingston HIF Wastewater new scheme</t>
  </si>
  <si>
    <t>Construction of a treated reticulated wastewater network for the Kingston township.  Development agreements under negotiation.</t>
  </si>
  <si>
    <t>CP0006829</t>
  </si>
  <si>
    <t>000944</t>
  </si>
  <si>
    <t>North Wanaka new WW conveyance scheme</t>
  </si>
  <si>
    <t>Construction of new trunk main to reduce critcality of Lakeside PS and meet future growth demands to NE Wanaka. Design contract scheduled to be signed May 2019;;</t>
  </si>
  <si>
    <t>CP0006665</t>
  </si>
  <si>
    <t>000988</t>
  </si>
  <si>
    <t>Renewal of Resource Consent - Cardrona</t>
  </si>
  <si>
    <t>Jennifer McGirr</t>
  </si>
  <si>
    <t>Complete an assessment of environmental effects and gain extensions for discharge consents</t>
  </si>
  <si>
    <t>CP0006609</t>
  </si>
  <si>
    <t>000989</t>
  </si>
  <si>
    <t>Wanaka WW Master Planning</t>
  </si>
  <si>
    <t>CP0004013</t>
  </si>
  <si>
    <t>001006</t>
  </si>
  <si>
    <t>CBD to Frankton Waste Water Reticulation</t>
  </si>
  <si>
    <t>Jesse Taylor</t>
  </si>
  <si>
    <t>Provide solution to mitigate risk of failure and capacity constraints for trunk sewer system between Queenstown CBD and Frankton Beach. Budget to be b/f from 2021/22 in Nov 19 reforecast</t>
  </si>
  <si>
    <t>CP0007023</t>
  </si>
  <si>
    <t>001104</t>
  </si>
  <si>
    <t>Wastewater CCTV Inspection</t>
  </si>
  <si>
    <t>New budget required for WW CCTV Inspections to guide 21/31 LTP</t>
  </si>
  <si>
    <t>001115</t>
  </si>
  <si>
    <t>Coneburn Valley WW Network</t>
  </si>
  <si>
    <t>New project in March 19 reforecast to begin planning and business case for stge 1 Conveyancing Network (Pipe/Pumpstations, valves) and stage 2 Home-Run over Active Travel Bridge to Project Shotover.</t>
  </si>
  <si>
    <t>CP0007027</t>
  </si>
  <si>
    <t>001119</t>
  </si>
  <si>
    <t>Wastewater Network Audit</t>
  </si>
  <si>
    <t>To ensure that QLDC has identified and invested in network improvements to reduce overflows and their effects, as per the recommendation of the Wastewater Overflow resource consent application decision. Budget approved at the Jan &amp; incl in Apr 20 Int subs</t>
  </si>
  <si>
    <t>CP9999999</t>
  </si>
  <si>
    <t>001122</t>
  </si>
  <si>
    <t>Cardrona new Wastewater Pipeline</t>
  </si>
  <si>
    <t>CP0004048</t>
  </si>
  <si>
    <t>000001</t>
  </si>
  <si>
    <t>Glenorchy WS Bore upgrades</t>
  </si>
  <si>
    <t>Project to consist of upgrade to reservoir and treatment. Bores to be camera ed before year end.</t>
  </si>
  <si>
    <t>CP0004326</t>
  </si>
  <si>
    <t>000004</t>
  </si>
  <si>
    <t>Queenstown CBD Pressure Release Valves</t>
  </si>
  <si>
    <t>Modelling for review of pressure zones in Queenstown. Outcomes of modelling will better define the use of PRV's to reduce water supply pressures to within QLDC standards.</t>
  </si>
  <si>
    <t>CP0004184</t>
  </si>
  <si>
    <t>000006</t>
  </si>
  <si>
    <t>Water Supply - Renewals - Queenstown</t>
  </si>
  <si>
    <t>CP0004189</t>
  </si>
  <si>
    <t>000007</t>
  </si>
  <si>
    <t>Water Supply - Renewals - Wanaka</t>
  </si>
  <si>
    <t>CP0004185</t>
  </si>
  <si>
    <t>000008</t>
  </si>
  <si>
    <t>Water Supply - Renewals - Arrowtown</t>
  </si>
  <si>
    <t>CP0004186</t>
  </si>
  <si>
    <t>000009</t>
  </si>
  <si>
    <t>Water Supply - Renewals - Glenorchy</t>
  </si>
  <si>
    <t>CP0004191</t>
  </si>
  <si>
    <t>000010</t>
  </si>
  <si>
    <t>Water Supply - Renewals - Luggate</t>
  </si>
  <si>
    <t>CP0004188</t>
  </si>
  <si>
    <t>000011</t>
  </si>
  <si>
    <t>Water Supply - Renewals - Arthurs Pt</t>
  </si>
  <si>
    <t>CP0004187</t>
  </si>
  <si>
    <t>000012</t>
  </si>
  <si>
    <t>Water Supply - Renewals - Lake Hayes</t>
  </si>
  <si>
    <t>CP0004190</t>
  </si>
  <si>
    <t>000013</t>
  </si>
  <si>
    <t>Water Supply - Renewals - Hawea</t>
  </si>
  <si>
    <t>CP0006281</t>
  </si>
  <si>
    <t>000228</t>
  </si>
  <si>
    <t>Water Supply - AM Improvements</t>
  </si>
  <si>
    <t>Asset Management Improvements. Implementation of Hansen modules, water field survey, water model(s) re-build and calibration, level of service analysis.;;</t>
  </si>
  <si>
    <t>CP0006485</t>
  </si>
  <si>
    <t>000280</t>
  </si>
  <si>
    <t>Shotover Country WS new WTP</t>
  </si>
  <si>
    <t>UV, Filtration, Chlorination and Dosing. Concept design and detailed design undertaken.   $500K deferred to19/20 for construction.</t>
  </si>
  <si>
    <t>CP0006486</t>
  </si>
  <si>
    <t>000281</t>
  </si>
  <si>
    <t>Shotover Country Rising Main (bridge)</t>
  </si>
  <si>
    <t>Rising main from Shotover Country to Glenda Drive - 355mm PE &amp; Steel. Works combined with project 280 and 279. Budget increased by $562,408.58 for entrusted works agreement with Aurora</t>
  </si>
  <si>
    <t>CP0004061</t>
  </si>
  <si>
    <t>000330</t>
  </si>
  <si>
    <t>Cardrona new Water Supply Scheme</t>
  </si>
  <si>
    <t>Council undertaken due diligence investigation of CWSL assets. Rationale delivered draft financial modelling report on 16/12/16.   Interim upgrades to be completed 2019</t>
  </si>
  <si>
    <t>CP0004049</t>
  </si>
  <si>
    <t>000345</t>
  </si>
  <si>
    <t>Arthur's Point WTP minor upgrades</t>
  </si>
  <si>
    <t>Investigations, BBC and scoping.</t>
  </si>
  <si>
    <t>CP0005828</t>
  </si>
  <si>
    <t>000361</t>
  </si>
  <si>
    <t>Glenorchy Reservoir upgrade</t>
  </si>
  <si>
    <t>Design of repairs and upgrade for aged concrete water reservoirs and treatment.</t>
  </si>
  <si>
    <t>CP0006027</t>
  </si>
  <si>
    <t>000369</t>
  </si>
  <si>
    <t>Capell Ave Hawea Watermain extension</t>
  </si>
  <si>
    <t>Construction of a new watermain within the existing roadway and berms of Capell Avenue, Hawea.</t>
  </si>
  <si>
    <t>CP0006480</t>
  </si>
  <si>
    <t>000385</t>
  </si>
  <si>
    <t>Lakeview Development WS servicing</t>
  </si>
  <si>
    <t>Lakeview Development - Water Supply Upgrades</t>
  </si>
  <si>
    <t>CP0004255</t>
  </si>
  <si>
    <t>000518</t>
  </si>
  <si>
    <t>Beacon Point new Reservoir</t>
  </si>
  <si>
    <t>Design and construction of new (second) 6000m3 storage reservoir. Includes Land purchase adjacent to existing reservoir &amp; WTP site</t>
  </si>
  <si>
    <t>000741</t>
  </si>
  <si>
    <t>Western Wanaka Pressure</t>
  </si>
  <si>
    <t>To address levels of service/low pressure.</t>
  </si>
  <si>
    <t>CP0004228</t>
  </si>
  <si>
    <t>000762</t>
  </si>
  <si>
    <t>Beacon Point new Water Treatment Plant</t>
  </si>
  <si>
    <t>Scoping, concept and detailed design of new WTP with construction of 26MLD (26000m3/day WTP) to follow.</t>
  </si>
  <si>
    <t>CP0006282</t>
  </si>
  <si>
    <t>000775</t>
  </si>
  <si>
    <t>Masterplanning - Queenstown (WS)</t>
  </si>
  <si>
    <t>CP0005923</t>
  </si>
  <si>
    <t>000777</t>
  </si>
  <si>
    <t>Quail Rise Reservoir Rising Main</t>
  </si>
  <si>
    <t>Jon King - Consultant</t>
  </si>
  <si>
    <t>Extension of rising main from SOC bores to Quail Rise reservoir (Frankton side of Shotover River to newly proposed QR reservoir). Includes purchase of land.</t>
  </si>
  <si>
    <t>CP0005926</t>
  </si>
  <si>
    <t>000778</t>
  </si>
  <si>
    <t>Quail Rise Reservoir Falling Main</t>
  </si>
  <si>
    <t>New 600mm supply main from Quail Rise reservoir down to SH6 at Glenda Dr (1200metres of 600mm ID pipe).</t>
  </si>
  <si>
    <t>CP0006678</t>
  </si>
  <si>
    <t>000783</t>
  </si>
  <si>
    <t>Drinking Water Minor Capex - Queenstown</t>
  </si>
  <si>
    <t>Minor improvements projects for water supplies - Queenstown</t>
  </si>
  <si>
    <t>CP0006821</t>
  </si>
  <si>
    <t>000790</t>
  </si>
  <si>
    <t>Ladies Mile Reservoir &amp; WS trunk mains</t>
  </si>
  <si>
    <t>HOA and construction of new water reservoir and network to connect ladies Mile and Lake Hayes to SOC Network.</t>
  </si>
  <si>
    <t>CP0006983</t>
  </si>
  <si>
    <t>000815</t>
  </si>
  <si>
    <t>Hawea WS network &amp; PS upgrades</t>
  </si>
  <si>
    <t>Network optimisation works.</t>
  </si>
  <si>
    <t>CP0006679</t>
  </si>
  <si>
    <t>000866</t>
  </si>
  <si>
    <t>Drinking Water Minor Capex - Wanaka</t>
  </si>
  <si>
    <t>Minor Improvement projects for water supplies - Wanaka</t>
  </si>
  <si>
    <t>CP0004244</t>
  </si>
  <si>
    <t>000875</t>
  </si>
  <si>
    <t>Two Mile new Water Treatment Plant</t>
  </si>
  <si>
    <t>c. QTN Water Master Plan Project. Includes Land Purchase. Two Staged Expansion.</t>
  </si>
  <si>
    <t>000884</t>
  </si>
  <si>
    <t>Masterplanning - Cardrona (WS)</t>
  </si>
  <si>
    <t>CP0006816</t>
  </si>
  <si>
    <t>000887</t>
  </si>
  <si>
    <t>Hanley's Farm new Reservoir (Coneburn)</t>
  </si>
  <si>
    <t>Hanley's Farm Reservoir 1. Developer led design and construction.  Awaiting developer agreement.</t>
  </si>
  <si>
    <t>CP0005754</t>
  </si>
  <si>
    <t>000888</t>
  </si>
  <si>
    <t>Arrowtown new WPS &amp; bores</t>
  </si>
  <si>
    <t>Works associated with drill, construction and commission of new production bore and bore pump.</t>
  </si>
  <si>
    <t>CP0004629</t>
  </si>
  <si>
    <t>000905</t>
  </si>
  <si>
    <t>Luggate New WTP,PS &amp; pipeline to airport</t>
  </si>
  <si>
    <t>New water supply, treatment and Reticulation to Luggate, Wanaka Airport and Corbridge Downs</t>
  </si>
  <si>
    <t>CP0004050</t>
  </si>
  <si>
    <t>000930</t>
  </si>
  <si>
    <t>Kingston HIF Water Supply new scheme</t>
  </si>
  <si>
    <t>(HIF) Construction of a treated reticulated water supply network for the Kingston township.  Development agreements under negotiation.</t>
  </si>
  <si>
    <t>CP0005920</t>
  </si>
  <si>
    <t>000936</t>
  </si>
  <si>
    <t>Quail Rise new Reservoir</t>
  </si>
  <si>
    <t>Design and construction of 2 x new reservoirs at Quail Rise to service Frankton Flats. Staged capacity upgrade. QTN Water Master Plan Project.</t>
  </si>
  <si>
    <t>CP0006813</t>
  </si>
  <si>
    <t>000937</t>
  </si>
  <si>
    <t>Hanley Frm PS &amp; Ris/Fall mains(Coneburn)</t>
  </si>
  <si>
    <t>Design and construct rising and falling mains, includes 382mm dia rising and falling main and valving.</t>
  </si>
  <si>
    <t>CP0006981</t>
  </si>
  <si>
    <t>000939</t>
  </si>
  <si>
    <t>Arrowtown new Reservoir</t>
  </si>
  <si>
    <t>Construction of new reservoir end of Bush Creek Road.</t>
  </si>
  <si>
    <t>CP0006982</t>
  </si>
  <si>
    <t>000940</t>
  </si>
  <si>
    <t>Glenorchy WS new WTP and building</t>
  </si>
  <si>
    <t>New treatment plant, membrane filtration, chlorine, building &amp; civil.</t>
  </si>
  <si>
    <t>CP0006987</t>
  </si>
  <si>
    <t>000941</t>
  </si>
  <si>
    <t>Wanaka Water Trunk Main stage 1</t>
  </si>
  <si>
    <t>3km of 500mm dia watermain down Anderson, McPherson &amp; Golfcourse Rd. Project delivery subject to growth development &amp; model projections.</t>
  </si>
  <si>
    <t>000993</t>
  </si>
  <si>
    <t>Masterplanning - Lake Hayes (WS)</t>
  </si>
  <si>
    <t>000995</t>
  </si>
  <si>
    <t>Masterplanning - Hawea (WS)</t>
  </si>
  <si>
    <t>000997</t>
  </si>
  <si>
    <t>Water Supply Master plan update Wanaka</t>
  </si>
  <si>
    <t>001007</t>
  </si>
  <si>
    <t>Thompson St Water Main Emergency Repairs</t>
  </si>
  <si>
    <t>Reinstatement for Burst water main on Thompson St QLDC will be making a claim against the responsible parties for these costs but in order to do so QLDC needs to receive and make payment for the costs and then lodge a claim. $340k from NcNeil Drilling.</t>
  </si>
  <si>
    <t>CP0007024</t>
  </si>
  <si>
    <t>001105</t>
  </si>
  <si>
    <t>3 Waters Programme Contingency</t>
  </si>
  <si>
    <t>3 Waters Programme Contingency (Management Reserve). Up to $420k approved for reallocation to Rec Grd proj 366)</t>
  </si>
  <si>
    <t>CP0007030</t>
  </si>
  <si>
    <t>001120</t>
  </si>
  <si>
    <t>Water Meter Trial</t>
  </si>
  <si>
    <t>Water meters required to enable the implementation of the trade waste bylaw - trade waste to be measured as a proportion of water demand. Incl in int subs Apr 20</t>
  </si>
  <si>
    <t>CP0007182</t>
  </si>
  <si>
    <t>001242</t>
  </si>
  <si>
    <t>Beacon Point Intake &amp; Rising Main (WS)</t>
  </si>
  <si>
    <t>The existing rising main is in poor condition and at high risk of failure.  A duplicate RM is required to increase supply to the Beacon Point treatment site, and improve operational performance of the network by enabling repair of the existing RM to occur</t>
  </si>
  <si>
    <t>Capital Projects Total</t>
  </si>
  <si>
    <t>Copy over "MEDIAN (-9.3%)" tab</t>
  </si>
  <si>
    <t>Run the department report</t>
  </si>
  <si>
    <t>Copy across tab from here</t>
  </si>
  <si>
    <t>Data confidence</t>
  </si>
  <si>
    <t>Pipeline condition grading approaches</t>
  </si>
  <si>
    <t>Above ground condition assessment</t>
  </si>
  <si>
    <t>Charge type</t>
  </si>
  <si>
    <t>Consent status</t>
  </si>
  <si>
    <t>Tradewaste approach</t>
  </si>
  <si>
    <t>Yes (include individual contaminants in comments)</t>
  </si>
  <si>
    <t>Never</t>
  </si>
  <si>
    <t>Source water zone identified for all water treatment plants</t>
  </si>
  <si>
    <t>Permitted activity under regional plan</t>
  </si>
  <si>
    <t>Containment standard in consent (specify level of service in comments field)</t>
  </si>
  <si>
    <t>General rate</t>
  </si>
  <si>
    <t>Tradewaste Bylaw</t>
  </si>
  <si>
    <t>Daily</t>
  </si>
  <si>
    <t>Source water zone identified for some water treatment plants</t>
  </si>
  <si>
    <t>Internal code of practice</t>
  </si>
  <si>
    <t>Treated as emergency discharge</t>
  </si>
  <si>
    <t>Internal technical level of service  (specify level of service in comments field)</t>
  </si>
  <si>
    <t>Inhouse</t>
  </si>
  <si>
    <t>Uniform Annual general charge</t>
  </si>
  <si>
    <t>Lodged</t>
  </si>
  <si>
    <t>Individual tradewaste consent</t>
  </si>
  <si>
    <t>Weekly</t>
  </si>
  <si>
    <t>Source water zone of treatment plants unknown</t>
  </si>
  <si>
    <t>Other (specify in comments)</t>
  </si>
  <si>
    <t>Resource consent held for wet weather discharges</t>
  </si>
  <si>
    <t>Performance below design standards for new sewers considered unacceptable in existing network also</t>
  </si>
  <si>
    <t>New Zealand Infrastructure Asset Grading Guidelines</t>
  </si>
  <si>
    <t>Hearing</t>
  </si>
  <si>
    <t>None</t>
  </si>
  <si>
    <t>Monthly</t>
  </si>
  <si>
    <t>Multiple varying standards for different areas of the network (provide detail in comments)</t>
  </si>
  <si>
    <t>New Zealand Pipe Inspection Manual</t>
  </si>
  <si>
    <t>NAMS International Infrastructure Management Manual</t>
  </si>
  <si>
    <t>Other (include detail in comments field)</t>
  </si>
  <si>
    <t>Appeal</t>
  </si>
  <si>
    <t>Annually</t>
  </si>
  <si>
    <t>No specified sewage containment standards</t>
  </si>
  <si>
    <t>Visual Assesment Manual for Utility Assets</t>
  </si>
  <si>
    <t>Event based</t>
  </si>
  <si>
    <t>IPWEA Practice Note 7: Water Supply and Sewerage</t>
  </si>
  <si>
    <t>IPWEA Condition Assessment and Asset Performance Guidelines</t>
  </si>
  <si>
    <t>Other (list in comments column)</t>
  </si>
  <si>
    <t>IPWEA Condition Assesment and Asset Performance Guidelines</t>
  </si>
  <si>
    <t>Other (please specify in comments field)</t>
  </si>
  <si>
    <t>2019/20</t>
  </si>
  <si>
    <t>Common</t>
  </si>
  <si>
    <t>Stats NZ</t>
  </si>
  <si>
    <t>Acronym</t>
  </si>
  <si>
    <t>Total Area [CB1]</t>
  </si>
  <si>
    <t>Water Serviced Population [WSB1a]</t>
  </si>
  <si>
    <t>Wastewater Serviced Population [WWB1a]</t>
  </si>
  <si>
    <t>Stormwater Serviced Population [SWB1]</t>
  </si>
  <si>
    <t>Total Area (km2)</t>
  </si>
  <si>
    <t>Total Population [CB2]</t>
  </si>
  <si>
    <t>Water Supply Service Coverage [WSB1b]</t>
  </si>
  <si>
    <t>Wastewater Service Coverage [WWB1b ]</t>
  </si>
  <si>
    <t>Stormwater Serviced Properties Residential [SWB2]</t>
  </si>
  <si>
    <t>Population</t>
  </si>
  <si>
    <t>Residential properties [CB3]</t>
  </si>
  <si>
    <t>Water Serviced Properties: Residential [WSB2]</t>
  </si>
  <si>
    <t>Wastewater Serviced Properties: Residential [WWB2]</t>
  </si>
  <si>
    <t>Stormwater Serviced Properties Nonresidential [SWB3]</t>
  </si>
  <si>
    <t>Residential Properties</t>
  </si>
  <si>
    <t>Non-residential properties [CB4]</t>
  </si>
  <si>
    <t>Water Serviced Properties: NonResidential [WSB3]</t>
  </si>
  <si>
    <t>Wastewater Serviced Properties: Nonresidential [WWB3]</t>
  </si>
  <si>
    <t>Total Stormwater Serviced Properties [SWB4]</t>
  </si>
  <si>
    <t>Total  Properties [CB5]</t>
  </si>
  <si>
    <t>Total Water Serviced Properties [WSB4]</t>
  </si>
  <si>
    <t>Total Wastewater Serviced Properties [WWB4]</t>
  </si>
  <si>
    <t>Total Length of Public Stormwater Network [SWA1a]</t>
  </si>
  <si>
    <t>Household Occupancy  [CB6]</t>
  </si>
  <si>
    <t>Water Supplied to Own System [WSB5]</t>
  </si>
  <si>
    <t>Wastewater Exported for Treatment [WWB5]</t>
  </si>
  <si>
    <t>Length of stormwater mains renewed using internal CAPEX [SWA1b]</t>
  </si>
  <si>
    <t>Internal staff [CB10]</t>
  </si>
  <si>
    <t>Water imported from other authorities [WSB5a]</t>
  </si>
  <si>
    <t>Wastewater Imported for Treatment [WWB6]</t>
  </si>
  <si>
    <t>Length of new stormwater mains constructed using internal CAPEX [SWA1c]</t>
  </si>
  <si>
    <t>Household Income</t>
  </si>
  <si>
    <t>Staff vacancies [CB10a]</t>
  </si>
  <si>
    <t>Water exported to other authorities [WSB5b]</t>
  </si>
  <si>
    <t>Total Wastewater Produced [WWB7]</t>
  </si>
  <si>
    <t>Condition Grade 1: Stormwater pipelines [SWA2a]</t>
  </si>
  <si>
    <t>Contracted staff [CB11]</t>
  </si>
  <si>
    <t>Authorised Consumption [WSB6]</t>
  </si>
  <si>
    <t>Total Length of Public Wastewater Network [WWA1a]</t>
  </si>
  <si>
    <t>Condition Grade 2: Stormwater pipelines [SWA2b]</t>
  </si>
  <si>
    <t>Near miss reports [CB12]</t>
  </si>
  <si>
    <t>Nonresidential Water Consumption [WSB7]</t>
  </si>
  <si>
    <t>Length of wastewater mains renewed using internal CAPEX [WWA1b]</t>
  </si>
  <si>
    <t>Condition Grade 3: Stormwater pipelines [SWA2c]</t>
  </si>
  <si>
    <t>Lost time injuries [CB13]</t>
  </si>
  <si>
    <t>Average Daily Residential Water Consumption [WSB8]</t>
  </si>
  <si>
    <t>Length of new wastewater mains constructed using internal CAPEX [WWA1c]</t>
  </si>
  <si>
    <t>Condition Grade 4: Stormwater pipelines [SWA2d]</t>
  </si>
  <si>
    <t>Staff training hours allocated [CB14a-1]</t>
  </si>
  <si>
    <t>Water Demand Forecasting [WSB9]</t>
  </si>
  <si>
    <t>Condition Grade 1: Wastewater pipelines [WWA2a]</t>
  </si>
  <si>
    <t>Condition Grade 5: Stormwater pipelines [SWA2e]</t>
  </si>
  <si>
    <t>Staff training hours undertaken [CB14a-2]</t>
  </si>
  <si>
    <t>Length of Water Supply Network [WSA1a]</t>
  </si>
  <si>
    <t>Condition Grade 2: Wastewater pipelines [WWA2b]</t>
  </si>
  <si>
    <t>Not assessed: Stormwater pipelines [SWA2f]</t>
  </si>
  <si>
    <t>Staff training enrolments [CB14b]</t>
  </si>
  <si>
    <t>Length of water mains renewed using internal CAPEX [WSA1b]</t>
  </si>
  <si>
    <t>Condition Grade 3: Wastewater pipelines [WWA2c]</t>
  </si>
  <si>
    <t>Stormwater Pipeline Condition Assessment Approach [SWA2g]</t>
  </si>
  <si>
    <t>Staff with an engineering degree [CB15a-1]</t>
  </si>
  <si>
    <t>Length of new water mains constructed using internal CAPEX [WSA1c]</t>
  </si>
  <si>
    <t>Condition Grade 4: Wastewater pipelines [WWA2d]</t>
  </si>
  <si>
    <t>Average Age of Stormwater Pipelines [SWA3]</t>
  </si>
  <si>
    <t>Staff with an science degree [CB15a-2]</t>
  </si>
  <si>
    <t>Condition grade 1: Water pipelines [WSA2a]</t>
  </si>
  <si>
    <t>Condition Grade 5: Wastewater pipelines [WWA2e]</t>
  </si>
  <si>
    <t>Above ground stormwater asset assessment program [SWA5a]</t>
  </si>
  <si>
    <t>Staff with another applicable degree [CB15a-3]</t>
  </si>
  <si>
    <t>Condition grade 2: Water pipelines [WSA2b]</t>
  </si>
  <si>
    <t>Not assessed: Wastewater pipelines [WWA2f]</t>
  </si>
  <si>
    <t>Protocol used for above ground stormwater asset assessments [SWA5b]</t>
  </si>
  <si>
    <t/>
  </si>
  <si>
    <t>Staff with a NZ Diploma [CB15b]</t>
  </si>
  <si>
    <t>Condition grade 3: Water pipelines [WSA2c]</t>
  </si>
  <si>
    <t>Pipeline Condition Assessment Approach [WWA2g]</t>
  </si>
  <si>
    <t>Percentage of above ground stormwater assets assessed in 3 years [SWA5c]</t>
  </si>
  <si>
    <t>Staff with a NZ Certificate [CB15c]</t>
  </si>
  <si>
    <t>Condition grade 4: Water pipelines [WSA2d]</t>
  </si>
  <si>
    <t>Average Age of Wastewater Pipelines [WWA3]</t>
  </si>
  <si>
    <t>Stormwater network CCTV inspection [SWA6]</t>
  </si>
  <si>
    <t>Staff with completed apprenticeships [CB15d]</t>
  </si>
  <si>
    <t>Condition grade 5: Water pipelines [WSA2e]</t>
  </si>
  <si>
    <t>Wastewater CCTV inspection [WWA4]</t>
  </si>
  <si>
    <t>Stormwater Pump Stations [SWA7]</t>
  </si>
  <si>
    <t>Continuing professional development enrolments [CB16]</t>
  </si>
  <si>
    <t>Not assessed: Water pipelines [WSA2f]</t>
  </si>
  <si>
    <t>Wastewater Pump Stations [WWA5]</t>
  </si>
  <si>
    <t>Number of stormwater discharges from the piped network [SWE1a]</t>
  </si>
  <si>
    <t>Analogue SCADA/telemetry [CB19a]</t>
  </si>
  <si>
    <t>Pipeline Condition Assessment Approach [WSA2g]</t>
  </si>
  <si>
    <t>Wastewater Pump Stations Standby Generators [WWA5a]</t>
  </si>
  <si>
    <t>Number of stormwater discharges with resource consents [SWE1b]</t>
  </si>
  <si>
    <t>Digital SCADA/telemetry [CB19b]</t>
  </si>
  <si>
    <t>Average Age of Water Pipelines [WSA3]</t>
  </si>
  <si>
    <t>Above ground asset condition assessment programme [WWA6]</t>
  </si>
  <si>
    <t>Stormwater consent abatement notices [SWE2a]</t>
  </si>
  <si>
    <t>SCADA/telemetry controls [CB19c]</t>
  </si>
  <si>
    <t>Water Treatment Plants [WSA4]</t>
  </si>
  <si>
    <t>Protocol used for above ground condition assessments [WWA6a]</t>
  </si>
  <si>
    <t>Stormwater consent infringement notices [SWE2b]</t>
  </si>
  <si>
    <t>SCADA/telemetry monitoring [CB19d]</t>
  </si>
  <si>
    <t>Water Treatment Plant Standby Generators [WSA4a]</t>
  </si>
  <si>
    <t>Percent of above ground assets assessed within 3 years [WWA6b]</t>
  </si>
  <si>
    <t>Stormwater consent enforcement orders [SWE2c]</t>
  </si>
  <si>
    <t>Internet of things [CB20]</t>
  </si>
  <si>
    <t>Water Pump Stations [WSA5]</t>
  </si>
  <si>
    <t>Number of wastewater treatment plants [WWA7]</t>
  </si>
  <si>
    <t>Stormwater successful prosecutions [SWE2d]</t>
  </si>
  <si>
    <t>Water Pump Stations Standby Generators [WSA5a]</t>
  </si>
  <si>
    <t>Wastewater treatment plant name [WWA7a]</t>
  </si>
  <si>
    <t>Stormwater consent non-conformance [SWE2e]</t>
  </si>
  <si>
    <t>Water Supply Reservoirs [WSA6]</t>
  </si>
  <si>
    <t>Volume of wastewater treated at treatment plant [WWA7d]</t>
  </si>
  <si>
    <t>Stormwater consent letters of direction [SWE2f]</t>
  </si>
  <si>
    <t>Water Stored in Reservoirs [WSA7]</t>
  </si>
  <si>
    <t>Proportion of trade waste at treatment plant [WWA7f]</t>
  </si>
  <si>
    <t>Stormwater consent formal warning [SWE2g]</t>
  </si>
  <si>
    <t>Capacity of Water Storage Reservoirs [WSA8]</t>
  </si>
  <si>
    <t>Number of consents at each treatment plant [WWA7g]</t>
  </si>
  <si>
    <t>Stormwater quality monitoring [SWE3]</t>
  </si>
  <si>
    <t>Properties with Water Meters Residential [WSA9a]</t>
  </si>
  <si>
    <t>Treatment Plant effluent resource consent expiry date [WWA7h]</t>
  </si>
  <si>
    <t>Stormwater catchment management plans [SWE4]</t>
  </si>
  <si>
    <t>Properties with Water Meters NonResidential  [WSA9b]</t>
  </si>
  <si>
    <t>Treatment plant effluent consent status [WWA7i]</t>
  </si>
  <si>
    <t>Energy consumption: Stormwater [SWE5]</t>
  </si>
  <si>
    <t>Properties with Water Restrictors [WSA10]</t>
  </si>
  <si>
    <t>Treatment Plant sludge production of wet sludge/biosolids [WWA7j1]</t>
  </si>
  <si>
    <t>Stormwater Charge [SWS1]</t>
  </si>
  <si>
    <t>Water Treatment Sludge Production [WSA11]</t>
  </si>
  <si>
    <t>Percentage of dry solids in wastewater sludge/biosolids [WWA7j2]</t>
  </si>
  <si>
    <t>Stormwater Charge type [SWS2]</t>
  </si>
  <si>
    <t>Above ground asset condition assessment programme [WSA13a]</t>
  </si>
  <si>
    <t>Disposal of wastewater sludge in year to on site stockpile [WWA7k1]</t>
  </si>
  <si>
    <t>Stormwater Complaints [SWS3]</t>
  </si>
  <si>
    <t>Protocol used for above ground condition assessments [WSA13b]</t>
  </si>
  <si>
    <t>Disposal of wastewater sludge in year to landfill [WWA7k2]</t>
  </si>
  <si>
    <t>Stormwater blockage complaints [SWS3a]</t>
  </si>
  <si>
    <t>Percent of above ground assets assessed within 3 years [WSA13c]</t>
  </si>
  <si>
    <t>Disposal of wastewater sludge in year to composting and reuse [WWA7k3]</t>
  </si>
  <si>
    <t>Stormwater fault complaints [SWS3b]</t>
  </si>
  <si>
    <t>Estimated total network water loss [WSE1a]</t>
  </si>
  <si>
    <t>Disposal of wastewater sludge in year to other routes [WWA7k4]</t>
  </si>
  <si>
    <t>Stormwater Complaints Frequency [SWS4]</t>
  </si>
  <si>
    <t>Percentage Estimated Total Network Water Loss [WSE1b]</t>
  </si>
  <si>
    <t>Last year desludged [WWA7k5]</t>
  </si>
  <si>
    <t>Flooding events resulting from storms exceeding stormwater capacity [SWS5]</t>
  </si>
  <si>
    <t>CARL (current annual real loss) [WSE1c]</t>
  </si>
  <si>
    <t>Treatment Plant backup generators [WWA7l]</t>
  </si>
  <si>
    <t>Number of habitable floors affected by storms exceeding stormwater capacity [SWS5a]</t>
  </si>
  <si>
    <t>CARL (current annual real loss) [WSE1d]</t>
  </si>
  <si>
    <t>Treatment plant peak wet to average dry weather flow ratio [WWA7m]</t>
  </si>
  <si>
    <t>Number of habitable floors affected per 1000 stormwater serviced properties [SWS5b]</t>
  </si>
  <si>
    <t>CARL (current annual real loss) [WSE1e]</t>
  </si>
  <si>
    <t>Wastewater treatment plant process emissions [WWA7n]</t>
  </si>
  <si>
    <t>Flooding events resulting from other causes [SWS5c]</t>
  </si>
  <si>
    <t>UARL (unavoidable annual real loss) [WSE1f]</t>
  </si>
  <si>
    <t>Wastewater treatment wetland emissions [WWA7o]</t>
  </si>
  <si>
    <t>Number of habitable floors affected by flooding from other causes [SWS5d]</t>
  </si>
  <si>
    <t>UARL (unavoidable annual real loss) [WSE1g]</t>
  </si>
  <si>
    <t>Wastewater effluent disposal emissions [WWA7p]</t>
  </si>
  <si>
    <t>Flooding Response Time [SWS6]</t>
  </si>
  <si>
    <t>ILI ( infrastructure leakage index (=CARL/UARL) [WSE1h]</t>
  </si>
  <si>
    <t>Wastewater sludge treatment emissions [WWA7q]</t>
  </si>
  <si>
    <t>Primary stormwater network capacity [SWS7a]</t>
  </si>
  <si>
    <t>Average system pressure [WSE2]</t>
  </si>
  <si>
    <t>Wastewater sludge disposal emissions [WWA7r]</t>
  </si>
  <si>
    <t>Secondary stormwater network capacity [SWS7b]</t>
  </si>
  <si>
    <t>Energy Consumption: Water Supply [WSE3]</t>
  </si>
  <si>
    <t>Total Length of Combined Wastewater and Stormwater Pipelines [WWA8]</t>
  </si>
  <si>
    <t>Operating Revenue: Stormwater [SWF1]</t>
  </si>
  <si>
    <t>Energy Intensity: Water Supply [WSE3a]</t>
  </si>
  <si>
    <t>Dry Weather Wastewater Overflows [WWE1]</t>
  </si>
  <si>
    <t>Development Contribution Revenue: Stormwater [SWF2]</t>
  </si>
  <si>
    <t>Energy Generation: Water Supply [WSE4]</t>
  </si>
  <si>
    <t>Overflows caused by blockages [WWE1a]</t>
  </si>
  <si>
    <t>Total Revenue: Stormwater [SWF3]</t>
  </si>
  <si>
    <t>Unplanned Total Interruptions: Water Supply [WSS1]</t>
  </si>
  <si>
    <t>Overflows caused by plant failures [WWE1b]</t>
  </si>
  <si>
    <t>Total Revenue per Property: Stormwater [SWF4]</t>
  </si>
  <si>
    <t>Unplanned Interruption Frequency: Water Supply [WSS2]</t>
  </si>
  <si>
    <t>Wet weather overflows from the wastewater network [WWE2a]</t>
  </si>
  <si>
    <t>Debt funding: Stormwater [SWF5]</t>
  </si>
  <si>
    <t>Planned Interruptions: Water Supply [WSS3]</t>
  </si>
  <si>
    <t>Wet weather overflows from combined stormwater and wastewater networks [WWE2b]</t>
  </si>
  <si>
    <t>Routine maintenance: Stormwater  [SWF6a]</t>
  </si>
  <si>
    <t>Third Party Incidents: Water Supply [WSS4]</t>
  </si>
  <si>
    <t>Total Wastewater Overflows  [WWE3]</t>
  </si>
  <si>
    <t>Reactive maintenance: Stormwater  [SWF6b]</t>
  </si>
  <si>
    <t>Water Supply Complaints [WSS5]</t>
  </si>
  <si>
    <t>Wastewater overflows on private properties [WWE3a]</t>
  </si>
  <si>
    <t>Management Costs: Stormwater [SWF7]</t>
  </si>
  <si>
    <t>Drinking water clarity complaints [WSS5a]</t>
  </si>
  <si>
    <t>Sewage design standards for network capacity [WWE7]</t>
  </si>
  <si>
    <t>Council Contract Management Costs: Stormwater [SWF8]</t>
  </si>
  <si>
    <t>Drinking water taste complaints [WSS5b]</t>
  </si>
  <si>
    <t>Sewage containment of the existing network [WWE8]</t>
  </si>
  <si>
    <t>Operating Cost: Stormwater [SWF9]</t>
  </si>
  <si>
    <t>Drinking water odour complaints [WSS5c]</t>
  </si>
  <si>
    <t>Overflows recorded through verbal reports [WWE9a]</t>
  </si>
  <si>
    <t>Operating Cost per Property: Stormwater [SWF10]</t>
  </si>
  <si>
    <t>Drinking water pressure or flow complaints [WSS5d]</t>
  </si>
  <si>
    <t>Overflows recorded through SCADA monitoring [WWE9b]</t>
  </si>
  <si>
    <t>Annual Depreciation: Stormwater [SWF11]</t>
  </si>
  <si>
    <t>Continuity of water supply complaints [WSS5e]</t>
  </si>
  <si>
    <t>Overflows calculated through hydraulic models [WWE9c]</t>
  </si>
  <si>
    <t>Interest: Stormwater [SWF12a]</t>
  </si>
  <si>
    <t>The authorities response to any of these issues [WSS5f]</t>
  </si>
  <si>
    <t>Overflows calculated through calibrated hydraulic models [WWE9d]</t>
  </si>
  <si>
    <t>Debt Affordability: Stormwater [SWF12b]</t>
  </si>
  <si>
    <t>Water Supply Complaints Frequency [WSS6]</t>
  </si>
  <si>
    <t>Wastewater consent abatement notices [WWE4a]</t>
  </si>
  <si>
    <t>Operational Cost Coverage: Stormwater [SWF13]</t>
  </si>
  <si>
    <t>Number of different water charging regimes [WSS7]</t>
  </si>
  <si>
    <t>Wastewater consent infringement notices [WWE4b]</t>
  </si>
  <si>
    <t>Total Cost: Stormwater [SWF14]</t>
  </si>
  <si>
    <t>Fixed Charge: Nonresidential water [WSS7a]</t>
  </si>
  <si>
    <t>Wastewater consent enforcement orders [WWE4c]</t>
  </si>
  <si>
    <t>Total Cost per Property: Stormwater [SWF15]</t>
  </si>
  <si>
    <t>Fixed Charge Type: Nonresidential water [WSS7b]</t>
  </si>
  <si>
    <t>Wastewater consent successful prosecutions [WWE4d]</t>
  </si>
  <si>
    <t>Budgeted Capital Expenditure: Stormwater [SWF16]</t>
  </si>
  <si>
    <t>Volumetric Charge: Nonresidential water [WSS7c]</t>
  </si>
  <si>
    <t>Wastewater treatment plant consent non-conformance [WWE4e]</t>
  </si>
  <si>
    <t>Budgeted capital to meet additional demand [SWF16a]</t>
  </si>
  <si>
    <t>Fixed Charge: Residential water [WSS8a]</t>
  </si>
  <si>
    <t>Wastewater network discharge non-conformance [WWE4f]</t>
  </si>
  <si>
    <t>Budgeted capital to improve the level of service [SWF16b]</t>
  </si>
  <si>
    <t>Fixed Charge Type: Residential water [WSS8b]</t>
  </si>
  <si>
    <t>Wet weather overflow regulation approach [WWE4g]</t>
  </si>
  <si>
    <t>Budgeted capital to replace existing assets [SWF16c]</t>
  </si>
  <si>
    <t>Volumetric Charge: Residential water [WSS8c]</t>
  </si>
  <si>
    <t>Wastewater consent letter of direction [WWE4h]</t>
  </si>
  <si>
    <t>Actual Capital Expenditure: Stormwater [SWF17]</t>
  </si>
  <si>
    <t>Average Residential Water Charge Based on 200 m3/yr  [WSS9]</t>
  </si>
  <si>
    <t>Wastewater consent formal warming [WWE4i]</t>
  </si>
  <si>
    <t>Actual capital to meet additional demand [SWF17a]</t>
  </si>
  <si>
    <t>Attendance for urgent water supply fault callouts [WSS10a]</t>
  </si>
  <si>
    <t>Energy Consumption: Wastewater [WWE5a]</t>
  </si>
  <si>
    <t>Actual capital to improve the level of service [SWF17b]</t>
  </si>
  <si>
    <t>Resolution for urgent water supply fault callouts [WSS10b]</t>
  </si>
  <si>
    <t>Energy Intensity: Wastewater [WWE5b]</t>
  </si>
  <si>
    <t>Actual capital to replace existing assets [SWF17c]</t>
  </si>
  <si>
    <t>Attendance for nonurgent water supply fault callouts [WSS10c]</t>
  </si>
  <si>
    <t>Energy Generation: Wastewater [WWE5c]</t>
  </si>
  <si>
    <t>Actual Capital Expenditure per Property: Stormwater [SWF18]</t>
  </si>
  <si>
    <t>Resolution for nonurgent water supply fault callouts [WSS10d]</t>
  </si>
  <si>
    <t>Wastewater treatment plant process emissions assessment [WWE5d]</t>
  </si>
  <si>
    <t>Development Contributions: Stormwater assets [SWF19]</t>
  </si>
  <si>
    <t>Water restriction days [WSS11]</t>
  </si>
  <si>
    <t>Wastewater treatment plant effluent environmental discharge emissions assessment [WWE5e]</t>
  </si>
  <si>
    <t>Stormwater asset value at end of reporting year [SWF20]</t>
  </si>
  <si>
    <t>Fire hydrants tested in the previous five years [WSS12a]</t>
  </si>
  <si>
    <t>Trade waste bylaw [WWE6a]</t>
  </si>
  <si>
    <t>Decline in Service Potential: Stormwater [SWF21]</t>
  </si>
  <si>
    <t>Noncompliant fire hydrants [WSS12b]</t>
  </si>
  <si>
    <t>Individual trade waste consents [WWE6b]</t>
  </si>
  <si>
    <t>External Grants: Stormwater [SWF22]</t>
  </si>
  <si>
    <t>Revenue from Supply of Water to Other Local Authorities [WSF1]</t>
  </si>
  <si>
    <t>Companies breaching trade waste consents [WWE6c]</t>
  </si>
  <si>
    <t>Operating Revenue: Water Supply [WSF2]</t>
  </si>
  <si>
    <t>Non-compliance actions in response to trade waste breaches [WWE6d]</t>
  </si>
  <si>
    <t>Development Contribution Revenue: Water Supply [WSF3]</t>
  </si>
  <si>
    <t>Dedicated trade waste officer(s) on staff [WWE6e]</t>
  </si>
  <si>
    <t>Total Revenue: Water Supply [WSF4]</t>
  </si>
  <si>
    <t>Fixed Charge: Non residential wastewater [WWS1a]</t>
  </si>
  <si>
    <t>Revenue per Property: Water Supply [WSF5]</t>
  </si>
  <si>
    <t>Fixed  Charge Type: Non residential wastewater [WWS1b]</t>
  </si>
  <si>
    <t>Debt funding: Water Supply [WSF6]</t>
  </si>
  <si>
    <t>Volumetric Charge: Non residential wastewater [WWS1c]</t>
  </si>
  <si>
    <t>Energy Costs: Water Supply [WSF7]</t>
  </si>
  <si>
    <t>Contaminant Based Charging [WWS1d]</t>
  </si>
  <si>
    <t>Chemicals and Consumables: Water Supply [WSF8]</t>
  </si>
  <si>
    <t>Fixed Charge: Residential wastewater [WWS2a]</t>
  </si>
  <si>
    <t>Routine maintenance: Water Supply [WSF9a]</t>
  </si>
  <si>
    <t>Fixed Charge Type: Residential wastewater [WWS2b]</t>
  </si>
  <si>
    <t>Reactive maintenance: Water Supply [WSF9b]</t>
  </si>
  <si>
    <t>Volumetric Charge: Residential wastewater [WWS2c]</t>
  </si>
  <si>
    <t>Management Costs: Water Supply [WSF10]</t>
  </si>
  <si>
    <t>Average Annual Residential Wastewater Charge Based on 200 m3/yr  [WWS3]</t>
  </si>
  <si>
    <t>Council Contract Management Costs: Water Supply [WSF11]</t>
  </si>
  <si>
    <t>Wastewater complaints [WWS4]</t>
  </si>
  <si>
    <t>Operating Cost: Water Supply [WSF12]</t>
  </si>
  <si>
    <t>Sewage odour complaints [WWS4a]</t>
  </si>
  <si>
    <t>Operating Cost per Property: Water Supply [WSF13]</t>
  </si>
  <si>
    <t>Sewerage system fault complaints [WWS4b]</t>
  </si>
  <si>
    <t>Annual Depreciation: Water Supply [WSF14]</t>
  </si>
  <si>
    <t>Sewerage system blockage complaints [WWS4c]</t>
  </si>
  <si>
    <t>Interest: Water Supply [WSF15a]</t>
  </si>
  <si>
    <t>The authority’s response to issues with its sewerage system [WWS4d]</t>
  </si>
  <si>
    <t>Debt affordability: Water Supply [WSF15b]</t>
  </si>
  <si>
    <t>Wastewater complaints frequency [WWS5]</t>
  </si>
  <si>
    <t>Operational Cost Coverage: Water Supply [WSF16]</t>
  </si>
  <si>
    <t>Wastewater fault attendance time [WWS6a]</t>
  </si>
  <si>
    <t>Total Cost: Water Supply [WSF17]</t>
  </si>
  <si>
    <t>Wastewater fault resolution time [WWS6b]</t>
  </si>
  <si>
    <t>Total Cost per Property: Water Supply [WSF18]</t>
  </si>
  <si>
    <t>Unplanned Total Interruptions: Wastewater [WWS7a]</t>
  </si>
  <si>
    <t>Budgeted Capital Expenditure: Water Supply [WSF19]</t>
  </si>
  <si>
    <t>Third party Incidents: Wastewater [WWS7b]</t>
  </si>
  <si>
    <t>Budgeted capital to meet additional demand [WSF19a]</t>
  </si>
  <si>
    <t>Unplanned Interruption Frequency: Wastewater [WWS7c]</t>
  </si>
  <si>
    <t>Budgeted capital to improve the level of service [WSF19b]</t>
  </si>
  <si>
    <t>Revenue from the Provision of Wastewater Treatment Services to Another Local Authority [WWF1]</t>
  </si>
  <si>
    <t>Budgeted capital to replace existing assets [WSF19c]</t>
  </si>
  <si>
    <t>Operating Revenue: Wastewater [WWF2]</t>
  </si>
  <si>
    <t>Actual Capital Expenditure: Water Supply [WSF20]</t>
  </si>
  <si>
    <t>Development Contribution Revenue: Wastewater [WWF3]</t>
  </si>
  <si>
    <t>Actual capital to meet additional demand [WSF20a]</t>
  </si>
  <si>
    <t>Total Revenue: Wastewater [WWF4]</t>
  </si>
  <si>
    <t>Actual capital to improve the level of service [WSF20b]</t>
  </si>
  <si>
    <t>Revenue per Property: Wastewater [WWF5]</t>
  </si>
  <si>
    <t>Actual capital to replace existing assets [WSF20c]</t>
  </si>
  <si>
    <t>Debt funding: Wastewater [WWF6]</t>
  </si>
  <si>
    <t>Actual Capital Expenditure per Property: Water Supply [WSF21]</t>
  </si>
  <si>
    <t>Energy Costs: Wastewater [WWF7]</t>
  </si>
  <si>
    <t>Development Contributions: Water Supply assets [WSF22]</t>
  </si>
  <si>
    <t>Sludge Disposal Costs: Wastewater [WWF8]</t>
  </si>
  <si>
    <t>Water treatment facility value at end of reporting year [WSF23a]</t>
  </si>
  <si>
    <t>Routine Maintenance: Wastewater [WWF9]</t>
  </si>
  <si>
    <t>Other water supply asset value [WSF23b]</t>
  </si>
  <si>
    <t>Reactive Maintenance: Wastewater [WWF10]</t>
  </si>
  <si>
    <t>Decline in Service Potential: Water Supply [WSF24]</t>
  </si>
  <si>
    <t>Management Costs: Wastewater [WWF11]</t>
  </si>
  <si>
    <t>External Grants: Water Supply [WSF25]</t>
  </si>
  <si>
    <t>Councils Contract Management Costs: Wastewater  [WWF12]</t>
  </si>
  <si>
    <t>Operating Cost: Wastewater [WWF13]</t>
  </si>
  <si>
    <t>Operating Cost per Property: Wastewater [WWF14]</t>
  </si>
  <si>
    <t>Annual Depreciation: Wastewater [WWF15]</t>
  </si>
  <si>
    <t>Interest: Wastewater [WWF16a]</t>
  </si>
  <si>
    <t>Debt affordability: Wastewater [WWF16b]</t>
  </si>
  <si>
    <t>Operational Cost Coverage: Wastewater [WWF17]</t>
  </si>
  <si>
    <t>Total Cost: Wastewater [WWF18]</t>
  </si>
  <si>
    <t>Total Cost per Property: Wastewater [WWF19]</t>
  </si>
  <si>
    <t>Budgeted Capital Expenditure: Wastewater [WWF20]</t>
  </si>
  <si>
    <t>Budgeted capital to meet additional demand [WWF20a]</t>
  </si>
  <si>
    <t>Budgeted capital to improve the level of service [WWF20b]</t>
  </si>
  <si>
    <t>Budgeted capital to replace existing assets [WWF20c]</t>
  </si>
  <si>
    <t>Actual Capital Expenditure: Wastewater [WWF21]</t>
  </si>
  <si>
    <t>Actual capital to meet additional demand [WWF21a]</t>
  </si>
  <si>
    <t>Actual capital to improve the level of service [WWF21b]</t>
  </si>
  <si>
    <t>Actual capital to replace existing assets [WWF21c]</t>
  </si>
  <si>
    <t>Actual Capital Expenditure per Property: Wastewater [WWF22]</t>
  </si>
  <si>
    <t>Development Contributions: Wastewater assets [WWF23]</t>
  </si>
  <si>
    <t>Wastewater facility value at end of reporting year [WWF24a]</t>
  </si>
  <si>
    <t>Other wastewater asset value [WWF24b]</t>
  </si>
  <si>
    <t>Decline in Service Potential: Wastewater [WWF25]</t>
  </si>
  <si>
    <t>External Grants: Wastewater [WWF26]</t>
  </si>
  <si>
    <t>Water Serviced Properties: Non-Residential [WSB3]</t>
  </si>
  <si>
    <t>Non-residential Water Consumption [WSB7]</t>
  </si>
  <si>
    <t>Properties with Water Meters - Residential [WSA9a]</t>
  </si>
  <si>
    <t>Properties with Water Meters - Non-Residential  [WSA9b]</t>
  </si>
  <si>
    <t>Fixed Charge: Non-residential water [WSS7a]</t>
  </si>
  <si>
    <t>Fixed Charge Type: Non-residential water [WSS7b]</t>
  </si>
  <si>
    <t>Volumetric Charge: Non-residential water [WSS7c]</t>
  </si>
  <si>
    <t>Attendance for urgent water supply fault call-outs [WSS10a]</t>
  </si>
  <si>
    <t>Resolution for urgent water supply fault call-outs [WSS10b]</t>
  </si>
  <si>
    <t>Attendance for non-urgent water supply fault call-outs [WSS10c]</t>
  </si>
  <si>
    <t>Resolution for non-urgent water supply fault call-outs [WSS10d]</t>
  </si>
  <si>
    <t>Non-compliant fire hydrants [WSS12b]</t>
  </si>
  <si>
    <t>Council Contract Management Costs : Water Supply [WSF11]</t>
  </si>
  <si>
    <t>Wastewater Serviced Properties: Non-residential [WWB3]</t>
  </si>
  <si>
    <t>Treatment Plant sludge production of wet sludge/biosolids [WWA7j-1]</t>
  </si>
  <si>
    <t>Percentage of dry solids in wastewater sludge/biosolids [WWA7j-2]</t>
  </si>
  <si>
    <t>Disposal of wastewater sludge in year to on site stockpile [WWA7k-1]</t>
  </si>
  <si>
    <t>Disposal of wastewater sludge in year to landfill [WWA7k-2]</t>
  </si>
  <si>
    <t>Disposal of wastewater sludge in year to composting and reuse [WWA7k-3]</t>
  </si>
  <si>
    <t>Disposal of wastewater sludge in year to other routes [WWA7k-4]</t>
  </si>
  <si>
    <t>Last year desludged [WWA7k-5]</t>
  </si>
  <si>
    <t>Stormwater Serviced Properties - Residential [SWB2]</t>
  </si>
  <si>
    <t>Stormwater Serviced Properties - Non-residential [SWB3]</t>
  </si>
  <si>
    <t>Actual Versus Budgeted Expenditure [(WSF20+WWF21+SWF17)/WSF19+WWF20+SWF16)]</t>
  </si>
  <si>
    <t>Balanced Budget [(WSF1+WSF2)/(WSF12+WSF15a)]</t>
  </si>
  <si>
    <t>Balanced Budget [(WWF1+WWF2)/(WWF13+WWF16a)]</t>
  </si>
  <si>
    <t>Balanced Budget [SWF1/(SWF9+SWF12a)]</t>
  </si>
  <si>
    <t>Contracted staff per 1000 serviced properties [CB11/(WSB4+WWB4)]</t>
  </si>
  <si>
    <t>Days of treated water stored in resevoirs on average [WSA7/(WSB5/365)]</t>
  </si>
  <si>
    <t>Debt servicing [SWF12a/SWF1]</t>
  </si>
  <si>
    <t>Debt servicing [WSF15a/(WSF1 + WSF2)]</t>
  </si>
  <si>
    <t>Debt servicing [WWF16a/(WWF1 + WWF2)]</t>
  </si>
  <si>
    <t>Dry Weather Wastewater Overflows per 1000 connections [WWE1/WWB4]</t>
  </si>
  <si>
    <t>Internal staff per 1000 serviced properties [CB10/(WSB4+WWB4)]</t>
  </si>
  <si>
    <t>Lost time injuries per staff member (internal and contracted) [CB13/(CB10+CB11)]</t>
  </si>
  <si>
    <t>Near miss reports per staff member (internal and contracted) [CB12/(CB10+CB11)]</t>
  </si>
  <si>
    <t>Percentage of nonresidential connections with meters [WSA9b/WSB3]</t>
  </si>
  <si>
    <t>Percentage of residential connections with meters [WSA9a/WSB2]</t>
  </si>
  <si>
    <t>Resevoir average level [WSA7/WSA8]</t>
  </si>
  <si>
    <t>Total Revenue [WSF4+WWF4+SWF3]</t>
  </si>
  <si>
    <t>Vacancies per 1000 serviced properties [CB10a/(WSB4+WWB4)]</t>
  </si>
  <si>
    <t xml:space="preserve">Volumetric Charge for 200m3 </t>
  </si>
  <si>
    <t>Wastewater connection density [WWB4/WWA1a]</t>
  </si>
  <si>
    <t>Wastewater Pump Stations without backup generators [WWA5-WWA5a]</t>
  </si>
  <si>
    <t>Wastewater Treatment Plants  without backup generators [WWA7a -WWA7l]</t>
  </si>
  <si>
    <t>Water Pump Stations without backup generators [WSA5-WSA5a]</t>
  </si>
  <si>
    <t>Water Supply Connection Density [WSB4/WSA1a]</t>
  </si>
  <si>
    <t>Water Treatment Plants without backup generators [WSA4-WSA4a]</t>
  </si>
  <si>
    <t>Wet Weather Wastewater Overflows per 1000 connections [WWE2a/WWB4]</t>
  </si>
  <si>
    <t>Water capital expenditure versus depreciation [WSF20/WSF14]</t>
  </si>
  <si>
    <t>Wastewater capital expenditure versus depreciation [WWF21/WWF15]</t>
  </si>
  <si>
    <t>Stormwater capital expenditure versus depreciation [SWF17/SWF11]</t>
  </si>
  <si>
    <t>Water and wastewater properties serviced [WSB4+WWB4]</t>
  </si>
  <si>
    <t>Fixed Charge: Residential water [WSS8a;MAX]</t>
  </si>
  <si>
    <t>Fixed Charge: Residential water [WSS8a;MIN]</t>
  </si>
  <si>
    <t>Average Residential Water Charge Based on 200 m3/yr [WSS9;MAX]</t>
  </si>
  <si>
    <t>Average Residential Water Charge Based on 200 m3/yr [WSS9a;MIN]</t>
  </si>
  <si>
    <t>Peak wet to average dry weather ratio [WWA7m;MAX]</t>
  </si>
  <si>
    <t>Peak wet to average dry weather ratio [WWA7m;MIN]</t>
  </si>
  <si>
    <t>Wastewater maintenance [WWF9+WWF10]</t>
  </si>
  <si>
    <t>Total CAPEX [SWF17, WWF21, WSF20]</t>
  </si>
  <si>
    <t>Total asset value (WWF24b, WSF23b, SWF20, WWF24a, WSF23a)</t>
  </si>
  <si>
    <t>Developer Contributions (WSS22,WWF23,SWF19)</t>
  </si>
  <si>
    <t>Reactive vs Routine Water Supply OPEX (WSF9b/WSF9a)</t>
  </si>
  <si>
    <t>Reactive vs Routine Wastewater OPEX (WWF10/WWF9)</t>
  </si>
  <si>
    <t>Reactive vs Routine Stormwater OPEX (WWF10/WWF9)</t>
  </si>
  <si>
    <t>Weighted inflow infiltration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</si>
</sst>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7" formatCode="&quot;$&quot;#,##0.00;\-&quot;$&quot;#,##0.00"/>
    <numFmt numFmtId="8" formatCode="&quot;$&quot;#,##0.00;[Red]\-&quot;$&quot;#,##0.00"/>
    <numFmt numFmtId="41" formatCode="_-* #,##0_-;\-* #,##0_-;_-* &quot;-&quot;_-;_-@_-"/>
    <numFmt numFmtId="44" formatCode="_-&quot;$&quot;* #,##0.00_-;\-&quot;$&quot;* #,##0.00_-;_-&quot;$&quot;* &quot;-&quot;??_-;_-@_-"/>
    <numFmt numFmtId="43" formatCode="_-* #,##0.00_-;\-* #,##0.00_-;_-* &quot;-&quot;??_-;_-@_-"/>
    <numFmt numFmtId="164" formatCode="_(* #,##0.00_);_(* \(#,##0.00\);_(* &quot;-&quot;??_);_(@_)"/>
    <numFmt numFmtId="165" formatCode="_(&quot;$&quot;* #,##0.00_);_(&quot;$&quot;* \(#,##0.00\);_(&quot;$&quot;* &quot;-&quot;??_);_(@_)"/>
    <numFmt numFmtId="166" formatCode="#,###;[Red]\(#,###\)"/>
    <numFmt numFmtId="167" formatCode="#,##0_);[Red]\(#,##0\)"/>
    <numFmt numFmtId="168" formatCode="_-\ &quot;$&quot;#,##0_-&quot;/day&quot;_-;_-\ \-&quot;$&quot;#,##0_-&quot;/day&quot;_-;_-\ &quot;$&quot;0_-&quot;/day&quot;_-;_-@_-"/>
    <numFmt numFmtId="169" formatCode="_-\ &quot;$&quot;#,##0_-&quot;/h&quot;_-;_-\ \-&quot;$&quot;#,##0_-&quot;/h&quot;_-;_-\ &quot;$&quot;0_-&quot;/h&quot;_-;_-@_-"/>
    <numFmt numFmtId="170" formatCode="_-\ &quot;$&quot;#,##0_-&quot;/m&quot;_-;_-\ \-&quot;$&quot;#,##0_-&quot;/m&quot;_-;_-\ &quot;$&quot;0_-&quot;/m&quot;_-;_-@_-"/>
    <numFmt numFmtId="171" formatCode="dd/mm/yyyy\ hh:mm:ss.000"/>
    <numFmt numFmtId="172" formatCode="_-\ #,##0_-&quot;day(s)&quot;_-;_-\ \-#,##0_-&quot;day(s)&quot;_-;_-\ 0_-&quot;day(s)&quot;_-;_-@_-"/>
    <numFmt numFmtId="173" formatCode="_-\ #,##0_-&quot;GL&quot;_-;_-\ \-#,##0_-&quot;GL&quot;_-;_-\ 0_-&quot;GL&quot;_-;_-@_-"/>
    <numFmt numFmtId="174" formatCode="_-\ #,##0_-&quot;GL/y&quot;_-;_-\ \-#,##0_-&quot;GL/y&quot;_-;_-\ 0_-&quot;GL/y&quot;_-;_-@_-"/>
    <numFmt numFmtId="175" formatCode="_-\ #,##0_-&quot;hrs&quot;_-;_-\ \-#,##0_-&quot;hrs&quot;_-;_-\ 0_-&quot;hrs&quot;_-;_-@_-"/>
    <numFmt numFmtId="176" formatCode="_-\ #,##0_-&quot;kg&quot;_-;_-\ \-#,##0_-&quot;kg&quot;_-;_-\ 0_-&quot;kg&quot;_-;_-@_-"/>
    <numFmt numFmtId="177" formatCode="_-\ #,##0_-&quot;kL&quot;_-;_-\ \-#,##0_-&quot;kL&quot;_-;_-\ 0_-&quot;kL&quot;_-;_-@_-"/>
    <numFmt numFmtId="178" formatCode="_-\ #,##0_-&quot;kL/h&quot;_-;_-\ \-#,##0_-&quot;kL/h&quot;_-;_-\ 0_-&quot;kL/h&quot;_-;_-@_-"/>
    <numFmt numFmtId="179" formatCode="_-\ #,##0_-&quot;kL/ser/d&quot;_-;_-\ \-#,##0_-&quot;kL/ser/d&quot;_-;_-\ 0_-&quot;kL/ser/d&quot;_-;_-@_-"/>
    <numFmt numFmtId="180" formatCode="_-\ #,##0_-&quot;km&quot;_-;_-\ \-#,##0_-&quot;km&quot;_-;_-\ 0_-&quot;km&quot;_-;_-@_-"/>
    <numFmt numFmtId="181" formatCode="_-\ #,##0_-&quot;kPa&quot;_-;_-\ \-#,##0_-&quot;kPa&quot;_-;_-\ 0_-&quot;kPa&quot;_-;_-@_-"/>
    <numFmt numFmtId="182" formatCode="_-\ #,##0_-&quot;kW&quot;_-;_-\ \-#,##0_-&quot;kW&quot;_-;_-\ 0_-&quot;kW&quot;_-;_-@_-"/>
    <numFmt numFmtId="183" formatCode="_-\ #,##0_-&quot;kWh&quot;_-;_-\ \-#,##0_-&quot;kWh&quot;_-;_-\ 0_-&quot;kWh&quot;_-;_-@_-"/>
    <numFmt numFmtId="184" formatCode="_-\ #,##0_-&quot;L&quot;_-;_-\ \-#,##0_-&quot;L&quot;_-;_-\ 0_-&quot;L&quot;_-;_-@_-"/>
    <numFmt numFmtId="185" formatCode="_-\ #,##0_-&quot;L/min&quot;_-;_-\ \-#,##0_-&quot;L/min&quot;_-;_-\ 0_-&quot;L/min&quot;_-;_-@_-"/>
    <numFmt numFmtId="186" formatCode="_-\ #,##0_-&quot;L/s&quot;_-;_-\ \-#,##0_-&quot;L/s&quot;_-;_-\ 0_-&quot;L/s&quot;_-;_-@_-"/>
    <numFmt numFmtId="187" formatCode="_-\ #,##0_-&quot;m&quot;_-;_-\ \-#,##0_-&quot;m&quot;_-;_-\ 0_-&quot;m&quot;_-;_-@_-"/>
    <numFmt numFmtId="188" formatCode="_-\ #,##0_-&quot;m/km&quot;_-;_-\ \-#,##0_-&quot;m/km&quot;_-;_-\ 0_-&quot;m/km&quot;_-;_-@_-"/>
    <numFmt numFmtId="189" formatCode="_-\ #,##0_-&quot;m/s&quot;_-;_-\ \-#,##0_-&quot;m/s&quot;_-;_-\ 0_-&quot;m/s&quot;_-;_-@_-"/>
    <numFmt numFmtId="190" formatCode="_-\ #,##0_-&quot;mAHD&quot;_-;_-\ \-#,##0_-&quot;mAHD&quot;_-;_-\ 0_-&quot;mAHD&quot;_-;_-@_-"/>
    <numFmt numFmtId="191" formatCode="_-\ #,##0_-&quot;MJ&quot;_-;_-\ \-#,##0_-&quot;MJ&quot;_-;_-\ 0_-&quot;MJ&quot;_-;_-@_-"/>
    <numFmt numFmtId="192" formatCode="_-\ #,##0_-&quot;ML&quot;_-;_-\ \-#,##0_-&quot;ML&quot;_-;_-\ 0_-&quot;ML&quot;_-;_-@_-"/>
    <numFmt numFmtId="193" formatCode="_-\ #,##0_-&quot;ML/d&quot;_-;_-\ \-#,##0_-&quot;ML/d&quot;_-;_-\ 0_-&quot;ML/d&quot;_-;_-@_-"/>
    <numFmt numFmtId="194" formatCode="_-\ #,##0_-&quot;mm&quot;_-;_-\ \-#,##0_-&quot;mm&quot;_-;_-\ 0_-&quot;mm&quot;_-;_-@_-"/>
    <numFmt numFmtId="195" formatCode="_-\ #,##0_-&quot;mNCD&quot;_-;_-\ \-#,##0_-&quot;mNCD&quot;_-;_-\ 0_-&quot;mNCD&quot;_-;_-@_-"/>
    <numFmt numFmtId="196" formatCode="_-\ ###0_-&quot;rpm&quot;_-;_-\ \-###0_-&quot;rpm&quot;_-;_-\ 0_-&quot;rpm&quot;_-;_-@_-"/>
    <numFmt numFmtId="197" formatCode="0.000"/>
    <numFmt numFmtId="198" formatCode="&quot;$&quot;#,##0.00"/>
    <numFmt numFmtId="199" formatCode="0.0"/>
    <numFmt numFmtId="200" formatCode="0.0000"/>
    <numFmt numFmtId="201" formatCode="&quot;$&quot;#,##0"/>
    <numFmt numFmtId="202" formatCode="#,##0.000"/>
    <numFmt numFmtId="203" formatCode="#,##0;[Red]\(#,##0\)"/>
    <numFmt numFmtId="204" formatCode="_-* #,##0_-;\-* #,##0_-;_-* &quot;-&quot;??_-;_-@_-"/>
  </numFmts>
  <fonts count="136">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8"/>
      <color theme="3"/>
      <name val="Calibri"/>
      <family val="2"/>
      <scheme val="minor"/>
    </font>
    <font>
      <sz val="10"/>
      <color indexed="8"/>
      <name val="Arial"/>
      <family val="2"/>
    </font>
    <font>
      <sz val="10"/>
      <name val="Arial"/>
      <family val="2"/>
    </font>
    <font>
      <sz val="11"/>
      <color indexed="8"/>
      <name val="Calibri"/>
      <family val="2"/>
    </font>
    <font>
      <u/>
      <sz val="11"/>
      <color theme="10"/>
      <name val="Calibri"/>
      <family val="2"/>
      <scheme val="minor"/>
    </font>
    <font>
      <sz val="10"/>
      <name val="Times New Roman"/>
      <family val="1"/>
    </font>
    <font>
      <sz val="8"/>
      <name val="Arial"/>
      <family val="2"/>
    </font>
    <font>
      <sz val="10"/>
      <name val="MS Sans Serif"/>
      <family val="2"/>
    </font>
    <font>
      <sz val="10"/>
      <name val="Tms Rmn"/>
    </font>
    <font>
      <u/>
      <sz val="10"/>
      <color indexed="12"/>
      <name val="Arial"/>
      <family val="2"/>
    </font>
    <font>
      <u/>
      <sz val="10"/>
      <color theme="10"/>
      <name val="Arial"/>
      <family val="2"/>
    </font>
    <font>
      <sz val="10"/>
      <color theme="1"/>
      <name val="Arial Mäori"/>
      <family val="2"/>
    </font>
    <font>
      <sz val="9"/>
      <color theme="0"/>
      <name val="Arial"/>
      <family val="2"/>
    </font>
    <font>
      <u/>
      <sz val="11"/>
      <color theme="10"/>
      <name val="Calibri"/>
      <family val="2"/>
    </font>
    <font>
      <u/>
      <sz val="11"/>
      <color indexed="12"/>
      <name val="Calibri"/>
      <family val="2"/>
    </font>
    <font>
      <sz val="10"/>
      <color theme="1"/>
      <name val="Arial"/>
      <family val="2"/>
    </font>
    <font>
      <sz val="12"/>
      <color theme="1"/>
      <name val="Arial"/>
      <family val="2"/>
    </font>
    <font>
      <sz val="11"/>
      <color rgb="FF000000"/>
      <name val="Calibri"/>
      <family val="2"/>
    </font>
    <font>
      <b/>
      <sz val="12"/>
      <name val="Tahoma"/>
      <family val="2"/>
    </font>
    <font>
      <b/>
      <sz val="9"/>
      <name val="Tahoma"/>
      <family val="2"/>
    </font>
    <font>
      <b/>
      <vertAlign val="superscript"/>
      <sz val="14"/>
      <name val="Tahoma"/>
      <family val="2"/>
    </font>
    <font>
      <sz val="9"/>
      <name val="Tahoma"/>
      <family val="2"/>
    </font>
    <font>
      <sz val="10"/>
      <color theme="1"/>
      <name val="Arial Narrow"/>
      <family val="2"/>
    </font>
    <font>
      <b/>
      <u/>
      <sz val="10"/>
      <name val="Arial"/>
      <family val="2"/>
    </font>
    <font>
      <sz val="12"/>
      <name val="Arial Narrow"/>
      <family val="2"/>
    </font>
    <font>
      <b/>
      <sz val="10"/>
      <color indexed="12"/>
      <name val="Arial"/>
      <family val="2"/>
    </font>
    <font>
      <b/>
      <u/>
      <sz val="12"/>
      <name val="Arial"/>
      <family val="2"/>
    </font>
    <font>
      <b/>
      <i/>
      <sz val="10"/>
      <name val="Arial"/>
      <family val="2"/>
    </font>
    <font>
      <b/>
      <u/>
      <sz val="10"/>
      <color indexed="12"/>
      <name val="Arial"/>
      <family val="2"/>
    </font>
    <font>
      <i/>
      <u/>
      <sz val="10"/>
      <name val="Arial"/>
      <family val="2"/>
    </font>
    <font>
      <b/>
      <sz val="10"/>
      <color indexed="60"/>
      <name val="Arial"/>
      <family val="2"/>
    </font>
    <font>
      <i/>
      <sz val="10"/>
      <name val="Comic Sans MS"/>
      <family val="4"/>
    </font>
    <font>
      <i/>
      <sz val="8"/>
      <name val="Arial"/>
      <family val="2"/>
    </font>
    <font>
      <b/>
      <sz val="10"/>
      <name val="Comic Sans MS"/>
      <family val="4"/>
    </font>
    <font>
      <b/>
      <u val="doubleAccounting"/>
      <sz val="10"/>
      <name val="Arial"/>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color theme="1"/>
      <name val="Calibri"/>
      <family val="2"/>
      <scheme val="minor"/>
    </font>
    <font>
      <b/>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i/>
      <u/>
      <sz val="10"/>
      <name val="Tms Rmn"/>
    </font>
    <font>
      <sz val="10"/>
      <color rgb="FF3F3F76"/>
      <name val="Arial"/>
      <family val="2"/>
    </font>
    <font>
      <sz val="10"/>
      <color rgb="FFFA7D00"/>
      <name val="Arial"/>
      <family val="2"/>
    </font>
    <font>
      <sz val="10"/>
      <color rgb="FF9C6500"/>
      <name val="Arial"/>
      <family val="2"/>
    </font>
    <font>
      <b/>
      <sz val="10"/>
      <color rgb="FF3F3F3F"/>
      <name val="Arial"/>
      <family val="2"/>
    </font>
    <font>
      <sz val="10"/>
      <color rgb="FFFF0000"/>
      <name val="Arial"/>
      <family val="2"/>
    </font>
    <font>
      <b/>
      <sz val="15"/>
      <color theme="3"/>
      <name val="Arial"/>
      <family val="2"/>
    </font>
    <font>
      <b/>
      <sz val="13"/>
      <color theme="3"/>
      <name val="Arial"/>
      <family val="2"/>
    </font>
    <font>
      <b/>
      <sz val="11"/>
      <color theme="3"/>
      <name val="Arial"/>
      <family val="2"/>
    </font>
    <font>
      <sz val="11"/>
      <color theme="1"/>
      <name val="Arial"/>
      <family val="2"/>
    </font>
    <font>
      <sz val="10"/>
      <name val="Century Schoolbook"/>
      <family val="1"/>
    </font>
    <font>
      <b/>
      <sz val="16"/>
      <name val="Arial"/>
      <family val="2"/>
    </font>
    <font>
      <b/>
      <sz val="12"/>
      <name val="Arial"/>
      <family val="2"/>
    </font>
    <font>
      <sz val="11"/>
      <color theme="4" tint="0.39997558519241921"/>
      <name val="Calibri"/>
      <family val="2"/>
      <scheme val="minor"/>
    </font>
    <font>
      <sz val="11"/>
      <color theme="5" tint="0.39997558519241921"/>
      <name val="Calibri"/>
      <family val="2"/>
      <scheme val="minor"/>
    </font>
    <font>
      <sz val="11"/>
      <color theme="9" tint="0.39997558519241921"/>
      <name val="Calibri"/>
      <family val="2"/>
      <scheme val="minor"/>
    </font>
    <font>
      <sz val="11"/>
      <color theme="6" tint="0.39997558519241921"/>
      <name val="Calibri"/>
      <family val="2"/>
      <scheme val="minor"/>
    </font>
    <font>
      <sz val="11"/>
      <name val="Calibri"/>
      <family val="2"/>
      <scheme val="minor"/>
    </font>
    <font>
      <sz val="11"/>
      <color theme="5"/>
      <name val="Calibri"/>
      <family val="2"/>
      <scheme val="minor"/>
    </font>
    <font>
      <b/>
      <sz val="11"/>
      <color theme="4"/>
      <name val="Calibri"/>
      <family val="2"/>
      <scheme val="minor"/>
    </font>
    <font>
      <sz val="11"/>
      <color theme="9"/>
      <name val="Calibri"/>
      <family val="2"/>
      <scheme val="minor"/>
    </font>
    <font>
      <sz val="11"/>
      <color theme="6"/>
      <name val="Calibri"/>
      <family val="2"/>
      <scheme val="minor"/>
    </font>
    <font>
      <vertAlign val="superscript"/>
      <sz val="11"/>
      <color theme="1"/>
      <name val="Calibri"/>
      <family val="2"/>
      <scheme val="minor"/>
    </font>
    <font>
      <u/>
      <sz val="12"/>
      <color theme="10"/>
      <name val="Arial"/>
      <family val="2"/>
    </font>
    <font>
      <sz val="12"/>
      <name val="Arial"/>
      <family val="2"/>
    </font>
    <font>
      <sz val="11"/>
      <color rgb="FF9C0006"/>
      <name val="Arial"/>
      <family val="2"/>
    </font>
    <font>
      <sz val="11"/>
      <color theme="0" tint="-0.34998626667073579"/>
      <name val="Calibri"/>
      <family val="2"/>
      <scheme val="minor"/>
    </font>
    <font>
      <sz val="10"/>
      <color theme="3" tint="-0.24994659260841701"/>
      <name val="Trebuchet MS"/>
      <family val="2"/>
    </font>
    <font>
      <sz val="12"/>
      <color theme="1"/>
      <name val="Calibri"/>
      <family val="2"/>
    </font>
    <font>
      <sz val="8"/>
      <color theme="1"/>
      <name val="Calibri"/>
      <family val="2"/>
      <scheme val="minor"/>
    </font>
    <font>
      <sz val="9"/>
      <color theme="1"/>
      <name val="Calibri"/>
      <family val="2"/>
    </font>
    <font>
      <sz val="11"/>
      <color theme="1"/>
      <name val="Calibri"/>
      <family val="2"/>
    </font>
    <font>
      <i/>
      <sz val="11"/>
      <color theme="1"/>
      <name val="Calibri"/>
      <family val="2"/>
      <scheme val="minor"/>
    </font>
    <font>
      <b/>
      <sz val="11"/>
      <name val="Calibri"/>
      <family val="2"/>
      <scheme val="minor"/>
    </font>
    <font>
      <u/>
      <sz val="11"/>
      <color theme="3"/>
      <name val="Calibri"/>
      <family val="2"/>
    </font>
    <font>
      <u/>
      <sz val="11"/>
      <color theme="3"/>
      <name val="Calibri"/>
      <family val="2"/>
      <scheme val="minor"/>
    </font>
    <font>
      <sz val="11"/>
      <color theme="0" tint="-4.9989318521683403E-2"/>
      <name val="Calibri"/>
      <family val="2"/>
      <scheme val="minor"/>
    </font>
    <font>
      <b/>
      <sz val="11"/>
      <color theme="1"/>
      <name val="Calibri"/>
      <family val="2"/>
    </font>
    <font>
      <u/>
      <sz val="11"/>
      <color theme="4" tint="-0.499984740745262"/>
      <name val="Calibri"/>
      <family val="2"/>
      <scheme val="minor"/>
    </font>
    <font>
      <b/>
      <sz val="14"/>
      <name val="Arial"/>
      <family val="2"/>
    </font>
    <font>
      <b/>
      <sz val="10"/>
      <name val="Arial"/>
      <family val="2"/>
    </font>
    <font>
      <sz val="11"/>
      <name val="Arial"/>
      <family val="2"/>
    </font>
    <font>
      <b/>
      <u val="singleAccounting"/>
      <sz val="10"/>
      <name val="Arial"/>
      <family val="2"/>
    </font>
    <font>
      <u/>
      <sz val="10"/>
      <name val="Arial"/>
      <family val="2"/>
    </font>
    <font>
      <b/>
      <sz val="20"/>
      <color rgb="FFFF0000"/>
      <name val="Calibri"/>
      <family val="2"/>
      <scheme val="minor"/>
    </font>
    <font>
      <b/>
      <sz val="16"/>
      <color theme="3" tint="-0.24994659260841701"/>
      <name val="Calibri"/>
      <family val="2"/>
      <scheme val="minor"/>
    </font>
    <font>
      <b/>
      <sz val="11"/>
      <color theme="4" tint="-0.24994659260841701"/>
      <name val="Calibri"/>
      <family val="2"/>
      <scheme val="minor"/>
    </font>
    <font>
      <b/>
      <sz val="14"/>
      <color theme="3" tint="-0.24994659260841701"/>
      <name val="Calibri"/>
      <family val="2"/>
      <scheme val="minor"/>
    </font>
    <font>
      <sz val="16"/>
      <color theme="1"/>
      <name val="Calibri"/>
      <family val="2"/>
      <scheme val="minor"/>
    </font>
    <font>
      <sz val="16"/>
      <color theme="3" tint="-0.24994659260841701"/>
      <name val="Calibri"/>
      <family val="2"/>
      <scheme val="minor"/>
    </font>
    <font>
      <b/>
      <sz val="10"/>
      <color theme="1"/>
      <name val="Calibri"/>
      <family val="2"/>
      <scheme val="minor"/>
    </font>
    <font>
      <u/>
      <sz val="11"/>
      <color theme="1"/>
      <name val="Calibri"/>
      <family val="2"/>
      <scheme val="minor"/>
    </font>
    <font>
      <b/>
      <sz val="20"/>
      <color theme="3"/>
      <name val="Calibri"/>
      <family val="2"/>
      <scheme val="minor"/>
    </font>
    <font>
      <b/>
      <sz val="14"/>
      <color theme="3"/>
      <name val="Calibri"/>
      <family val="2"/>
      <scheme val="minor"/>
    </font>
    <font>
      <sz val="11"/>
      <color theme="3"/>
      <name val="Calibri"/>
      <family val="2"/>
      <scheme val="minor"/>
    </font>
    <font>
      <sz val="11"/>
      <color theme="3" tint="0.39997558519241921"/>
      <name val="Calibri"/>
      <family val="2"/>
      <scheme val="minor"/>
    </font>
    <font>
      <b/>
      <i/>
      <sz val="11"/>
      <color theme="0"/>
      <name val="Calibri"/>
      <family val="2"/>
      <scheme val="minor"/>
    </font>
    <font>
      <b/>
      <sz val="12"/>
      <color theme="1"/>
      <name val="Arial"/>
      <family val="2"/>
    </font>
  </fonts>
  <fills count="7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13"/>
        <bgColor indexed="64"/>
      </patternFill>
    </fill>
    <fill>
      <patternFill patternType="solid">
        <fgColor indexed="2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249977111117893"/>
        <bgColor indexed="64"/>
      </patternFill>
    </fill>
    <fill>
      <patternFill patternType="solid">
        <fgColor theme="0"/>
        <bgColor indexed="64"/>
      </patternFill>
    </fill>
    <fill>
      <patternFill patternType="solid">
        <fgColor theme="8" tint="0.59996337778862885"/>
        <bgColor indexed="64"/>
      </patternFill>
    </fill>
    <fill>
      <patternFill patternType="solid">
        <fgColor rgb="FFFFFF00"/>
        <bgColor indexed="64"/>
      </patternFill>
    </fill>
    <fill>
      <patternFill patternType="solid">
        <fgColor rgb="FFC0C0C0"/>
        <bgColor indexed="64"/>
      </patternFill>
    </fill>
    <fill>
      <patternFill patternType="solid">
        <fgColor rgb="FFFFFFCC"/>
        <bgColor indexed="64"/>
      </patternFill>
    </fill>
    <fill>
      <patternFill patternType="solid">
        <fgColor theme="3" tint="-0.24994659260841701"/>
        <bgColor indexed="64"/>
      </patternFill>
    </fill>
    <fill>
      <patternFill patternType="solid">
        <fgColor rgb="FF00B050"/>
        <bgColor indexed="64"/>
      </patternFill>
    </fill>
    <fill>
      <patternFill patternType="solid">
        <fgColor theme="3" tint="0.39997558519241921"/>
        <bgColor indexed="64"/>
      </patternFill>
    </fill>
    <fill>
      <patternFill patternType="solid">
        <fgColor theme="3"/>
        <bgColor indexed="64"/>
      </patternFill>
    </fill>
    <fill>
      <patternFill patternType="solid">
        <fgColor theme="4" tint="-0.24991607409894101"/>
        <bgColor indexed="64"/>
      </patternFill>
    </fill>
    <fill>
      <patternFill patternType="solid">
        <fgColor theme="0" tint="-0.3499252296517838"/>
        <bgColor indexed="64"/>
      </patternFill>
    </fill>
    <fill>
      <patternFill patternType="solid">
        <fgColor theme="6" tint="-0.24991607409894101"/>
        <bgColor indexed="64"/>
      </patternFill>
    </fill>
    <fill>
      <patternFill patternType="solid">
        <fgColor rgb="FF00B0F0"/>
        <bgColor indexed="64"/>
      </patternFill>
    </fill>
    <fill>
      <patternFill patternType="solid">
        <fgColor theme="6" tint="0.79998168889431442"/>
        <bgColor indexed="64"/>
      </patternFill>
    </fill>
  </fills>
  <borders count="17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ashed">
        <color theme="0" tint="-0.499984740745262"/>
      </left>
      <right style="dashed">
        <color theme="0" tint="-0.499984740745262"/>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499984740745262"/>
      </left>
      <right style="dashed">
        <color theme="0" tint="-0.499984740745262"/>
      </right>
      <top/>
      <bottom style="dashed">
        <color theme="0" tint="-0.499984740745262"/>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bottom style="hair">
        <color theme="0" tint="-0.499984740745262"/>
      </bottom>
      <diagonal/>
    </border>
    <border>
      <left/>
      <right style="dashed">
        <color theme="0" tint="-0.499984740745262"/>
      </right>
      <top/>
      <bottom style="dashed">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hair">
        <color theme="0" tint="-0.499984740745262"/>
      </right>
      <top/>
      <bottom/>
      <diagonal/>
    </border>
    <border>
      <left/>
      <right/>
      <top style="thin">
        <color indexed="64"/>
      </top>
      <bottom/>
      <diagonal/>
    </border>
    <border>
      <left/>
      <right style="dashed">
        <color theme="0" tint="-0.499984740745262"/>
      </right>
      <top/>
      <bottom style="medium">
        <color theme="4" tint="-0.249977111117893"/>
      </bottom>
      <diagonal/>
    </border>
    <border>
      <left/>
      <right/>
      <top/>
      <bottom style="medium">
        <color theme="4" tint="-0.249977111117893"/>
      </bottom>
      <diagonal/>
    </border>
    <border>
      <left style="hair">
        <color theme="0" tint="-0.499984740745262"/>
      </left>
      <right style="hair">
        <color theme="0" tint="-0.499984740745262"/>
      </right>
      <top style="hair">
        <color theme="0" tint="-0.499984740745262"/>
      </top>
      <bottom style="medium">
        <color theme="4" tint="-0.249977111117893"/>
      </bottom>
      <diagonal/>
    </border>
    <border>
      <left style="dashed">
        <color theme="0" tint="-0.499984740745262"/>
      </left>
      <right style="dashed">
        <color theme="0" tint="-0.499984740745262"/>
      </right>
      <top style="dashed">
        <color theme="0" tint="-0.499984740745262"/>
      </top>
      <bottom style="medium">
        <color theme="4" tint="-0.249977111117893"/>
      </bottom>
      <diagonal/>
    </border>
    <border>
      <left/>
      <right style="dashed">
        <color theme="0" tint="-0.499984740745262"/>
      </right>
      <top style="dashed">
        <color theme="0" tint="-0.499984740745262"/>
      </top>
      <bottom style="medium">
        <color theme="4" tint="-0.249977111117893"/>
      </bottom>
      <diagonal/>
    </border>
    <border>
      <left/>
      <right style="hair">
        <color theme="0" tint="-0.499984740745262"/>
      </right>
      <top/>
      <bottom style="medium">
        <color theme="4" tint="-0.249977111117893"/>
      </bottom>
      <diagonal/>
    </border>
    <border>
      <left style="dashed">
        <color theme="0" tint="-0.499984740745262"/>
      </left>
      <right style="dashed">
        <color theme="0" tint="-0.499984740745262"/>
      </right>
      <top/>
      <bottom style="medium">
        <color theme="4" tint="-0.249977111117893"/>
      </bottom>
      <diagonal/>
    </border>
    <border>
      <left/>
      <right style="dashed">
        <color theme="0" tint="-0.499984740745262"/>
      </right>
      <top style="medium">
        <color theme="4" tint="-0.249977111117893"/>
      </top>
      <bottom style="medium">
        <color theme="4" tint="-0.249977111117893"/>
      </bottom>
      <diagonal/>
    </border>
    <border>
      <left/>
      <right style="hair">
        <color theme="0" tint="-0.499984740745262"/>
      </right>
      <top style="medium">
        <color theme="4" tint="-0.249977111117893"/>
      </top>
      <bottom style="medium">
        <color theme="4" tint="-0.249977111117893"/>
      </bottom>
      <diagonal/>
    </border>
    <border>
      <left style="hair">
        <color theme="0" tint="-0.499984740745262"/>
      </left>
      <right style="hair">
        <color theme="0" tint="-0.499984740745262"/>
      </right>
      <top style="medium">
        <color theme="4" tint="-0.249977111117893"/>
      </top>
      <bottom style="medium">
        <color theme="4" tint="-0.249977111117893"/>
      </bottom>
      <diagonal/>
    </border>
    <border>
      <left style="dashed">
        <color theme="0" tint="-0.499984740745262"/>
      </left>
      <right style="dashed">
        <color theme="0" tint="-0.499984740745262"/>
      </right>
      <top style="medium">
        <color theme="4" tint="-0.249977111117893"/>
      </top>
      <bottom style="medium">
        <color theme="4" tint="-0.249977111117893"/>
      </bottom>
      <diagonal/>
    </border>
    <border>
      <left/>
      <right style="hair">
        <color theme="0" tint="-0.499984740745262"/>
      </right>
      <top style="medium">
        <color theme="4" tint="-0.249977111117893"/>
      </top>
      <bottom/>
      <diagonal/>
    </border>
    <border>
      <left style="hair">
        <color theme="0" tint="-0.499984740745262"/>
      </left>
      <right style="hair">
        <color theme="0" tint="-0.499984740745262"/>
      </right>
      <top style="medium">
        <color theme="4" tint="-0.249977111117893"/>
      </top>
      <bottom style="hair">
        <color theme="0" tint="-0.499984740745262"/>
      </bottom>
      <diagonal/>
    </border>
    <border>
      <left/>
      <right style="dashed">
        <color theme="0" tint="-0.499984740745262"/>
      </right>
      <top style="medium">
        <color theme="4" tint="-0.249977111117893"/>
      </top>
      <bottom style="dashed">
        <color theme="0" tint="-0.499984740745262"/>
      </bottom>
      <diagonal/>
    </border>
    <border>
      <left style="dashed">
        <color theme="0" tint="-0.499984740745262"/>
      </left>
      <right style="dashed">
        <color theme="0" tint="-0.499984740745262"/>
      </right>
      <top style="medium">
        <color theme="4" tint="-0.249977111117893"/>
      </top>
      <bottom style="dashed">
        <color theme="0" tint="-0.499984740745262"/>
      </bottom>
      <diagonal/>
    </border>
    <border>
      <left style="hair">
        <color theme="0" tint="-0.499984740745262"/>
      </left>
      <right style="hair">
        <color theme="0" tint="-0.499984740745262"/>
      </right>
      <top style="hair">
        <color theme="0" tint="-0.499984740745262"/>
      </top>
      <bottom style="medium">
        <color theme="5" tint="-0.249977111117893"/>
      </bottom>
      <diagonal/>
    </border>
    <border>
      <left/>
      <right style="hair">
        <color theme="0" tint="-0.499984740745262"/>
      </right>
      <top/>
      <bottom style="medium">
        <color theme="5" tint="-0.249977111117893"/>
      </bottom>
      <diagonal/>
    </border>
    <border>
      <left style="dashed">
        <color theme="0" tint="-0.499984740745262"/>
      </left>
      <right style="dashed">
        <color theme="0" tint="-0.499984740745262"/>
      </right>
      <top style="dashed">
        <color theme="0" tint="-0.499984740745262"/>
      </top>
      <bottom style="medium">
        <color theme="5" tint="-0.249977111117893"/>
      </bottom>
      <diagonal/>
    </border>
    <border>
      <left/>
      <right style="dashed">
        <color theme="0" tint="-0.499984740745262"/>
      </right>
      <top style="dashed">
        <color theme="0" tint="-0.499984740745262"/>
      </top>
      <bottom style="medium">
        <color theme="5" tint="-0.249977111117893"/>
      </bottom>
      <diagonal/>
    </border>
    <border>
      <left/>
      <right/>
      <top/>
      <bottom style="medium">
        <color theme="9"/>
      </bottom>
      <diagonal/>
    </border>
    <border>
      <left style="dashed">
        <color theme="0" tint="-0.499984740745262"/>
      </left>
      <right style="dashed">
        <color theme="0" tint="-0.499984740745262"/>
      </right>
      <top style="dashed">
        <color theme="0" tint="-0.499984740745262"/>
      </top>
      <bottom style="medium">
        <color theme="9"/>
      </bottom>
      <diagonal/>
    </border>
    <border>
      <left style="dashed">
        <color theme="0" tint="-0.499984740745262"/>
      </left>
      <right style="dashed">
        <color theme="0" tint="-0.499984740745262"/>
      </right>
      <top/>
      <bottom style="medium">
        <color theme="9"/>
      </bottom>
      <diagonal/>
    </border>
    <border>
      <left/>
      <right style="dashed">
        <color theme="0" tint="-0.499984740745262"/>
      </right>
      <top style="medium">
        <color theme="9"/>
      </top>
      <bottom style="medium">
        <color theme="9"/>
      </bottom>
      <diagonal/>
    </border>
    <border>
      <left/>
      <right/>
      <top style="medium">
        <color theme="9"/>
      </top>
      <bottom style="medium">
        <color theme="9"/>
      </bottom>
      <diagonal/>
    </border>
    <border>
      <left style="dashed">
        <color theme="0" tint="-0.499984740745262"/>
      </left>
      <right style="dashed">
        <color theme="0" tint="-0.499984740745262"/>
      </right>
      <top style="medium">
        <color theme="9"/>
      </top>
      <bottom style="medium">
        <color theme="9"/>
      </bottom>
      <diagonal/>
    </border>
    <border>
      <left/>
      <right/>
      <top style="medium">
        <color theme="9"/>
      </top>
      <bottom/>
      <diagonal/>
    </border>
    <border>
      <left style="dashed">
        <color theme="0" tint="-0.499984740745262"/>
      </left>
      <right style="dashed">
        <color theme="0" tint="-0.499984740745262"/>
      </right>
      <top style="medium">
        <color theme="9"/>
      </top>
      <bottom style="dashed">
        <color theme="0" tint="-0.499984740745262"/>
      </bottom>
      <diagonal/>
    </border>
    <border>
      <left/>
      <right/>
      <top/>
      <bottom style="medium">
        <color theme="6"/>
      </bottom>
      <diagonal/>
    </border>
    <border>
      <left/>
      <right style="dashed">
        <color theme="0" tint="-0.499984740745262"/>
      </right>
      <top style="dashed">
        <color theme="0" tint="-0.499984740745262"/>
      </top>
      <bottom style="medium">
        <color theme="6"/>
      </bottom>
      <diagonal/>
    </border>
    <border>
      <left style="dashed">
        <color theme="0" tint="-0.499984740745262"/>
      </left>
      <right style="dashed">
        <color theme="0" tint="-0.499984740745262"/>
      </right>
      <top style="dashed">
        <color theme="0" tint="-0.499984740745262"/>
      </top>
      <bottom style="medium">
        <color theme="6"/>
      </bottom>
      <diagonal/>
    </border>
    <border>
      <left style="dashed">
        <color theme="0" tint="-0.499984740745262"/>
      </left>
      <right style="dashed">
        <color theme="0" tint="-0.499984740745262"/>
      </right>
      <top/>
      <bottom style="medium">
        <color theme="6"/>
      </bottom>
      <diagonal/>
    </border>
    <border>
      <left/>
      <right style="dashed">
        <color theme="0" tint="-0.499984740745262"/>
      </right>
      <top style="medium">
        <color theme="6"/>
      </top>
      <bottom style="medium">
        <color theme="6"/>
      </bottom>
      <diagonal/>
    </border>
    <border>
      <left/>
      <right/>
      <top style="medium">
        <color theme="6"/>
      </top>
      <bottom style="medium">
        <color theme="6"/>
      </bottom>
      <diagonal/>
    </border>
    <border>
      <left style="dashed">
        <color theme="0" tint="-0.499984740745262"/>
      </left>
      <right style="dashed">
        <color theme="0" tint="-0.499984740745262"/>
      </right>
      <top style="medium">
        <color theme="6"/>
      </top>
      <bottom style="medium">
        <color theme="6"/>
      </bottom>
      <diagonal/>
    </border>
    <border>
      <left/>
      <right style="hair">
        <color theme="0" tint="-0.499984740745262"/>
      </right>
      <top/>
      <bottom style="medium">
        <color theme="5"/>
      </bottom>
      <diagonal/>
    </border>
    <border>
      <left style="hair">
        <color theme="0" tint="-0.499984740745262"/>
      </left>
      <right style="hair">
        <color theme="0" tint="-0.499984740745262"/>
      </right>
      <top style="hair">
        <color theme="0" tint="-0.499984740745262"/>
      </top>
      <bottom style="medium">
        <color theme="5"/>
      </bottom>
      <diagonal/>
    </border>
    <border>
      <left style="dashed">
        <color theme="0" tint="-0.499984740745262"/>
      </left>
      <right style="dashed">
        <color theme="0" tint="-0.499984740745262"/>
      </right>
      <top style="dashed">
        <color theme="0" tint="-0.499984740745262"/>
      </top>
      <bottom style="medium">
        <color theme="5"/>
      </bottom>
      <diagonal/>
    </border>
    <border>
      <left/>
      <right style="dashed">
        <color theme="0" tint="-0.499984740745262"/>
      </right>
      <top style="dashed">
        <color theme="0" tint="-0.499984740745262"/>
      </top>
      <bottom style="medium">
        <color theme="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hair">
        <color theme="0" tint="-0.499984740745262"/>
      </left>
      <right style="hair">
        <color theme="0" tint="-0.499984740745262"/>
      </right>
      <top style="hair">
        <color theme="0" tint="-0.499984740745262"/>
      </top>
      <bottom/>
      <diagonal/>
    </border>
    <border>
      <left style="dashed">
        <color theme="0" tint="-0.499984740745262"/>
      </left>
      <right style="dashed">
        <color theme="0" tint="-0.499984740745262"/>
      </right>
      <top style="dashed">
        <color theme="0" tint="-0.499984740745262"/>
      </top>
      <bottom/>
      <diagonal/>
    </border>
    <border>
      <left/>
      <right style="dashed">
        <color theme="0" tint="-0.499984740745262"/>
      </right>
      <top style="dashed">
        <color theme="0" tint="-0.499984740745262"/>
      </top>
      <bottom/>
      <diagonal/>
    </border>
    <border>
      <left style="dashed">
        <color theme="0" tint="-0.499984740745262"/>
      </left>
      <right style="dashed">
        <color theme="0" tint="-0.499984740745262"/>
      </right>
      <top/>
      <bottom/>
      <diagonal/>
    </border>
    <border>
      <left/>
      <right style="dashed">
        <color theme="0" tint="-0.499984740745262"/>
      </right>
      <top/>
      <bottom/>
      <diagonal/>
    </border>
    <border>
      <left style="dashed">
        <color theme="0" tint="-0.499984740745262"/>
      </left>
      <right/>
      <top style="dashed">
        <color theme="0" tint="-0.499984740745262"/>
      </top>
      <bottom style="dashed">
        <color theme="0" tint="-0.499984740745262"/>
      </bottom>
      <diagonal/>
    </border>
    <border>
      <left/>
      <right style="dashed">
        <color theme="0" tint="-0.499984740745262"/>
      </right>
      <top/>
      <bottom style="medium">
        <color theme="9"/>
      </bottom>
      <diagonal/>
    </border>
    <border>
      <left style="hair">
        <color theme="0" tint="-0.499984740745262"/>
      </left>
      <right style="dashed">
        <color theme="0" tint="-0.499984740745262"/>
      </right>
      <top style="hair">
        <color theme="0" tint="-0.499984740745262"/>
      </top>
      <bottom style="medium">
        <color theme="5" tint="-0.249977111117893"/>
      </bottom>
      <diagonal/>
    </border>
    <border>
      <left style="hair">
        <color theme="0" tint="-0.499984740745262"/>
      </left>
      <right style="hair">
        <color theme="0" tint="-0.499984740745262"/>
      </right>
      <top/>
      <bottom/>
      <diagonal/>
    </border>
    <border>
      <left style="hair">
        <color theme="0" tint="-0.499984740745262"/>
      </left>
      <right style="dashed">
        <color theme="0" tint="-0.499984740745262"/>
      </right>
      <top style="hair">
        <color theme="0" tint="-0.499984740745262"/>
      </top>
      <bottom/>
      <diagonal/>
    </border>
    <border>
      <left style="medium">
        <color rgb="FFC00000"/>
      </left>
      <right style="hair">
        <color theme="0" tint="-0.499984740745262"/>
      </right>
      <top style="medium">
        <color rgb="FFC00000"/>
      </top>
      <bottom style="hair">
        <color theme="0" tint="-0.499984740745262"/>
      </bottom>
      <diagonal/>
    </border>
    <border>
      <left style="hair">
        <color theme="0" tint="-0.499984740745262"/>
      </left>
      <right style="hair">
        <color theme="0" tint="-0.499984740745262"/>
      </right>
      <top style="medium">
        <color rgb="FFC00000"/>
      </top>
      <bottom style="hair">
        <color theme="0" tint="-0.499984740745262"/>
      </bottom>
      <diagonal/>
    </border>
    <border>
      <left style="dashed">
        <color theme="0" tint="-0.499984740745262"/>
      </left>
      <right style="medium">
        <color rgb="FFC00000"/>
      </right>
      <top style="medium">
        <color rgb="FFC00000"/>
      </top>
      <bottom style="dashed">
        <color theme="0" tint="-0.499984740745262"/>
      </bottom>
      <diagonal/>
    </border>
    <border>
      <left style="medium">
        <color rgb="FFC00000"/>
      </left>
      <right style="hair">
        <color theme="0" tint="-0.499984740745262"/>
      </right>
      <top style="hair">
        <color theme="0" tint="-0.499984740745262"/>
      </top>
      <bottom style="medium">
        <color rgb="FFC00000"/>
      </bottom>
      <diagonal/>
    </border>
    <border>
      <left style="hair">
        <color theme="0" tint="-0.499984740745262"/>
      </left>
      <right style="hair">
        <color theme="0" tint="-0.499984740745262"/>
      </right>
      <top style="hair">
        <color theme="0" tint="-0.499984740745262"/>
      </top>
      <bottom style="medium">
        <color rgb="FFC00000"/>
      </bottom>
      <diagonal/>
    </border>
    <border>
      <left style="hair">
        <color theme="0" tint="-0.499984740745262"/>
      </left>
      <right style="hair">
        <color theme="0" tint="-0.499984740745262"/>
      </right>
      <top/>
      <bottom style="medium">
        <color rgb="FFC00000"/>
      </bottom>
      <diagonal/>
    </border>
    <border>
      <left style="dashed">
        <color theme="0" tint="-0.499984740745262"/>
      </left>
      <right style="medium">
        <color rgb="FFC00000"/>
      </right>
      <top style="dashed">
        <color theme="0" tint="-0.499984740745262"/>
      </top>
      <bottom style="medium">
        <color rgb="FFC00000"/>
      </bottom>
      <diagonal/>
    </border>
    <border>
      <left style="medium">
        <color rgb="FFC00000"/>
      </left>
      <right style="hair">
        <color theme="0" tint="-0.499984740745262"/>
      </right>
      <top style="hair">
        <color theme="0" tint="-0.499984740745262"/>
      </top>
      <bottom style="hair">
        <color theme="0" tint="-0.499984740745262"/>
      </bottom>
      <diagonal/>
    </border>
    <border>
      <left style="dashed">
        <color theme="0" tint="-0.499984740745262"/>
      </left>
      <right style="medium">
        <color rgb="FFC00000"/>
      </right>
      <top style="dashed">
        <color theme="0" tint="-0.499984740745262"/>
      </top>
      <bottom style="dashed">
        <color theme="0" tint="-0.499984740745262"/>
      </bottom>
      <diagonal/>
    </border>
    <border>
      <left style="medium">
        <color rgb="FFC00000"/>
      </left>
      <right style="hair">
        <color theme="0" tint="-0.499984740745262"/>
      </right>
      <top style="medium">
        <color rgb="FFC00000"/>
      </top>
      <bottom style="medium">
        <color rgb="FFC00000"/>
      </bottom>
      <diagonal/>
    </border>
    <border>
      <left style="hair">
        <color theme="0" tint="-0.499984740745262"/>
      </left>
      <right style="hair">
        <color theme="0" tint="-0.499984740745262"/>
      </right>
      <top style="medium">
        <color rgb="FFC00000"/>
      </top>
      <bottom style="medium">
        <color rgb="FFC00000"/>
      </bottom>
      <diagonal/>
    </border>
    <border>
      <left style="dashed">
        <color theme="0" tint="-0.499984740745262"/>
      </left>
      <right style="medium">
        <color rgb="FFC00000"/>
      </right>
      <top style="medium">
        <color rgb="FFC00000"/>
      </top>
      <bottom style="medium">
        <color rgb="FFC00000"/>
      </bottom>
      <diagonal/>
    </border>
    <border>
      <left/>
      <right style="medium">
        <color rgb="FFC00000"/>
      </right>
      <top style="medium">
        <color rgb="FFC00000"/>
      </top>
      <bottom style="medium">
        <color rgb="FFC00000"/>
      </bottom>
      <diagonal/>
    </border>
    <border>
      <left/>
      <right style="hair">
        <color theme="0" tint="-0.499984740745262"/>
      </right>
      <top style="hair">
        <color theme="0" tint="-0.499984740745262"/>
      </top>
      <bottom/>
      <diagonal/>
    </border>
    <border>
      <left style="hair">
        <color theme="0" tint="-0.499984740745262"/>
      </left>
      <right/>
      <top style="medium">
        <color rgb="FFC00000"/>
      </top>
      <bottom style="medium">
        <color rgb="FFC00000"/>
      </bottom>
      <diagonal/>
    </border>
    <border>
      <left style="hair">
        <color theme="0" tint="-0.499984740745262"/>
      </left>
      <right style="hair">
        <color theme="0" tint="-0.499984740745262"/>
      </right>
      <top/>
      <bottom style="medium">
        <color theme="4" tint="-0.249977111117893"/>
      </bottom>
      <diagonal/>
    </border>
    <border>
      <left/>
      <right style="medium">
        <color rgb="FFC00000"/>
      </right>
      <top style="medium">
        <color rgb="FFC00000"/>
      </top>
      <bottom style="dashed">
        <color theme="0" tint="-0.499984740745262"/>
      </bottom>
      <diagonal/>
    </border>
    <border>
      <left/>
      <right style="medium">
        <color rgb="FFC00000"/>
      </right>
      <top/>
      <bottom style="dashed">
        <color theme="0" tint="-0.499984740745262"/>
      </bottom>
      <diagonal/>
    </border>
    <border>
      <left/>
      <right style="medium">
        <color rgb="FFC00000"/>
      </right>
      <top/>
      <bottom style="medium">
        <color rgb="FFC00000"/>
      </bottom>
      <diagonal/>
    </border>
    <border>
      <left/>
      <right style="medium">
        <color rgb="FFC00000"/>
      </right>
      <top style="dashed">
        <color theme="0" tint="-0.499984740745262"/>
      </top>
      <bottom style="dashed">
        <color theme="0" tint="-0.499984740745262"/>
      </bottom>
      <diagonal/>
    </border>
    <border>
      <left/>
      <right style="medium">
        <color rgb="FFC00000"/>
      </right>
      <top style="dashed">
        <color theme="0" tint="-0.499984740745262"/>
      </top>
      <bottom style="medium">
        <color rgb="FFC00000"/>
      </bottom>
      <diagonal/>
    </border>
    <border>
      <left/>
      <right/>
      <top style="medium">
        <color theme="4" tint="-0.249977111117893"/>
      </top>
      <bottom/>
      <diagonal/>
    </border>
    <border>
      <left style="medium">
        <color rgb="FFC00000"/>
      </left>
      <right style="dashed">
        <color theme="0" tint="-0.499984740745262"/>
      </right>
      <top style="medium">
        <color rgb="FFC00000"/>
      </top>
      <bottom style="dashed">
        <color theme="0" tint="-0.499984740745262"/>
      </bottom>
      <diagonal/>
    </border>
    <border>
      <left style="dashed">
        <color theme="0" tint="-0.499984740745262"/>
      </left>
      <right style="dashed">
        <color theme="0" tint="-0.499984740745262"/>
      </right>
      <top style="medium">
        <color rgb="FFC00000"/>
      </top>
      <bottom style="dashed">
        <color theme="0" tint="-0.499984740745262"/>
      </bottom>
      <diagonal/>
    </border>
    <border>
      <left style="medium">
        <color rgb="FFC00000"/>
      </left>
      <right style="dashed">
        <color theme="0" tint="-0.499984740745262"/>
      </right>
      <top style="dashed">
        <color theme="0" tint="-0.499984740745262"/>
      </top>
      <bottom style="medium">
        <color rgb="FFC00000"/>
      </bottom>
      <diagonal/>
    </border>
    <border>
      <left style="dashed">
        <color theme="0" tint="-0.499984740745262"/>
      </left>
      <right style="dashed">
        <color theme="0" tint="-0.499984740745262"/>
      </right>
      <top style="dashed">
        <color theme="0" tint="-0.499984740745262"/>
      </top>
      <bottom style="medium">
        <color rgb="FFC00000"/>
      </bottom>
      <diagonal/>
    </border>
    <border>
      <left style="medium">
        <color rgb="FFC00000"/>
      </left>
      <right style="dashed">
        <color theme="0" tint="-0.499984740745262"/>
      </right>
      <top style="medium">
        <color rgb="FFC00000"/>
      </top>
      <bottom style="medium">
        <color rgb="FFC00000"/>
      </bottom>
      <diagonal/>
    </border>
    <border>
      <left style="dashed">
        <color theme="0" tint="-0.499984740745262"/>
      </left>
      <right style="dashed">
        <color theme="0" tint="-0.499984740745262"/>
      </right>
      <top style="medium">
        <color rgb="FFC00000"/>
      </top>
      <bottom style="medium">
        <color rgb="FFC00000"/>
      </bottom>
      <diagonal/>
    </border>
    <border>
      <left style="medium">
        <color rgb="FFC00000"/>
      </left>
      <right style="dashed">
        <color theme="0" tint="-0.499984740745262"/>
      </right>
      <top style="dashed">
        <color theme="0" tint="-0.499984740745262"/>
      </top>
      <bottom style="dashed">
        <color theme="0" tint="-0.499984740745262"/>
      </bottom>
      <diagonal/>
    </border>
    <border>
      <left/>
      <right style="dashed">
        <color theme="0" tint="-0.499984740745262"/>
      </right>
      <top style="dashed">
        <color theme="0" tint="-0.499984740745262"/>
      </top>
      <bottom style="medium">
        <color theme="9"/>
      </bottom>
      <diagonal/>
    </border>
    <border>
      <left style="dashed">
        <color theme="0" tint="-0.499984740745262"/>
      </left>
      <right style="dashed">
        <color theme="0" tint="-0.499984740745262"/>
      </right>
      <top style="medium">
        <color theme="9"/>
      </top>
      <bottom/>
      <diagonal/>
    </border>
    <border>
      <left/>
      <right style="dashed">
        <color theme="0" tint="-0.499984740745262"/>
      </right>
      <top style="medium">
        <color theme="9"/>
      </top>
      <bottom/>
      <diagonal/>
    </border>
    <border>
      <left style="dashed">
        <color theme="0" tint="-0.499984740745262"/>
      </left>
      <right style="medium">
        <color rgb="FFC00000"/>
      </right>
      <top/>
      <bottom style="dashed">
        <color theme="0" tint="-0.499984740745262"/>
      </bottom>
      <diagonal/>
    </border>
    <border>
      <left style="dashed">
        <color theme="0" tint="-0.499984740745262"/>
      </left>
      <right style="dashed">
        <color theme="0" tint="-0.499984740745262"/>
      </right>
      <top/>
      <bottom style="medium">
        <color rgb="FFC00000"/>
      </bottom>
      <diagonal/>
    </border>
    <border>
      <left style="dashed">
        <color theme="0" tint="-0.499984740745262"/>
      </left>
      <right style="medium">
        <color rgb="FFC00000"/>
      </right>
      <top/>
      <bottom style="medium">
        <color rgb="FFC00000"/>
      </bottom>
      <diagonal/>
    </border>
    <border>
      <left/>
      <right style="dashed">
        <color theme="0" tint="-0.499984740745262"/>
      </right>
      <top style="medium">
        <color theme="9"/>
      </top>
      <bottom style="dashed">
        <color theme="0" tint="-0.499984740745262"/>
      </bottom>
      <diagonal/>
    </border>
    <border>
      <left style="medium">
        <color rgb="FFC00000"/>
      </left>
      <right style="dashed">
        <color theme="0" tint="-0.499984740745262"/>
      </right>
      <top style="dashed">
        <color theme="0" tint="-0.499984740745262"/>
      </top>
      <bottom style="medium">
        <color theme="9"/>
      </bottom>
      <diagonal/>
    </border>
    <border>
      <left style="dashed">
        <color theme="0" tint="-0.499984740745262"/>
      </left>
      <right style="medium">
        <color rgb="FFC00000"/>
      </right>
      <top/>
      <bottom style="medium">
        <color theme="9"/>
      </bottom>
      <diagonal/>
    </border>
    <border>
      <left style="medium">
        <color rgb="FFC00000"/>
      </left>
      <right style="dashed">
        <color theme="0" tint="-0.499984740745262"/>
      </right>
      <top/>
      <bottom style="dashed">
        <color theme="0" tint="-0.499984740745262"/>
      </bottom>
      <diagonal/>
    </border>
    <border>
      <left style="dashed">
        <color theme="0" tint="-0.499984740745262"/>
      </left>
      <right style="medium">
        <color rgb="FFC00000"/>
      </right>
      <top/>
      <bottom/>
      <diagonal/>
    </border>
    <border>
      <left/>
      <right style="dashed">
        <color theme="0" tint="-0.499984740745262"/>
      </right>
      <top/>
      <bottom style="medium">
        <color theme="6"/>
      </bottom>
      <diagonal/>
    </border>
    <border>
      <left/>
      <right style="dashed">
        <color theme="0" tint="-0.499984740745262"/>
      </right>
      <top style="medium">
        <color rgb="FFC00000"/>
      </top>
      <bottom style="medium">
        <color rgb="FFC00000"/>
      </bottom>
      <diagonal/>
    </border>
    <border>
      <left/>
      <right style="dashed">
        <color theme="0" tint="-0.499984740745262"/>
      </right>
      <top style="medium">
        <color rgb="FFC00000"/>
      </top>
      <bottom style="dashed">
        <color theme="0" tint="-0.499984740745262"/>
      </bottom>
      <diagonal/>
    </border>
    <border>
      <left/>
      <right style="dashed">
        <color theme="0" tint="-0.499984740745262"/>
      </right>
      <top style="dashed">
        <color theme="0" tint="-0.499984740745262"/>
      </top>
      <bottom style="medium">
        <color rgb="FFC00000"/>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ck">
        <color indexed="64"/>
      </bottom>
      <diagonal/>
    </border>
    <border>
      <left/>
      <right style="medium">
        <color indexed="64"/>
      </right>
      <top/>
      <bottom style="thick">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style="hair">
        <color auto="1"/>
      </bottom>
      <diagonal/>
    </border>
    <border>
      <left style="thin">
        <color auto="1"/>
      </left>
      <right/>
      <top style="thin">
        <color auto="1"/>
      </top>
      <bottom style="hair">
        <color auto="1"/>
      </bottom>
      <diagonal/>
    </border>
    <border>
      <left style="thin">
        <color auto="1"/>
      </left>
      <right style="thin">
        <color auto="1"/>
      </right>
      <top style="medium">
        <color auto="1"/>
      </top>
      <bottom style="hair">
        <color auto="1"/>
      </bottom>
      <diagonal/>
    </border>
    <border>
      <left style="thin">
        <color auto="1"/>
      </left>
      <right style="thin">
        <color auto="1"/>
      </right>
      <top style="hair">
        <color auto="1"/>
      </top>
      <bottom style="hair">
        <color auto="1"/>
      </bottom>
      <diagonal/>
    </border>
    <border>
      <left style="thin">
        <color auto="1"/>
      </left>
      <right/>
      <top style="hair">
        <color auto="1"/>
      </top>
      <bottom style="hair">
        <color auto="1"/>
      </bottom>
      <diagonal/>
    </border>
    <border>
      <left style="thin">
        <color auto="1"/>
      </left>
      <right/>
      <top/>
      <bottom style="hair">
        <color auto="1"/>
      </bottom>
      <diagonal/>
    </border>
    <border>
      <left style="thin">
        <color auto="1"/>
      </left>
      <right style="thin">
        <color auto="1"/>
      </right>
      <top/>
      <bottom style="hair">
        <color auto="1"/>
      </bottom>
      <diagonal/>
    </border>
    <border>
      <left style="thin">
        <color auto="1"/>
      </left>
      <right style="thin">
        <color auto="1"/>
      </right>
      <top style="hair">
        <color auto="1"/>
      </top>
      <bottom style="thin">
        <color auto="1"/>
      </bottom>
      <diagonal/>
    </border>
    <border>
      <left style="thin">
        <color auto="1"/>
      </left>
      <right/>
      <top style="hair">
        <color auto="1"/>
      </top>
      <bottom style="thin">
        <color auto="1"/>
      </bottom>
      <diagonal/>
    </border>
    <border>
      <left style="thin">
        <color auto="1"/>
      </left>
      <right style="thin">
        <color auto="1"/>
      </right>
      <top style="hair">
        <color auto="1"/>
      </top>
      <bottom style="medium">
        <color auto="1"/>
      </bottom>
      <diagonal/>
    </border>
    <border>
      <left style="medium">
        <color auto="1"/>
      </left>
      <right style="thin">
        <color auto="1"/>
      </right>
      <top/>
      <bottom/>
      <diagonal/>
    </border>
    <border>
      <left/>
      <right style="thin">
        <color auto="1"/>
      </right>
      <top style="hair">
        <color auto="1"/>
      </top>
      <bottom/>
      <diagonal/>
    </border>
    <border>
      <left style="thin">
        <color auto="1"/>
      </left>
      <right style="thin">
        <color auto="1"/>
      </right>
      <top style="hair">
        <color auto="1"/>
      </top>
      <bottom/>
      <diagonal/>
    </border>
    <border>
      <left style="medium">
        <color auto="1"/>
      </left>
      <right style="thin">
        <color auto="1"/>
      </right>
      <top style="hair">
        <color auto="1"/>
      </top>
      <bottom/>
      <diagonal/>
    </border>
    <border>
      <left style="medium">
        <color auto="1"/>
      </left>
      <right style="thin">
        <color auto="1"/>
      </right>
      <top style="hair">
        <color auto="1"/>
      </top>
      <bottom style="thin">
        <color auto="1"/>
      </bottom>
      <diagonal/>
    </border>
    <border>
      <left/>
      <right style="thin">
        <color auto="1"/>
      </right>
      <top style="hair">
        <color auto="1"/>
      </top>
      <bottom style="thin">
        <color auto="1"/>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style="medium">
        <color auto="1"/>
      </left>
      <right style="thin">
        <color auto="1"/>
      </right>
      <top/>
      <bottom style="thin">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thin">
        <color auto="1"/>
      </left>
      <right style="thin">
        <color auto="1"/>
      </right>
      <top/>
      <bottom style="medium">
        <color auto="1"/>
      </bottom>
      <diagonal/>
    </border>
    <border>
      <left style="thin">
        <color auto="1"/>
      </left>
      <right style="thin">
        <color auto="1"/>
      </right>
      <top style="thin">
        <color auto="1"/>
      </top>
      <bottom style="double">
        <color auto="1"/>
      </bottom>
      <diagonal/>
    </border>
    <border>
      <left style="thin">
        <color auto="1"/>
      </left>
      <right style="medium">
        <color auto="1"/>
      </right>
      <top style="medium">
        <color auto="1"/>
      </top>
      <bottom style="thin">
        <color auto="1"/>
      </bottom>
      <diagonal/>
    </border>
    <border>
      <left style="thin">
        <color auto="1"/>
      </left>
      <right style="medium">
        <color auto="1"/>
      </right>
      <top/>
      <bottom style="thin">
        <color auto="1"/>
      </bottom>
      <diagonal/>
    </border>
    <border>
      <left style="thin">
        <color auto="1"/>
      </left>
      <right style="medium">
        <color auto="1"/>
      </right>
      <top/>
      <bottom style="medium">
        <color auto="1"/>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s>
  <cellStyleXfs count="281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1" fillId="0" borderId="0"/>
    <xf numFmtId="0" fontId="1" fillId="0" borderId="0"/>
    <xf numFmtId="43" fontId="22" fillId="0" borderId="0" applyFont="0" applyFill="0" applyBorder="0" applyAlignment="0" applyProtection="0"/>
    <xf numFmtId="0" fontId="21" fillId="0" borderId="0"/>
    <xf numFmtId="43" fontId="21"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6" fillId="0" borderId="0"/>
    <xf numFmtId="0" fontId="21" fillId="0" borderId="0"/>
    <xf numFmtId="0" fontId="21" fillId="0" borderId="0"/>
    <xf numFmtId="0" fontId="21" fillId="0" borderId="0"/>
    <xf numFmtId="0" fontId="21" fillId="0" borderId="0"/>
    <xf numFmtId="0" fontId="21" fillId="0" borderId="0"/>
    <xf numFmtId="0" fontId="21" fillId="0" borderId="0"/>
    <xf numFmtId="0" fontId="24" fillId="0" borderId="0"/>
    <xf numFmtId="0" fontId="27" fillId="0" borderId="0"/>
    <xf numFmtId="0" fontId="24" fillId="0" borderId="0"/>
    <xf numFmtId="0" fontId="24" fillId="0" borderId="0"/>
    <xf numFmtId="0" fontId="30" fillId="0" borderId="0"/>
    <xf numFmtId="0" fontId="24" fillId="0" borderId="0"/>
    <xf numFmtId="0" fontId="30" fillId="0" borderId="0"/>
    <xf numFmtId="0" fontId="24" fillId="0" borderId="0"/>
    <xf numFmtId="0" fontId="30" fillId="0" borderId="0"/>
    <xf numFmtId="0" fontId="30" fillId="0" borderId="0"/>
    <xf numFmtId="0" fontId="30" fillId="0" borderId="0"/>
    <xf numFmtId="0" fontId="24" fillId="0" borderId="0"/>
    <xf numFmtId="0" fontId="24"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24" fillId="0" borderId="0"/>
    <xf numFmtId="0" fontId="30" fillId="0" borderId="0"/>
    <xf numFmtId="0" fontId="24" fillId="0" borderId="0"/>
    <xf numFmtId="0" fontId="24" fillId="0" borderId="0"/>
    <xf numFmtId="0" fontId="24" fillId="0" borderId="0"/>
    <xf numFmtId="0" fontId="30" fillId="0" borderId="0"/>
    <xf numFmtId="0" fontId="30" fillId="0" borderId="0"/>
    <xf numFmtId="0" fontId="24" fillId="0" borderId="0"/>
    <xf numFmtId="0" fontId="24"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25" fillId="0" borderId="0"/>
    <xf numFmtId="0" fontId="25" fillId="0" borderId="0"/>
    <xf numFmtId="0" fontId="24" fillId="0" borderId="0"/>
    <xf numFmtId="0" fontId="21" fillId="0" borderId="0"/>
    <xf numFmtId="0" fontId="21" fillId="0" borderId="0"/>
    <xf numFmtId="0" fontId="21" fillId="0" borderId="0"/>
    <xf numFmtId="0" fontId="21" fillId="0" borderId="0"/>
    <xf numFmtId="0" fontId="21" fillId="0" borderId="0"/>
    <xf numFmtId="0" fontId="21" fillId="0" borderId="0"/>
    <xf numFmtId="0" fontId="1"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3" fillId="0" borderId="0" applyNumberFormat="0" applyFill="0" applyBorder="0" applyAlignment="0" applyProtection="0"/>
    <xf numFmtId="0" fontId="1" fillId="0" borderId="0"/>
    <xf numFmtId="43" fontId="21" fillId="0" borderId="0" applyFont="0" applyFill="0" applyBorder="0" applyAlignment="0" applyProtection="0"/>
    <xf numFmtId="44" fontId="21" fillId="0" borderId="0" applyFont="0" applyFill="0" applyBorder="0" applyAlignment="0" applyProtection="0"/>
    <xf numFmtId="9" fontId="21" fillId="0" borderId="0" applyFont="0" applyFill="0" applyBorder="0" applyAlignment="0" applyProtection="0"/>
    <xf numFmtId="0" fontId="31" fillId="17" borderId="0" applyNumberFormat="0" applyBorder="0" applyAlignment="0" applyProtection="0"/>
    <xf numFmtId="0" fontId="31" fillId="29" borderId="0" applyNumberFormat="0" applyBorder="0" applyAlignment="0" applyProtection="0"/>
    <xf numFmtId="0" fontId="18" fillId="0" borderId="0"/>
    <xf numFmtId="43" fontId="21" fillId="0" borderId="0" applyFont="0" applyFill="0" applyBorder="0" applyAlignment="0" applyProtection="0"/>
    <xf numFmtId="44" fontId="21" fillId="0" borderId="0" applyFont="0" applyFill="0" applyBorder="0" applyAlignment="0" applyProtection="0"/>
    <xf numFmtId="9" fontId="21" fillId="0" borderId="0" applyFont="0" applyFill="0" applyBorder="0" applyAlignment="0" applyProtection="0"/>
    <xf numFmtId="0" fontId="31" fillId="17" borderId="0" applyNumberFormat="0" applyBorder="0" applyAlignment="0" applyProtection="0"/>
    <xf numFmtId="0" fontId="31" fillId="29" borderId="0" applyNumberFormat="0" applyBorder="0" applyAlignment="0" applyProtection="0"/>
    <xf numFmtId="0" fontId="32" fillId="0" borderId="0" applyNumberFormat="0" applyFill="0" applyBorder="0" applyAlignment="0" applyProtection="0">
      <alignment vertical="top"/>
      <protection locked="0"/>
    </xf>
    <xf numFmtId="0" fontId="33" fillId="0" borderId="0" applyNumberFormat="0" applyFill="0" applyBorder="0" applyAlignment="0" applyProtection="0">
      <alignment vertical="top"/>
      <protection locked="0"/>
    </xf>
    <xf numFmtId="43" fontId="22" fillId="0" borderId="0" applyFont="0" applyFill="0" applyBorder="0" applyAlignment="0" applyProtection="0"/>
    <xf numFmtId="164" fontId="1" fillId="0" borderId="0" applyFont="0" applyFill="0" applyBorder="0" applyAlignment="0" applyProtection="0"/>
    <xf numFmtId="9" fontId="22" fillId="0" borderId="0" applyFont="0" applyFill="0" applyBorder="0" applyAlignment="0" applyProtection="0"/>
    <xf numFmtId="9" fontId="34" fillId="0" borderId="0" applyFont="0" applyFill="0" applyBorder="0" applyAlignment="0" applyProtection="0"/>
    <xf numFmtId="165" fontId="24" fillId="0" borderId="0" applyFont="0" applyFill="0" applyBorder="0" applyAlignment="0" applyProtection="0"/>
    <xf numFmtId="9" fontId="21" fillId="0" borderId="0" applyFont="0" applyFill="0" applyBorder="0" applyAlignment="0" applyProtection="0"/>
    <xf numFmtId="165" fontId="24" fillId="0" borderId="0" applyFont="0" applyFill="0" applyBorder="0" applyAlignment="0" applyProtection="0"/>
    <xf numFmtId="43" fontId="21" fillId="0" borderId="0" applyFont="0" applyFill="0" applyBorder="0" applyAlignment="0" applyProtection="0"/>
    <xf numFmtId="164" fontId="24"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0" fontId="21" fillId="0" borderId="0"/>
    <xf numFmtId="0" fontId="21" fillId="0" borderId="0"/>
    <xf numFmtId="0" fontId="21" fillId="0" borderId="0"/>
    <xf numFmtId="165" fontId="21" fillId="0" borderId="0" applyFont="0" applyFill="0" applyBorder="0" applyAlignment="0" applyProtection="0"/>
    <xf numFmtId="9" fontId="34" fillId="0" borderId="0" applyFont="0" applyFill="0" applyBorder="0" applyAlignment="0" applyProtection="0"/>
    <xf numFmtId="0" fontId="34" fillId="0" borderId="0"/>
    <xf numFmtId="0" fontId="24" fillId="0" borderId="0"/>
    <xf numFmtId="0" fontId="24" fillId="0" borderId="0"/>
    <xf numFmtId="43" fontId="34" fillId="0" borderId="0" applyFont="0" applyFill="0" applyBorder="0" applyAlignment="0" applyProtection="0"/>
    <xf numFmtId="0" fontId="34" fillId="0" borderId="0"/>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164" fontId="24" fillId="0" borderId="0" applyFont="0" applyFill="0" applyBorder="0" applyAlignment="0" applyProtection="0"/>
    <xf numFmtId="0" fontId="26" fillId="0" borderId="0"/>
    <xf numFmtId="0" fontId="21" fillId="0" borderId="0"/>
    <xf numFmtId="0" fontId="21" fillId="0" borderId="0"/>
    <xf numFmtId="0" fontId="21" fillId="0" borderId="0"/>
    <xf numFmtId="0" fontId="26" fillId="0" borderId="0"/>
    <xf numFmtId="0" fontId="21" fillId="0" borderId="0"/>
    <xf numFmtId="0" fontId="27" fillId="0" borderId="0"/>
    <xf numFmtId="0" fontId="30" fillId="0" borderId="0"/>
    <xf numFmtId="0" fontId="30" fillId="0" borderId="0"/>
    <xf numFmtId="0" fontId="30" fillId="0" borderId="0"/>
    <xf numFmtId="0" fontId="11" fillId="6" borderId="4" applyNumberFormat="0" applyAlignment="0" applyProtection="0"/>
    <xf numFmtId="43" fontId="35" fillId="0" borderId="0" applyFont="0" applyFill="0" applyBorder="0" applyAlignment="0" applyProtection="0"/>
    <xf numFmtId="43" fontId="21" fillId="0" borderId="0" applyFont="0" applyFill="0" applyBorder="0" applyAlignment="0" applyProtection="0"/>
    <xf numFmtId="43" fontId="22" fillId="0" borderId="0" applyFont="0" applyFill="0" applyBorder="0" applyAlignment="0" applyProtection="0"/>
    <xf numFmtId="0" fontId="6" fillId="2" borderId="0" applyNumberFormat="0" applyBorder="0" applyAlignment="0" applyProtection="0"/>
    <xf numFmtId="0" fontId="3" fillId="0" borderId="1" applyNumberFormat="0" applyFill="0" applyAlignment="0" applyProtection="0"/>
    <xf numFmtId="0" fontId="4" fillId="0" borderId="2" applyNumberFormat="0" applyFill="0" applyAlignment="0" applyProtection="0"/>
    <xf numFmtId="0" fontId="23" fillId="0" borderId="0" applyNumberFormat="0" applyFill="0" applyBorder="0" applyAlignment="0" applyProtection="0"/>
    <xf numFmtId="0" fontId="32" fillId="0" borderId="0" applyNumberFormat="0" applyFill="0" applyBorder="0" applyAlignment="0" applyProtection="0">
      <alignment vertical="top"/>
      <protection locked="0"/>
    </xf>
    <xf numFmtId="0" fontId="23" fillId="0" borderId="0" applyNumberFormat="0" applyFill="0" applyBorder="0" applyAlignment="0" applyProtection="0"/>
    <xf numFmtId="0" fontId="32" fillId="0" borderId="0" applyNumberFormat="0" applyFill="0" applyBorder="0" applyAlignment="0" applyProtection="0">
      <alignment vertical="top"/>
      <protection locked="0"/>
    </xf>
    <xf numFmtId="0" fontId="23" fillId="0" borderId="0" applyNumberFormat="0" applyFill="0" applyBorder="0" applyAlignment="0" applyProtection="0"/>
    <xf numFmtId="0" fontId="32" fillId="0" borderId="0" applyNumberFormat="0" applyFill="0" applyBorder="0" applyAlignment="0" applyProtection="0">
      <alignment vertical="top"/>
      <protection locked="0"/>
    </xf>
    <xf numFmtId="0" fontId="36" fillId="0" borderId="0"/>
    <xf numFmtId="0" fontId="35" fillId="0" borderId="0"/>
    <xf numFmtId="0" fontId="35" fillId="0" borderId="0"/>
    <xf numFmtId="0" fontId="36" fillId="0" borderId="0"/>
    <xf numFmtId="0" fontId="1" fillId="0" borderId="0"/>
    <xf numFmtId="0" fontId="18" fillId="0" borderId="0"/>
    <xf numFmtId="0" fontId="1" fillId="0" borderId="0"/>
    <xf numFmtId="0" fontId="21" fillId="0" borderId="0"/>
    <xf numFmtId="0" fontId="36" fillId="0" borderId="0"/>
    <xf numFmtId="0" fontId="1" fillId="0" borderId="0"/>
    <xf numFmtId="0" fontId="36" fillId="0" borderId="0"/>
    <xf numFmtId="0" fontId="1" fillId="0" borderId="0"/>
    <xf numFmtId="0" fontId="36" fillId="0" borderId="0"/>
    <xf numFmtId="0" fontId="21" fillId="0" borderId="0"/>
    <xf numFmtId="0" fontId="37" fillId="0" borderId="0"/>
    <xf numFmtId="166" fontId="38" fillId="0" borderId="0">
      <alignment horizontal="right" vertical="top"/>
    </xf>
    <xf numFmtId="0" fontId="39" fillId="0" borderId="0">
      <alignment horizontal="left" indent="1"/>
    </xf>
    <xf numFmtId="167" fontId="40" fillId="0" borderId="0"/>
    <xf numFmtId="164" fontId="21" fillId="0" borderId="0" applyFont="0" applyFill="0" applyBorder="0" applyAlignment="0" applyProtection="0">
      <alignment wrapText="1"/>
    </xf>
    <xf numFmtId="0" fontId="41" fillId="0" borderId="0"/>
    <xf numFmtId="0" fontId="22" fillId="35" borderId="0" applyNumberFormat="0" applyBorder="0" applyAlignment="0" applyProtection="0"/>
    <xf numFmtId="0" fontId="53" fillId="34" borderId="0" applyBorder="0" applyProtection="0"/>
    <xf numFmtId="0" fontId="21" fillId="0" borderId="0" applyFill="0" applyBorder="0" applyProtection="0">
      <alignment horizontal="left" vertical="top"/>
    </xf>
    <xf numFmtId="44" fontId="34" fillId="0" borderId="0" applyFont="0" applyFill="0" applyBorder="0" applyAlignment="0" applyProtection="0"/>
    <xf numFmtId="0" fontId="50" fillId="0" borderId="0">
      <alignment horizontal="left" vertical="top"/>
    </xf>
    <xf numFmtId="0" fontId="42" fillId="0" borderId="0" applyFill="0" applyBorder="0" applyProtection="0">
      <alignment horizontal="left" vertical="top"/>
    </xf>
    <xf numFmtId="0" fontId="21" fillId="0" borderId="0" applyFill="0" applyBorder="0" applyProtection="0">
      <alignment horizontal="left" vertical="top"/>
    </xf>
    <xf numFmtId="164" fontId="21" fillId="0" borderId="0" applyFont="0" applyFill="0" applyBorder="0" applyAlignment="0" applyProtection="0">
      <alignment wrapText="1"/>
    </xf>
    <xf numFmtId="0" fontId="21" fillId="0" borderId="0">
      <alignment wrapText="1"/>
    </xf>
    <xf numFmtId="0" fontId="21" fillId="0" borderId="0">
      <alignment wrapText="1"/>
    </xf>
    <xf numFmtId="44" fontId="21" fillId="0" borderId="0" applyFont="0" applyFill="0" applyBorder="0" applyAlignment="0" applyProtection="0"/>
    <xf numFmtId="44" fontId="21" fillId="0" borderId="0" applyFont="0" applyFill="0" applyBorder="0" applyAlignment="0" applyProtection="0"/>
    <xf numFmtId="0" fontId="51" fillId="34" borderId="0" applyFill="0" applyBorder="0" applyProtection="0">
      <alignment horizontal="left" vertical="top"/>
    </xf>
    <xf numFmtId="0" fontId="52" fillId="0" borderId="0" applyFill="0" applyBorder="0" applyProtection="0">
      <alignment horizontal="left" vertical="top"/>
    </xf>
    <xf numFmtId="0" fontId="45" fillId="0" borderId="0" applyFill="0" applyBorder="0" applyProtection="0">
      <alignment horizontal="left" vertical="top"/>
    </xf>
    <xf numFmtId="0" fontId="46" fillId="34" borderId="0" applyBorder="0" applyProtection="0">
      <alignment horizontal="left" vertical="top"/>
    </xf>
    <xf numFmtId="43" fontId="21" fillId="0" borderId="0" applyFont="0" applyFill="0" applyBorder="0" applyAlignment="0" applyProtection="0"/>
    <xf numFmtId="43" fontId="21"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0" fontId="47" fillId="0" borderId="0" applyFill="0" applyBorder="0" applyProtection="0">
      <alignment horizontal="left" vertical="top"/>
    </xf>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49" fillId="0" borderId="0">
      <alignment horizontal="left" vertical="top"/>
    </xf>
    <xf numFmtId="0" fontId="48" fillId="34" borderId="0" applyFill="0" applyBorder="0" applyProtection="0">
      <alignment horizontal="left" vertical="top"/>
    </xf>
    <xf numFmtId="0" fontId="42" fillId="0" borderId="0">
      <alignment horizontal="left" vertical="top"/>
    </xf>
    <xf numFmtId="0" fontId="44" fillId="0" borderId="0">
      <alignment horizontal="left" vertical="top"/>
    </xf>
    <xf numFmtId="0" fontId="43" fillId="0" borderId="0"/>
    <xf numFmtId="0" fontId="22" fillId="35" borderId="0" applyNumberFormat="0" applyBorder="0" applyAlignment="0" applyProtection="0"/>
    <xf numFmtId="0" fontId="22" fillId="35"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6"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7"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39"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0"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2"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43"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1" borderId="0" applyNumberFormat="0" applyBorder="0" applyAlignment="0" applyProtection="0"/>
    <xf numFmtId="0" fontId="22" fillId="44" borderId="0" applyNumberFormat="0" applyBorder="0" applyAlignment="0" applyProtection="0"/>
    <xf numFmtId="0" fontId="22" fillId="44" borderId="0" applyNumberFormat="0" applyBorder="0" applyAlignment="0" applyProtection="0"/>
    <xf numFmtId="0" fontId="22" fillId="44" borderId="0" applyNumberFormat="0" applyBorder="0" applyAlignment="0" applyProtection="0"/>
    <xf numFmtId="0" fontId="54" fillId="45" borderId="0" applyNumberFormat="0" applyBorder="0" applyAlignment="0" applyProtection="0"/>
    <xf numFmtId="0" fontId="54" fillId="45" borderId="0" applyNumberFormat="0" applyBorder="0" applyAlignment="0" applyProtection="0"/>
    <xf numFmtId="0" fontId="54" fillId="45" borderId="0" applyNumberFormat="0" applyBorder="0" applyAlignment="0" applyProtection="0"/>
    <xf numFmtId="0" fontId="54" fillId="42" borderId="0" applyNumberFormat="0" applyBorder="0" applyAlignment="0" applyProtection="0"/>
    <xf numFmtId="0" fontId="54" fillId="42" borderId="0" applyNumberFormat="0" applyBorder="0" applyAlignment="0" applyProtection="0"/>
    <xf numFmtId="0" fontId="54" fillId="42" borderId="0" applyNumberFormat="0" applyBorder="0" applyAlignment="0" applyProtection="0"/>
    <xf numFmtId="0" fontId="54" fillId="43" borderId="0" applyNumberFormat="0" applyBorder="0" applyAlignment="0" applyProtection="0"/>
    <xf numFmtId="0" fontId="54" fillId="43" borderId="0" applyNumberFormat="0" applyBorder="0" applyAlignment="0" applyProtection="0"/>
    <xf numFmtId="0" fontId="54" fillId="43" borderId="0" applyNumberFormat="0" applyBorder="0" applyAlignment="0" applyProtection="0"/>
    <xf numFmtId="0" fontId="54" fillId="46" borderId="0" applyNumberFormat="0" applyBorder="0" applyAlignment="0" applyProtection="0"/>
    <xf numFmtId="0" fontId="54" fillId="46" borderId="0" applyNumberFormat="0" applyBorder="0" applyAlignment="0" applyProtection="0"/>
    <xf numFmtId="0" fontId="54" fillId="46" borderId="0" applyNumberFormat="0" applyBorder="0" applyAlignment="0" applyProtection="0"/>
    <xf numFmtId="0" fontId="54" fillId="47" borderId="0" applyNumberFormat="0" applyBorder="0" applyAlignment="0" applyProtection="0"/>
    <xf numFmtId="0" fontId="54" fillId="47" borderId="0" applyNumberFormat="0" applyBorder="0" applyAlignment="0" applyProtection="0"/>
    <xf numFmtId="0" fontId="54" fillId="47" borderId="0" applyNumberFormat="0" applyBorder="0" applyAlignment="0" applyProtection="0"/>
    <xf numFmtId="0" fontId="54" fillId="48" borderId="0" applyNumberFormat="0" applyBorder="0" applyAlignment="0" applyProtection="0"/>
    <xf numFmtId="0" fontId="54" fillId="48" borderId="0" applyNumberFormat="0" applyBorder="0" applyAlignment="0" applyProtection="0"/>
    <xf numFmtId="0" fontId="54" fillId="48"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49" borderId="0" applyNumberFormat="0" applyBorder="0" applyAlignment="0" applyProtection="0"/>
    <xf numFmtId="0" fontId="54" fillId="50" borderId="0" applyNumberFormat="0" applyBorder="0" applyAlignment="0" applyProtection="0"/>
    <xf numFmtId="0" fontId="54" fillId="50" borderId="0" applyNumberFormat="0" applyBorder="0" applyAlignment="0" applyProtection="0"/>
    <xf numFmtId="0" fontId="54" fillId="50" borderId="0" applyNumberFormat="0" applyBorder="0" applyAlignment="0" applyProtection="0"/>
    <xf numFmtId="0" fontId="54" fillId="51" borderId="0" applyNumberFormat="0" applyBorder="0" applyAlignment="0" applyProtection="0"/>
    <xf numFmtId="0" fontId="54" fillId="51" borderId="0" applyNumberFormat="0" applyBorder="0" applyAlignment="0" applyProtection="0"/>
    <xf numFmtId="0" fontId="54" fillId="51" borderId="0" applyNumberFormat="0" applyBorder="0" applyAlignment="0" applyProtection="0"/>
    <xf numFmtId="0" fontId="54" fillId="46" borderId="0" applyNumberFormat="0" applyBorder="0" applyAlignment="0" applyProtection="0"/>
    <xf numFmtId="0" fontId="54" fillId="46" borderId="0" applyNumberFormat="0" applyBorder="0" applyAlignment="0" applyProtection="0"/>
    <xf numFmtId="0" fontId="54" fillId="46" borderId="0" applyNumberFormat="0" applyBorder="0" applyAlignment="0" applyProtection="0"/>
    <xf numFmtId="0" fontId="54" fillId="47" borderId="0" applyNumberFormat="0" applyBorder="0" applyAlignment="0" applyProtection="0"/>
    <xf numFmtId="0" fontId="54" fillId="47" borderId="0" applyNumberFormat="0" applyBorder="0" applyAlignment="0" applyProtection="0"/>
    <xf numFmtId="0" fontId="54" fillId="47" borderId="0" applyNumberFormat="0" applyBorder="0" applyAlignment="0" applyProtection="0"/>
    <xf numFmtId="0" fontId="54" fillId="52" borderId="0" applyNumberFormat="0" applyBorder="0" applyAlignment="0" applyProtection="0"/>
    <xf numFmtId="0" fontId="54" fillId="52" borderId="0" applyNumberFormat="0" applyBorder="0" applyAlignment="0" applyProtection="0"/>
    <xf numFmtId="0" fontId="54" fillId="52" borderId="0" applyNumberFormat="0" applyBorder="0" applyAlignment="0" applyProtection="0"/>
    <xf numFmtId="0" fontId="55" fillId="36" borderId="0" applyNumberFormat="0" applyBorder="0" applyAlignment="0" applyProtection="0"/>
    <xf numFmtId="0" fontId="55" fillId="36" borderId="0" applyNumberFormat="0" applyBorder="0" applyAlignment="0" applyProtection="0"/>
    <xf numFmtId="0" fontId="55" fillId="36" borderId="0" applyNumberFormat="0" applyBorder="0" applyAlignment="0" applyProtection="0"/>
    <xf numFmtId="0" fontId="56" fillId="53" borderId="16" applyNumberFormat="0" applyAlignment="0" applyProtection="0"/>
    <xf numFmtId="0" fontId="56" fillId="53" borderId="16" applyNumberFormat="0" applyAlignment="0" applyProtection="0"/>
    <xf numFmtId="0" fontId="56" fillId="53" borderId="16" applyNumberFormat="0" applyAlignment="0" applyProtection="0"/>
    <xf numFmtId="0" fontId="57" fillId="54" borderId="17" applyNumberFormat="0" applyAlignment="0" applyProtection="0"/>
    <xf numFmtId="0" fontId="57" fillId="54" borderId="17" applyNumberFormat="0" applyAlignment="0" applyProtection="0"/>
    <xf numFmtId="0" fontId="57" fillId="54" borderId="17" applyNumberFormat="0" applyAlignment="0" applyProtection="0"/>
    <xf numFmtId="43" fontId="22" fillId="0" borderId="0" applyFont="0" applyFill="0" applyBorder="0" applyAlignment="0" applyProtection="0"/>
    <xf numFmtId="43" fontId="1" fillId="0" borderId="0" applyFont="0" applyFill="0" applyBorder="0" applyAlignment="0" applyProtection="0"/>
    <xf numFmtId="164" fontId="21" fillId="0" borderId="0" applyFont="0" applyFill="0" applyBorder="0" applyAlignment="0" applyProtection="0">
      <alignment wrapText="1"/>
    </xf>
    <xf numFmtId="43" fontId="1" fillId="0" borderId="0" applyFont="0" applyFill="0" applyBorder="0" applyAlignment="0" applyProtection="0"/>
    <xf numFmtId="164" fontId="21" fillId="0" borderId="0" applyFont="0" applyFill="0" applyBorder="0" applyAlignment="0" applyProtection="0">
      <alignment wrapText="1"/>
    </xf>
    <xf numFmtId="164" fontId="21" fillId="0" borderId="0" applyFont="0" applyFill="0" applyBorder="0" applyAlignment="0" applyProtection="0">
      <alignment wrapText="1"/>
    </xf>
    <xf numFmtId="164" fontId="21" fillId="0" borderId="0" applyFont="0" applyFill="0" applyBorder="0" applyAlignment="0" applyProtection="0">
      <alignment wrapText="1"/>
    </xf>
    <xf numFmtId="44" fontId="1" fillId="0" borderId="0" applyFon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9" fillId="37" borderId="0" applyNumberFormat="0" applyBorder="0" applyAlignment="0" applyProtection="0"/>
    <xf numFmtId="0" fontId="59" fillId="37" borderId="0" applyNumberFormat="0" applyBorder="0" applyAlignment="0" applyProtection="0"/>
    <xf numFmtId="0" fontId="59" fillId="37" borderId="0" applyNumberFormat="0" applyBorder="0" applyAlignment="0" applyProtection="0"/>
    <xf numFmtId="0" fontId="60" fillId="0" borderId="18" applyNumberFormat="0" applyFill="0" applyAlignment="0" applyProtection="0"/>
    <xf numFmtId="0" fontId="60" fillId="0" borderId="18" applyNumberFormat="0" applyFill="0" applyAlignment="0" applyProtection="0"/>
    <xf numFmtId="0" fontId="60" fillId="0" borderId="18" applyNumberFormat="0" applyFill="0" applyAlignment="0" applyProtection="0"/>
    <xf numFmtId="0" fontId="61" fillId="0" borderId="19" applyNumberFormat="0" applyFill="0" applyAlignment="0" applyProtection="0"/>
    <xf numFmtId="0" fontId="61" fillId="0" borderId="19" applyNumberFormat="0" applyFill="0" applyAlignment="0" applyProtection="0"/>
    <xf numFmtId="0" fontId="61" fillId="0" borderId="19" applyNumberFormat="0" applyFill="0" applyAlignment="0" applyProtection="0"/>
    <xf numFmtId="0" fontId="62" fillId="0" borderId="20" applyNumberFormat="0" applyFill="0" applyAlignment="0" applyProtection="0"/>
    <xf numFmtId="0" fontId="62" fillId="0" borderId="20" applyNumberFormat="0" applyFill="0" applyAlignment="0" applyProtection="0"/>
    <xf numFmtId="0" fontId="62" fillId="0" borderId="20" applyNumberFormat="0" applyFill="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3" fillId="40" borderId="16" applyNumberFormat="0" applyAlignment="0" applyProtection="0"/>
    <xf numFmtId="0" fontId="63" fillId="40" borderId="16" applyNumberFormat="0" applyAlignment="0" applyProtection="0"/>
    <xf numFmtId="0" fontId="63" fillId="40" borderId="16" applyNumberFormat="0" applyAlignment="0" applyProtection="0"/>
    <xf numFmtId="0" fontId="64" fillId="0" borderId="21" applyNumberFormat="0" applyFill="0" applyAlignment="0" applyProtection="0"/>
    <xf numFmtId="0" fontId="64" fillId="0" borderId="21" applyNumberFormat="0" applyFill="0" applyAlignment="0" applyProtection="0"/>
    <xf numFmtId="0" fontId="64" fillId="0" borderId="21" applyNumberFormat="0" applyFill="0" applyAlignment="0" applyProtection="0"/>
    <xf numFmtId="0" fontId="65" fillId="55" borderId="0" applyNumberFormat="0" applyBorder="0" applyAlignment="0" applyProtection="0"/>
    <xf numFmtId="0" fontId="65" fillId="55" borderId="0" applyNumberFormat="0" applyBorder="0" applyAlignment="0" applyProtection="0"/>
    <xf numFmtId="0" fontId="65" fillId="55"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1" fillId="0" borderId="0">
      <alignment wrapText="1"/>
    </xf>
    <xf numFmtId="0" fontId="43" fillId="0" borderId="0"/>
    <xf numFmtId="0" fontId="43" fillId="0" borderId="0"/>
    <xf numFmtId="0" fontId="21" fillId="0" borderId="0">
      <alignment wrapText="1"/>
    </xf>
    <xf numFmtId="0" fontId="21" fillId="0" borderId="0"/>
    <xf numFmtId="0" fontId="21" fillId="0" borderId="0"/>
    <xf numFmtId="0" fontId="21" fillId="0" borderId="0">
      <alignment wrapText="1"/>
    </xf>
    <xf numFmtId="0" fontId="43" fillId="0" borderId="0"/>
    <xf numFmtId="0" fontId="22" fillId="0" borderId="0"/>
    <xf numFmtId="0" fontId="22" fillId="0" borderId="0"/>
    <xf numFmtId="0" fontId="22" fillId="0" borderId="0"/>
    <xf numFmtId="0" fontId="22" fillId="0" borderId="0"/>
    <xf numFmtId="0" fontId="43" fillId="0" borderId="0"/>
    <xf numFmtId="0" fontId="22" fillId="0" borderId="0"/>
    <xf numFmtId="0" fontId="22" fillId="0" borderId="0"/>
    <xf numFmtId="0" fontId="22" fillId="0" borderId="0"/>
    <xf numFmtId="0" fontId="2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43"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43"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1" fillId="0" borderId="0"/>
    <xf numFmtId="0" fontId="21" fillId="56" borderId="22" applyNumberFormat="0" applyFont="0" applyAlignment="0" applyProtection="0"/>
    <xf numFmtId="0" fontId="21" fillId="0" borderId="0" applyFill="0" applyBorder="0" applyProtection="0">
      <alignment horizontal="left" vertical="top"/>
    </xf>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9" fontId="1"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8" fillId="0" borderId="24" applyNumberFormat="0" applyFill="0" applyAlignment="0" applyProtection="0"/>
    <xf numFmtId="0" fontId="68" fillId="0" borderId="24" applyNumberFormat="0" applyFill="0" applyAlignment="0" applyProtection="0"/>
    <xf numFmtId="0" fontId="68" fillId="0" borderId="24"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1" fillId="0" borderId="0"/>
    <xf numFmtId="43" fontId="21" fillId="0" borderId="0" applyFont="0" applyFill="0" applyBorder="0" applyAlignment="0" applyProtection="0"/>
    <xf numFmtId="43" fontId="2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8" fillId="0" borderId="0"/>
    <xf numFmtId="43" fontId="18"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70"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164" fontId="24"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21" fillId="0" borderId="0"/>
    <xf numFmtId="0" fontId="21" fillId="0" borderId="0"/>
    <xf numFmtId="0" fontId="21" fillId="0" borderId="0">
      <alignment wrapText="1"/>
    </xf>
    <xf numFmtId="0" fontId="1" fillId="0" borderId="0"/>
    <xf numFmtId="0" fontId="1" fillId="0" borderId="0"/>
    <xf numFmtId="0" fontId="1" fillId="0" borderId="0"/>
    <xf numFmtId="0" fontId="1" fillId="0" borderId="0"/>
    <xf numFmtId="0" fontId="21" fillId="0" borderId="0"/>
    <xf numFmtId="0" fontId="1" fillId="0" borderId="0"/>
    <xf numFmtId="0" fontId="70" fillId="0" borderId="0"/>
    <xf numFmtId="0" fontId="21" fillId="0" borderId="0">
      <alignment wrapText="1"/>
    </xf>
    <xf numFmtId="0" fontId="21" fillId="0" borderId="0"/>
    <xf numFmtId="0" fontId="1" fillId="0" borderId="0"/>
    <xf numFmtId="0" fontId="43" fillId="0" borderId="0"/>
    <xf numFmtId="0" fontId="1" fillId="0" borderId="0"/>
    <xf numFmtId="0" fontId="21" fillId="0" borderId="0"/>
    <xf numFmtId="0" fontId="21" fillId="0" borderId="0"/>
    <xf numFmtId="0" fontId="1" fillId="0" borderId="0"/>
    <xf numFmtId="0" fontId="1" fillId="0" borderId="0"/>
    <xf numFmtId="0" fontId="21" fillId="0" borderId="0"/>
    <xf numFmtId="0" fontId="2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2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1" fillId="0" borderId="0"/>
    <xf numFmtId="0" fontId="2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2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1" fillId="0" borderId="0"/>
    <xf numFmtId="0" fontId="66" fillId="53" borderId="23" applyNumberFormat="0" applyAlignment="0" applyProtection="0"/>
    <xf numFmtId="0" fontId="66" fillId="53" borderId="23" applyNumberFormat="0" applyAlignment="0" applyProtection="0"/>
    <xf numFmtId="0" fontId="63" fillId="40" borderId="16" applyNumberFormat="0" applyAlignment="0" applyProtection="0"/>
    <xf numFmtId="0" fontId="56" fillId="53" borderId="16" applyNumberFormat="0" applyAlignment="0" applyProtection="0"/>
    <xf numFmtId="0" fontId="56" fillId="53" borderId="16" applyNumberFormat="0" applyAlignment="0" applyProtection="0"/>
    <xf numFmtId="0" fontId="56" fillId="53" borderId="16" applyNumberFormat="0" applyAlignment="0" applyProtection="0"/>
    <xf numFmtId="0" fontId="56" fillId="53" borderId="16" applyNumberFormat="0" applyAlignment="0" applyProtection="0"/>
    <xf numFmtId="0" fontId="66" fillId="53" borderId="23" applyNumberFormat="0" applyAlignment="0" applyProtection="0"/>
    <xf numFmtId="0" fontId="63" fillId="40" borderId="16" applyNumberFormat="0" applyAlignment="0" applyProtection="0"/>
    <xf numFmtId="0" fontId="21" fillId="0" borderId="0"/>
    <xf numFmtId="0" fontId="21" fillId="0" borderId="0"/>
    <xf numFmtId="0" fontId="56" fillId="53" borderId="16" applyNumberFormat="0" applyAlignment="0" applyProtection="0"/>
    <xf numFmtId="0" fontId="63" fillId="40" borderId="16" applyNumberFormat="0" applyAlignment="0" applyProtection="0"/>
    <xf numFmtId="0" fontId="63" fillId="40" borderId="16" applyNumberFormat="0" applyAlignment="0" applyProtection="0"/>
    <xf numFmtId="0" fontId="63" fillId="40" borderId="16" applyNumberFormat="0" applyAlignment="0" applyProtection="0"/>
    <xf numFmtId="0" fontId="63" fillId="40" borderId="16" applyNumberFormat="0" applyAlignment="0" applyProtection="0"/>
    <xf numFmtId="0" fontId="63" fillId="40" borderId="16" applyNumberFormat="0" applyAlignment="0" applyProtection="0"/>
    <xf numFmtId="0" fontId="56" fillId="53" borderId="16" applyNumberFormat="0" applyAlignment="0" applyProtection="0"/>
    <xf numFmtId="0" fontId="56" fillId="53" borderId="16" applyNumberFormat="0" applyAlignment="0" applyProtection="0"/>
    <xf numFmtId="0" fontId="21" fillId="0" borderId="0"/>
    <xf numFmtId="0" fontId="63" fillId="40" borderId="16" applyNumberFormat="0" applyAlignment="0" applyProtection="0"/>
    <xf numFmtId="0" fontId="66" fillId="53" borderId="23" applyNumberFormat="0" applyAlignment="0" applyProtection="0"/>
    <xf numFmtId="0" fontId="21" fillId="0" borderId="0"/>
    <xf numFmtId="0" fontId="66" fillId="53" borderId="23" applyNumberFormat="0" applyAlignment="0" applyProtection="0"/>
    <xf numFmtId="0" fontId="56" fillId="53" borderId="16" applyNumberFormat="0" applyAlignment="0" applyProtection="0"/>
    <xf numFmtId="0" fontId="66" fillId="53" borderId="23" applyNumberFormat="0" applyAlignment="0" applyProtection="0"/>
    <xf numFmtId="0" fontId="68" fillId="0" borderId="24" applyNumberFormat="0" applyFill="0" applyAlignment="0" applyProtection="0"/>
    <xf numFmtId="0" fontId="68" fillId="0" borderId="24" applyNumberFormat="0" applyFill="0" applyAlignment="0" applyProtection="0"/>
    <xf numFmtId="0" fontId="63" fillId="40" borderId="16" applyNumberFormat="0" applyAlignment="0" applyProtection="0"/>
    <xf numFmtId="0" fontId="21" fillId="56" borderId="22" applyNumberFormat="0" applyFont="0" applyAlignment="0" applyProtection="0"/>
    <xf numFmtId="0" fontId="66" fillId="53" borderId="23" applyNumberFormat="0" applyAlignment="0" applyProtection="0"/>
    <xf numFmtId="0" fontId="63" fillId="40" borderId="16" applyNumberFormat="0" applyAlignment="0" applyProtection="0"/>
    <xf numFmtId="0" fontId="21" fillId="56" borderId="22" applyNumberFormat="0" applyFon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8" fillId="0" borderId="24" applyNumberFormat="0" applyFill="0" applyAlignment="0" applyProtection="0"/>
    <xf numFmtId="0" fontId="68" fillId="0" borderId="24" applyNumberFormat="0" applyFill="0" applyAlignment="0" applyProtection="0"/>
    <xf numFmtId="0" fontId="68" fillId="0" borderId="24" applyNumberFormat="0" applyFill="0" applyAlignment="0" applyProtection="0"/>
    <xf numFmtId="0" fontId="21" fillId="0" borderId="0"/>
    <xf numFmtId="0" fontId="66" fillId="53" borderId="23" applyNumberFormat="0" applyAlignment="0" applyProtection="0"/>
    <xf numFmtId="0" fontId="68" fillId="0" borderId="24" applyNumberFormat="0" applyFill="0" applyAlignment="0" applyProtection="0"/>
    <xf numFmtId="0" fontId="63" fillId="40" borderId="16" applyNumberFormat="0" applyAlignment="0" applyProtection="0"/>
    <xf numFmtId="0" fontId="21" fillId="0" borderId="0"/>
    <xf numFmtId="0" fontId="56" fillId="53" borderId="16" applyNumberFormat="0" applyAlignment="0" applyProtection="0"/>
    <xf numFmtId="0" fontId="68" fillId="0" borderId="24" applyNumberFormat="0" applyFill="0" applyAlignment="0" applyProtection="0"/>
    <xf numFmtId="0" fontId="63" fillId="40" borderId="16" applyNumberFormat="0" applyAlignment="0" applyProtection="0"/>
    <xf numFmtId="0" fontId="68" fillId="0" borderId="24" applyNumberFormat="0" applyFill="0" applyAlignment="0" applyProtection="0"/>
    <xf numFmtId="0" fontId="68" fillId="0" borderId="24" applyNumberFormat="0" applyFill="0" applyAlignment="0" applyProtection="0"/>
    <xf numFmtId="0" fontId="21" fillId="0" borderId="0"/>
    <xf numFmtId="0" fontId="68" fillId="0" borderId="24" applyNumberFormat="0" applyFill="0" applyAlignment="0" applyProtection="0"/>
    <xf numFmtId="0" fontId="56" fillId="53" borderId="16" applyNumberFormat="0" applyAlignment="0" applyProtection="0"/>
    <xf numFmtId="0" fontId="68" fillId="0" borderId="24" applyNumberFormat="0" applyFill="0" applyAlignment="0" applyProtection="0"/>
    <xf numFmtId="0" fontId="21" fillId="56" borderId="22" applyNumberFormat="0" applyFont="0" applyAlignment="0" applyProtection="0"/>
    <xf numFmtId="0" fontId="68" fillId="0" borderId="24" applyNumberFormat="0" applyFill="0" applyAlignment="0" applyProtection="0"/>
    <xf numFmtId="0" fontId="56" fillId="53" borderId="16" applyNumberForma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8" fillId="0" borderId="24" applyNumberFormat="0" applyFill="0" applyAlignment="0" applyProtection="0"/>
    <xf numFmtId="0" fontId="21" fillId="0" borderId="0"/>
    <xf numFmtId="0" fontId="21" fillId="0" borderId="0"/>
    <xf numFmtId="0" fontId="68" fillId="0" borderId="24" applyNumberFormat="0" applyFill="0" applyAlignment="0" applyProtection="0"/>
    <xf numFmtId="0" fontId="68" fillId="0" borderId="24" applyNumberFormat="0" applyFill="0" applyAlignment="0" applyProtection="0"/>
    <xf numFmtId="0" fontId="56" fillId="53" borderId="16" applyNumberFormat="0" applyAlignment="0" applyProtection="0"/>
    <xf numFmtId="0" fontId="21" fillId="56" borderId="22" applyNumberFormat="0" applyFont="0" applyAlignment="0" applyProtection="0"/>
    <xf numFmtId="0" fontId="63" fillId="40" borderId="16" applyNumberFormat="0" applyAlignment="0" applyProtection="0"/>
    <xf numFmtId="0" fontId="63" fillId="40" borderId="16" applyNumberFormat="0" applyAlignment="0" applyProtection="0"/>
    <xf numFmtId="0" fontId="21" fillId="56" borderId="22" applyNumberFormat="0" applyFont="0" applyAlignment="0" applyProtection="0"/>
    <xf numFmtId="0" fontId="68" fillId="0" borderId="24" applyNumberFormat="0" applyFill="0" applyAlignment="0" applyProtection="0"/>
    <xf numFmtId="0" fontId="66" fillId="53" borderId="23" applyNumberFormat="0" applyAlignment="0" applyProtection="0"/>
    <xf numFmtId="0" fontId="66" fillId="53" borderId="23" applyNumberFormat="0" applyAlignment="0" applyProtection="0"/>
    <xf numFmtId="0" fontId="63" fillId="40" borderId="16" applyNumberFormat="0" applyAlignment="0" applyProtection="0"/>
    <xf numFmtId="0" fontId="21" fillId="56" borderId="22" applyNumberFormat="0" applyFont="0" applyAlignment="0" applyProtection="0"/>
    <xf numFmtId="0" fontId="66" fillId="53" borderId="23" applyNumberFormat="0" applyAlignment="0" applyProtection="0"/>
    <xf numFmtId="0" fontId="56" fillId="53" borderId="16" applyNumberFormat="0" applyAlignment="0" applyProtection="0"/>
    <xf numFmtId="0" fontId="56" fillId="53" borderId="16" applyNumberFormat="0" applyAlignment="0" applyProtection="0"/>
    <xf numFmtId="0" fontId="68" fillId="0" borderId="24" applyNumberFormat="0" applyFill="0" applyAlignment="0" applyProtection="0"/>
    <xf numFmtId="0" fontId="56" fillId="53" borderId="16" applyNumberFormat="0" applyAlignment="0" applyProtection="0"/>
    <xf numFmtId="0" fontId="68" fillId="0" borderId="24" applyNumberFormat="0" applyFill="0" applyAlignment="0" applyProtection="0"/>
    <xf numFmtId="0" fontId="21" fillId="0" borderId="0"/>
    <xf numFmtId="0" fontId="21" fillId="0" borderId="0"/>
    <xf numFmtId="0" fontId="21" fillId="0" borderId="0"/>
    <xf numFmtId="0" fontId="2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63" fillId="40" borderId="16" applyNumberFormat="0" applyAlignment="0" applyProtection="0"/>
    <xf numFmtId="0" fontId="56" fillId="53" borderId="16" applyNumberFormat="0" applyAlignment="0" applyProtection="0"/>
    <xf numFmtId="0" fontId="63" fillId="40" borderId="16" applyNumberFormat="0" applyAlignment="0" applyProtection="0"/>
    <xf numFmtId="0" fontId="63" fillId="40" borderId="16" applyNumberFormat="0" applyAlignment="0" applyProtection="0"/>
    <xf numFmtId="0" fontId="63" fillId="40" borderId="16" applyNumberFormat="0" applyAlignment="0" applyProtection="0"/>
    <xf numFmtId="0" fontId="56" fillId="53" borderId="16" applyNumberFormat="0" applyAlignment="0" applyProtection="0"/>
    <xf numFmtId="0" fontId="63" fillId="40" borderId="16" applyNumberFormat="0" applyAlignment="0" applyProtection="0"/>
    <xf numFmtId="0" fontId="56" fillId="53" borderId="16" applyNumberFormat="0" applyAlignment="0" applyProtection="0"/>
    <xf numFmtId="0" fontId="56" fillId="53" borderId="16" applyNumberFormat="0" applyAlignment="0" applyProtection="0"/>
    <xf numFmtId="0" fontId="63" fillId="40" borderId="16" applyNumberFormat="0" applyAlignment="0" applyProtection="0"/>
    <xf numFmtId="0" fontId="63" fillId="40" borderId="16" applyNumberFormat="0" applyAlignment="0" applyProtection="0"/>
    <xf numFmtId="0" fontId="63" fillId="40" borderId="16" applyNumberFormat="0" applyAlignment="0" applyProtection="0"/>
    <xf numFmtId="0" fontId="63" fillId="40" borderId="16" applyNumberFormat="0" applyAlignment="0" applyProtection="0"/>
    <xf numFmtId="0" fontId="63" fillId="40" borderId="16" applyNumberFormat="0" applyAlignment="0" applyProtection="0"/>
    <xf numFmtId="0" fontId="56" fillId="53" borderId="16" applyNumberFormat="0" applyAlignment="0" applyProtection="0"/>
    <xf numFmtId="0" fontId="63" fillId="40" borderId="16" applyNumberFormat="0" applyAlignment="0" applyProtection="0"/>
    <xf numFmtId="0" fontId="56" fillId="53" borderId="16" applyNumberFormat="0" applyAlignment="0" applyProtection="0"/>
    <xf numFmtId="0" fontId="56" fillId="53" borderId="16" applyNumberFormat="0" applyAlignment="0" applyProtection="0"/>
    <xf numFmtId="0" fontId="56" fillId="53" borderId="16" applyNumberFormat="0" applyAlignment="0" applyProtection="0"/>
    <xf numFmtId="0" fontId="56" fillId="53" borderId="16" applyNumberFormat="0" applyAlignment="0" applyProtection="0"/>
    <xf numFmtId="0" fontId="63" fillId="40" borderId="16" applyNumberFormat="0" applyAlignment="0" applyProtection="0"/>
    <xf numFmtId="0" fontId="21" fillId="56" borderId="22" applyNumberFormat="0" applyFon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8" fillId="0" borderId="24" applyNumberFormat="0" applyFill="0" applyAlignment="0" applyProtection="0"/>
    <xf numFmtId="0" fontId="68" fillId="0" borderId="24" applyNumberFormat="0" applyFill="0" applyAlignment="0" applyProtection="0"/>
    <xf numFmtId="0" fontId="68" fillId="0" borderId="24" applyNumberFormat="0" applyFill="0" applyAlignment="0" applyProtection="0"/>
    <xf numFmtId="0" fontId="56" fillId="53" borderId="16" applyNumberFormat="0" applyAlignment="0" applyProtection="0"/>
    <xf numFmtId="0" fontId="63" fillId="40" borderId="16" applyNumberFormat="0" applyAlignment="0" applyProtection="0"/>
    <xf numFmtId="0" fontId="56" fillId="53" borderId="16" applyNumberFormat="0" applyAlignment="0" applyProtection="0"/>
    <xf numFmtId="0" fontId="63" fillId="40" borderId="16" applyNumberFormat="0" applyAlignment="0" applyProtection="0"/>
    <xf numFmtId="0" fontId="56" fillId="53" borderId="16" applyNumberFormat="0" applyAlignment="0" applyProtection="0"/>
    <xf numFmtId="0" fontId="63" fillId="40" borderId="16" applyNumberForma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8" fillId="0" borderId="24" applyNumberFormat="0" applyFill="0" applyAlignment="0" applyProtection="0"/>
    <xf numFmtId="0" fontId="68" fillId="0" borderId="24" applyNumberFormat="0" applyFill="0" applyAlignment="0" applyProtection="0"/>
    <xf numFmtId="0" fontId="21" fillId="56" borderId="22" applyNumberFormat="0" applyFont="0" applyAlignment="0" applyProtection="0"/>
    <xf numFmtId="0" fontId="66" fillId="53" borderId="23" applyNumberFormat="0" applyAlignment="0" applyProtection="0"/>
    <xf numFmtId="0" fontId="21" fillId="56" borderId="22" applyNumberFormat="0" applyFon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8" fillId="0" borderId="24" applyNumberFormat="0" applyFill="0" applyAlignment="0" applyProtection="0"/>
    <xf numFmtId="0" fontId="68" fillId="0" borderId="24" applyNumberFormat="0" applyFill="0" applyAlignment="0" applyProtection="0"/>
    <xf numFmtId="0" fontId="68" fillId="0" borderId="24" applyNumberFormat="0" applyFill="0" applyAlignment="0" applyProtection="0"/>
    <xf numFmtId="0" fontId="66" fillId="53" borderId="23" applyNumberFormat="0" applyAlignment="0" applyProtection="0"/>
    <xf numFmtId="0" fontId="68" fillId="0" borderId="24" applyNumberFormat="0" applyFill="0" applyAlignment="0" applyProtection="0"/>
    <xf numFmtId="0" fontId="68" fillId="0" borderId="24" applyNumberFormat="0" applyFill="0" applyAlignment="0" applyProtection="0"/>
    <xf numFmtId="0" fontId="68" fillId="0" borderId="24" applyNumberFormat="0" applyFill="0" applyAlignment="0" applyProtection="0"/>
    <xf numFmtId="0" fontId="68" fillId="0" borderId="24" applyNumberFormat="0" applyFill="0" applyAlignment="0" applyProtection="0"/>
    <xf numFmtId="0" fontId="68" fillId="0" borderId="24" applyNumberFormat="0" applyFill="0" applyAlignment="0" applyProtection="0"/>
    <xf numFmtId="0" fontId="68" fillId="0" borderId="24" applyNumberFormat="0" applyFill="0" applyAlignment="0" applyProtection="0"/>
    <xf numFmtId="0" fontId="21" fillId="56" borderId="22" applyNumberFormat="0" applyFont="0" applyAlignment="0" applyProtection="0"/>
    <xf numFmtId="0" fontId="68" fillId="0" borderId="24" applyNumberFormat="0" applyFill="0" applyAlignment="0" applyProtection="0"/>
    <xf numFmtId="0" fontId="66" fillId="53" borderId="23" applyNumberFormat="0" applyAlignment="0" applyProtection="0"/>
    <xf numFmtId="0" fontId="66" fillId="53" borderId="23" applyNumberFormat="0" applyAlignment="0" applyProtection="0"/>
    <xf numFmtId="0" fontId="66" fillId="53" borderId="23" applyNumberFormat="0" applyAlignment="0" applyProtection="0"/>
    <xf numFmtId="0" fontId="68" fillId="0" borderId="24" applyNumberFormat="0" applyFill="0" applyAlignment="0" applyProtection="0"/>
    <xf numFmtId="0" fontId="68" fillId="0" borderId="24" applyNumberFormat="0" applyFill="0" applyAlignment="0" applyProtection="0"/>
    <xf numFmtId="0" fontId="68" fillId="0" borderId="24" applyNumberFormat="0" applyFill="0" applyAlignment="0" applyProtection="0"/>
    <xf numFmtId="0" fontId="21" fillId="56" borderId="22" applyNumberFormat="0" applyFont="0" applyAlignment="0" applyProtection="0"/>
    <xf numFmtId="0" fontId="21" fillId="56" borderId="22" applyNumberFormat="0" applyFont="0" applyAlignment="0" applyProtection="0"/>
    <xf numFmtId="0" fontId="68" fillId="0" borderId="24" applyNumberFormat="0" applyFill="0" applyAlignment="0" applyProtection="0"/>
    <xf numFmtId="0" fontId="66" fillId="53" borderId="23" applyNumberFormat="0" applyAlignment="0" applyProtection="0"/>
    <xf numFmtId="0" fontId="66" fillId="53" borderId="23" applyNumberFormat="0" applyAlignment="0" applyProtection="0"/>
    <xf numFmtId="0" fontId="21" fillId="56" borderId="22" applyNumberFormat="0" applyFont="0" applyAlignment="0" applyProtection="0"/>
    <xf numFmtId="0" fontId="66" fillId="53" borderId="23" applyNumberFormat="0" applyAlignment="0" applyProtection="0"/>
    <xf numFmtId="0" fontId="68" fillId="0" borderId="24" applyNumberFormat="0" applyFill="0" applyAlignment="0" applyProtection="0"/>
    <xf numFmtId="0" fontId="68" fillId="0" borderId="24" applyNumberFormat="0" applyFill="0" applyAlignment="0" applyProtection="0"/>
    <xf numFmtId="0" fontId="56" fillId="53" borderId="16" applyNumberFormat="0" applyAlignment="0" applyProtection="0"/>
    <xf numFmtId="0" fontId="56" fillId="53" borderId="16" applyNumberFormat="0" applyAlignment="0" applyProtection="0"/>
    <xf numFmtId="0" fontId="56" fillId="53" borderId="16" applyNumberFormat="0" applyAlignment="0" applyProtection="0"/>
    <xf numFmtId="0" fontId="63" fillId="40" borderId="16" applyNumberFormat="0" applyAlignment="0" applyProtection="0"/>
    <xf numFmtId="0" fontId="63" fillId="40" borderId="16" applyNumberFormat="0" applyAlignment="0" applyProtection="0"/>
    <xf numFmtId="0" fontId="63" fillId="40" borderId="16" applyNumberFormat="0" applyAlignment="0" applyProtection="0"/>
    <xf numFmtId="0" fontId="56" fillId="53" borderId="16" applyNumberFormat="0" applyAlignment="0" applyProtection="0"/>
    <xf numFmtId="0" fontId="56" fillId="53" borderId="16" applyNumberFormat="0" applyAlignment="0" applyProtection="0"/>
    <xf numFmtId="0" fontId="56" fillId="53" borderId="16" applyNumberFormat="0" applyAlignment="0" applyProtection="0"/>
    <xf numFmtId="165" fontId="21" fillId="0" borderId="0" applyFont="0" applyFill="0" applyBorder="0" applyAlignment="0" applyProtection="0"/>
    <xf numFmtId="0" fontId="34" fillId="0" borderId="0"/>
    <xf numFmtId="0" fontId="1" fillId="0" borderId="0"/>
    <xf numFmtId="43" fontId="1" fillId="0" borderId="0" applyFont="0" applyFill="0" applyBorder="0" applyAlignment="0" applyProtection="0"/>
    <xf numFmtId="0" fontId="34" fillId="0" borderId="0"/>
    <xf numFmtId="43" fontId="34" fillId="0" borderId="0" applyFont="0" applyFill="0" applyBorder="0" applyAlignment="0" applyProtection="0"/>
    <xf numFmtId="44" fontId="1" fillId="0" borderId="0" applyFont="0" applyFill="0" applyBorder="0" applyAlignment="0" applyProtection="0"/>
    <xf numFmtId="0" fontId="34" fillId="0" borderId="0"/>
    <xf numFmtId="43" fontId="22" fillId="0" borderId="0" applyFont="0" applyFill="0" applyBorder="0" applyAlignment="0" applyProtection="0"/>
    <xf numFmtId="0" fontId="1" fillId="8" borderId="8" applyNumberFormat="0" applyFont="0" applyAlignment="0" applyProtection="0"/>
    <xf numFmtId="0" fontId="34" fillId="0" borderId="0"/>
    <xf numFmtId="0" fontId="34" fillId="0" borderId="0"/>
    <xf numFmtId="0" fontId="34" fillId="0" borderId="0"/>
    <xf numFmtId="0" fontId="34" fillId="10" borderId="0" applyNumberFormat="0" applyBorder="0" applyAlignment="0" applyProtection="0"/>
    <xf numFmtId="0" fontId="34" fillId="10" borderId="0" applyNumberFormat="0" applyBorder="0" applyAlignment="0" applyProtection="0"/>
    <xf numFmtId="0" fontId="34" fillId="14" borderId="0" applyNumberFormat="0" applyBorder="0" applyAlignment="0" applyProtection="0"/>
    <xf numFmtId="0" fontId="34" fillId="14" borderId="0" applyNumberFormat="0" applyBorder="0" applyAlignment="0" applyProtection="0"/>
    <xf numFmtId="0" fontId="34" fillId="18" borderId="0" applyNumberFormat="0" applyBorder="0" applyAlignment="0" applyProtection="0"/>
    <xf numFmtId="0" fontId="34" fillId="18" borderId="0" applyNumberFormat="0" applyBorder="0" applyAlignment="0" applyProtection="0"/>
    <xf numFmtId="0" fontId="34" fillId="22" borderId="0" applyNumberFormat="0" applyBorder="0" applyAlignment="0" applyProtection="0"/>
    <xf numFmtId="0" fontId="34" fillId="22" borderId="0" applyNumberFormat="0" applyBorder="0" applyAlignment="0" applyProtection="0"/>
    <xf numFmtId="0" fontId="34" fillId="26" borderId="0" applyNumberFormat="0" applyBorder="0" applyAlignment="0" applyProtection="0"/>
    <xf numFmtId="0" fontId="34" fillId="26"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11"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9" borderId="0" applyNumberFormat="0" applyBorder="0" applyAlignment="0" applyProtection="0"/>
    <xf numFmtId="0" fontId="34" fillId="19"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7" borderId="0" applyNumberFormat="0" applyBorder="0" applyAlignment="0" applyProtection="0"/>
    <xf numFmtId="0" fontId="34" fillId="27" borderId="0" applyNumberFormat="0" applyBorder="0" applyAlignment="0" applyProtection="0"/>
    <xf numFmtId="0" fontId="34" fillId="31" borderId="0" applyNumberFormat="0" applyBorder="0" applyAlignment="0" applyProtection="0"/>
    <xf numFmtId="0" fontId="34" fillId="31" borderId="0" applyNumberFormat="0" applyBorder="0" applyAlignment="0" applyProtection="0"/>
    <xf numFmtId="0" fontId="72" fillId="12" borderId="0" applyNumberFormat="0" applyBorder="0" applyAlignment="0" applyProtection="0"/>
    <xf numFmtId="0" fontId="72" fillId="16" borderId="0" applyNumberFormat="0" applyBorder="0" applyAlignment="0" applyProtection="0"/>
    <xf numFmtId="0" fontId="72" fillId="20" borderId="0" applyNumberFormat="0" applyBorder="0" applyAlignment="0" applyProtection="0"/>
    <xf numFmtId="0" fontId="72" fillId="24" borderId="0" applyNumberFormat="0" applyBorder="0" applyAlignment="0" applyProtection="0"/>
    <xf numFmtId="0" fontId="72" fillId="28" borderId="0" applyNumberFormat="0" applyBorder="0" applyAlignment="0" applyProtection="0"/>
    <xf numFmtId="0" fontId="72" fillId="32" borderId="0" applyNumberFormat="0" applyBorder="0" applyAlignment="0" applyProtection="0"/>
    <xf numFmtId="0" fontId="72" fillId="9" borderId="0" applyNumberFormat="0" applyBorder="0" applyAlignment="0" applyProtection="0"/>
    <xf numFmtId="0" fontId="72" fillId="13" borderId="0" applyNumberFormat="0" applyBorder="0" applyAlignment="0" applyProtection="0"/>
    <xf numFmtId="0" fontId="72" fillId="17" borderId="0" applyNumberFormat="0" applyBorder="0" applyAlignment="0" applyProtection="0"/>
    <xf numFmtId="0" fontId="72" fillId="21"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 fillId="3" borderId="0" applyNumberFormat="0" applyBorder="0" applyAlignment="0" applyProtection="0"/>
    <xf numFmtId="0" fontId="73" fillId="3" borderId="0" applyNumberFormat="0" applyBorder="0" applyAlignment="0" applyProtection="0"/>
    <xf numFmtId="0" fontId="74" fillId="6" borderId="4" applyNumberFormat="0" applyAlignment="0" applyProtection="0"/>
    <xf numFmtId="0" fontId="75" fillId="7" borderId="7" applyNumberFormat="0" applyAlignment="0" applyProtection="0"/>
    <xf numFmtId="43" fontId="34" fillId="0" borderId="0" applyFont="0" applyFill="0" applyBorder="0" applyAlignment="0" applyProtection="0"/>
    <xf numFmtId="43" fontId="22" fillId="0" borderId="0" applyFont="0" applyFill="0" applyBorder="0" applyAlignment="0" applyProtection="0"/>
    <xf numFmtId="164" fontId="22" fillId="0" borderId="0" applyFont="0" applyFill="0" applyBorder="0" applyAlignment="0" applyProtection="0"/>
    <xf numFmtId="43" fontId="1" fillId="0" borderId="0" applyFont="0" applyFill="0" applyBorder="0" applyAlignment="0" applyProtection="0"/>
    <xf numFmtId="43" fontId="21" fillId="0" borderId="0" applyFont="0" applyFill="0" applyBorder="0" applyAlignment="0" applyProtection="0"/>
    <xf numFmtId="43" fontId="34"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44" fontId="21" fillId="0" borderId="0" applyFont="0" applyFill="0" applyBorder="0" applyAlignment="0" applyProtection="0"/>
    <xf numFmtId="44" fontId="34" fillId="0" borderId="0" applyFont="0" applyFill="0" applyBorder="0" applyAlignment="0" applyProtection="0"/>
    <xf numFmtId="44" fontId="1" fillId="0" borderId="0" applyFont="0" applyFill="0" applyBorder="0" applyAlignment="0" applyProtection="0"/>
    <xf numFmtId="165" fontId="1" fillId="0" borderId="0" applyFont="0" applyFill="0" applyBorder="0" applyAlignment="0" applyProtection="0"/>
    <xf numFmtId="0" fontId="76" fillId="0" borderId="0" applyNumberFormat="0" applyFill="0" applyBorder="0" applyAlignment="0" applyProtection="0"/>
    <xf numFmtId="0" fontId="77" fillId="2" borderId="0" applyNumberFormat="0" applyBorder="0" applyAlignment="0" applyProtection="0"/>
    <xf numFmtId="0" fontId="78" fillId="0" borderId="0"/>
    <xf numFmtId="0" fontId="5" fillId="0" borderId="3" applyNumberFormat="0" applyFill="0" applyAlignment="0" applyProtection="0"/>
    <xf numFmtId="0" fontId="79" fillId="5" borderId="4" applyNumberFormat="0" applyAlignment="0" applyProtection="0"/>
    <xf numFmtId="0" fontId="80" fillId="0" borderId="6" applyNumberFormat="0" applyFill="0" applyAlignment="0" applyProtection="0"/>
    <xf numFmtId="0" fontId="81" fillId="4" borderId="0" applyNumberFormat="0" applyBorder="0" applyAlignment="0" applyProtection="0"/>
    <xf numFmtId="0" fontId="34" fillId="0" borderId="0"/>
    <xf numFmtId="0" fontId="34" fillId="0" borderId="0"/>
    <xf numFmtId="0" fontId="24" fillId="0" borderId="0"/>
    <xf numFmtId="0" fontId="34" fillId="0" borderId="0"/>
    <xf numFmtId="0" fontId="34" fillId="0" borderId="0"/>
    <xf numFmtId="0" fontId="34" fillId="0" borderId="0"/>
    <xf numFmtId="0" fontId="1" fillId="0" borderId="0"/>
    <xf numFmtId="0" fontId="21" fillId="0" borderId="0"/>
    <xf numFmtId="0" fontId="21" fillId="0" borderId="0"/>
    <xf numFmtId="0" fontId="34" fillId="8" borderId="8" applyNumberFormat="0" applyFont="0" applyAlignment="0" applyProtection="0"/>
    <xf numFmtId="0" fontId="34" fillId="8" borderId="8" applyNumberFormat="0" applyFont="0" applyAlignment="0" applyProtection="0"/>
    <xf numFmtId="0" fontId="82" fillId="6" borderId="5" applyNumberFormat="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38" fontId="40" fillId="0" borderId="0"/>
    <xf numFmtId="0" fontId="71" fillId="0" borderId="9" applyNumberFormat="0" applyFill="0" applyAlignment="0" applyProtection="0"/>
    <xf numFmtId="0" fontId="83" fillId="0" borderId="0" applyNumberFormat="0" applyFill="0" applyBorder="0" applyAlignment="0" applyProtection="0"/>
    <xf numFmtId="0" fontId="29"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7" fillId="0" borderId="0"/>
    <xf numFmtId="0" fontId="24" fillId="0" borderId="0"/>
    <xf numFmtId="0" fontId="30" fillId="0" borderId="0"/>
    <xf numFmtId="0" fontId="30" fillId="0" borderId="0"/>
    <xf numFmtId="0" fontId="30" fillId="0" borderId="0"/>
    <xf numFmtId="0" fontId="30" fillId="0" borderId="0"/>
    <xf numFmtId="0" fontId="23" fillId="0" borderId="0" applyNumberFormat="0" applyFill="0" applyBorder="0" applyAlignment="0" applyProtection="0"/>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1" fillId="0" borderId="0"/>
    <xf numFmtId="0" fontId="21" fillId="0" borderId="0"/>
    <xf numFmtId="0" fontId="21" fillId="0" borderId="0"/>
    <xf numFmtId="43" fontId="21" fillId="0" borderId="0" applyFont="0" applyFill="0" applyBorder="0" applyAlignment="0" applyProtection="0"/>
    <xf numFmtId="0" fontId="18" fillId="0" borderId="0"/>
    <xf numFmtId="164" fontId="21" fillId="0" borderId="0" applyFont="0" applyFill="0" applyBorder="0" applyAlignment="0" applyProtection="0">
      <alignment wrapText="1"/>
    </xf>
    <xf numFmtId="0" fontId="21" fillId="0" borderId="0">
      <alignment wrapText="1"/>
    </xf>
    <xf numFmtId="0" fontId="43" fillId="0" borderId="0"/>
    <xf numFmtId="0" fontId="21" fillId="0" borderId="0"/>
    <xf numFmtId="0" fontId="21" fillId="0" borderId="0">
      <alignment wrapText="1"/>
    </xf>
    <xf numFmtId="0" fontId="70" fillId="0" borderId="0"/>
    <xf numFmtId="0" fontId="1" fillId="0" borderId="0"/>
    <xf numFmtId="0" fontId="1" fillId="0" borderId="0"/>
    <xf numFmtId="0" fontId="34" fillId="0" borderId="0"/>
    <xf numFmtId="0" fontId="34" fillId="0" borderId="0"/>
    <xf numFmtId="0" fontId="34" fillId="0" borderId="0"/>
    <xf numFmtId="0" fontId="86" fillId="0" borderId="3" applyNumberFormat="0" applyFill="0" applyAlignment="0" applyProtection="0"/>
    <xf numFmtId="0" fontId="86" fillId="0" borderId="0" applyNumberFormat="0" applyFill="0" applyBorder="0" applyAlignment="0" applyProtection="0"/>
    <xf numFmtId="0" fontId="85" fillId="0" borderId="2" applyNumberFormat="0" applyFill="0" applyAlignment="0" applyProtection="0"/>
    <xf numFmtId="0" fontId="84" fillId="0" borderId="1" applyNumberFormat="0" applyFill="0" applyAlignment="0" applyProtection="0"/>
    <xf numFmtId="0" fontId="87" fillId="0" borderId="0"/>
    <xf numFmtId="0" fontId="21" fillId="0" borderId="0"/>
    <xf numFmtId="43" fontId="24" fillId="0" borderId="0" applyFont="0" applyFill="0" applyBorder="0" applyAlignment="0" applyProtection="0"/>
    <xf numFmtId="43" fontId="24" fillId="0" borderId="0" applyFont="0" applyFill="0" applyBorder="0" applyAlignment="0" applyProtection="0"/>
    <xf numFmtId="0" fontId="26" fillId="0" borderId="0"/>
    <xf numFmtId="0" fontId="21" fillId="0" borderId="0"/>
    <xf numFmtId="0" fontId="21" fillId="0" borderId="0"/>
    <xf numFmtId="0" fontId="21" fillId="0" borderId="0"/>
    <xf numFmtId="0" fontId="26" fillId="0" borderId="0"/>
    <xf numFmtId="0" fontId="21" fillId="0" borderId="0"/>
    <xf numFmtId="0" fontId="21" fillId="0" borderId="0"/>
    <xf numFmtId="0" fontId="24" fillId="0" borderId="0"/>
    <xf numFmtId="0" fontId="30" fillId="0" borderId="0"/>
    <xf numFmtId="0" fontId="24" fillId="0" borderId="0"/>
    <xf numFmtId="0" fontId="21" fillId="0" borderId="0"/>
    <xf numFmtId="0" fontId="24" fillId="0" borderId="0"/>
    <xf numFmtId="0" fontId="24" fillId="0" borderId="0"/>
    <xf numFmtId="168" fontId="88" fillId="0" borderId="0" applyFont="0" applyFill="0" applyBorder="0" applyAlignment="0" applyProtection="0"/>
    <xf numFmtId="169" fontId="88" fillId="0" borderId="0" applyFont="0" applyFill="0" applyBorder="0" applyAlignment="0" applyProtection="0"/>
    <xf numFmtId="170" fontId="88" fillId="0" borderId="0" applyFont="0" applyFill="0" applyBorder="0" applyAlignment="0" applyProtection="0"/>
    <xf numFmtId="22" fontId="21" fillId="0" borderId="0" applyFont="0" applyFill="0" applyBorder="0" applyAlignment="0" applyProtection="0">
      <alignment horizontal="left"/>
    </xf>
    <xf numFmtId="171" fontId="21" fillId="0" borderId="0" applyFont="0" applyFill="0" applyBorder="0" applyAlignment="0" applyProtection="0">
      <alignment horizontal="left"/>
    </xf>
    <xf numFmtId="172" fontId="88" fillId="0" borderId="0" applyFont="0" applyFill="0" applyBorder="0" applyAlignment="0" applyProtection="0"/>
    <xf numFmtId="173" fontId="88" fillId="0" borderId="0" applyFont="0" applyFill="0" applyBorder="0" applyAlignment="0" applyProtection="0"/>
    <xf numFmtId="174" fontId="88" fillId="0" borderId="0" applyFont="0" applyFill="0" applyBorder="0" applyAlignment="0" applyProtection="0"/>
    <xf numFmtId="0" fontId="89" fillId="0" borderId="0"/>
    <xf numFmtId="0" fontId="90" fillId="0" borderId="0"/>
    <xf numFmtId="0" fontId="46" fillId="0" borderId="0"/>
    <xf numFmtId="175" fontId="88" fillId="0" borderId="0" applyFont="0" applyFill="0" applyBorder="0" applyAlignment="0" applyProtection="0"/>
    <xf numFmtId="176" fontId="88" fillId="0" borderId="0" applyFont="0" applyFill="0" applyBorder="0" applyAlignment="0" applyProtection="0"/>
    <xf numFmtId="177" fontId="88" fillId="0" borderId="0" applyFont="0" applyFill="0" applyBorder="0" applyAlignment="0" applyProtection="0"/>
    <xf numFmtId="178" fontId="21" fillId="0" borderId="0" applyFont="0" applyFill="0" applyBorder="0" applyAlignment="0" applyProtection="0"/>
    <xf numFmtId="179" fontId="88" fillId="0" borderId="0" applyFont="0" applyFill="0" applyBorder="0" applyAlignment="0" applyProtection="0"/>
    <xf numFmtId="180" fontId="88" fillId="0" borderId="0" applyFont="0" applyFill="0" applyBorder="0" applyAlignment="0" applyProtection="0"/>
    <xf numFmtId="181" fontId="88" fillId="0" borderId="0" applyFont="0" applyFill="0" applyBorder="0" applyAlignment="0" applyProtection="0"/>
    <xf numFmtId="182" fontId="88" fillId="0" borderId="0" applyFont="0" applyFill="0" applyBorder="0" applyAlignment="0" applyProtection="0"/>
    <xf numFmtId="183" fontId="88" fillId="0" borderId="0" applyFont="0" applyFill="0" applyBorder="0" applyAlignment="0" applyProtection="0"/>
    <xf numFmtId="184" fontId="88" fillId="0" borderId="0" applyFont="0" applyFill="0" applyBorder="0" applyAlignment="0" applyProtection="0"/>
    <xf numFmtId="185" fontId="21" fillId="0" borderId="0" applyFont="0" applyFill="0" applyBorder="0" applyAlignment="0" applyProtection="0"/>
    <xf numFmtId="186" fontId="88" fillId="0" borderId="0" applyFont="0" applyFill="0" applyBorder="0" applyAlignment="0" applyProtection="0"/>
    <xf numFmtId="187" fontId="88" fillId="0" borderId="0" applyFont="0" applyFill="0" applyBorder="0" applyAlignment="0" applyProtection="0"/>
    <xf numFmtId="188" fontId="88" fillId="0" borderId="0" applyFont="0" applyFill="0" applyBorder="0" applyAlignment="0" applyProtection="0"/>
    <xf numFmtId="189" fontId="88" fillId="0" borderId="0" applyFont="0" applyFill="0" applyBorder="0" applyAlignment="0" applyProtection="0"/>
    <xf numFmtId="190" fontId="88" fillId="0" borderId="0" applyFont="0" applyFill="0" applyBorder="0" applyAlignment="0" applyProtection="0"/>
    <xf numFmtId="191" fontId="88" fillId="0" borderId="0" applyFont="0" applyFill="0" applyBorder="0" applyAlignment="0" applyProtection="0"/>
    <xf numFmtId="192" fontId="88" fillId="0" borderId="0" applyFont="0" applyFill="0" applyBorder="0" applyAlignment="0" applyProtection="0"/>
    <xf numFmtId="193" fontId="88" fillId="0" borderId="0" applyFont="0" applyFill="0" applyBorder="0" applyAlignment="0" applyProtection="0"/>
    <xf numFmtId="194" fontId="88" fillId="0" borderId="0" applyFont="0" applyFill="0" applyBorder="0" applyAlignment="0" applyProtection="0"/>
    <xf numFmtId="195" fontId="21" fillId="0" borderId="0" applyFont="0" applyFill="0" applyBorder="0" applyAlignment="0" applyProtection="0"/>
    <xf numFmtId="9" fontId="21" fillId="0" borderId="0" applyFont="0" applyFill="0" applyBorder="0" applyAlignment="0" applyProtection="0"/>
    <xf numFmtId="0" fontId="88" fillId="33" borderId="0" applyNumberFormat="0" applyFont="0" applyBorder="0" applyAlignment="0" applyProtection="0"/>
    <xf numFmtId="196" fontId="88" fillId="0" borderId="0" applyFont="0" applyFill="0" applyBorder="0" applyAlignment="0" applyProtection="0"/>
    <xf numFmtId="168" fontId="88" fillId="0" borderId="0" applyFont="0" applyFill="0" applyBorder="0" applyAlignment="0" applyProtection="0"/>
    <xf numFmtId="169" fontId="88" fillId="0" borderId="0" applyFont="0" applyFill="0" applyBorder="0" applyAlignment="0" applyProtection="0"/>
    <xf numFmtId="170" fontId="88" fillId="0" borderId="0" applyFont="0" applyFill="0" applyBorder="0" applyAlignment="0" applyProtection="0"/>
    <xf numFmtId="22" fontId="21" fillId="0" borderId="0" applyFont="0" applyFill="0" applyBorder="0" applyAlignment="0" applyProtection="0">
      <alignment horizontal="left"/>
    </xf>
    <xf numFmtId="171" fontId="21" fillId="0" borderId="0" applyFont="0" applyFill="0" applyBorder="0" applyAlignment="0" applyProtection="0">
      <alignment horizontal="left"/>
    </xf>
    <xf numFmtId="172" fontId="88" fillId="0" borderId="0" applyFont="0" applyFill="0" applyBorder="0" applyAlignment="0" applyProtection="0"/>
    <xf numFmtId="173" fontId="88" fillId="0" borderId="0" applyFont="0" applyFill="0" applyBorder="0" applyAlignment="0" applyProtection="0"/>
    <xf numFmtId="174" fontId="88" fillId="0" borderId="0" applyFont="0" applyFill="0" applyBorder="0" applyAlignment="0" applyProtection="0"/>
    <xf numFmtId="175" fontId="88" fillId="0" borderId="0" applyFont="0" applyFill="0" applyBorder="0" applyAlignment="0" applyProtection="0"/>
    <xf numFmtId="176" fontId="88" fillId="0" borderId="0" applyFont="0" applyFill="0" applyBorder="0" applyAlignment="0" applyProtection="0"/>
    <xf numFmtId="177" fontId="88" fillId="0" borderId="0" applyFont="0" applyFill="0" applyBorder="0" applyAlignment="0" applyProtection="0"/>
    <xf numFmtId="178" fontId="21" fillId="0" borderId="0" applyFont="0" applyFill="0" applyBorder="0" applyAlignment="0" applyProtection="0"/>
    <xf numFmtId="179" fontId="88" fillId="0" borderId="0" applyFont="0" applyFill="0" applyBorder="0" applyAlignment="0" applyProtection="0"/>
    <xf numFmtId="180" fontId="88" fillId="0" borderId="0" applyFont="0" applyFill="0" applyBorder="0" applyAlignment="0" applyProtection="0"/>
    <xf numFmtId="181" fontId="88" fillId="0" borderId="0" applyFont="0" applyFill="0" applyBorder="0" applyAlignment="0" applyProtection="0"/>
    <xf numFmtId="182" fontId="88" fillId="0" borderId="0" applyFont="0" applyFill="0" applyBorder="0" applyAlignment="0" applyProtection="0"/>
    <xf numFmtId="183" fontId="88" fillId="0" borderId="0" applyFont="0" applyFill="0" applyBorder="0" applyAlignment="0" applyProtection="0"/>
    <xf numFmtId="184" fontId="88" fillId="0" borderId="0" applyFont="0" applyFill="0" applyBorder="0" applyAlignment="0" applyProtection="0"/>
    <xf numFmtId="185" fontId="21" fillId="0" borderId="0" applyFont="0" applyFill="0" applyBorder="0" applyAlignment="0" applyProtection="0"/>
    <xf numFmtId="186" fontId="88" fillId="0" borderId="0" applyFont="0" applyFill="0" applyBorder="0" applyAlignment="0" applyProtection="0"/>
    <xf numFmtId="187" fontId="88" fillId="0" borderId="0" applyFont="0" applyFill="0" applyBorder="0" applyAlignment="0" applyProtection="0"/>
    <xf numFmtId="188" fontId="88" fillId="0" borderId="0" applyFont="0" applyFill="0" applyBorder="0" applyAlignment="0" applyProtection="0"/>
    <xf numFmtId="189" fontId="88" fillId="0" borderId="0" applyFont="0" applyFill="0" applyBorder="0" applyAlignment="0" applyProtection="0"/>
    <xf numFmtId="190" fontId="88" fillId="0" borderId="0" applyFont="0" applyFill="0" applyBorder="0" applyAlignment="0" applyProtection="0"/>
    <xf numFmtId="191" fontId="88" fillId="0" borderId="0" applyFont="0" applyFill="0" applyBorder="0" applyAlignment="0" applyProtection="0"/>
    <xf numFmtId="192" fontId="88" fillId="0" borderId="0" applyFont="0" applyFill="0" applyBorder="0" applyAlignment="0" applyProtection="0"/>
    <xf numFmtId="193" fontId="88" fillId="0" borderId="0" applyFont="0" applyFill="0" applyBorder="0" applyAlignment="0" applyProtection="0"/>
    <xf numFmtId="194" fontId="88" fillId="0" borderId="0" applyFont="0" applyFill="0" applyBorder="0" applyAlignment="0" applyProtection="0"/>
    <xf numFmtId="195" fontId="21" fillId="0" borderId="0" applyFont="0" applyFill="0" applyBorder="0" applyAlignment="0" applyProtection="0"/>
    <xf numFmtId="0" fontId="88" fillId="33" borderId="0" applyNumberFormat="0" applyFont="0" applyBorder="0" applyAlignment="0" applyProtection="0"/>
    <xf numFmtId="196" fontId="88" fillId="0" borderId="0" applyFont="0" applyFill="0" applyBorder="0" applyAlignment="0" applyProtection="0"/>
    <xf numFmtId="168" fontId="88" fillId="0" borderId="0" applyFont="0" applyFill="0" applyBorder="0" applyAlignment="0" applyProtection="0"/>
    <xf numFmtId="169" fontId="88" fillId="0" borderId="0" applyFont="0" applyFill="0" applyBorder="0" applyAlignment="0" applyProtection="0"/>
    <xf numFmtId="170" fontId="88" fillId="0" borderId="0" applyFont="0" applyFill="0" applyBorder="0" applyAlignment="0" applyProtection="0"/>
    <xf numFmtId="22" fontId="21" fillId="0" borderId="0" applyFont="0" applyFill="0" applyBorder="0" applyAlignment="0" applyProtection="0">
      <alignment horizontal="left"/>
    </xf>
    <xf numFmtId="172" fontId="88" fillId="0" borderId="0" applyFont="0" applyFill="0" applyBorder="0" applyAlignment="0" applyProtection="0"/>
    <xf numFmtId="173" fontId="88" fillId="0" borderId="0" applyFont="0" applyFill="0" applyBorder="0" applyAlignment="0" applyProtection="0"/>
    <xf numFmtId="174" fontId="88" fillId="0" borderId="0" applyFont="0" applyFill="0" applyBorder="0" applyAlignment="0" applyProtection="0"/>
    <xf numFmtId="175" fontId="88" fillId="0" borderId="0" applyFont="0" applyFill="0" applyBorder="0" applyAlignment="0" applyProtection="0"/>
    <xf numFmtId="176" fontId="88" fillId="0" borderId="0" applyFont="0" applyFill="0" applyBorder="0" applyAlignment="0" applyProtection="0"/>
    <xf numFmtId="177" fontId="88" fillId="0" borderId="0" applyFont="0" applyFill="0" applyBorder="0" applyAlignment="0" applyProtection="0"/>
    <xf numFmtId="179" fontId="88" fillId="0" borderId="0" applyFont="0" applyFill="0" applyBorder="0" applyAlignment="0" applyProtection="0"/>
    <xf numFmtId="180" fontId="88" fillId="0" borderId="0" applyFont="0" applyFill="0" applyBorder="0" applyAlignment="0" applyProtection="0"/>
    <xf numFmtId="181" fontId="88" fillId="0" borderId="0" applyFont="0" applyFill="0" applyBorder="0" applyAlignment="0" applyProtection="0"/>
    <xf numFmtId="182" fontId="88" fillId="0" borderId="0" applyFont="0" applyFill="0" applyBorder="0" applyAlignment="0" applyProtection="0"/>
    <xf numFmtId="183" fontId="88" fillId="0" borderId="0" applyFont="0" applyFill="0" applyBorder="0" applyAlignment="0" applyProtection="0"/>
    <xf numFmtId="184" fontId="88" fillId="0" borderId="0" applyFont="0" applyFill="0" applyBorder="0" applyAlignment="0" applyProtection="0"/>
    <xf numFmtId="186" fontId="88" fillId="0" borderId="0" applyFont="0" applyFill="0" applyBorder="0" applyAlignment="0" applyProtection="0"/>
    <xf numFmtId="187" fontId="88" fillId="0" borderId="0" applyFont="0" applyFill="0" applyBorder="0" applyAlignment="0" applyProtection="0"/>
    <xf numFmtId="188" fontId="88" fillId="0" borderId="0" applyFont="0" applyFill="0" applyBorder="0" applyAlignment="0" applyProtection="0"/>
    <xf numFmtId="189" fontId="88" fillId="0" borderId="0" applyFont="0" applyFill="0" applyBorder="0" applyAlignment="0" applyProtection="0"/>
    <xf numFmtId="190" fontId="88" fillId="0" borderId="0" applyFont="0" applyFill="0" applyBorder="0" applyAlignment="0" applyProtection="0"/>
    <xf numFmtId="191" fontId="88" fillId="0" borderId="0" applyFont="0" applyFill="0" applyBorder="0" applyAlignment="0" applyProtection="0"/>
    <xf numFmtId="192" fontId="88" fillId="0" borderId="0" applyFont="0" applyFill="0" applyBorder="0" applyAlignment="0" applyProtection="0"/>
    <xf numFmtId="193" fontId="88" fillId="0" borderId="0" applyFont="0" applyFill="0" applyBorder="0" applyAlignment="0" applyProtection="0"/>
    <xf numFmtId="194" fontId="88" fillId="0" borderId="0" applyFont="0" applyFill="0" applyBorder="0" applyAlignment="0" applyProtection="0"/>
    <xf numFmtId="0" fontId="88" fillId="33" borderId="0" applyNumberFormat="0" applyFont="0" applyBorder="0" applyAlignment="0" applyProtection="0"/>
    <xf numFmtId="196" fontId="88" fillId="0" borderId="0" applyFont="0" applyFill="0" applyBorder="0" applyAlignment="0" applyProtection="0"/>
    <xf numFmtId="168" fontId="88" fillId="0" borderId="0" applyFont="0" applyFill="0" applyBorder="0" applyAlignment="0" applyProtection="0"/>
    <xf numFmtId="169" fontId="88" fillId="0" borderId="0" applyFont="0" applyFill="0" applyBorder="0" applyAlignment="0" applyProtection="0"/>
    <xf numFmtId="170" fontId="88" fillId="0" borderId="0" applyFont="0" applyFill="0" applyBorder="0" applyAlignment="0" applyProtection="0"/>
    <xf numFmtId="22" fontId="21" fillId="0" borderId="0" applyFont="0" applyFill="0" applyBorder="0" applyAlignment="0" applyProtection="0">
      <alignment horizontal="left"/>
    </xf>
    <xf numFmtId="172" fontId="88" fillId="0" borderId="0" applyFont="0" applyFill="0" applyBorder="0" applyAlignment="0" applyProtection="0"/>
    <xf numFmtId="173" fontId="88" fillId="0" borderId="0" applyFont="0" applyFill="0" applyBorder="0" applyAlignment="0" applyProtection="0"/>
    <xf numFmtId="174" fontId="88" fillId="0" borderId="0" applyFont="0" applyFill="0" applyBorder="0" applyAlignment="0" applyProtection="0"/>
    <xf numFmtId="175" fontId="88" fillId="0" borderId="0" applyFont="0" applyFill="0" applyBorder="0" applyAlignment="0" applyProtection="0"/>
    <xf numFmtId="176" fontId="88" fillId="0" borderId="0" applyFont="0" applyFill="0" applyBorder="0" applyAlignment="0" applyProtection="0"/>
    <xf numFmtId="177" fontId="88" fillId="0" borderId="0" applyFont="0" applyFill="0" applyBorder="0" applyAlignment="0" applyProtection="0"/>
    <xf numFmtId="179" fontId="88" fillId="0" borderId="0" applyFont="0" applyFill="0" applyBorder="0" applyAlignment="0" applyProtection="0"/>
    <xf numFmtId="180" fontId="88" fillId="0" borderId="0" applyFont="0" applyFill="0" applyBorder="0" applyAlignment="0" applyProtection="0"/>
    <xf numFmtId="181" fontId="88" fillId="0" borderId="0" applyFont="0" applyFill="0" applyBorder="0" applyAlignment="0" applyProtection="0"/>
    <xf numFmtId="182" fontId="88" fillId="0" borderId="0" applyFont="0" applyFill="0" applyBorder="0" applyAlignment="0" applyProtection="0"/>
    <xf numFmtId="183" fontId="88" fillId="0" borderId="0" applyFont="0" applyFill="0" applyBorder="0" applyAlignment="0" applyProtection="0"/>
    <xf numFmtId="184" fontId="88" fillId="0" borderId="0" applyFont="0" applyFill="0" applyBorder="0" applyAlignment="0" applyProtection="0"/>
    <xf numFmtId="186" fontId="88" fillId="0" borderId="0" applyFont="0" applyFill="0" applyBorder="0" applyAlignment="0" applyProtection="0"/>
    <xf numFmtId="187" fontId="88" fillId="0" borderId="0" applyFont="0" applyFill="0" applyBorder="0" applyAlignment="0" applyProtection="0"/>
    <xf numFmtId="188" fontId="88" fillId="0" borderId="0" applyFont="0" applyFill="0" applyBorder="0" applyAlignment="0" applyProtection="0"/>
    <xf numFmtId="189" fontId="88" fillId="0" borderId="0" applyFont="0" applyFill="0" applyBorder="0" applyAlignment="0" applyProtection="0"/>
    <xf numFmtId="190" fontId="88" fillId="0" borderId="0" applyFont="0" applyFill="0" applyBorder="0" applyAlignment="0" applyProtection="0"/>
    <xf numFmtId="191" fontId="88" fillId="0" borderId="0" applyFont="0" applyFill="0" applyBorder="0" applyAlignment="0" applyProtection="0"/>
    <xf numFmtId="192" fontId="88" fillId="0" borderId="0" applyFont="0" applyFill="0" applyBorder="0" applyAlignment="0" applyProtection="0"/>
    <xf numFmtId="193" fontId="88" fillId="0" borderId="0" applyFont="0" applyFill="0" applyBorder="0" applyAlignment="0" applyProtection="0"/>
    <xf numFmtId="194" fontId="88" fillId="0" borderId="0" applyFont="0" applyFill="0" applyBorder="0" applyAlignment="0" applyProtection="0"/>
    <xf numFmtId="0" fontId="88" fillId="33" borderId="0" applyNumberFormat="0" applyFont="0" applyBorder="0" applyAlignment="0" applyProtection="0"/>
    <xf numFmtId="196" fontId="88" fillId="0" borderId="0" applyFont="0" applyFill="0" applyBorder="0" applyAlignment="0" applyProtection="0"/>
    <xf numFmtId="168" fontId="88" fillId="0" borderId="0" applyFont="0" applyFill="0" applyBorder="0" applyAlignment="0" applyProtection="0"/>
    <xf numFmtId="169" fontId="88" fillId="0" borderId="0" applyFont="0" applyFill="0" applyBorder="0" applyAlignment="0" applyProtection="0"/>
    <xf numFmtId="170" fontId="88" fillId="0" borderId="0" applyFont="0" applyFill="0" applyBorder="0" applyAlignment="0" applyProtection="0"/>
    <xf numFmtId="22" fontId="21" fillId="0" borderId="0" applyFont="0" applyFill="0" applyBorder="0" applyAlignment="0" applyProtection="0">
      <alignment horizontal="left"/>
    </xf>
    <xf numFmtId="172" fontId="88" fillId="0" borderId="0" applyFont="0" applyFill="0" applyBorder="0" applyAlignment="0" applyProtection="0"/>
    <xf numFmtId="173" fontId="88" fillId="0" borderId="0" applyFont="0" applyFill="0" applyBorder="0" applyAlignment="0" applyProtection="0"/>
    <xf numFmtId="174" fontId="88" fillId="0" borderId="0" applyFont="0" applyFill="0" applyBorder="0" applyAlignment="0" applyProtection="0"/>
    <xf numFmtId="175" fontId="88" fillId="0" borderId="0" applyFont="0" applyFill="0" applyBorder="0" applyAlignment="0" applyProtection="0"/>
    <xf numFmtId="176" fontId="88" fillId="0" borderId="0" applyFont="0" applyFill="0" applyBorder="0" applyAlignment="0" applyProtection="0"/>
    <xf numFmtId="177" fontId="88" fillId="0" borderId="0" applyFont="0" applyFill="0" applyBorder="0" applyAlignment="0" applyProtection="0"/>
    <xf numFmtId="179" fontId="88" fillId="0" borderId="0" applyFont="0" applyFill="0" applyBorder="0" applyAlignment="0" applyProtection="0"/>
    <xf numFmtId="180" fontId="88" fillId="0" borderId="0" applyFont="0" applyFill="0" applyBorder="0" applyAlignment="0" applyProtection="0"/>
    <xf numFmtId="181" fontId="88" fillId="0" borderId="0" applyFont="0" applyFill="0" applyBorder="0" applyAlignment="0" applyProtection="0"/>
    <xf numFmtId="182" fontId="88" fillId="0" borderId="0" applyFont="0" applyFill="0" applyBorder="0" applyAlignment="0" applyProtection="0"/>
    <xf numFmtId="183" fontId="88" fillId="0" borderId="0" applyFont="0" applyFill="0" applyBorder="0" applyAlignment="0" applyProtection="0"/>
    <xf numFmtId="184" fontId="88" fillId="0" borderId="0" applyFont="0" applyFill="0" applyBorder="0" applyAlignment="0" applyProtection="0"/>
    <xf numFmtId="186" fontId="88" fillId="0" borderId="0" applyFont="0" applyFill="0" applyBorder="0" applyAlignment="0" applyProtection="0"/>
    <xf numFmtId="187" fontId="88" fillId="0" borderId="0" applyFont="0" applyFill="0" applyBorder="0" applyAlignment="0" applyProtection="0"/>
    <xf numFmtId="188" fontId="88" fillId="0" borderId="0" applyFont="0" applyFill="0" applyBorder="0" applyAlignment="0" applyProtection="0"/>
    <xf numFmtId="189" fontId="88" fillId="0" borderId="0" applyFont="0" applyFill="0" applyBorder="0" applyAlignment="0" applyProtection="0"/>
    <xf numFmtId="190" fontId="88" fillId="0" borderId="0" applyFont="0" applyFill="0" applyBorder="0" applyAlignment="0" applyProtection="0"/>
    <xf numFmtId="191" fontId="88" fillId="0" borderId="0" applyFont="0" applyFill="0" applyBorder="0" applyAlignment="0" applyProtection="0"/>
    <xf numFmtId="192" fontId="88" fillId="0" borderId="0" applyFont="0" applyFill="0" applyBorder="0" applyAlignment="0" applyProtection="0"/>
    <xf numFmtId="193" fontId="88" fillId="0" borderId="0" applyFont="0" applyFill="0" applyBorder="0" applyAlignment="0" applyProtection="0"/>
    <xf numFmtId="194" fontId="88" fillId="0" borderId="0" applyFont="0" applyFill="0" applyBorder="0" applyAlignment="0" applyProtection="0"/>
    <xf numFmtId="0" fontId="88" fillId="33" borderId="0" applyNumberFormat="0" applyFont="0" applyBorder="0" applyAlignment="0" applyProtection="0"/>
    <xf numFmtId="196" fontId="88" fillId="0" borderId="0" applyFont="0" applyFill="0" applyBorder="0" applyAlignment="0" applyProtection="0"/>
    <xf numFmtId="0" fontId="1" fillId="0" borderId="0"/>
    <xf numFmtId="0" fontId="87" fillId="0" borderId="0"/>
    <xf numFmtId="0" fontId="20" fillId="0" borderId="0">
      <alignment vertical="top"/>
    </xf>
    <xf numFmtId="9" fontId="20" fillId="0" borderId="0" applyFont="0" applyFill="0" applyBorder="0" applyAlignment="0" applyProtection="0"/>
    <xf numFmtId="0" fontId="20" fillId="0" borderId="0">
      <alignment vertical="top"/>
    </xf>
    <xf numFmtId="0" fontId="1" fillId="0" borderId="0"/>
    <xf numFmtId="0" fontId="87" fillId="0" borderId="0"/>
    <xf numFmtId="9" fontId="21" fillId="0" borderId="0" applyFont="0" applyFill="0" applyBorder="0" applyAlignment="0" applyProtection="0"/>
    <xf numFmtId="0" fontId="20" fillId="0" borderId="0">
      <alignment vertical="top"/>
    </xf>
    <xf numFmtId="43" fontId="20" fillId="0" borderId="0" applyFont="0" applyFill="0" applyBorder="0" applyAlignment="0" applyProtection="0"/>
    <xf numFmtId="0" fontId="87" fillId="0" borderId="0"/>
    <xf numFmtId="0" fontId="34" fillId="0" borderId="0"/>
    <xf numFmtId="0" fontId="34" fillId="8" borderId="8" applyNumberFormat="0" applyFont="0" applyAlignment="0" applyProtection="0"/>
    <xf numFmtId="0" fontId="34" fillId="0" borderId="0"/>
    <xf numFmtId="0" fontId="34" fillId="0" borderId="0"/>
    <xf numFmtId="43"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0" fontId="34" fillId="0" borderId="0"/>
    <xf numFmtId="43" fontId="34" fillId="0" borderId="0" applyFont="0" applyFill="0" applyBorder="0" applyAlignment="0" applyProtection="0"/>
    <xf numFmtId="44" fontId="34" fillId="0" borderId="0" applyFont="0" applyFill="0" applyBorder="0" applyAlignment="0" applyProtection="0"/>
    <xf numFmtId="9" fontId="34" fillId="0" borderId="0" applyFont="0" applyFill="0" applyBorder="0" applyAlignment="0" applyProtection="0"/>
    <xf numFmtId="0" fontId="34" fillId="8" borderId="8" applyNumberFormat="0" applyFont="0" applyAlignment="0" applyProtection="0"/>
    <xf numFmtId="0" fontId="34" fillId="10" borderId="0" applyNumberFormat="0" applyBorder="0" applyAlignment="0" applyProtection="0"/>
    <xf numFmtId="0" fontId="34" fillId="11" borderId="0" applyNumberFormat="0" applyBorder="0" applyAlignment="0" applyProtection="0"/>
    <xf numFmtId="0" fontId="34" fillId="14" borderId="0" applyNumberFormat="0" applyBorder="0" applyAlignment="0" applyProtection="0"/>
    <xf numFmtId="0" fontId="34" fillId="15" borderId="0" applyNumberFormat="0" applyBorder="0" applyAlignment="0" applyProtection="0"/>
    <xf numFmtId="0" fontId="34" fillId="18" borderId="0" applyNumberFormat="0" applyBorder="0" applyAlignment="0" applyProtection="0"/>
    <xf numFmtId="0" fontId="34" fillId="19" borderId="0" applyNumberFormat="0" applyBorder="0" applyAlignment="0" applyProtection="0"/>
    <xf numFmtId="0" fontId="34" fillId="22" borderId="0" applyNumberFormat="0" applyBorder="0" applyAlignment="0" applyProtection="0"/>
    <xf numFmtId="0" fontId="34" fillId="23"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30" borderId="0" applyNumberFormat="0" applyBorder="0" applyAlignment="0" applyProtection="0"/>
    <xf numFmtId="0" fontId="34" fillId="31" borderId="0" applyNumberFormat="0" applyBorder="0" applyAlignment="0" applyProtection="0"/>
    <xf numFmtId="0" fontId="34" fillId="0" borderId="0"/>
    <xf numFmtId="0" fontId="34" fillId="0" borderId="0"/>
    <xf numFmtId="43"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0" fontId="34" fillId="0" borderId="0"/>
    <xf numFmtId="0" fontId="34" fillId="0" borderId="0"/>
    <xf numFmtId="0" fontId="34" fillId="0" borderId="0"/>
    <xf numFmtId="9" fontId="34" fillId="0" borderId="0" applyFont="0" applyFill="0" applyBorder="0" applyAlignment="0" applyProtection="0"/>
    <xf numFmtId="43" fontId="22" fillId="0" borderId="0" applyFont="0" applyFill="0" applyBorder="0" applyAlignment="0" applyProtection="0"/>
    <xf numFmtId="43" fontId="1" fillId="0" borderId="0" applyFont="0" applyFill="0" applyBorder="0" applyAlignment="0" applyProtection="0"/>
    <xf numFmtId="43" fontId="22" fillId="0" borderId="0" applyFont="0" applyFill="0" applyBorder="0" applyAlignment="0" applyProtection="0"/>
    <xf numFmtId="43" fontId="1" fillId="0" borderId="0" applyFont="0" applyFill="0" applyBorder="0" applyAlignment="0" applyProtection="0"/>
    <xf numFmtId="0" fontId="22" fillId="0" borderId="0"/>
    <xf numFmtId="164" fontId="21" fillId="0" borderId="0" applyFont="0" applyFill="0" applyBorder="0" applyAlignment="0" applyProtection="0">
      <alignment wrapText="1"/>
    </xf>
    <xf numFmtId="0" fontId="43" fillId="0" borderId="0"/>
    <xf numFmtId="43" fontId="21" fillId="0" borderId="0" applyFont="0" applyFill="0" applyBorder="0" applyAlignment="0" applyProtection="0"/>
    <xf numFmtId="0" fontId="22" fillId="0" borderId="0"/>
    <xf numFmtId="0" fontId="34" fillId="10" borderId="0" applyNumberFormat="0" applyBorder="0" applyAlignment="0" applyProtection="0"/>
    <xf numFmtId="0" fontId="22" fillId="37" borderId="0" applyNumberFormat="0" applyBorder="0" applyAlignment="0" applyProtection="0"/>
    <xf numFmtId="0" fontId="22" fillId="44" borderId="0" applyNumberFormat="0" applyBorder="0" applyAlignment="0" applyProtection="0"/>
    <xf numFmtId="0" fontId="54" fillId="47" borderId="0" applyNumberFormat="0" applyBorder="0" applyAlignment="0" applyProtection="0"/>
    <xf numFmtId="164" fontId="24" fillId="0" borderId="0" applyFont="0" applyFill="0" applyBorder="0" applyAlignment="0" applyProtection="0"/>
    <xf numFmtId="0" fontId="54" fillId="50" borderId="0" applyNumberFormat="0" applyBorder="0" applyAlignment="0" applyProtection="0"/>
    <xf numFmtId="43" fontId="21" fillId="0" borderId="0" applyFont="0" applyFill="0" applyBorder="0" applyAlignment="0" applyProtection="0"/>
    <xf numFmtId="0" fontId="18" fillId="0" borderId="0"/>
    <xf numFmtId="0" fontId="22" fillId="42" borderId="0" applyNumberFormat="0" applyBorder="0" applyAlignment="0" applyProtection="0"/>
    <xf numFmtId="0" fontId="34" fillId="0" borderId="0"/>
    <xf numFmtId="0" fontId="24" fillId="0" borderId="0"/>
    <xf numFmtId="0" fontId="62" fillId="0" borderId="20" applyNumberFormat="0" applyFill="0" applyAlignment="0" applyProtection="0"/>
    <xf numFmtId="0" fontId="66" fillId="53" borderId="23" applyNumberFormat="0" applyAlignment="0" applyProtection="0"/>
    <xf numFmtId="0" fontId="54" fillId="47" borderId="0" applyNumberFormat="0" applyBorder="0" applyAlignment="0" applyProtection="0"/>
    <xf numFmtId="0" fontId="21" fillId="0" borderId="0">
      <alignment wrapText="1"/>
    </xf>
    <xf numFmtId="0" fontId="69" fillId="0" borderId="0" applyNumberFormat="0" applyFill="0" applyBorder="0" applyAlignment="0" applyProtection="0"/>
    <xf numFmtId="164" fontId="24" fillId="0" borderId="0" applyFont="0" applyFill="0" applyBorder="0" applyAlignment="0" applyProtection="0"/>
    <xf numFmtId="0" fontId="54" fillId="49" borderId="0" applyNumberFormat="0" applyBorder="0" applyAlignment="0" applyProtection="0"/>
    <xf numFmtId="44" fontId="34" fillId="0" borderId="0" applyFont="0" applyFill="0" applyBorder="0" applyAlignment="0" applyProtection="0"/>
    <xf numFmtId="0" fontId="26" fillId="0" borderId="0"/>
    <xf numFmtId="0" fontId="31" fillId="29" borderId="0" applyNumberFormat="0" applyBorder="0" applyAlignment="0" applyProtection="0"/>
    <xf numFmtId="9" fontId="21" fillId="0" borderId="0" applyFont="0" applyFill="0" applyBorder="0" applyAlignment="0" applyProtection="0"/>
    <xf numFmtId="43" fontId="21" fillId="0" borderId="0" applyFont="0" applyFill="0" applyBorder="0" applyAlignment="0" applyProtection="0"/>
    <xf numFmtId="9" fontId="21" fillId="0" borderId="0" applyFont="0" applyFill="0" applyBorder="0" applyAlignment="0" applyProtection="0"/>
    <xf numFmtId="44" fontId="21" fillId="0" borderId="0" applyFont="0" applyFill="0" applyBorder="0" applyAlignment="0" applyProtection="0"/>
    <xf numFmtId="0" fontId="22" fillId="44" borderId="0" applyNumberFormat="0" applyBorder="0" applyAlignment="0" applyProtection="0"/>
    <xf numFmtId="0" fontId="22" fillId="40" borderId="0" applyNumberFormat="0" applyBorder="0" applyAlignment="0" applyProtection="0"/>
    <xf numFmtId="9" fontId="22" fillId="0" borderId="0" applyFont="0" applyFill="0" applyBorder="0" applyAlignment="0" applyProtection="0"/>
    <xf numFmtId="0" fontId="22" fillId="38" borderId="0" applyNumberFormat="0" applyBorder="0" applyAlignment="0" applyProtection="0"/>
    <xf numFmtId="0" fontId="34" fillId="22" borderId="0" applyNumberFormat="0" applyBorder="0" applyAlignment="0" applyProtection="0"/>
    <xf numFmtId="0" fontId="1" fillId="8" borderId="8" applyNumberFormat="0" applyFont="0" applyAlignment="0" applyProtection="0"/>
    <xf numFmtId="0" fontId="54" fillId="42" borderId="0" applyNumberFormat="0" applyBorder="0" applyAlignment="0" applyProtection="0"/>
    <xf numFmtId="0" fontId="22" fillId="38" borderId="0" applyNumberFormat="0" applyBorder="0" applyAlignment="0" applyProtection="0"/>
    <xf numFmtId="0" fontId="22" fillId="0" borderId="0"/>
    <xf numFmtId="0" fontId="21" fillId="0" borderId="0">
      <alignment wrapText="1"/>
    </xf>
    <xf numFmtId="43" fontId="22" fillId="0" borderId="0" applyFont="0" applyFill="0" applyBorder="0" applyAlignment="0" applyProtection="0"/>
    <xf numFmtId="0" fontId="22" fillId="36" borderId="0" applyNumberFormat="0" applyBorder="0" applyAlignment="0" applyProtection="0"/>
    <xf numFmtId="0" fontId="22" fillId="39" borderId="0" applyNumberFormat="0" applyBorder="0" applyAlignment="0" applyProtection="0"/>
    <xf numFmtId="0" fontId="30" fillId="0" borderId="0"/>
    <xf numFmtId="44" fontId="21" fillId="0" borderId="0" applyFont="0" applyFill="0" applyBorder="0" applyAlignment="0" applyProtection="0"/>
    <xf numFmtId="0" fontId="21" fillId="0" borderId="0"/>
    <xf numFmtId="0" fontId="63" fillId="40" borderId="16" applyNumberFormat="0" applyAlignment="0" applyProtection="0"/>
    <xf numFmtId="0" fontId="34" fillId="14" borderId="0" applyNumberFormat="0" applyBorder="0" applyAlignment="0" applyProtection="0"/>
    <xf numFmtId="0" fontId="54" fillId="45" borderId="0" applyNumberFormat="0" applyBorder="0" applyAlignment="0" applyProtection="0"/>
    <xf numFmtId="9" fontId="1" fillId="0" borderId="0" applyFont="0" applyFill="0" applyBorder="0" applyAlignment="0" applyProtection="0"/>
    <xf numFmtId="0" fontId="34" fillId="22" borderId="0" applyNumberFormat="0" applyBorder="0" applyAlignment="0" applyProtection="0"/>
    <xf numFmtId="0" fontId="43" fillId="0" borderId="0"/>
    <xf numFmtId="0" fontId="55" fillId="36" borderId="0" applyNumberFormat="0" applyBorder="0" applyAlignment="0" applyProtection="0"/>
    <xf numFmtId="164" fontId="21" fillId="0" borderId="0" applyFont="0" applyFill="0" applyBorder="0" applyAlignment="0" applyProtection="0">
      <alignment wrapText="1"/>
    </xf>
    <xf numFmtId="0" fontId="1" fillId="0" borderId="0"/>
    <xf numFmtId="0" fontId="22" fillId="39" borderId="0" applyNumberFormat="0" applyBorder="0" applyAlignment="0" applyProtection="0"/>
    <xf numFmtId="44" fontId="21" fillId="0" borderId="0" applyFont="0" applyFill="0" applyBorder="0" applyAlignment="0" applyProtection="0"/>
    <xf numFmtId="0" fontId="1" fillId="0" borderId="0"/>
    <xf numFmtId="44" fontId="21" fillId="0" borderId="0" applyFont="0" applyFill="0" applyBorder="0" applyAlignment="0" applyProtection="0"/>
    <xf numFmtId="0" fontId="21" fillId="0" borderId="0">
      <alignment wrapText="1"/>
    </xf>
    <xf numFmtId="0" fontId="21" fillId="0" borderId="0"/>
    <xf numFmtId="0" fontId="31" fillId="17" borderId="0" applyNumberFormat="0" applyBorder="0" applyAlignment="0" applyProtection="0"/>
    <xf numFmtId="43" fontId="21" fillId="0" borderId="0" applyFont="0" applyFill="0" applyBorder="0" applyAlignment="0" applyProtection="0"/>
    <xf numFmtId="0" fontId="21" fillId="0" borderId="0"/>
    <xf numFmtId="0" fontId="22" fillId="0" borderId="0"/>
    <xf numFmtId="0" fontId="31" fillId="29" borderId="0" applyNumberFormat="0" applyBorder="0" applyAlignment="0" applyProtection="0"/>
    <xf numFmtId="0" fontId="36" fillId="0" borderId="0"/>
    <xf numFmtId="0" fontId="34" fillId="0" borderId="0"/>
    <xf numFmtId="0" fontId="34" fillId="18" borderId="0" applyNumberFormat="0" applyBorder="0" applyAlignment="0" applyProtection="0"/>
    <xf numFmtId="164" fontId="24" fillId="0" borderId="0" applyFont="0" applyFill="0" applyBorder="0" applyAlignment="0" applyProtection="0"/>
    <xf numFmtId="0" fontId="54" fillId="46" borderId="0" applyNumberFormat="0" applyBorder="0" applyAlignment="0" applyProtection="0"/>
    <xf numFmtId="0" fontId="58" fillId="0" borderId="0" applyNumberFormat="0" applyFill="0" applyBorder="0" applyAlignment="0" applyProtection="0"/>
    <xf numFmtId="0" fontId="22" fillId="0" borderId="0"/>
    <xf numFmtId="44" fontId="21" fillId="0" borderId="0" applyFont="0" applyFill="0" applyBorder="0" applyAlignment="0" applyProtection="0"/>
    <xf numFmtId="0" fontId="30" fillId="0" borderId="0"/>
    <xf numFmtId="0" fontId="59" fillId="37" borderId="0" applyNumberFormat="0" applyBorder="0" applyAlignment="0" applyProtection="0"/>
    <xf numFmtId="0" fontId="27" fillId="0" borderId="0"/>
    <xf numFmtId="0" fontId="1" fillId="0" borderId="0"/>
    <xf numFmtId="0" fontId="70" fillId="0" borderId="0"/>
    <xf numFmtId="0" fontId="21" fillId="0" borderId="0">
      <alignment wrapText="1"/>
    </xf>
    <xf numFmtId="0" fontId="1" fillId="8" borderId="8" applyNumberFormat="0" applyFont="0" applyAlignment="0" applyProtection="0"/>
    <xf numFmtId="0" fontId="22" fillId="43" borderId="0" applyNumberFormat="0" applyBorder="0" applyAlignment="0" applyProtection="0"/>
    <xf numFmtId="0" fontId="54" fillId="46" borderId="0" applyNumberFormat="0" applyBorder="0" applyAlignment="0" applyProtection="0"/>
    <xf numFmtId="0" fontId="60" fillId="0" borderId="18" applyNumberFormat="0" applyFill="0" applyAlignment="0" applyProtection="0"/>
    <xf numFmtId="0" fontId="30" fillId="0" borderId="0"/>
    <xf numFmtId="0" fontId="34" fillId="14" borderId="0" applyNumberFormat="0" applyBorder="0" applyAlignment="0" applyProtection="0"/>
    <xf numFmtId="0" fontId="36" fillId="0" borderId="0"/>
    <xf numFmtId="0" fontId="61" fillId="0" borderId="19" applyNumberFormat="0" applyFill="0" applyAlignment="0" applyProtection="0"/>
    <xf numFmtId="0" fontId="34" fillId="18" borderId="0" applyNumberFormat="0" applyBorder="0" applyAlignment="0" applyProtection="0"/>
    <xf numFmtId="43" fontId="35" fillId="0" borderId="0" applyFont="0" applyFill="0" applyBorder="0" applyAlignment="0" applyProtection="0"/>
    <xf numFmtId="0" fontId="54" fillId="48" borderId="0" applyNumberFormat="0" applyBorder="0" applyAlignment="0" applyProtection="0"/>
    <xf numFmtId="0" fontId="26" fillId="0" borderId="0"/>
    <xf numFmtId="0" fontId="22" fillId="38" borderId="0" applyNumberFormat="0" applyBorder="0" applyAlignment="0" applyProtection="0"/>
    <xf numFmtId="0" fontId="55" fillId="36" borderId="0" applyNumberFormat="0" applyBorder="0" applyAlignment="0" applyProtection="0"/>
    <xf numFmtId="44" fontId="21" fillId="0" borderId="0" applyFont="0" applyFill="0" applyBorder="0" applyAlignment="0" applyProtection="0"/>
    <xf numFmtId="164" fontId="21" fillId="0" borderId="0" applyFont="0" applyFill="0" applyBorder="0" applyAlignment="0" applyProtection="0">
      <alignment wrapText="1"/>
    </xf>
    <xf numFmtId="0" fontId="22" fillId="41" borderId="0" applyNumberFormat="0" applyBorder="0" applyAlignment="0" applyProtection="0"/>
    <xf numFmtId="0" fontId="1" fillId="0" borderId="0"/>
    <xf numFmtId="0" fontId="56" fillId="53" borderId="16" applyNumberFormat="0" applyAlignment="0" applyProtection="0"/>
    <xf numFmtId="9" fontId="21" fillId="0" borderId="0" applyFont="0" applyFill="0" applyBorder="0" applyAlignment="0" applyProtection="0"/>
    <xf numFmtId="0" fontId="1" fillId="0" borderId="0"/>
    <xf numFmtId="0" fontId="68" fillId="0" borderId="24" applyNumberFormat="0" applyFill="0" applyAlignment="0" applyProtection="0"/>
    <xf numFmtId="0" fontId="31" fillId="17" borderId="0" applyNumberFormat="0" applyBorder="0" applyAlignment="0" applyProtection="0"/>
    <xf numFmtId="0" fontId="22" fillId="36" borderId="0" applyNumberFormat="0" applyBorder="0" applyAlignment="0" applyProtection="0"/>
    <xf numFmtId="0" fontId="64" fillId="0" borderId="21" applyNumberFormat="0" applyFill="0" applyAlignment="0" applyProtection="0"/>
    <xf numFmtId="43" fontId="21" fillId="0" borderId="0" applyFont="0" applyFill="0" applyBorder="0" applyAlignment="0" applyProtection="0"/>
    <xf numFmtId="0" fontId="22" fillId="41" borderId="0" applyNumberFormat="0" applyBorder="0" applyAlignment="0" applyProtection="0"/>
    <xf numFmtId="0" fontId="21" fillId="0" borderId="0"/>
    <xf numFmtId="0" fontId="22" fillId="38" borderId="0" applyNumberFormat="0" applyBorder="0" applyAlignment="0" applyProtection="0"/>
    <xf numFmtId="0" fontId="22" fillId="35" borderId="0" applyNumberFormat="0" applyBorder="0" applyAlignment="0" applyProtection="0"/>
    <xf numFmtId="164" fontId="1" fillId="0" borderId="0" applyFont="0" applyFill="0" applyBorder="0" applyAlignment="0" applyProtection="0"/>
    <xf numFmtId="0" fontId="41" fillId="0" borderId="0"/>
    <xf numFmtId="0" fontId="21" fillId="0" borderId="0"/>
    <xf numFmtId="0" fontId="26" fillId="0" borderId="0"/>
    <xf numFmtId="0" fontId="21" fillId="56" borderId="22" applyNumberFormat="0" applyFont="0" applyAlignment="0" applyProtection="0"/>
    <xf numFmtId="0" fontId="22" fillId="0" borderId="0"/>
    <xf numFmtId="0" fontId="62" fillId="0" borderId="20" applyNumberFormat="0" applyFill="0" applyAlignment="0" applyProtection="0"/>
    <xf numFmtId="43" fontId="21" fillId="0" borderId="0" applyFont="0" applyFill="0" applyBorder="0" applyAlignment="0" applyProtection="0"/>
    <xf numFmtId="0" fontId="35" fillId="0" borderId="0"/>
    <xf numFmtId="0" fontId="22" fillId="43" borderId="0" applyNumberFormat="0" applyBorder="0" applyAlignment="0" applyProtection="0"/>
    <xf numFmtId="0" fontId="34" fillId="10" borderId="0" applyNumberFormat="0" applyBorder="0" applyAlignment="0" applyProtection="0"/>
    <xf numFmtId="43" fontId="21" fillId="0" borderId="0" applyFont="0" applyFill="0" applyBorder="0" applyAlignment="0" applyProtection="0"/>
    <xf numFmtId="0" fontId="22" fillId="42" borderId="0" applyNumberFormat="0" applyBorder="0" applyAlignment="0" applyProtection="0"/>
    <xf numFmtId="9" fontId="1" fillId="0" borderId="0" applyFont="0" applyFill="0" applyBorder="0" applyAlignment="0" applyProtection="0"/>
    <xf numFmtId="43" fontId="21" fillId="0" borderId="0" applyFont="0" applyFill="0" applyBorder="0" applyAlignment="0" applyProtection="0"/>
    <xf numFmtId="43" fontId="22" fillId="0" borderId="0" applyFont="0" applyFill="0" applyBorder="0" applyAlignment="0" applyProtection="0"/>
    <xf numFmtId="0" fontId="1" fillId="0" borderId="0"/>
    <xf numFmtId="0" fontId="35" fillId="0" borderId="0"/>
    <xf numFmtId="0" fontId="22" fillId="41" borderId="0" applyNumberFormat="0" applyBorder="0" applyAlignment="0" applyProtection="0"/>
    <xf numFmtId="9" fontId="21" fillId="0" borderId="0" applyFont="0" applyFill="0" applyBorder="0" applyAlignment="0" applyProtection="0"/>
    <xf numFmtId="0" fontId="87" fillId="0" borderId="0"/>
    <xf numFmtId="0" fontId="87" fillId="0" borderId="0"/>
    <xf numFmtId="0" fontId="87" fillId="0" borderId="0"/>
    <xf numFmtId="0" fontId="87" fillId="0" borderId="0"/>
    <xf numFmtId="0" fontId="21" fillId="0" borderId="0"/>
    <xf numFmtId="0" fontId="87" fillId="0" borderId="0"/>
    <xf numFmtId="0" fontId="1" fillId="0" borderId="0"/>
    <xf numFmtId="0" fontId="29" fillId="0" borderId="0" applyNumberFormat="0" applyFill="0" applyBorder="0" applyAlignment="0" applyProtection="0"/>
    <xf numFmtId="22" fontId="21" fillId="0" borderId="0" applyFont="0" applyFill="0" applyBorder="0" applyAlignment="0" applyProtection="0">
      <alignment horizontal="left"/>
    </xf>
    <xf numFmtId="22" fontId="21" fillId="0" borderId="0" applyFont="0" applyFill="0" applyBorder="0" applyAlignment="0" applyProtection="0">
      <alignment horizontal="left"/>
    </xf>
    <xf numFmtId="22" fontId="21" fillId="0" borderId="0" applyFont="0" applyFill="0" applyBorder="0" applyAlignment="0" applyProtection="0">
      <alignment horizontal="left"/>
    </xf>
    <xf numFmtId="168" fontId="88" fillId="0" borderId="0" applyFont="0" applyFill="0" applyBorder="0" applyAlignment="0" applyProtection="0"/>
    <xf numFmtId="169" fontId="88" fillId="0" borderId="0" applyFont="0" applyFill="0" applyBorder="0" applyAlignment="0" applyProtection="0"/>
    <xf numFmtId="170" fontId="88" fillId="0" borderId="0" applyFont="0" applyFill="0" applyBorder="0" applyAlignment="0" applyProtection="0"/>
    <xf numFmtId="22" fontId="21" fillId="0" borderId="0" applyFont="0" applyFill="0" applyBorder="0" applyAlignment="0" applyProtection="0">
      <alignment horizontal="left"/>
    </xf>
    <xf numFmtId="172" fontId="88" fillId="0" borderId="0" applyFont="0" applyFill="0" applyBorder="0" applyAlignment="0" applyProtection="0"/>
    <xf numFmtId="173" fontId="88" fillId="0" borderId="0" applyFont="0" applyFill="0" applyBorder="0" applyAlignment="0" applyProtection="0"/>
    <xf numFmtId="174" fontId="88" fillId="0" borderId="0" applyFont="0" applyFill="0" applyBorder="0" applyAlignment="0" applyProtection="0"/>
    <xf numFmtId="175" fontId="88" fillId="0" borderId="0" applyFont="0" applyFill="0" applyBorder="0" applyAlignment="0" applyProtection="0"/>
    <xf numFmtId="176" fontId="88" fillId="0" borderId="0" applyFont="0" applyFill="0" applyBorder="0" applyAlignment="0" applyProtection="0"/>
    <xf numFmtId="177" fontId="88" fillId="0" borderId="0" applyFont="0" applyFill="0" applyBorder="0" applyAlignment="0" applyProtection="0"/>
    <xf numFmtId="179" fontId="88" fillId="0" borderId="0" applyFont="0" applyFill="0" applyBorder="0" applyAlignment="0" applyProtection="0"/>
    <xf numFmtId="180" fontId="88" fillId="0" borderId="0" applyFont="0" applyFill="0" applyBorder="0" applyAlignment="0" applyProtection="0"/>
    <xf numFmtId="181" fontId="88" fillId="0" borderId="0" applyFont="0" applyFill="0" applyBorder="0" applyAlignment="0" applyProtection="0"/>
    <xf numFmtId="182" fontId="88" fillId="0" borderId="0" applyFont="0" applyFill="0" applyBorder="0" applyAlignment="0" applyProtection="0"/>
    <xf numFmtId="183" fontId="88" fillId="0" borderId="0" applyFont="0" applyFill="0" applyBorder="0" applyAlignment="0" applyProtection="0"/>
    <xf numFmtId="184" fontId="88" fillId="0" borderId="0" applyFont="0" applyFill="0" applyBorder="0" applyAlignment="0" applyProtection="0"/>
    <xf numFmtId="186" fontId="88" fillId="0" borderId="0" applyFont="0" applyFill="0" applyBorder="0" applyAlignment="0" applyProtection="0"/>
    <xf numFmtId="187" fontId="88" fillId="0" borderId="0" applyFont="0" applyFill="0" applyBorder="0" applyAlignment="0" applyProtection="0"/>
    <xf numFmtId="188" fontId="88" fillId="0" borderId="0" applyFont="0" applyFill="0" applyBorder="0" applyAlignment="0" applyProtection="0"/>
    <xf numFmtId="189" fontId="88" fillId="0" borderId="0" applyFont="0" applyFill="0" applyBorder="0" applyAlignment="0" applyProtection="0"/>
    <xf numFmtId="190" fontId="88" fillId="0" borderId="0" applyFont="0" applyFill="0" applyBorder="0" applyAlignment="0" applyProtection="0"/>
    <xf numFmtId="191" fontId="88" fillId="0" borderId="0" applyFont="0" applyFill="0" applyBorder="0" applyAlignment="0" applyProtection="0"/>
    <xf numFmtId="192" fontId="88" fillId="0" borderId="0" applyFont="0" applyFill="0" applyBorder="0" applyAlignment="0" applyProtection="0"/>
    <xf numFmtId="193" fontId="88" fillId="0" borderId="0" applyFont="0" applyFill="0" applyBorder="0" applyAlignment="0" applyProtection="0"/>
    <xf numFmtId="194" fontId="88" fillId="0" borderId="0" applyFont="0" applyFill="0" applyBorder="0" applyAlignment="0" applyProtection="0"/>
    <xf numFmtId="0" fontId="88" fillId="33" borderId="0" applyNumberFormat="0" applyFont="0" applyBorder="0" applyAlignment="0" applyProtection="0"/>
    <xf numFmtId="196" fontId="88" fillId="0" borderId="0" applyFont="0" applyFill="0" applyBorder="0" applyAlignment="0" applyProtection="0"/>
    <xf numFmtId="0" fontId="20" fillId="0" borderId="0">
      <alignment vertical="top"/>
    </xf>
    <xf numFmtId="0" fontId="87" fillId="0" borderId="0"/>
    <xf numFmtId="0" fontId="87" fillId="0" borderId="0"/>
    <xf numFmtId="0" fontId="87" fillId="0" borderId="0"/>
    <xf numFmtId="0" fontId="20" fillId="0" borderId="0">
      <alignment vertical="top"/>
    </xf>
    <xf numFmtId="0" fontId="87" fillId="0" borderId="0"/>
    <xf numFmtId="0" fontId="21" fillId="0" borderId="0"/>
    <xf numFmtId="168" fontId="88" fillId="0" borderId="0" applyFont="0" applyFill="0" applyBorder="0" applyAlignment="0" applyProtection="0"/>
    <xf numFmtId="169" fontId="88" fillId="0" borderId="0" applyFont="0" applyFill="0" applyBorder="0" applyAlignment="0" applyProtection="0"/>
    <xf numFmtId="170" fontId="88" fillId="0" borderId="0" applyFont="0" applyFill="0" applyBorder="0" applyAlignment="0" applyProtection="0"/>
    <xf numFmtId="172" fontId="88" fillId="0" borderId="0" applyFont="0" applyFill="0" applyBorder="0" applyAlignment="0" applyProtection="0"/>
    <xf numFmtId="173" fontId="88" fillId="0" borderId="0" applyFont="0" applyFill="0" applyBorder="0" applyAlignment="0" applyProtection="0"/>
    <xf numFmtId="174" fontId="88" fillId="0" borderId="0" applyFont="0" applyFill="0" applyBorder="0" applyAlignment="0" applyProtection="0"/>
    <xf numFmtId="175" fontId="88" fillId="0" borderId="0" applyFont="0" applyFill="0" applyBorder="0" applyAlignment="0" applyProtection="0"/>
    <xf numFmtId="176" fontId="88" fillId="0" borderId="0" applyFont="0" applyFill="0" applyBorder="0" applyAlignment="0" applyProtection="0"/>
    <xf numFmtId="177" fontId="88" fillId="0" borderId="0" applyFont="0" applyFill="0" applyBorder="0" applyAlignment="0" applyProtection="0"/>
    <xf numFmtId="179" fontId="88" fillId="0" borderId="0" applyFont="0" applyFill="0" applyBorder="0" applyAlignment="0" applyProtection="0"/>
    <xf numFmtId="180" fontId="88" fillId="0" borderId="0" applyFont="0" applyFill="0" applyBorder="0" applyAlignment="0" applyProtection="0"/>
    <xf numFmtId="181" fontId="88" fillId="0" borderId="0" applyFont="0" applyFill="0" applyBorder="0" applyAlignment="0" applyProtection="0"/>
    <xf numFmtId="182" fontId="88" fillId="0" borderId="0" applyFont="0" applyFill="0" applyBorder="0" applyAlignment="0" applyProtection="0"/>
    <xf numFmtId="183" fontId="88" fillId="0" borderId="0" applyFont="0" applyFill="0" applyBorder="0" applyAlignment="0" applyProtection="0"/>
    <xf numFmtId="184" fontId="88" fillId="0" borderId="0" applyFont="0" applyFill="0" applyBorder="0" applyAlignment="0" applyProtection="0"/>
    <xf numFmtId="186" fontId="88" fillId="0" borderId="0" applyFont="0" applyFill="0" applyBorder="0" applyAlignment="0" applyProtection="0"/>
    <xf numFmtId="187" fontId="88" fillId="0" borderId="0" applyFont="0" applyFill="0" applyBorder="0" applyAlignment="0" applyProtection="0"/>
    <xf numFmtId="188" fontId="88" fillId="0" borderId="0" applyFont="0" applyFill="0" applyBorder="0" applyAlignment="0" applyProtection="0"/>
    <xf numFmtId="189" fontId="88" fillId="0" borderId="0" applyFont="0" applyFill="0" applyBorder="0" applyAlignment="0" applyProtection="0"/>
    <xf numFmtId="190" fontId="88" fillId="0" borderId="0" applyFont="0" applyFill="0" applyBorder="0" applyAlignment="0" applyProtection="0"/>
    <xf numFmtId="191" fontId="88" fillId="0" borderId="0" applyFont="0" applyFill="0" applyBorder="0" applyAlignment="0" applyProtection="0"/>
    <xf numFmtId="192" fontId="88" fillId="0" borderId="0" applyFont="0" applyFill="0" applyBorder="0" applyAlignment="0" applyProtection="0"/>
    <xf numFmtId="193" fontId="88" fillId="0" borderId="0" applyFont="0" applyFill="0" applyBorder="0" applyAlignment="0" applyProtection="0"/>
    <xf numFmtId="194" fontId="88" fillId="0" borderId="0" applyFont="0" applyFill="0" applyBorder="0" applyAlignment="0" applyProtection="0"/>
    <xf numFmtId="0" fontId="88" fillId="33" borderId="0" applyNumberFormat="0" applyFont="0" applyBorder="0" applyAlignment="0" applyProtection="0"/>
    <xf numFmtId="196" fontId="88" fillId="0" borderId="0" applyFont="0" applyFill="0" applyBorder="0" applyAlignment="0" applyProtection="0"/>
    <xf numFmtId="0" fontId="20" fillId="0" borderId="0">
      <alignment vertical="top"/>
    </xf>
    <xf numFmtId="43" fontId="21" fillId="0" borderId="0" applyFont="0" applyFill="0" applyBorder="0" applyAlignment="0" applyProtection="0"/>
    <xf numFmtId="165" fontId="1" fillId="0" borderId="0" applyFont="0" applyFill="0" applyBorder="0" applyAlignment="0" applyProtection="0"/>
    <xf numFmtId="165" fontId="24" fillId="0" borderId="0" applyFon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34" fillId="0" borderId="0"/>
    <xf numFmtId="0" fontId="34" fillId="0" borderId="0"/>
    <xf numFmtId="0" fontId="36" fillId="0" borderId="0"/>
    <xf numFmtId="0" fontId="24" fillId="0" borderId="0"/>
    <xf numFmtId="0" fontId="35" fillId="0" borderId="0"/>
    <xf numFmtId="0" fontId="34" fillId="0" borderId="0"/>
    <xf numFmtId="0" fontId="34" fillId="0" borderId="0"/>
    <xf numFmtId="0" fontId="34" fillId="0" borderId="0"/>
    <xf numFmtId="0" fontId="34" fillId="0" borderId="0"/>
    <xf numFmtId="0" fontId="34" fillId="0" borderId="0"/>
    <xf numFmtId="0" fontId="36" fillId="0" borderId="0"/>
    <xf numFmtId="0" fontId="21" fillId="0" borderId="0"/>
    <xf numFmtId="0" fontId="24" fillId="0" borderId="0"/>
    <xf numFmtId="0" fontId="1" fillId="0" borderId="0"/>
    <xf numFmtId="0" fontId="21" fillId="0" borderId="0"/>
    <xf numFmtId="0" fontId="21" fillId="0" borderId="0"/>
    <xf numFmtId="0" fontId="34" fillId="0" borderId="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0" fontId="87" fillId="0" borderId="0"/>
    <xf numFmtId="0" fontId="87" fillId="0" borderId="0"/>
    <xf numFmtId="0" fontId="87" fillId="0" borderId="0"/>
    <xf numFmtId="0" fontId="87" fillId="0" borderId="0"/>
    <xf numFmtId="38" fontId="40" fillId="0" borderId="0"/>
    <xf numFmtId="0" fontId="36" fillId="0" borderId="0"/>
    <xf numFmtId="0" fontId="1" fillId="0" borderId="0"/>
    <xf numFmtId="0" fontId="1" fillId="0" borderId="0"/>
    <xf numFmtId="43" fontId="21" fillId="0" borderId="0" applyFont="0" applyFill="0" applyBorder="0" applyAlignment="0" applyProtection="0"/>
    <xf numFmtId="0" fontId="22" fillId="40" borderId="0" applyNumberFormat="0" applyBorder="0" applyAlignment="0" applyProtection="0"/>
    <xf numFmtId="44" fontId="21" fillId="0" borderId="0" applyFont="0" applyFill="0" applyBorder="0" applyAlignment="0" applyProtection="0"/>
    <xf numFmtId="0" fontId="54" fillId="43" borderId="0" applyNumberFormat="0" applyBorder="0" applyAlignment="0" applyProtection="0"/>
    <xf numFmtId="0" fontId="65" fillId="55" borderId="0" applyNumberFormat="0" applyBorder="0" applyAlignment="0" applyProtection="0"/>
    <xf numFmtId="9" fontId="21" fillId="0" borderId="0" applyFont="0" applyFill="0" applyBorder="0" applyAlignment="0" applyProtection="0"/>
    <xf numFmtId="0" fontId="22" fillId="35" borderId="0" applyNumberFormat="0" applyBorder="0" applyAlignment="0" applyProtection="0"/>
    <xf numFmtId="0" fontId="22" fillId="37" borderId="0" applyNumberFormat="0" applyBorder="0" applyAlignment="0" applyProtection="0"/>
    <xf numFmtId="0" fontId="57" fillId="54" borderId="17" applyNumberFormat="0" applyAlignment="0" applyProtection="0"/>
    <xf numFmtId="0" fontId="34" fillId="0" borderId="0"/>
    <xf numFmtId="0" fontId="43" fillId="0" borderId="0"/>
    <xf numFmtId="0" fontId="22" fillId="41" borderId="0" applyNumberFormat="0" applyBorder="0" applyAlignment="0" applyProtection="0"/>
    <xf numFmtId="0" fontId="34" fillId="26" borderId="0" applyNumberFormat="0" applyBorder="0" applyAlignment="0" applyProtection="0"/>
    <xf numFmtId="0" fontId="34" fillId="26" borderId="0" applyNumberFormat="0" applyBorder="0" applyAlignment="0" applyProtection="0"/>
    <xf numFmtId="0" fontId="34" fillId="30" borderId="0" applyNumberFormat="0" applyBorder="0" applyAlignment="0" applyProtection="0"/>
    <xf numFmtId="0" fontId="34" fillId="30" borderId="0" applyNumberFormat="0" applyBorder="0" applyAlignment="0" applyProtection="0"/>
    <xf numFmtId="0" fontId="34" fillId="11"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5" borderId="0" applyNumberFormat="0" applyBorder="0" applyAlignment="0" applyProtection="0"/>
    <xf numFmtId="0" fontId="34" fillId="19" borderId="0" applyNumberFormat="0" applyBorder="0" applyAlignment="0" applyProtection="0"/>
    <xf numFmtId="0" fontId="34" fillId="19" borderId="0" applyNumberFormat="0" applyBorder="0" applyAlignment="0" applyProtection="0"/>
    <xf numFmtId="0" fontId="34" fillId="23" borderId="0" applyNumberFormat="0" applyBorder="0" applyAlignment="0" applyProtection="0"/>
    <xf numFmtId="0" fontId="34" fillId="23" borderId="0" applyNumberFormat="0" applyBorder="0" applyAlignment="0" applyProtection="0"/>
    <xf numFmtId="0" fontId="34" fillId="27" borderId="0" applyNumberFormat="0" applyBorder="0" applyAlignment="0" applyProtection="0"/>
    <xf numFmtId="0" fontId="34" fillId="27" borderId="0" applyNumberFormat="0" applyBorder="0" applyAlignment="0" applyProtection="0"/>
    <xf numFmtId="0" fontId="34" fillId="31" borderId="0" applyNumberFormat="0" applyBorder="0" applyAlignment="0" applyProtection="0"/>
    <xf numFmtId="0" fontId="34" fillId="31" borderId="0" applyNumberFormat="0" applyBorder="0" applyAlignment="0" applyProtection="0"/>
    <xf numFmtId="0" fontId="72" fillId="12" borderId="0" applyNumberFormat="0" applyBorder="0" applyAlignment="0" applyProtection="0"/>
    <xf numFmtId="0" fontId="72" fillId="16" borderId="0" applyNumberFormat="0" applyBorder="0" applyAlignment="0" applyProtection="0"/>
    <xf numFmtId="0" fontId="72" fillId="20" borderId="0" applyNumberFormat="0" applyBorder="0" applyAlignment="0" applyProtection="0"/>
    <xf numFmtId="0" fontId="72" fillId="24" borderId="0" applyNumberFormat="0" applyBorder="0" applyAlignment="0" applyProtection="0"/>
    <xf numFmtId="0" fontId="72" fillId="28" borderId="0" applyNumberFormat="0" applyBorder="0" applyAlignment="0" applyProtection="0"/>
    <xf numFmtId="0" fontId="72" fillId="32" borderId="0" applyNumberFormat="0" applyBorder="0" applyAlignment="0" applyProtection="0"/>
    <xf numFmtId="0" fontId="72" fillId="9" borderId="0" applyNumberFormat="0" applyBorder="0" applyAlignment="0" applyProtection="0"/>
    <xf numFmtId="0" fontId="72" fillId="13" borderId="0" applyNumberFormat="0" applyBorder="0" applyAlignment="0" applyProtection="0"/>
    <xf numFmtId="0" fontId="72" fillId="21" borderId="0" applyNumberFormat="0" applyBorder="0" applyAlignment="0" applyProtection="0"/>
    <xf numFmtId="0" fontId="72" fillId="25" borderId="0" applyNumberFormat="0" applyBorder="0" applyAlignment="0" applyProtection="0"/>
    <xf numFmtId="0" fontId="7" fillId="3" borderId="0" applyNumberFormat="0" applyBorder="0" applyAlignment="0" applyProtection="0"/>
    <xf numFmtId="0" fontId="73" fillId="3" borderId="0" applyNumberFormat="0" applyBorder="0" applyAlignment="0" applyProtection="0"/>
    <xf numFmtId="0" fontId="74" fillId="6" borderId="4" applyNumberFormat="0" applyAlignment="0" applyProtection="0"/>
    <xf numFmtId="0" fontId="75" fillId="7" borderId="7" applyNumberFormat="0" applyAlignment="0" applyProtection="0"/>
    <xf numFmtId="43" fontId="21" fillId="0" borderId="0" applyFont="0" applyFill="0" applyBorder="0" applyAlignment="0" applyProtection="0"/>
    <xf numFmtId="164" fontId="1" fillId="0" borderId="0" applyFont="0" applyFill="0" applyBorder="0" applyAlignment="0" applyProtection="0"/>
    <xf numFmtId="0" fontId="76" fillId="0" borderId="0" applyNumberFormat="0" applyFill="0" applyBorder="0" applyAlignment="0" applyProtection="0"/>
    <xf numFmtId="0" fontId="77" fillId="2" borderId="0" applyNumberFormat="0" applyBorder="0" applyAlignment="0" applyProtection="0"/>
    <xf numFmtId="0" fontId="5" fillId="0" borderId="3" applyNumberFormat="0" applyFill="0" applyAlignment="0" applyProtection="0"/>
    <xf numFmtId="0" fontId="79" fillId="5" borderId="4" applyNumberFormat="0" applyAlignment="0" applyProtection="0"/>
    <xf numFmtId="0" fontId="80" fillId="0" borderId="6" applyNumberFormat="0" applyFill="0" applyAlignment="0" applyProtection="0"/>
    <xf numFmtId="0" fontId="81" fillId="4" borderId="0" applyNumberFormat="0" applyBorder="0" applyAlignment="0" applyProtection="0"/>
    <xf numFmtId="0" fontId="34" fillId="0" borderId="0"/>
    <xf numFmtId="0" fontId="34" fillId="0" borderId="0"/>
    <xf numFmtId="0" fontId="24" fillId="0" borderId="0"/>
    <xf numFmtId="0" fontId="34" fillId="8" borderId="8" applyNumberFormat="0" applyFont="0" applyAlignment="0" applyProtection="0"/>
    <xf numFmtId="0" fontId="82" fillId="6" borderId="5" applyNumberFormat="0" applyAlignment="0" applyProtection="0"/>
    <xf numFmtId="9" fontId="34" fillId="0" borderId="0" applyFont="0" applyFill="0" applyBorder="0" applyAlignment="0" applyProtection="0"/>
    <xf numFmtId="0" fontId="71" fillId="0" borderId="9" applyNumberFormat="0" applyFill="0" applyAlignment="0" applyProtection="0"/>
    <xf numFmtId="0" fontId="83" fillId="0" borderId="0" applyNumberFormat="0" applyFill="0" applyBorder="0" applyAlignment="0" applyProtection="0"/>
    <xf numFmtId="0" fontId="30" fillId="0" borderId="0"/>
    <xf numFmtId="43" fontId="34" fillId="0" borderId="0" applyFont="0" applyFill="0" applyBorder="0" applyAlignment="0" applyProtection="0"/>
    <xf numFmtId="0" fontId="34" fillId="0" borderId="0"/>
    <xf numFmtId="43"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0" fontId="21" fillId="0" borderId="0"/>
    <xf numFmtId="164" fontId="21" fillId="0" borderId="0" applyFont="0" applyFill="0" applyBorder="0" applyAlignment="0" applyProtection="0"/>
    <xf numFmtId="0" fontId="101" fillId="0" borderId="0" applyNumberFormat="0" applyFill="0" applyBorder="0" applyAlignment="0" applyProtection="0"/>
    <xf numFmtId="164" fontId="1" fillId="0" borderId="0" applyFont="0" applyFill="0" applyBorder="0" applyAlignment="0" applyProtection="0"/>
    <xf numFmtId="0" fontId="36" fillId="0" borderId="0"/>
    <xf numFmtId="43" fontId="1" fillId="0" borderId="0" applyFont="0" applyFill="0" applyBorder="0" applyAlignment="0" applyProtection="0"/>
    <xf numFmtId="0" fontId="102" fillId="0" borderId="0"/>
    <xf numFmtId="164" fontId="22" fillId="0" borderId="0" applyFont="0" applyFill="0" applyBorder="0" applyAlignment="0" applyProtection="0"/>
    <xf numFmtId="0" fontId="20" fillId="0" borderId="0">
      <alignment vertical="top"/>
    </xf>
    <xf numFmtId="0" fontId="103" fillId="3" borderId="0" applyNumberFormat="0" applyBorder="0" applyAlignment="0" applyProtection="0"/>
    <xf numFmtId="164" fontId="21" fillId="0" borderId="0" applyFont="0" applyFill="0" applyBorder="0" applyAlignment="0" applyProtection="0"/>
    <xf numFmtId="43" fontId="24" fillId="0" borderId="0" applyFont="0" applyFill="0" applyBorder="0" applyAlignment="0" applyProtection="0"/>
    <xf numFmtId="164" fontId="21" fillId="0" borderId="0" applyFont="0" applyFill="0" applyBorder="0" applyAlignment="0" applyProtection="0"/>
    <xf numFmtId="164" fontId="21" fillId="0" borderId="0" applyFont="0" applyFill="0" applyBorder="0" applyAlignment="0" applyProtection="0"/>
    <xf numFmtId="165" fontId="21" fillId="0" borderId="0" applyFont="0" applyFill="0" applyBorder="0" applyAlignment="0" applyProtection="0"/>
    <xf numFmtId="164" fontId="22" fillId="0" borderId="0" applyFont="0" applyFill="0" applyBorder="0" applyAlignment="0" applyProtection="0"/>
    <xf numFmtId="164" fontId="21" fillId="0" borderId="0" applyFont="0" applyFill="0" applyBorder="0" applyAlignment="0" applyProtection="0"/>
    <xf numFmtId="164" fontId="21" fillId="0" borderId="0" applyFont="0" applyFill="0" applyBorder="0" applyAlignment="0" applyProtection="0"/>
    <xf numFmtId="164" fontId="21" fillId="0" borderId="0" applyFont="0" applyFill="0" applyBorder="0" applyAlignment="0" applyProtection="0"/>
    <xf numFmtId="164" fontId="21" fillId="0" borderId="0" applyFont="0" applyFill="0" applyBorder="0" applyAlignment="0" applyProtection="0"/>
    <xf numFmtId="164" fontId="21" fillId="0" borderId="0" applyFont="0" applyFill="0" applyBorder="0" applyAlignment="0" applyProtection="0"/>
    <xf numFmtId="164" fontId="21" fillId="0" borderId="0" applyFont="0" applyFill="0" applyBorder="0" applyAlignment="0" applyProtection="0"/>
    <xf numFmtId="164" fontId="34" fillId="0" borderId="0" applyFont="0" applyFill="0" applyBorder="0" applyAlignment="0" applyProtection="0"/>
    <xf numFmtId="164" fontId="35" fillId="0" borderId="0" applyFont="0" applyFill="0" applyBorder="0" applyAlignment="0" applyProtection="0"/>
    <xf numFmtId="164" fontId="21" fillId="0" borderId="0" applyFont="0" applyFill="0" applyBorder="0" applyAlignment="0" applyProtection="0"/>
    <xf numFmtId="164" fontId="22" fillId="0" borderId="0" applyFont="0" applyFill="0" applyBorder="0" applyAlignment="0" applyProtection="0"/>
    <xf numFmtId="165" fontId="34"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4" fontId="21" fillId="0" borderId="0" applyFont="0" applyFill="0" applyBorder="0" applyAlignment="0" applyProtection="0"/>
    <xf numFmtId="164"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43" fontId="3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2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8"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43" fontId="3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43" fontId="20"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4" fillId="0" borderId="0" applyFont="0" applyFill="0" applyBorder="0" applyAlignment="0" applyProtection="0"/>
    <xf numFmtId="165" fontId="1" fillId="0" borderId="0" applyFont="0" applyFill="0" applyBorder="0" applyAlignment="0" applyProtection="0"/>
    <xf numFmtId="164" fontId="22" fillId="0" borderId="0" applyFont="0" applyFill="0" applyBorder="0" applyAlignment="0" applyProtection="0"/>
    <xf numFmtId="164" fontId="34" fillId="0" borderId="0" applyFont="0" applyFill="0" applyBorder="0" applyAlignment="0" applyProtection="0"/>
    <xf numFmtId="164" fontId="22" fillId="0" borderId="0" applyFont="0" applyFill="0" applyBorder="0" applyAlignment="0" applyProtection="0"/>
    <xf numFmtId="164" fontId="1" fillId="0" borderId="0" applyFont="0" applyFill="0" applyBorder="0" applyAlignment="0" applyProtection="0"/>
    <xf numFmtId="164" fontId="21" fillId="0" borderId="0" applyFont="0" applyFill="0" applyBorder="0" applyAlignment="0" applyProtection="0"/>
    <xf numFmtId="164" fontId="34" fillId="0" borderId="0" applyFont="0" applyFill="0" applyBorder="0" applyAlignment="0" applyProtection="0"/>
    <xf numFmtId="164" fontId="1" fillId="0" borderId="0" applyFont="0" applyFill="0" applyBorder="0" applyAlignment="0" applyProtection="0"/>
    <xf numFmtId="165" fontId="21" fillId="0" borderId="0" applyFont="0" applyFill="0" applyBorder="0" applyAlignment="0" applyProtection="0"/>
    <xf numFmtId="165" fontId="34" fillId="0" borderId="0" applyFont="0" applyFill="0" applyBorder="0" applyAlignment="0" applyProtection="0"/>
    <xf numFmtId="165" fontId="1" fillId="0" borderId="0" applyFont="0" applyFill="0" applyBorder="0" applyAlignment="0" applyProtection="0"/>
    <xf numFmtId="164" fontId="21" fillId="0" borderId="0" applyFont="0" applyFill="0" applyBorder="0" applyAlignment="0" applyProtection="0"/>
    <xf numFmtId="0" fontId="21" fillId="0" borderId="0"/>
    <xf numFmtId="164" fontId="24" fillId="0" borderId="0" applyFont="0" applyFill="0" applyBorder="0" applyAlignment="0" applyProtection="0"/>
    <xf numFmtId="164" fontId="24" fillId="0" borderId="0" applyFont="0" applyFill="0" applyBorder="0" applyAlignment="0" applyProtection="0"/>
    <xf numFmtId="0" fontId="26" fillId="0" borderId="0"/>
    <xf numFmtId="0" fontId="21" fillId="0" borderId="0"/>
    <xf numFmtId="0" fontId="21" fillId="0" borderId="0"/>
    <xf numFmtId="0" fontId="21" fillId="0" borderId="0"/>
    <xf numFmtId="0" fontId="21" fillId="0" borderId="0"/>
    <xf numFmtId="0" fontId="21" fillId="0" borderId="0"/>
    <xf numFmtId="0" fontId="24" fillId="0" borderId="0"/>
    <xf numFmtId="0" fontId="30" fillId="0" borderId="0"/>
    <xf numFmtId="0" fontId="24" fillId="0" borderId="0"/>
    <xf numFmtId="0" fontId="21" fillId="0" borderId="0"/>
    <xf numFmtId="0" fontId="24" fillId="0" borderId="0"/>
    <xf numFmtId="0" fontId="24" fillId="0" borderId="0"/>
    <xf numFmtId="0" fontId="89" fillId="0" borderId="0"/>
    <xf numFmtId="0" fontId="90" fillId="0" borderId="0"/>
    <xf numFmtId="0" fontId="46" fillId="0" borderId="0"/>
    <xf numFmtId="0" fontId="1" fillId="0" borderId="0"/>
    <xf numFmtId="0" fontId="20" fillId="0" borderId="0">
      <alignment vertical="top"/>
    </xf>
    <xf numFmtId="9" fontId="20" fillId="0" borderId="0" applyFont="0" applyFill="0" applyBorder="0" applyAlignment="0" applyProtection="0"/>
    <xf numFmtId="0" fontId="20" fillId="0" borderId="0">
      <alignment vertical="top"/>
    </xf>
    <xf numFmtId="0" fontId="1" fillId="0" borderId="0"/>
    <xf numFmtId="9" fontId="21" fillId="0" borderId="0" applyFont="0" applyFill="0" applyBorder="0" applyAlignment="0" applyProtection="0"/>
    <xf numFmtId="0" fontId="20" fillId="0" borderId="0">
      <alignment vertical="top"/>
    </xf>
    <xf numFmtId="164" fontId="20" fillId="0" borderId="0" applyFont="0" applyFill="0" applyBorder="0" applyAlignment="0" applyProtection="0"/>
    <xf numFmtId="0" fontId="87" fillId="0" borderId="0"/>
    <xf numFmtId="164" fontId="34" fillId="0" borderId="0" applyFont="0" applyFill="0" applyBorder="0" applyAlignment="0" applyProtection="0"/>
    <xf numFmtId="164" fontId="34" fillId="0" borderId="0" applyFont="0" applyFill="0" applyBorder="0" applyAlignment="0" applyProtection="0"/>
    <xf numFmtId="165" fontId="34" fillId="0" borderId="0" applyFont="0" applyFill="0" applyBorder="0" applyAlignment="0" applyProtection="0"/>
    <xf numFmtId="0" fontId="34" fillId="0" borderId="0"/>
    <xf numFmtId="164"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0" fontId="20" fillId="0" borderId="0">
      <alignment vertical="top"/>
    </xf>
    <xf numFmtId="0" fontId="20" fillId="0" borderId="0">
      <alignment vertical="top"/>
    </xf>
    <xf numFmtId="0" fontId="21" fillId="0" borderId="0"/>
    <xf numFmtId="9" fontId="87" fillId="0" borderId="0" applyFont="0" applyFill="0" applyBorder="0" applyAlignment="0" applyProtection="0"/>
    <xf numFmtId="0" fontId="21" fillId="0" borderId="0"/>
    <xf numFmtId="0" fontId="21" fillId="0" borderId="0"/>
    <xf numFmtId="164" fontId="1" fillId="0" borderId="0" applyFont="0" applyFill="0" applyBorder="0" applyAlignment="0" applyProtection="0"/>
    <xf numFmtId="164" fontId="22"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87" fillId="0" borderId="0"/>
    <xf numFmtId="43" fontId="21" fillId="0" borderId="0" applyFont="0" applyFill="0" applyBorder="0" applyAlignment="0" applyProtection="0"/>
    <xf numFmtId="165" fontId="1" fillId="0" borderId="0" applyFont="0" applyFill="0" applyBorder="0" applyAlignment="0" applyProtection="0"/>
    <xf numFmtId="165" fontId="24" fillId="0" borderId="0" applyFont="0" applyFill="0" applyBorder="0" applyAlignment="0" applyProtection="0"/>
    <xf numFmtId="0" fontId="34" fillId="0" borderId="0"/>
    <xf numFmtId="0" fontId="34" fillId="0" borderId="0"/>
    <xf numFmtId="0" fontId="36" fillId="0" borderId="0"/>
    <xf numFmtId="0" fontId="34" fillId="0" borderId="0"/>
    <xf numFmtId="0" fontId="34" fillId="0" borderId="0"/>
    <xf numFmtId="0" fontId="36" fillId="0" borderId="0"/>
    <xf numFmtId="0" fontId="24" fillId="0" borderId="0"/>
    <xf numFmtId="9" fontId="34" fillId="0" borderId="0" applyFont="0" applyFill="0" applyBorder="0" applyAlignment="0" applyProtection="0"/>
    <xf numFmtId="43" fontId="34" fillId="0" borderId="0" applyFont="0" applyFill="0" applyBorder="0" applyAlignment="0" applyProtection="0"/>
    <xf numFmtId="0" fontId="34" fillId="0" borderId="0"/>
    <xf numFmtId="0" fontId="34" fillId="0" borderId="0"/>
    <xf numFmtId="0" fontId="34" fillId="0" borderId="0"/>
    <xf numFmtId="43" fontId="34" fillId="0" borderId="0" applyFont="0" applyFill="0" applyBorder="0" applyAlignment="0" applyProtection="0"/>
    <xf numFmtId="0" fontId="34" fillId="0" borderId="0"/>
    <xf numFmtId="0" fontId="34" fillId="0" borderId="0"/>
    <xf numFmtId="0" fontId="34" fillId="0" borderId="0"/>
    <xf numFmtId="43" fontId="34" fillId="0" borderId="0" applyFont="0" applyFill="0" applyBorder="0" applyAlignment="0" applyProtection="0"/>
    <xf numFmtId="43" fontId="34" fillId="0" borderId="0" applyFont="0" applyFill="0" applyBorder="0" applyAlignment="0" applyProtection="0"/>
    <xf numFmtId="44" fontId="34" fillId="0" borderId="0" applyFont="0" applyFill="0" applyBorder="0" applyAlignment="0" applyProtection="0"/>
    <xf numFmtId="0" fontId="34" fillId="0" borderId="0"/>
    <xf numFmtId="0" fontId="34" fillId="0" borderId="0"/>
    <xf numFmtId="0" fontId="34" fillId="0" borderId="0"/>
    <xf numFmtId="0" fontId="34" fillId="0" borderId="0"/>
    <xf numFmtId="0" fontId="34" fillId="0" borderId="0"/>
    <xf numFmtId="0" fontId="34" fillId="8" borderId="8" applyNumberFormat="0" applyFont="0" applyAlignment="0" applyProtection="0"/>
    <xf numFmtId="9" fontId="34" fillId="0" borderId="0" applyFont="0" applyFill="0" applyBorder="0" applyAlignment="0" applyProtection="0"/>
    <xf numFmtId="9" fontId="34" fillId="0" borderId="0" applyFont="0" applyFill="0" applyBorder="0" applyAlignment="0" applyProtection="0"/>
    <xf numFmtId="0" fontId="34" fillId="0" borderId="0"/>
    <xf numFmtId="0" fontId="34" fillId="0" borderId="0"/>
    <xf numFmtId="0" fontId="34" fillId="0" borderId="0"/>
    <xf numFmtId="0" fontId="34" fillId="0" borderId="0"/>
    <xf numFmtId="0" fontId="34" fillId="8" borderId="8" applyNumberFormat="0" applyFont="0" applyAlignment="0" applyProtection="0"/>
    <xf numFmtId="0" fontId="34" fillId="0" borderId="0"/>
    <xf numFmtId="0" fontId="34" fillId="0" borderId="0"/>
    <xf numFmtId="43"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0" fontId="34" fillId="0" borderId="0"/>
    <xf numFmtId="43" fontId="34" fillId="0" borderId="0" applyFont="0" applyFill="0" applyBorder="0" applyAlignment="0" applyProtection="0"/>
    <xf numFmtId="44" fontId="34" fillId="0" borderId="0" applyFont="0" applyFill="0" applyBorder="0" applyAlignment="0" applyProtection="0"/>
    <xf numFmtId="9" fontId="34" fillId="0" borderId="0" applyFont="0" applyFill="0" applyBorder="0" applyAlignment="0" applyProtection="0"/>
    <xf numFmtId="0" fontId="34" fillId="8" borderId="8" applyNumberFormat="0" applyFont="0" applyAlignment="0" applyProtection="0"/>
    <xf numFmtId="0" fontId="34" fillId="10" borderId="0" applyNumberFormat="0" applyBorder="0" applyAlignment="0" applyProtection="0"/>
    <xf numFmtId="0" fontId="34" fillId="11" borderId="0" applyNumberFormat="0" applyBorder="0" applyAlignment="0" applyProtection="0"/>
    <xf numFmtId="0" fontId="34" fillId="14" borderId="0" applyNumberFormat="0" applyBorder="0" applyAlignment="0" applyProtection="0"/>
    <xf numFmtId="0" fontId="34" fillId="15" borderId="0" applyNumberFormat="0" applyBorder="0" applyAlignment="0" applyProtection="0"/>
    <xf numFmtId="0" fontId="34" fillId="18" borderId="0" applyNumberFormat="0" applyBorder="0" applyAlignment="0" applyProtection="0"/>
    <xf numFmtId="0" fontId="34" fillId="19" borderId="0" applyNumberFormat="0" applyBorder="0" applyAlignment="0" applyProtection="0"/>
    <xf numFmtId="0" fontId="34" fillId="22" borderId="0" applyNumberFormat="0" applyBorder="0" applyAlignment="0" applyProtection="0"/>
    <xf numFmtId="0" fontId="34" fillId="23"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30" borderId="0" applyNumberFormat="0" applyBorder="0" applyAlignment="0" applyProtection="0"/>
    <xf numFmtId="0" fontId="34" fillId="31" borderId="0" applyNumberFormat="0" applyBorder="0" applyAlignment="0" applyProtection="0"/>
    <xf numFmtId="0" fontId="34" fillId="0" borderId="0"/>
    <xf numFmtId="43" fontId="34" fillId="0" borderId="0" applyFont="0" applyFill="0" applyBorder="0" applyAlignment="0" applyProtection="0"/>
    <xf numFmtId="9" fontId="34" fillId="0" borderId="0" applyFont="0" applyFill="0" applyBorder="0" applyAlignment="0" applyProtection="0"/>
    <xf numFmtId="0" fontId="34" fillId="0" borderId="0"/>
    <xf numFmtId="0" fontId="34" fillId="0" borderId="0"/>
    <xf numFmtId="0" fontId="34" fillId="0" borderId="0"/>
    <xf numFmtId="0" fontId="87" fillId="0" borderId="0"/>
    <xf numFmtId="0" fontId="1" fillId="0" borderId="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87" fillId="0" borderId="0"/>
    <xf numFmtId="0" fontId="87" fillId="0" borderId="0"/>
    <xf numFmtId="0" fontId="87" fillId="0" borderId="0"/>
    <xf numFmtId="0" fontId="87" fillId="0" borderId="0"/>
    <xf numFmtId="0" fontId="87" fillId="0" borderId="0"/>
    <xf numFmtId="9" fontId="87" fillId="0" borderId="0" applyFont="0" applyFill="0" applyBorder="0" applyAlignment="0" applyProtection="0"/>
    <xf numFmtId="0" fontId="105" fillId="59" borderId="65">
      <alignment vertical="center" wrapText="1" shrinkToFit="1"/>
    </xf>
    <xf numFmtId="0" fontId="23" fillId="0" borderId="0" applyNumberFormat="0" applyFill="0" applyBorder="0" applyAlignment="0" applyProtection="0"/>
    <xf numFmtId="9" fontId="1" fillId="0" borderId="0" applyFont="0" applyFill="0" applyBorder="0" applyAlignment="0" applyProtection="0"/>
    <xf numFmtId="165" fontId="1" fillId="0" borderId="0" applyFont="0" applyFill="0" applyBorder="0" applyAlignment="0" applyProtection="0"/>
    <xf numFmtId="43" fontId="1" fillId="0" borderId="0" applyFont="0" applyFill="0" applyBorder="0" applyAlignment="0" applyProtection="0"/>
    <xf numFmtId="43" fontId="22" fillId="0" borderId="0" applyFont="0" applyFill="0" applyBorder="0" applyAlignment="0" applyProtection="0"/>
    <xf numFmtId="43" fontId="21" fillId="0" borderId="0" applyFont="0" applyFill="0" applyBorder="0" applyAlignment="0" applyProtection="0"/>
    <xf numFmtId="43" fontId="24" fillId="0" borderId="0" applyFont="0" applyFill="0" applyBorder="0" applyAlignment="0" applyProtection="0"/>
    <xf numFmtId="43" fontId="21" fillId="0" borderId="0" applyFont="0" applyFill="0" applyBorder="0" applyAlignment="0" applyProtection="0"/>
    <xf numFmtId="44" fontId="21" fillId="0" borderId="0" applyFont="0" applyFill="0" applyBorder="0" applyAlignment="0" applyProtection="0"/>
    <xf numFmtId="43" fontId="21" fillId="0" borderId="0" applyFont="0" applyFill="0" applyBorder="0" applyAlignment="0" applyProtection="0"/>
    <xf numFmtId="44" fontId="21" fillId="0" borderId="0" applyFont="0" applyFill="0" applyBorder="0" applyAlignment="0" applyProtection="0"/>
    <xf numFmtId="43" fontId="22" fillId="0" borderId="0" applyFont="0" applyFill="0" applyBorder="0" applyAlignment="0" applyProtection="0"/>
    <xf numFmtId="43" fontId="1"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3" fontId="21" fillId="0" borderId="0" applyFont="0" applyFill="0" applyBorder="0" applyAlignment="0" applyProtection="0"/>
    <xf numFmtId="43" fontId="24"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34" fillId="0" borderId="0" applyFont="0" applyFill="0" applyBorder="0" applyAlignment="0" applyProtection="0"/>
    <xf numFmtId="43" fontId="24" fillId="0" borderId="0" applyFont="0" applyFill="0" applyBorder="0" applyAlignment="0" applyProtection="0"/>
    <xf numFmtId="43" fontId="35" fillId="0" borderId="0" applyFont="0" applyFill="0" applyBorder="0" applyAlignment="0" applyProtection="0"/>
    <xf numFmtId="43" fontId="21" fillId="0" borderId="0" applyFont="0" applyFill="0" applyBorder="0" applyAlignment="0" applyProtection="0"/>
    <xf numFmtId="43" fontId="22" fillId="0" borderId="0" applyFont="0" applyFill="0" applyBorder="0" applyAlignment="0" applyProtection="0"/>
    <xf numFmtId="43" fontId="21" fillId="0" borderId="0" applyFont="0" applyFill="0" applyBorder="0" applyAlignment="0" applyProtection="0">
      <alignment wrapText="1"/>
    </xf>
    <xf numFmtId="44" fontId="34" fillId="0" borderId="0" applyFont="0" applyFill="0" applyBorder="0" applyAlignment="0" applyProtection="0"/>
    <xf numFmtId="43" fontId="21" fillId="0" borderId="0" applyFont="0" applyFill="0" applyBorder="0" applyAlignment="0" applyProtection="0">
      <alignment wrapText="1"/>
    </xf>
    <xf numFmtId="44" fontId="21" fillId="0" borderId="0" applyFont="0" applyFill="0" applyBorder="0" applyAlignment="0" applyProtection="0"/>
    <xf numFmtId="44"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0" fontId="56" fillId="53" borderId="170" applyNumberFormat="0" applyAlignment="0" applyProtection="0"/>
    <xf numFmtId="0" fontId="56" fillId="53" borderId="170" applyNumberFormat="0" applyAlignment="0" applyProtection="0"/>
    <xf numFmtId="0" fontId="56" fillId="53" borderId="170" applyNumberFormat="0" applyAlignment="0" applyProtection="0"/>
    <xf numFmtId="43" fontId="1" fillId="0" borderId="0" applyFont="0" applyFill="0" applyBorder="0" applyAlignment="0" applyProtection="0"/>
    <xf numFmtId="43" fontId="21" fillId="0" borderId="0" applyFont="0" applyFill="0" applyBorder="0" applyAlignment="0" applyProtection="0">
      <alignment wrapText="1"/>
    </xf>
    <xf numFmtId="43" fontId="1" fillId="0" borderId="0" applyFont="0" applyFill="0" applyBorder="0" applyAlignment="0" applyProtection="0"/>
    <xf numFmtId="43" fontId="21" fillId="0" borderId="0" applyFont="0" applyFill="0" applyBorder="0" applyAlignment="0" applyProtection="0">
      <alignment wrapText="1"/>
    </xf>
    <xf numFmtId="43" fontId="21" fillId="0" borderId="0" applyFont="0" applyFill="0" applyBorder="0" applyAlignment="0" applyProtection="0">
      <alignment wrapText="1"/>
    </xf>
    <xf numFmtId="43" fontId="21" fillId="0" borderId="0" applyFont="0" applyFill="0" applyBorder="0" applyAlignment="0" applyProtection="0">
      <alignment wrapText="1"/>
    </xf>
    <xf numFmtId="44" fontId="1" fillId="0" borderId="0" applyFont="0" applyFill="0" applyBorder="0" applyAlignment="0" applyProtection="0"/>
    <xf numFmtId="0" fontId="63" fillId="40" borderId="170" applyNumberFormat="0" applyAlignment="0" applyProtection="0"/>
    <xf numFmtId="0" fontId="63" fillId="40" borderId="170" applyNumberFormat="0" applyAlignment="0" applyProtection="0"/>
    <xf numFmtId="0" fontId="63" fillId="40" borderId="170" applyNumberFormat="0" applyAlignment="0" applyProtection="0"/>
    <xf numFmtId="0" fontId="21" fillId="56" borderId="171" applyNumberFormat="0" applyFont="0" applyAlignment="0" applyProtection="0"/>
    <xf numFmtId="0" fontId="66" fillId="53" borderId="172" applyNumberFormat="0" applyAlignment="0" applyProtection="0"/>
    <xf numFmtId="0" fontId="66" fillId="53" borderId="172" applyNumberFormat="0" applyAlignment="0" applyProtection="0"/>
    <xf numFmtId="0" fontId="66" fillId="53" borderId="172" applyNumberFormat="0" applyAlignment="0" applyProtection="0"/>
    <xf numFmtId="0" fontId="68" fillId="0" borderId="173" applyNumberFormat="0" applyFill="0" applyAlignment="0" applyProtection="0"/>
    <xf numFmtId="0" fontId="68" fillId="0" borderId="173" applyNumberFormat="0" applyFill="0" applyAlignment="0" applyProtection="0"/>
    <xf numFmtId="0" fontId="68" fillId="0" borderId="173" applyNumberFormat="0" applyFill="0" applyAlignment="0" applyProtection="0"/>
    <xf numFmtId="43" fontId="21" fillId="0" borderId="0" applyFont="0" applyFill="0" applyBorder="0" applyAlignment="0" applyProtection="0"/>
    <xf numFmtId="43" fontId="2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0"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4"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66" fillId="53" borderId="172" applyNumberFormat="0" applyAlignment="0" applyProtection="0"/>
    <xf numFmtId="0" fontId="66" fillId="53" borderId="172" applyNumberFormat="0" applyAlignment="0" applyProtection="0"/>
    <xf numFmtId="0" fontId="63" fillId="40" borderId="170" applyNumberFormat="0" applyAlignment="0" applyProtection="0"/>
    <xf numFmtId="0" fontId="56" fillId="53" borderId="170" applyNumberFormat="0" applyAlignment="0" applyProtection="0"/>
    <xf numFmtId="0" fontId="56" fillId="53" borderId="170" applyNumberFormat="0" applyAlignment="0" applyProtection="0"/>
    <xf numFmtId="0" fontId="56" fillId="53" borderId="170" applyNumberFormat="0" applyAlignment="0" applyProtection="0"/>
    <xf numFmtId="0" fontId="56" fillId="53" borderId="170" applyNumberFormat="0" applyAlignment="0" applyProtection="0"/>
    <xf numFmtId="0" fontId="66" fillId="53" borderId="172" applyNumberFormat="0" applyAlignment="0" applyProtection="0"/>
    <xf numFmtId="0" fontId="63" fillId="40" borderId="170" applyNumberFormat="0" applyAlignment="0" applyProtection="0"/>
    <xf numFmtId="0" fontId="56" fillId="53" borderId="170" applyNumberFormat="0" applyAlignment="0" applyProtection="0"/>
    <xf numFmtId="0" fontId="63" fillId="40" borderId="170" applyNumberFormat="0" applyAlignment="0" applyProtection="0"/>
    <xf numFmtId="0" fontId="63" fillId="40" borderId="170" applyNumberFormat="0" applyAlignment="0" applyProtection="0"/>
    <xf numFmtId="0" fontId="63" fillId="40" borderId="170" applyNumberFormat="0" applyAlignment="0" applyProtection="0"/>
    <xf numFmtId="0" fontId="63" fillId="40" borderId="170" applyNumberFormat="0" applyAlignment="0" applyProtection="0"/>
    <xf numFmtId="0" fontId="63" fillId="40" borderId="170" applyNumberFormat="0" applyAlignment="0" applyProtection="0"/>
    <xf numFmtId="0" fontId="56" fillId="53" borderId="170" applyNumberFormat="0" applyAlignment="0" applyProtection="0"/>
    <xf numFmtId="0" fontId="56" fillId="53" borderId="170" applyNumberFormat="0" applyAlignment="0" applyProtection="0"/>
    <xf numFmtId="0" fontId="63" fillId="40" borderId="170" applyNumberFormat="0" applyAlignment="0" applyProtection="0"/>
    <xf numFmtId="0" fontId="66" fillId="53" borderId="172" applyNumberFormat="0" applyAlignment="0" applyProtection="0"/>
    <xf numFmtId="0" fontId="66" fillId="53" borderId="172" applyNumberFormat="0" applyAlignment="0" applyProtection="0"/>
    <xf numFmtId="0" fontId="56" fillId="53" borderId="170" applyNumberFormat="0" applyAlignment="0" applyProtection="0"/>
    <xf numFmtId="0" fontId="66" fillId="53" borderId="172" applyNumberFormat="0" applyAlignment="0" applyProtection="0"/>
    <xf numFmtId="0" fontId="68" fillId="0" borderId="173" applyNumberFormat="0" applyFill="0" applyAlignment="0" applyProtection="0"/>
    <xf numFmtId="0" fontId="68" fillId="0" borderId="173" applyNumberFormat="0" applyFill="0" applyAlignment="0" applyProtection="0"/>
    <xf numFmtId="0" fontId="63" fillId="40" borderId="170" applyNumberFormat="0" applyAlignment="0" applyProtection="0"/>
    <xf numFmtId="0" fontId="21" fillId="56" borderId="171" applyNumberFormat="0" applyFont="0" applyAlignment="0" applyProtection="0"/>
    <xf numFmtId="0" fontId="66" fillId="53" borderId="172" applyNumberFormat="0" applyAlignment="0" applyProtection="0"/>
    <xf numFmtId="0" fontId="63" fillId="40" borderId="170" applyNumberFormat="0" applyAlignment="0" applyProtection="0"/>
    <xf numFmtId="0" fontId="21" fillId="56" borderId="171" applyNumberFormat="0" applyFont="0" applyAlignment="0" applyProtection="0"/>
    <xf numFmtId="0" fontId="66" fillId="53" borderId="172" applyNumberFormat="0" applyAlignment="0" applyProtection="0"/>
    <xf numFmtId="0" fontId="66" fillId="53" borderId="172" applyNumberFormat="0" applyAlignment="0" applyProtection="0"/>
    <xf numFmtId="0" fontId="66" fillId="53" borderId="172" applyNumberFormat="0" applyAlignment="0" applyProtection="0"/>
    <xf numFmtId="0" fontId="66" fillId="53" borderId="172" applyNumberFormat="0" applyAlignment="0" applyProtection="0"/>
    <xf numFmtId="0" fontId="68" fillId="0" borderId="173" applyNumberFormat="0" applyFill="0" applyAlignment="0" applyProtection="0"/>
    <xf numFmtId="0" fontId="68" fillId="0" borderId="173" applyNumberFormat="0" applyFill="0" applyAlignment="0" applyProtection="0"/>
    <xf numFmtId="0" fontId="68" fillId="0" borderId="173" applyNumberFormat="0" applyFill="0" applyAlignment="0" applyProtection="0"/>
    <xf numFmtId="0" fontId="66" fillId="53" borderId="172" applyNumberFormat="0" applyAlignment="0" applyProtection="0"/>
    <xf numFmtId="0" fontId="68" fillId="0" borderId="173" applyNumberFormat="0" applyFill="0" applyAlignment="0" applyProtection="0"/>
    <xf numFmtId="0" fontId="63" fillId="40" borderId="170" applyNumberFormat="0" applyAlignment="0" applyProtection="0"/>
    <xf numFmtId="0" fontId="56" fillId="53" borderId="170" applyNumberFormat="0" applyAlignment="0" applyProtection="0"/>
    <xf numFmtId="0" fontId="68" fillId="0" borderId="173" applyNumberFormat="0" applyFill="0" applyAlignment="0" applyProtection="0"/>
    <xf numFmtId="0" fontId="63" fillId="40" borderId="170" applyNumberFormat="0" applyAlignment="0" applyProtection="0"/>
    <xf numFmtId="0" fontId="68" fillId="0" borderId="173" applyNumberFormat="0" applyFill="0" applyAlignment="0" applyProtection="0"/>
    <xf numFmtId="0" fontId="68" fillId="0" borderId="173" applyNumberFormat="0" applyFill="0" applyAlignment="0" applyProtection="0"/>
    <xf numFmtId="0" fontId="68" fillId="0" borderId="173" applyNumberFormat="0" applyFill="0" applyAlignment="0" applyProtection="0"/>
    <xf numFmtId="0" fontId="56" fillId="53" borderId="170" applyNumberFormat="0" applyAlignment="0" applyProtection="0"/>
    <xf numFmtId="0" fontId="68" fillId="0" borderId="173" applyNumberFormat="0" applyFill="0" applyAlignment="0" applyProtection="0"/>
    <xf numFmtId="0" fontId="21" fillId="56" borderId="171" applyNumberFormat="0" applyFont="0" applyAlignment="0" applyProtection="0"/>
    <xf numFmtId="0" fontId="68" fillId="0" borderId="173" applyNumberFormat="0" applyFill="0" applyAlignment="0" applyProtection="0"/>
    <xf numFmtId="0" fontId="56" fillId="53" borderId="170" applyNumberFormat="0" applyAlignment="0" applyProtection="0"/>
    <xf numFmtId="0" fontId="66" fillId="53" borderId="172" applyNumberFormat="0" applyAlignment="0" applyProtection="0"/>
    <xf numFmtId="0" fontId="66" fillId="53" borderId="172" applyNumberFormat="0" applyAlignment="0" applyProtection="0"/>
    <xf numFmtId="0" fontId="66" fillId="53" borderId="172" applyNumberFormat="0" applyAlignment="0" applyProtection="0"/>
    <xf numFmtId="0" fontId="68" fillId="0" borderId="173" applyNumberFormat="0" applyFill="0" applyAlignment="0" applyProtection="0"/>
    <xf numFmtId="0" fontId="68" fillId="0" borderId="173" applyNumberFormat="0" applyFill="0" applyAlignment="0" applyProtection="0"/>
    <xf numFmtId="0" fontId="68" fillId="0" borderId="173" applyNumberFormat="0" applyFill="0" applyAlignment="0" applyProtection="0"/>
    <xf numFmtId="0" fontId="56" fillId="53" borderId="170" applyNumberFormat="0" applyAlignment="0" applyProtection="0"/>
    <xf numFmtId="0" fontId="21" fillId="56" borderId="171" applyNumberFormat="0" applyFont="0" applyAlignment="0" applyProtection="0"/>
    <xf numFmtId="0" fontId="63" fillId="40" borderId="170" applyNumberFormat="0" applyAlignment="0" applyProtection="0"/>
    <xf numFmtId="0" fontId="63" fillId="40" borderId="170" applyNumberFormat="0" applyAlignment="0" applyProtection="0"/>
    <xf numFmtId="0" fontId="21" fillId="56" borderId="171" applyNumberFormat="0" applyFont="0" applyAlignment="0" applyProtection="0"/>
    <xf numFmtId="0" fontId="68" fillId="0" borderId="173" applyNumberFormat="0" applyFill="0" applyAlignment="0" applyProtection="0"/>
    <xf numFmtId="0" fontId="66" fillId="53" borderId="172" applyNumberFormat="0" applyAlignment="0" applyProtection="0"/>
    <xf numFmtId="0" fontId="66" fillId="53" borderId="172" applyNumberFormat="0" applyAlignment="0" applyProtection="0"/>
    <xf numFmtId="0" fontId="63" fillId="40" borderId="170" applyNumberFormat="0" applyAlignment="0" applyProtection="0"/>
    <xf numFmtId="0" fontId="21" fillId="56" borderId="171" applyNumberFormat="0" applyFont="0" applyAlignment="0" applyProtection="0"/>
    <xf numFmtId="0" fontId="66" fillId="53" borderId="172" applyNumberFormat="0" applyAlignment="0" applyProtection="0"/>
    <xf numFmtId="0" fontId="56" fillId="53" borderId="170" applyNumberFormat="0" applyAlignment="0" applyProtection="0"/>
    <xf numFmtId="0" fontId="56" fillId="53" borderId="170" applyNumberFormat="0" applyAlignment="0" applyProtection="0"/>
    <xf numFmtId="0" fontId="68" fillId="0" borderId="173" applyNumberFormat="0" applyFill="0" applyAlignment="0" applyProtection="0"/>
    <xf numFmtId="0" fontId="56" fillId="53" borderId="170" applyNumberFormat="0" applyAlignment="0" applyProtection="0"/>
    <xf numFmtId="0" fontId="68" fillId="0" borderId="173"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63" fillId="40" borderId="170" applyNumberFormat="0" applyAlignment="0" applyProtection="0"/>
    <xf numFmtId="0" fontId="56" fillId="53" borderId="170" applyNumberFormat="0" applyAlignment="0" applyProtection="0"/>
    <xf numFmtId="0" fontId="63" fillId="40" borderId="170" applyNumberFormat="0" applyAlignment="0" applyProtection="0"/>
    <xf numFmtId="0" fontId="63" fillId="40" borderId="170" applyNumberFormat="0" applyAlignment="0" applyProtection="0"/>
    <xf numFmtId="0" fontId="63" fillId="40" borderId="170" applyNumberFormat="0" applyAlignment="0" applyProtection="0"/>
    <xf numFmtId="0" fontId="56" fillId="53" borderId="170" applyNumberFormat="0" applyAlignment="0" applyProtection="0"/>
    <xf numFmtId="0" fontId="63" fillId="40" borderId="170" applyNumberFormat="0" applyAlignment="0" applyProtection="0"/>
    <xf numFmtId="0" fontId="56" fillId="53" borderId="170" applyNumberFormat="0" applyAlignment="0" applyProtection="0"/>
    <xf numFmtId="0" fontId="56" fillId="53" borderId="170" applyNumberFormat="0" applyAlignment="0" applyProtection="0"/>
    <xf numFmtId="0" fontId="63" fillId="40" borderId="170" applyNumberFormat="0" applyAlignment="0" applyProtection="0"/>
    <xf numFmtId="0" fontId="63" fillId="40" borderId="170" applyNumberFormat="0" applyAlignment="0" applyProtection="0"/>
    <xf numFmtId="0" fontId="63" fillId="40" borderId="170" applyNumberFormat="0" applyAlignment="0" applyProtection="0"/>
    <xf numFmtId="0" fontId="63" fillId="40" borderId="170" applyNumberFormat="0" applyAlignment="0" applyProtection="0"/>
    <xf numFmtId="0" fontId="63" fillId="40" borderId="170" applyNumberFormat="0" applyAlignment="0" applyProtection="0"/>
    <xf numFmtId="0" fontId="56" fillId="53" borderId="170" applyNumberFormat="0" applyAlignment="0" applyProtection="0"/>
    <xf numFmtId="0" fontId="63" fillId="40" borderId="170" applyNumberFormat="0" applyAlignment="0" applyProtection="0"/>
    <xf numFmtId="0" fontId="56" fillId="53" borderId="170" applyNumberFormat="0" applyAlignment="0" applyProtection="0"/>
    <xf numFmtId="0" fontId="56" fillId="53" borderId="170" applyNumberFormat="0" applyAlignment="0" applyProtection="0"/>
    <xf numFmtId="0" fontId="56" fillId="53" borderId="170" applyNumberFormat="0" applyAlignment="0" applyProtection="0"/>
    <xf numFmtId="0" fontId="56" fillId="53" borderId="170" applyNumberFormat="0" applyAlignment="0" applyProtection="0"/>
    <xf numFmtId="0" fontId="63" fillId="40" borderId="170" applyNumberFormat="0" applyAlignment="0" applyProtection="0"/>
    <xf numFmtId="0" fontId="21" fillId="56" borderId="171" applyNumberFormat="0" applyFont="0" applyAlignment="0" applyProtection="0"/>
    <xf numFmtId="0" fontId="66" fillId="53" borderId="172" applyNumberFormat="0" applyAlignment="0" applyProtection="0"/>
    <xf numFmtId="0" fontId="66" fillId="53" borderId="172" applyNumberFormat="0" applyAlignment="0" applyProtection="0"/>
    <xf numFmtId="0" fontId="66" fillId="53" borderId="172" applyNumberFormat="0" applyAlignment="0" applyProtection="0"/>
    <xf numFmtId="0" fontId="68" fillId="0" borderId="173" applyNumberFormat="0" applyFill="0" applyAlignment="0" applyProtection="0"/>
    <xf numFmtId="0" fontId="68" fillId="0" borderId="173" applyNumberFormat="0" applyFill="0" applyAlignment="0" applyProtection="0"/>
    <xf numFmtId="0" fontId="68" fillId="0" borderId="173" applyNumberFormat="0" applyFill="0" applyAlignment="0" applyProtection="0"/>
    <xf numFmtId="0" fontId="56" fillId="53" borderId="170" applyNumberFormat="0" applyAlignment="0" applyProtection="0"/>
    <xf numFmtId="0" fontId="63" fillId="40" borderId="170" applyNumberFormat="0" applyAlignment="0" applyProtection="0"/>
    <xf numFmtId="0" fontId="56" fillId="53" borderId="170" applyNumberFormat="0" applyAlignment="0" applyProtection="0"/>
    <xf numFmtId="0" fontId="63" fillId="40" borderId="170" applyNumberFormat="0" applyAlignment="0" applyProtection="0"/>
    <xf numFmtId="0" fontId="56" fillId="53" borderId="170" applyNumberFormat="0" applyAlignment="0" applyProtection="0"/>
    <xf numFmtId="0" fontId="63" fillId="40" borderId="170" applyNumberFormat="0" applyAlignment="0" applyProtection="0"/>
    <xf numFmtId="0" fontId="66" fillId="53" borderId="172" applyNumberFormat="0" applyAlignment="0" applyProtection="0"/>
    <xf numFmtId="0" fontId="66" fillId="53" borderId="172" applyNumberFormat="0" applyAlignment="0" applyProtection="0"/>
    <xf numFmtId="0" fontId="66" fillId="53" borderId="172" applyNumberFormat="0" applyAlignment="0" applyProtection="0"/>
    <xf numFmtId="0" fontId="66" fillId="53" borderId="172" applyNumberFormat="0" applyAlignment="0" applyProtection="0"/>
    <xf numFmtId="0" fontId="66" fillId="53" borderId="172" applyNumberFormat="0" applyAlignment="0" applyProtection="0"/>
    <xf numFmtId="0" fontId="66" fillId="53" borderId="172" applyNumberFormat="0" applyAlignment="0" applyProtection="0"/>
    <xf numFmtId="0" fontId="68" fillId="0" borderId="173" applyNumberFormat="0" applyFill="0" applyAlignment="0" applyProtection="0"/>
    <xf numFmtId="0" fontId="68" fillId="0" borderId="173" applyNumberFormat="0" applyFill="0" applyAlignment="0" applyProtection="0"/>
    <xf numFmtId="0" fontId="21" fillId="56" borderId="171" applyNumberFormat="0" applyFont="0" applyAlignment="0" applyProtection="0"/>
    <xf numFmtId="0" fontId="66" fillId="53" borderId="172" applyNumberFormat="0" applyAlignment="0" applyProtection="0"/>
    <xf numFmtId="0" fontId="21" fillId="56" borderId="171" applyNumberFormat="0" applyFont="0" applyAlignment="0" applyProtection="0"/>
    <xf numFmtId="0" fontId="66" fillId="53" borderId="172" applyNumberFormat="0" applyAlignment="0" applyProtection="0"/>
    <xf numFmtId="0" fontId="66" fillId="53" borderId="172" applyNumberFormat="0" applyAlignment="0" applyProtection="0"/>
    <xf numFmtId="0" fontId="66" fillId="53" borderId="172" applyNumberFormat="0" applyAlignment="0" applyProtection="0"/>
    <xf numFmtId="0" fontId="66" fillId="53" borderId="172" applyNumberFormat="0" applyAlignment="0" applyProtection="0"/>
    <xf numFmtId="0" fontId="68" fillId="0" borderId="173" applyNumberFormat="0" applyFill="0" applyAlignment="0" applyProtection="0"/>
    <xf numFmtId="0" fontId="68" fillId="0" borderId="173" applyNumberFormat="0" applyFill="0" applyAlignment="0" applyProtection="0"/>
    <xf numFmtId="0" fontId="68" fillId="0" borderId="173" applyNumberFormat="0" applyFill="0" applyAlignment="0" applyProtection="0"/>
    <xf numFmtId="0" fontId="66" fillId="53" borderId="172" applyNumberFormat="0" applyAlignment="0" applyProtection="0"/>
    <xf numFmtId="0" fontId="68" fillId="0" borderId="173" applyNumberFormat="0" applyFill="0" applyAlignment="0" applyProtection="0"/>
    <xf numFmtId="0" fontId="68" fillId="0" borderId="173" applyNumberFormat="0" applyFill="0" applyAlignment="0" applyProtection="0"/>
    <xf numFmtId="0" fontId="68" fillId="0" borderId="173" applyNumberFormat="0" applyFill="0" applyAlignment="0" applyProtection="0"/>
    <xf numFmtId="0" fontId="68" fillId="0" borderId="173" applyNumberFormat="0" applyFill="0" applyAlignment="0" applyProtection="0"/>
    <xf numFmtId="0" fontId="68" fillId="0" borderId="173" applyNumberFormat="0" applyFill="0" applyAlignment="0" applyProtection="0"/>
    <xf numFmtId="0" fontId="68" fillId="0" borderId="173" applyNumberFormat="0" applyFill="0" applyAlignment="0" applyProtection="0"/>
    <xf numFmtId="0" fontId="21" fillId="56" borderId="171" applyNumberFormat="0" applyFont="0" applyAlignment="0" applyProtection="0"/>
    <xf numFmtId="0" fontId="68" fillId="0" borderId="173" applyNumberFormat="0" applyFill="0" applyAlignment="0" applyProtection="0"/>
    <xf numFmtId="0" fontId="66" fillId="53" borderId="172" applyNumberFormat="0" applyAlignment="0" applyProtection="0"/>
    <xf numFmtId="0" fontId="66" fillId="53" borderId="172" applyNumberFormat="0" applyAlignment="0" applyProtection="0"/>
    <xf numFmtId="0" fontId="66" fillId="53" borderId="172" applyNumberFormat="0" applyAlignment="0" applyProtection="0"/>
    <xf numFmtId="0" fontId="68" fillId="0" borderId="173" applyNumberFormat="0" applyFill="0" applyAlignment="0" applyProtection="0"/>
    <xf numFmtId="0" fontId="68" fillId="0" borderId="173" applyNumberFormat="0" applyFill="0" applyAlignment="0" applyProtection="0"/>
    <xf numFmtId="0" fontId="68" fillId="0" borderId="173" applyNumberFormat="0" applyFill="0" applyAlignment="0" applyProtection="0"/>
    <xf numFmtId="0" fontId="21" fillId="56" borderId="171" applyNumberFormat="0" applyFont="0" applyAlignment="0" applyProtection="0"/>
    <xf numFmtId="0" fontId="21" fillId="56" borderId="171" applyNumberFormat="0" applyFont="0" applyAlignment="0" applyProtection="0"/>
    <xf numFmtId="0" fontId="68" fillId="0" borderId="173" applyNumberFormat="0" applyFill="0" applyAlignment="0" applyProtection="0"/>
    <xf numFmtId="0" fontId="66" fillId="53" borderId="172" applyNumberFormat="0" applyAlignment="0" applyProtection="0"/>
    <xf numFmtId="0" fontId="66" fillId="53" borderId="172" applyNumberFormat="0" applyAlignment="0" applyProtection="0"/>
    <xf numFmtId="0" fontId="21" fillId="56" borderId="171" applyNumberFormat="0" applyFont="0" applyAlignment="0" applyProtection="0"/>
    <xf numFmtId="0" fontId="66" fillId="53" borderId="172" applyNumberFormat="0" applyAlignment="0" applyProtection="0"/>
    <xf numFmtId="0" fontId="68" fillId="0" borderId="173" applyNumberFormat="0" applyFill="0" applyAlignment="0" applyProtection="0"/>
    <xf numFmtId="0" fontId="68" fillId="0" borderId="173" applyNumberFormat="0" applyFill="0" applyAlignment="0" applyProtection="0"/>
    <xf numFmtId="0" fontId="56" fillId="53" borderId="170" applyNumberFormat="0" applyAlignment="0" applyProtection="0"/>
    <xf numFmtId="0" fontId="56" fillId="53" borderId="170" applyNumberFormat="0" applyAlignment="0" applyProtection="0"/>
    <xf numFmtId="0" fontId="56" fillId="53" borderId="170" applyNumberFormat="0" applyAlignment="0" applyProtection="0"/>
    <xf numFmtId="0" fontId="63" fillId="40" borderId="170" applyNumberFormat="0" applyAlignment="0" applyProtection="0"/>
    <xf numFmtId="0" fontId="63" fillId="40" borderId="170" applyNumberFormat="0" applyAlignment="0" applyProtection="0"/>
    <xf numFmtId="0" fontId="63" fillId="40" borderId="170" applyNumberFormat="0" applyAlignment="0" applyProtection="0"/>
    <xf numFmtId="0" fontId="56" fillId="53" borderId="170" applyNumberFormat="0" applyAlignment="0" applyProtection="0"/>
    <xf numFmtId="0" fontId="56" fillId="53" borderId="170" applyNumberFormat="0" applyAlignment="0" applyProtection="0"/>
    <xf numFmtId="0" fontId="56" fillId="53" borderId="170" applyNumberFormat="0" applyAlignment="0" applyProtection="0"/>
    <xf numFmtId="44" fontId="21" fillId="0" borderId="0" applyFont="0" applyFill="0" applyBorder="0" applyAlignment="0" applyProtection="0"/>
    <xf numFmtId="43" fontId="1" fillId="0" borderId="0" applyFont="0" applyFill="0" applyBorder="0" applyAlignment="0" applyProtection="0"/>
    <xf numFmtId="43" fontId="34" fillId="0" borderId="0" applyFont="0" applyFill="0" applyBorder="0" applyAlignment="0" applyProtection="0"/>
    <xf numFmtId="44" fontId="1" fillId="0" borderId="0" applyFont="0" applyFill="0" applyBorder="0" applyAlignment="0" applyProtection="0"/>
    <xf numFmtId="43" fontId="22" fillId="0" borderId="0" applyFont="0" applyFill="0" applyBorder="0" applyAlignment="0" applyProtection="0"/>
    <xf numFmtId="43" fontId="34"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1" fillId="0" borderId="0" applyFont="0" applyFill="0" applyBorder="0" applyAlignment="0" applyProtection="0"/>
    <xf numFmtId="43" fontId="21" fillId="0" borderId="0" applyFont="0" applyFill="0" applyBorder="0" applyAlignment="0" applyProtection="0"/>
    <xf numFmtId="43" fontId="3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1" fillId="0" borderId="0" applyFont="0" applyFill="0" applyBorder="0" applyAlignment="0" applyProtection="0"/>
    <xf numFmtId="44" fontId="34"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alignment wrapText="1"/>
    </xf>
    <xf numFmtId="43" fontId="24" fillId="0" borderId="0" applyFont="0" applyFill="0" applyBorder="0" applyAlignment="0" applyProtection="0"/>
    <xf numFmtId="43" fontId="24" fillId="0" borderId="0" applyFont="0" applyFill="0" applyBorder="0" applyAlignment="0" applyProtection="0"/>
    <xf numFmtId="43" fontId="20" fillId="0" borderId="0" applyFont="0" applyFill="0" applyBorder="0" applyAlignment="0" applyProtection="0"/>
    <xf numFmtId="43" fontId="34" fillId="0" borderId="0" applyFont="0" applyFill="0" applyBorder="0" applyAlignment="0" applyProtection="0"/>
    <xf numFmtId="43" fontId="34" fillId="0" borderId="0" applyFont="0" applyFill="0" applyBorder="0" applyAlignment="0" applyProtection="0"/>
    <xf numFmtId="44" fontId="34" fillId="0" borderId="0" applyFont="0" applyFill="0" applyBorder="0" applyAlignment="0" applyProtection="0"/>
    <xf numFmtId="43" fontId="34" fillId="0" borderId="0" applyFont="0" applyFill="0" applyBorder="0" applyAlignment="0" applyProtection="0"/>
    <xf numFmtId="43" fontId="22" fillId="0" borderId="0" applyFont="0" applyFill="0" applyBorder="0" applyAlignment="0" applyProtection="0"/>
    <xf numFmtId="43" fontId="1" fillId="0" borderId="0" applyFont="0" applyFill="0" applyBorder="0" applyAlignment="0" applyProtection="0"/>
    <xf numFmtId="43" fontId="22" fillId="0" borderId="0" applyFont="0" applyFill="0" applyBorder="0" applyAlignment="0" applyProtection="0"/>
    <xf numFmtId="43" fontId="1" fillId="0" borderId="0" applyFont="0" applyFill="0" applyBorder="0" applyAlignment="0" applyProtection="0"/>
    <xf numFmtId="43" fontId="21" fillId="0" borderId="0" applyFont="0" applyFill="0" applyBorder="0" applyAlignment="0" applyProtection="0">
      <alignment wrapText="1"/>
    </xf>
    <xf numFmtId="43" fontId="21" fillId="0" borderId="0" applyFont="0" applyFill="0" applyBorder="0" applyAlignment="0" applyProtection="0"/>
    <xf numFmtId="43" fontId="24" fillId="0" borderId="0" applyFont="0" applyFill="0" applyBorder="0" applyAlignment="0" applyProtection="0"/>
    <xf numFmtId="43" fontId="21" fillId="0" borderId="0" applyFont="0" applyFill="0" applyBorder="0" applyAlignment="0" applyProtection="0"/>
    <xf numFmtId="0" fontId="66" fillId="53" borderId="172" applyNumberFormat="0" applyAlignment="0" applyProtection="0"/>
    <xf numFmtId="43" fontId="24" fillId="0" borderId="0" applyFont="0" applyFill="0" applyBorder="0" applyAlignment="0" applyProtection="0"/>
    <xf numFmtId="44" fontId="34" fillId="0" borderId="0" applyFont="0" applyFill="0" applyBorder="0" applyAlignment="0" applyProtection="0"/>
    <xf numFmtId="43" fontId="21" fillId="0" borderId="0" applyFont="0" applyFill="0" applyBorder="0" applyAlignment="0" applyProtection="0"/>
    <xf numFmtId="44" fontId="21" fillId="0" borderId="0" applyFont="0" applyFill="0" applyBorder="0" applyAlignment="0" applyProtection="0"/>
    <xf numFmtId="43" fontId="22" fillId="0" borderId="0" applyFont="0" applyFill="0" applyBorder="0" applyAlignment="0" applyProtection="0"/>
    <xf numFmtId="44" fontId="21" fillId="0" borderId="0" applyFont="0" applyFill="0" applyBorder="0" applyAlignment="0" applyProtection="0"/>
    <xf numFmtId="0" fontId="63" fillId="40" borderId="170" applyNumberFormat="0" applyAlignment="0" applyProtection="0"/>
    <xf numFmtId="43" fontId="21" fillId="0" borderId="0" applyFont="0" applyFill="0" applyBorder="0" applyAlignment="0" applyProtection="0">
      <alignment wrapText="1"/>
    </xf>
    <xf numFmtId="44" fontId="21" fillId="0" borderId="0" applyFont="0" applyFill="0" applyBorder="0" applyAlignment="0" applyProtection="0"/>
    <xf numFmtId="44" fontId="21" fillId="0" borderId="0" applyFont="0" applyFill="0" applyBorder="0" applyAlignment="0" applyProtection="0"/>
    <xf numFmtId="43" fontId="21" fillId="0" borderId="0" applyFont="0" applyFill="0" applyBorder="0" applyAlignment="0" applyProtection="0"/>
    <xf numFmtId="43" fontId="24" fillId="0" borderId="0" applyFont="0" applyFill="0" applyBorder="0" applyAlignment="0" applyProtection="0"/>
    <xf numFmtId="44" fontId="21" fillId="0" borderId="0" applyFont="0" applyFill="0" applyBorder="0" applyAlignment="0" applyProtection="0"/>
    <xf numFmtId="43" fontId="35" fillId="0" borderId="0" applyFont="0" applyFill="0" applyBorder="0" applyAlignment="0" applyProtection="0"/>
    <xf numFmtId="44" fontId="21" fillId="0" borderId="0" applyFont="0" applyFill="0" applyBorder="0" applyAlignment="0" applyProtection="0"/>
    <xf numFmtId="43" fontId="21" fillId="0" borderId="0" applyFont="0" applyFill="0" applyBorder="0" applyAlignment="0" applyProtection="0">
      <alignment wrapText="1"/>
    </xf>
    <xf numFmtId="0" fontId="56" fillId="53" borderId="170" applyNumberFormat="0" applyAlignment="0" applyProtection="0"/>
    <xf numFmtId="0" fontId="68" fillId="0" borderId="173" applyNumberFormat="0" applyFill="0" applyAlignment="0" applyProtection="0"/>
    <xf numFmtId="43" fontId="21" fillId="0" borderId="0" applyFont="0" applyFill="0" applyBorder="0" applyAlignment="0" applyProtection="0"/>
    <xf numFmtId="43" fontId="1" fillId="0" borderId="0" applyFont="0" applyFill="0" applyBorder="0" applyAlignment="0" applyProtection="0"/>
    <xf numFmtId="0" fontId="21" fillId="56" borderId="171" applyNumberFormat="0" applyFont="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2" fillId="0" borderId="0" applyFont="0" applyFill="0" applyBorder="0" applyAlignment="0" applyProtection="0"/>
    <xf numFmtId="43" fontId="21" fillId="0" borderId="0" applyFont="0" applyFill="0" applyBorder="0" applyAlignment="0" applyProtection="0"/>
    <xf numFmtId="44" fontId="1" fillId="0" borderId="0" applyFont="0" applyFill="0" applyBorder="0" applyAlignment="0" applyProtection="0"/>
    <xf numFmtId="44" fontId="24" fillId="0" borderId="0" applyFont="0" applyFill="0" applyBorder="0" applyAlignment="0" applyProtection="0"/>
    <xf numFmtId="43" fontId="21" fillId="0" borderId="0" applyFont="0" applyFill="0" applyBorder="0" applyAlignment="0" applyProtection="0"/>
    <xf numFmtId="44" fontId="21" fillId="0" borderId="0" applyFont="0" applyFill="0" applyBorder="0" applyAlignment="0" applyProtection="0"/>
    <xf numFmtId="43" fontId="21" fillId="0" borderId="0" applyFont="0" applyFill="0" applyBorder="0" applyAlignment="0" applyProtection="0"/>
    <xf numFmtId="43" fontId="1" fillId="0" borderId="0" applyFont="0" applyFill="0" applyBorder="0" applyAlignment="0" applyProtection="0"/>
    <xf numFmtId="43" fontId="34" fillId="0" borderId="0" applyFont="0" applyFill="0" applyBorder="0" applyAlignment="0" applyProtection="0"/>
    <xf numFmtId="43" fontId="34" fillId="0" borderId="0" applyFont="0" applyFill="0" applyBorder="0" applyAlignment="0" applyProtection="0"/>
    <xf numFmtId="43" fontId="2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2" fillId="0" borderId="0" applyFont="0" applyFill="0" applyBorder="0" applyAlignment="0" applyProtection="0"/>
    <xf numFmtId="43" fontId="21" fillId="0" borderId="0" applyFont="0" applyFill="0" applyBorder="0" applyAlignment="0" applyProtection="0"/>
    <xf numFmtId="43" fontId="24"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4" fontId="21" fillId="0" borderId="0" applyFont="0" applyFill="0" applyBorder="0" applyAlignment="0" applyProtection="0"/>
    <xf numFmtId="43" fontId="22"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34" fillId="0" borderId="0" applyFont="0" applyFill="0" applyBorder="0" applyAlignment="0" applyProtection="0"/>
    <xf numFmtId="43" fontId="35" fillId="0" borderId="0" applyFont="0" applyFill="0" applyBorder="0" applyAlignment="0" applyProtection="0"/>
    <xf numFmtId="43" fontId="21" fillId="0" borderId="0" applyFont="0" applyFill="0" applyBorder="0" applyAlignment="0" applyProtection="0"/>
    <xf numFmtId="43" fontId="22" fillId="0" borderId="0" applyFont="0" applyFill="0" applyBorder="0" applyAlignment="0" applyProtection="0"/>
    <xf numFmtId="44" fontId="34"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43" fontId="3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3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20"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43" fontId="1" fillId="0" borderId="0" applyFont="0" applyFill="0" applyBorder="0" applyAlignment="0" applyProtection="0"/>
    <xf numFmtId="43" fontId="21" fillId="0" borderId="0" applyFont="0" applyFill="0" applyBorder="0" applyAlignment="0" applyProtection="0"/>
    <xf numFmtId="43" fontId="1" fillId="0" borderId="0" applyFont="0" applyFill="0" applyBorder="0" applyAlignment="0" applyProtection="0"/>
    <xf numFmtId="44" fontId="21" fillId="0" borderId="0" applyFont="0" applyFill="0" applyBorder="0" applyAlignment="0" applyProtection="0"/>
    <xf numFmtId="44" fontId="1" fillId="0" borderId="0" applyFont="0" applyFill="0" applyBorder="0" applyAlignment="0" applyProtection="0"/>
    <xf numFmtId="43" fontId="21"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0" fillId="0" borderId="0" applyFont="0" applyFill="0" applyBorder="0" applyAlignment="0" applyProtection="0"/>
    <xf numFmtId="43" fontId="1" fillId="0" borderId="0" applyFont="0" applyFill="0" applyBorder="0" applyAlignment="0" applyProtection="0"/>
    <xf numFmtId="43" fontId="22" fillId="0" borderId="0" applyFont="0" applyFill="0" applyBorder="0" applyAlignment="0" applyProtection="0"/>
    <xf numFmtId="43" fontId="21" fillId="0" borderId="0" applyFont="0" applyFill="0" applyBorder="0" applyAlignment="0" applyProtection="0"/>
    <xf numFmtId="44" fontId="1" fillId="0" borderId="0" applyFont="0" applyFill="0" applyBorder="0" applyAlignment="0" applyProtection="0"/>
    <xf numFmtId="44" fontId="24" fillId="0" borderId="0" applyFont="0" applyFill="0" applyBorder="0" applyAlignment="0" applyProtection="0"/>
    <xf numFmtId="43" fontId="34" fillId="0" borderId="0" applyFont="0" applyFill="0" applyBorder="0" applyAlignment="0" applyProtection="0"/>
    <xf numFmtId="43" fontId="34" fillId="0" borderId="0" applyFont="0" applyFill="0" applyBorder="0" applyAlignment="0" applyProtection="0"/>
    <xf numFmtId="43" fontId="34" fillId="0" borderId="0" applyFont="0" applyFill="0" applyBorder="0" applyAlignment="0" applyProtection="0"/>
    <xf numFmtId="43" fontId="34" fillId="0" borderId="0" applyFont="0" applyFill="0" applyBorder="0" applyAlignment="0" applyProtection="0"/>
    <xf numFmtId="44" fontId="34" fillId="0" borderId="0" applyFont="0" applyFill="0" applyBorder="0" applyAlignment="0" applyProtection="0"/>
    <xf numFmtId="43" fontId="34" fillId="0" borderId="0" applyFont="0" applyFill="0" applyBorder="0" applyAlignment="0" applyProtection="0"/>
    <xf numFmtId="43" fontId="34" fillId="0" borderId="0" applyFont="0" applyFill="0" applyBorder="0" applyAlignment="0" applyProtection="0"/>
    <xf numFmtId="44" fontId="34" fillId="0" borderId="0" applyFont="0" applyFill="0" applyBorder="0" applyAlignment="0" applyProtection="0"/>
    <xf numFmtId="43" fontId="34" fillId="0" borderId="0" applyFont="0" applyFill="0" applyBorder="0" applyAlignment="0" applyProtection="0"/>
    <xf numFmtId="0" fontId="21" fillId="0" borderId="0"/>
  </cellStyleXfs>
  <cellXfs count="829">
    <xf numFmtId="0" fontId="0" fillId="0" borderId="0" xfId="0"/>
    <xf numFmtId="0" fontId="0" fillId="0" borderId="0" xfId="0" applyAlignment="1">
      <alignment horizontal="center"/>
    </xf>
    <xf numFmtId="0" fontId="0" fillId="0" borderId="0" xfId="0" applyAlignment="1">
      <alignment horizontal="left"/>
    </xf>
    <xf numFmtId="0" fontId="0" fillId="0" borderId="0" xfId="0" applyAlignment="1">
      <alignment horizontal="left" vertical="center"/>
    </xf>
    <xf numFmtId="0" fontId="0" fillId="0" borderId="0" xfId="0" applyAlignment="1">
      <alignment vertical="top"/>
    </xf>
    <xf numFmtId="0" fontId="3" fillId="0" borderId="0" xfId="2" applyBorder="1" applyAlignment="1">
      <alignment vertical="top"/>
    </xf>
    <xf numFmtId="0" fontId="1" fillId="10" borderId="13" xfId="19" applyBorder="1" applyAlignment="1">
      <alignment horizontal="left" vertical="center"/>
    </xf>
    <xf numFmtId="0" fontId="1" fillId="10" borderId="14" xfId="19" applyBorder="1" applyAlignment="1">
      <alignment horizontal="left" vertical="center"/>
    </xf>
    <xf numFmtId="0" fontId="13" fillId="9" borderId="0" xfId="18" applyFont="1" applyBorder="1" applyAlignment="1">
      <alignment horizontal="left"/>
    </xf>
    <xf numFmtId="0" fontId="0" fillId="0" borderId="15" xfId="0" applyBorder="1" applyAlignment="1">
      <alignment horizontal="center" vertical="center"/>
    </xf>
    <xf numFmtId="0" fontId="0" fillId="0" borderId="12" xfId="0" applyBorder="1" applyAlignment="1">
      <alignment horizontal="center" vertical="center"/>
    </xf>
    <xf numFmtId="0" fontId="0" fillId="0" borderId="11" xfId="0" applyBorder="1" applyAlignment="1">
      <alignment horizontal="center" vertical="center"/>
    </xf>
    <xf numFmtId="0" fontId="0" fillId="0" borderId="10" xfId="0" applyBorder="1" applyAlignment="1">
      <alignment horizontal="center" vertical="center"/>
    </xf>
    <xf numFmtId="0" fontId="4" fillId="0" borderId="2" xfId="3" applyAlignment="1">
      <alignment horizontal="left" vertical="top"/>
    </xf>
    <xf numFmtId="0" fontId="19" fillId="0" borderId="2" xfId="3" applyFont="1" applyAlignment="1">
      <alignment horizontal="left" vertical="top"/>
    </xf>
    <xf numFmtId="0" fontId="17" fillId="13" borderId="0" xfId="22" applyBorder="1" applyAlignment="1">
      <alignment horizontal="left"/>
    </xf>
    <xf numFmtId="0" fontId="17" fillId="13" borderId="0" xfId="22" applyBorder="1" applyAlignment="1">
      <alignment horizontal="center"/>
    </xf>
    <xf numFmtId="0" fontId="17" fillId="17" borderId="0" xfId="26" applyBorder="1" applyAlignment="1">
      <alignment horizontal="center"/>
    </xf>
    <xf numFmtId="0" fontId="17" fillId="17" borderId="0" xfId="26" applyBorder="1" applyAlignment="1">
      <alignment horizontal="left"/>
    </xf>
    <xf numFmtId="0" fontId="17" fillId="29" borderId="0" xfId="38" applyBorder="1" applyAlignment="1">
      <alignment horizontal="left"/>
    </xf>
    <xf numFmtId="0" fontId="17" fillId="29" borderId="0" xfId="38" applyBorder="1" applyAlignment="1">
      <alignment horizontal="center"/>
    </xf>
    <xf numFmtId="0" fontId="1" fillId="14" borderId="14" xfId="23" applyBorder="1" applyAlignment="1">
      <alignment horizontal="left" vertical="center"/>
    </xf>
    <xf numFmtId="0" fontId="1" fillId="14" borderId="13" xfId="23" applyBorder="1" applyAlignment="1">
      <alignment horizontal="left" vertical="center"/>
    </xf>
    <xf numFmtId="0" fontId="0" fillId="57" borderId="12" xfId="0" applyFill="1" applyBorder="1" applyAlignment="1">
      <alignment horizontal="center" vertical="center"/>
    </xf>
    <xf numFmtId="0" fontId="0" fillId="57" borderId="10" xfId="0" applyFill="1" applyBorder="1" applyAlignment="1">
      <alignment horizontal="center" vertical="center"/>
    </xf>
    <xf numFmtId="0" fontId="0" fillId="57" borderId="11" xfId="0" applyFill="1" applyBorder="1" applyAlignment="1">
      <alignment horizontal="center" vertical="center"/>
    </xf>
    <xf numFmtId="0" fontId="17" fillId="12" borderId="25" xfId="21" applyBorder="1" applyAlignment="1">
      <alignment vertical="top" wrapText="1"/>
    </xf>
    <xf numFmtId="0" fontId="91" fillId="12" borderId="25" xfId="21" applyFont="1" applyBorder="1" applyAlignment="1">
      <alignment vertical="top" wrapText="1"/>
    </xf>
    <xf numFmtId="0" fontId="0" fillId="57" borderId="15" xfId="0" applyFill="1" applyBorder="1" applyAlignment="1">
      <alignment horizontal="center" vertical="center"/>
    </xf>
    <xf numFmtId="0" fontId="17" fillId="16" borderId="25" xfId="25" applyBorder="1" applyAlignment="1">
      <alignment vertical="top" wrapText="1"/>
    </xf>
    <xf numFmtId="0" fontId="92" fillId="16" borderId="25" xfId="25" applyFont="1" applyBorder="1" applyAlignment="1">
      <alignment vertical="top" wrapText="1"/>
    </xf>
    <xf numFmtId="0" fontId="3" fillId="0" borderId="0" xfId="2" applyBorder="1" applyAlignment="1">
      <alignment horizontal="left" vertical="top"/>
    </xf>
    <xf numFmtId="0" fontId="19" fillId="0" borderId="2" xfId="3" applyFont="1" applyAlignment="1">
      <alignment vertical="top"/>
    </xf>
    <xf numFmtId="0" fontId="17" fillId="32" borderId="0" xfId="41" applyBorder="1" applyAlignment="1">
      <alignment vertical="center"/>
    </xf>
    <xf numFmtId="0" fontId="93" fillId="32" borderId="0" xfId="41" applyFont="1" applyBorder="1" applyAlignment="1">
      <alignment vertical="center"/>
    </xf>
    <xf numFmtId="0" fontId="1" fillId="30" borderId="11" xfId="39" applyBorder="1" applyAlignment="1">
      <alignment horizontal="center" vertical="center"/>
    </xf>
    <xf numFmtId="0" fontId="1" fillId="30" borderId="10" xfId="39" applyBorder="1" applyAlignment="1">
      <alignment horizontal="left" vertical="center"/>
    </xf>
    <xf numFmtId="0" fontId="1" fillId="30" borderId="10" xfId="39" applyBorder="1" applyAlignment="1">
      <alignment horizontal="center" vertical="center"/>
    </xf>
    <xf numFmtId="0" fontId="1" fillId="30" borderId="12" xfId="39" applyBorder="1" applyAlignment="1">
      <alignment horizontal="left" vertical="center"/>
    </xf>
    <xf numFmtId="0" fontId="1" fillId="30" borderId="11" xfId="39" applyBorder="1" applyAlignment="1">
      <alignment horizontal="left" vertical="center"/>
    </xf>
    <xf numFmtId="0" fontId="0" fillId="0" borderId="0" xfId="0" applyAlignment="1">
      <alignment horizontal="left" vertical="top"/>
    </xf>
    <xf numFmtId="0" fontId="17" fillId="20" borderId="0" xfId="29" applyBorder="1" applyAlignment="1">
      <alignment horizontal="left" vertical="center"/>
    </xf>
    <xf numFmtId="0" fontId="94" fillId="20" borderId="0" xfId="29" applyFont="1" applyBorder="1" applyAlignment="1">
      <alignment horizontal="left" vertical="center"/>
    </xf>
    <xf numFmtId="0" fontId="1" fillId="18" borderId="11" xfId="27" applyBorder="1" applyAlignment="1">
      <alignment horizontal="center" vertical="center"/>
    </xf>
    <xf numFmtId="0" fontId="1" fillId="18" borderId="10" xfId="27" applyBorder="1" applyAlignment="1">
      <alignment horizontal="center" vertical="center"/>
    </xf>
    <xf numFmtId="0" fontId="1" fillId="18" borderId="12" xfId="27" applyBorder="1" applyAlignment="1">
      <alignment horizontal="center" vertical="center"/>
    </xf>
    <xf numFmtId="0" fontId="17" fillId="17" borderId="0" xfId="26" applyBorder="1" applyAlignment="1"/>
    <xf numFmtId="0" fontId="1" fillId="18" borderId="10" xfId="27" applyBorder="1" applyAlignment="1">
      <alignment vertical="center"/>
    </xf>
    <xf numFmtId="0" fontId="1" fillId="18" borderId="12" xfId="27" applyBorder="1" applyAlignment="1">
      <alignment vertical="center"/>
    </xf>
    <xf numFmtId="0" fontId="1" fillId="18" borderId="11" xfId="27" applyBorder="1" applyAlignment="1">
      <alignment vertical="center"/>
    </xf>
    <xf numFmtId="0" fontId="0" fillId="30" borderId="10" xfId="39" applyFont="1" applyBorder="1" applyAlignment="1">
      <alignment horizontal="left" vertical="center"/>
    </xf>
    <xf numFmtId="0" fontId="0" fillId="30" borderId="10" xfId="39" applyFont="1" applyBorder="1" applyAlignment="1">
      <alignment horizontal="center" vertical="center"/>
    </xf>
    <xf numFmtId="0" fontId="0" fillId="10" borderId="13" xfId="19" applyFont="1" applyBorder="1" applyAlignment="1">
      <alignment horizontal="left" vertical="center"/>
    </xf>
    <xf numFmtId="0" fontId="17" fillId="9" borderId="0" xfId="18" applyBorder="1" applyAlignment="1">
      <alignment horizontal="center"/>
    </xf>
    <xf numFmtId="0" fontId="17" fillId="9" borderId="0" xfId="18" applyBorder="1" applyAlignment="1">
      <alignment horizontal="left"/>
    </xf>
    <xf numFmtId="0" fontId="0" fillId="18" borderId="10" xfId="27" applyFont="1" applyBorder="1" applyAlignment="1">
      <alignment vertical="center"/>
    </xf>
    <xf numFmtId="0" fontId="0" fillId="18" borderId="10" xfId="27" applyFont="1" applyBorder="1" applyAlignment="1">
      <alignment horizontal="center" vertical="center"/>
    </xf>
    <xf numFmtId="0" fontId="0" fillId="30" borderId="12" xfId="39" applyFont="1" applyBorder="1" applyAlignment="1">
      <alignment horizontal="left" vertical="center"/>
    </xf>
    <xf numFmtId="0" fontId="1" fillId="18" borderId="10" xfId="27" applyBorder="1" applyAlignment="1">
      <alignment horizontal="left" vertical="center"/>
    </xf>
    <xf numFmtId="0" fontId="0" fillId="18" borderId="12" xfId="27" applyFont="1" applyBorder="1" applyAlignment="1">
      <alignment vertical="center"/>
    </xf>
    <xf numFmtId="0" fontId="17" fillId="0" borderId="0" xfId="0" applyFont="1"/>
    <xf numFmtId="0" fontId="96" fillId="13" borderId="0" xfId="22" applyFont="1" applyBorder="1" applyAlignment="1">
      <alignment horizontal="left"/>
    </xf>
    <xf numFmtId="0" fontId="97" fillId="9" borderId="0" xfId="18" applyFont="1" applyBorder="1" applyAlignment="1">
      <alignment horizontal="left" vertical="top"/>
    </xf>
    <xf numFmtId="0" fontId="98" fillId="29" borderId="0" xfId="38" applyFont="1" applyBorder="1" applyAlignment="1">
      <alignment vertical="top"/>
    </xf>
    <xf numFmtId="0" fontId="99" fillId="17" borderId="0" xfId="26" applyFont="1" applyBorder="1" applyAlignment="1">
      <alignment horizontal="left" vertical="top"/>
    </xf>
    <xf numFmtId="0" fontId="0" fillId="18" borderId="11" xfId="27" applyFont="1" applyBorder="1" applyAlignment="1">
      <alignment vertical="center"/>
    </xf>
    <xf numFmtId="0" fontId="0" fillId="30" borderId="11" xfId="39" applyFont="1" applyBorder="1" applyAlignment="1">
      <alignment horizontal="left" vertical="center"/>
    </xf>
    <xf numFmtId="0" fontId="1" fillId="18" borderId="15" xfId="27" applyBorder="1" applyAlignment="1">
      <alignment horizontal="center" vertical="center"/>
    </xf>
    <xf numFmtId="0" fontId="1" fillId="18" borderId="15" xfId="27" applyBorder="1" applyAlignment="1">
      <alignment vertical="center"/>
    </xf>
    <xf numFmtId="0" fontId="1" fillId="30" borderId="15" xfId="39" applyBorder="1" applyAlignment="1">
      <alignment horizontal="left" vertical="center"/>
    </xf>
    <xf numFmtId="0" fontId="1" fillId="30" borderId="12" xfId="39" applyBorder="1" applyAlignment="1">
      <alignment horizontal="center" vertical="center"/>
    </xf>
    <xf numFmtId="0" fontId="0" fillId="30" borderId="12" xfId="39" applyFont="1" applyBorder="1" applyAlignment="1">
      <alignment horizontal="center" vertical="center"/>
    </xf>
    <xf numFmtId="0" fontId="91" fillId="12" borderId="28" xfId="21" applyFont="1" applyBorder="1" applyAlignment="1">
      <alignment vertical="top" wrapText="1"/>
    </xf>
    <xf numFmtId="0" fontId="1" fillId="10" borderId="29" xfId="19" applyBorder="1" applyAlignment="1">
      <alignment horizontal="left" vertical="center"/>
    </xf>
    <xf numFmtId="0" fontId="0" fillId="57" borderId="30" xfId="0" applyFill="1"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10" borderId="14" xfId="19" applyFont="1" applyBorder="1" applyAlignment="1">
      <alignment horizontal="left" vertical="center"/>
    </xf>
    <xf numFmtId="0" fontId="91" fillId="12" borderId="32" xfId="21" applyFont="1" applyBorder="1" applyAlignment="1">
      <alignment vertical="top" wrapText="1"/>
    </xf>
    <xf numFmtId="0" fontId="0" fillId="10" borderId="29" xfId="19" applyFont="1" applyBorder="1" applyAlignment="1">
      <alignment horizontal="left" vertical="center"/>
    </xf>
    <xf numFmtId="0" fontId="0" fillId="57" borderId="31" xfId="0" applyFill="1" applyBorder="1" applyAlignment="1">
      <alignment horizontal="center" vertical="center"/>
    </xf>
    <xf numFmtId="0" fontId="0" fillId="0" borderId="27" xfId="0" applyBorder="1" applyAlignment="1">
      <alignment horizontal="center" vertical="center"/>
    </xf>
    <xf numFmtId="0" fontId="0" fillId="0" borderId="33" xfId="0" applyBorder="1" applyAlignment="1">
      <alignment horizontal="center" vertical="center"/>
    </xf>
    <xf numFmtId="0" fontId="17" fillId="12" borderId="35" xfId="21" applyBorder="1" applyAlignment="1">
      <alignment vertical="top" wrapText="1"/>
    </xf>
    <xf numFmtId="0" fontId="1" fillId="10" borderId="36" xfId="19" applyBorder="1" applyAlignment="1">
      <alignment horizontal="left" vertical="center"/>
    </xf>
    <xf numFmtId="0" fontId="0" fillId="0" borderId="37" xfId="0" applyBorder="1" applyAlignment="1">
      <alignment horizontal="center" vertical="center"/>
    </xf>
    <xf numFmtId="0" fontId="17" fillId="12" borderId="38" xfId="21" applyBorder="1" applyAlignment="1">
      <alignment vertical="top" wrapText="1"/>
    </xf>
    <xf numFmtId="0" fontId="1" fillId="10" borderId="39" xfId="19" applyBorder="1" applyAlignment="1">
      <alignment horizontal="left" vertical="center"/>
    </xf>
    <xf numFmtId="0" fontId="0" fillId="10" borderId="39" xfId="19" applyFont="1" applyBorder="1" applyAlignment="1">
      <alignment horizontal="left" vertical="center"/>
    </xf>
    <xf numFmtId="0" fontId="0" fillId="0" borderId="41" xfId="0" applyBorder="1" applyAlignment="1">
      <alignment horizontal="center" vertical="center"/>
    </xf>
    <xf numFmtId="0" fontId="92" fillId="16" borderId="43" xfId="25" applyFont="1" applyBorder="1" applyAlignment="1">
      <alignment vertical="top" wrapText="1"/>
    </xf>
    <xf numFmtId="0" fontId="0" fillId="57" borderId="44" xfId="0" applyFill="1" applyBorder="1" applyAlignment="1">
      <alignment horizontal="center" vertical="center"/>
    </xf>
    <xf numFmtId="0" fontId="0" fillId="0" borderId="45" xfId="0" applyBorder="1" applyAlignment="1">
      <alignment horizontal="center" vertical="center"/>
    </xf>
    <xf numFmtId="0" fontId="0" fillId="0" borderId="44" xfId="0" applyBorder="1" applyAlignment="1">
      <alignment horizontal="center" vertical="center"/>
    </xf>
    <xf numFmtId="0" fontId="95" fillId="30" borderId="10" xfId="39" applyFont="1" applyBorder="1" applyAlignment="1">
      <alignment horizontal="left" vertical="center"/>
    </xf>
    <xf numFmtId="0" fontId="93" fillId="32" borderId="46" xfId="41" applyFont="1" applyBorder="1" applyAlignment="1">
      <alignment vertical="center"/>
    </xf>
    <xf numFmtId="0" fontId="1" fillId="30" borderId="47" xfId="39" applyBorder="1" applyAlignment="1">
      <alignment horizontal="center" vertical="center"/>
    </xf>
    <xf numFmtId="0" fontId="0" fillId="57" borderId="47" xfId="0" applyFill="1" applyBorder="1" applyAlignment="1">
      <alignment horizontal="center" vertical="center"/>
    </xf>
    <xf numFmtId="0" fontId="0" fillId="0" borderId="48" xfId="0" applyBorder="1" applyAlignment="1">
      <alignment horizontal="center" vertical="center"/>
    </xf>
    <xf numFmtId="0" fontId="0" fillId="0" borderId="47" xfId="0" applyBorder="1" applyAlignment="1">
      <alignment horizontal="center" vertical="center"/>
    </xf>
    <xf numFmtId="0" fontId="17" fillId="32" borderId="50" xfId="41" applyBorder="1" applyAlignment="1">
      <alignment vertical="center"/>
    </xf>
    <xf numFmtId="0" fontId="1" fillId="30" borderId="51" xfId="39" applyBorder="1" applyAlignment="1">
      <alignment horizontal="center" vertical="center"/>
    </xf>
    <xf numFmtId="0" fontId="1" fillId="30" borderId="51" xfId="39" applyBorder="1" applyAlignment="1">
      <alignment horizontal="left" vertical="center"/>
    </xf>
    <xf numFmtId="0" fontId="0" fillId="0" borderId="49" xfId="0" applyBorder="1" applyAlignment="1">
      <alignment horizontal="center" vertical="center"/>
    </xf>
    <xf numFmtId="0" fontId="0" fillId="0" borderId="51" xfId="0" applyBorder="1" applyAlignment="1">
      <alignment horizontal="center" vertical="center"/>
    </xf>
    <xf numFmtId="0" fontId="17" fillId="32" borderId="52" xfId="41" applyBorder="1" applyAlignment="1">
      <alignment vertical="center"/>
    </xf>
    <xf numFmtId="0" fontId="1" fillId="30" borderId="53" xfId="39" applyBorder="1" applyAlignment="1">
      <alignment horizontal="center" vertical="center"/>
    </xf>
    <xf numFmtId="0" fontId="0" fillId="0" borderId="53" xfId="0" applyBorder="1" applyAlignment="1">
      <alignment horizontal="center" vertical="center"/>
    </xf>
    <xf numFmtId="0" fontId="0" fillId="57" borderId="48" xfId="0" applyFill="1" applyBorder="1" applyAlignment="1">
      <alignment horizontal="center" vertical="center"/>
    </xf>
    <xf numFmtId="0" fontId="1" fillId="30" borderId="53" xfId="39" applyBorder="1" applyAlignment="1">
      <alignment horizontal="left" vertical="center"/>
    </xf>
    <xf numFmtId="0" fontId="94" fillId="20" borderId="54" xfId="29" applyFont="1" applyBorder="1" applyAlignment="1">
      <alignment horizontal="left" vertical="center"/>
    </xf>
    <xf numFmtId="0" fontId="1" fillId="18" borderId="55" xfId="27" applyBorder="1" applyAlignment="1">
      <alignment horizontal="center" vertical="center"/>
    </xf>
    <xf numFmtId="0" fontId="1" fillId="18" borderId="56" xfId="27" applyBorder="1" applyAlignment="1">
      <alignment vertical="center"/>
    </xf>
    <xf numFmtId="0" fontId="0" fillId="57" borderId="56" xfId="0" applyFill="1" applyBorder="1" applyAlignment="1">
      <alignment horizontal="center" vertical="center"/>
    </xf>
    <xf numFmtId="0" fontId="0" fillId="57" borderId="55" xfId="0" applyFill="1" applyBorder="1" applyAlignment="1">
      <alignment horizontal="center" vertical="center"/>
    </xf>
    <xf numFmtId="0" fontId="1" fillId="18" borderId="56" xfId="27" applyBorder="1" applyAlignment="1">
      <alignment horizontal="center" vertical="center"/>
    </xf>
    <xf numFmtId="0" fontId="0" fillId="0" borderId="56" xfId="0" applyBorder="1" applyAlignment="1">
      <alignment horizontal="center" vertical="center"/>
    </xf>
    <xf numFmtId="0" fontId="0" fillId="18" borderId="56" xfId="27" applyFont="1" applyBorder="1" applyAlignment="1">
      <alignment vertical="center"/>
    </xf>
    <xf numFmtId="0" fontId="1" fillId="18" borderId="56" xfId="27" applyBorder="1" applyAlignment="1">
      <alignment horizontal="left" vertical="center"/>
    </xf>
    <xf numFmtId="0" fontId="0" fillId="0" borderId="57" xfId="0" applyBorder="1" applyAlignment="1">
      <alignment horizontal="center" vertical="center"/>
    </xf>
    <xf numFmtId="0" fontId="1" fillId="18" borderId="57" xfId="27" applyBorder="1" applyAlignment="1">
      <alignment vertical="center"/>
    </xf>
    <xf numFmtId="0" fontId="0" fillId="57" borderId="57" xfId="0" applyFill="1" applyBorder="1" applyAlignment="1">
      <alignment horizontal="center" vertical="center"/>
    </xf>
    <xf numFmtId="0" fontId="17" fillId="20" borderId="59" xfId="29" applyBorder="1" applyAlignment="1">
      <alignment horizontal="left" vertical="center"/>
    </xf>
    <xf numFmtId="0" fontId="1" fillId="18" borderId="58" xfId="27" applyBorder="1" applyAlignment="1">
      <alignment horizontal="center" vertical="center"/>
    </xf>
    <xf numFmtId="0" fontId="1" fillId="18" borderId="60" xfId="27" applyBorder="1" applyAlignment="1">
      <alignment vertical="center"/>
    </xf>
    <xf numFmtId="0" fontId="1" fillId="18" borderId="60" xfId="27" applyBorder="1" applyAlignment="1">
      <alignment horizontal="center" vertical="center"/>
    </xf>
    <xf numFmtId="0" fontId="0" fillId="0" borderId="60" xfId="0" applyBorder="1" applyAlignment="1">
      <alignment horizontal="center" vertical="center"/>
    </xf>
    <xf numFmtId="0" fontId="0" fillId="10" borderId="10" xfId="19" applyFont="1" applyBorder="1" applyAlignment="1">
      <alignment horizontal="center" vertical="center"/>
    </xf>
    <xf numFmtId="0" fontId="92" fillId="16" borderId="61" xfId="25" applyFont="1" applyBorder="1" applyAlignment="1">
      <alignment vertical="top" wrapText="1"/>
    </xf>
    <xf numFmtId="0" fontId="1" fillId="14" borderId="62" xfId="23" applyBorder="1" applyAlignment="1">
      <alignment horizontal="left" vertical="center"/>
    </xf>
    <xf numFmtId="0" fontId="0" fillId="0" borderId="63" xfId="0" applyBorder="1" applyAlignment="1">
      <alignment horizontal="center" vertical="center"/>
    </xf>
    <xf numFmtId="0" fontId="0" fillId="0" borderId="64" xfId="0" applyBorder="1" applyAlignment="1">
      <alignment horizontal="center" vertical="center"/>
    </xf>
    <xf numFmtId="10" fontId="0" fillId="0" borderId="63" xfId="0" applyNumberFormat="1" applyBorder="1" applyAlignment="1">
      <alignment horizontal="center" vertical="center"/>
    </xf>
    <xf numFmtId="10" fontId="0" fillId="0" borderId="12" xfId="0" applyNumberFormat="1" applyBorder="1" applyAlignment="1">
      <alignment horizontal="center" vertical="center"/>
    </xf>
    <xf numFmtId="0" fontId="0" fillId="58" borderId="10" xfId="0" applyFill="1" applyBorder="1" applyAlignment="1">
      <alignment horizontal="center" vertical="center"/>
    </xf>
    <xf numFmtId="0" fontId="0" fillId="14" borderId="14" xfId="23" applyFont="1" applyBorder="1" applyAlignment="1">
      <alignment horizontal="left" vertical="center"/>
    </xf>
    <xf numFmtId="10" fontId="0" fillId="0" borderId="10" xfId="0" applyNumberFormat="1" applyBorder="1" applyAlignment="1">
      <alignment horizontal="center" vertical="center"/>
    </xf>
    <xf numFmtId="2" fontId="0" fillId="0" borderId="0" xfId="0" applyNumberFormat="1"/>
    <xf numFmtId="0" fontId="95" fillId="0" borderId="26" xfId="0" applyFont="1" applyBorder="1" applyAlignment="1">
      <alignment horizontal="left" vertical="center" wrapText="1"/>
    </xf>
    <xf numFmtId="10" fontId="0" fillId="57" borderId="10" xfId="0" applyNumberFormat="1" applyFill="1" applyBorder="1" applyAlignment="1">
      <alignment horizontal="center" vertical="center"/>
    </xf>
    <xf numFmtId="10" fontId="0" fillId="0" borderId="11" xfId="0" applyNumberFormat="1" applyBorder="1" applyAlignment="1">
      <alignment horizontal="center" vertical="center"/>
    </xf>
    <xf numFmtId="10" fontId="0" fillId="57" borderId="11" xfId="0" applyNumberFormat="1" applyFill="1" applyBorder="1" applyAlignment="1">
      <alignment horizontal="center" vertical="center"/>
    </xf>
    <xf numFmtId="0" fontId="104" fillId="57" borderId="12" xfId="0" applyFont="1" applyFill="1" applyBorder="1" applyAlignment="1">
      <alignment horizontal="center" vertical="center"/>
    </xf>
    <xf numFmtId="10" fontId="1" fillId="30" borderId="10" xfId="39" applyNumberFormat="1" applyBorder="1" applyAlignment="1">
      <alignment horizontal="center" vertical="center"/>
    </xf>
    <xf numFmtId="14" fontId="0" fillId="0" borderId="10" xfId="0" applyNumberFormat="1" applyBorder="1" applyAlignment="1">
      <alignment horizontal="center" vertical="center"/>
    </xf>
    <xf numFmtId="10" fontId="1" fillId="18" borderId="10" xfId="27" applyNumberFormat="1" applyBorder="1" applyAlignment="1">
      <alignment horizontal="center" vertical="center"/>
    </xf>
    <xf numFmtId="10" fontId="1" fillId="18" borderId="12" xfId="27" applyNumberFormat="1" applyBorder="1" applyAlignment="1">
      <alignment horizontal="center" vertical="center"/>
    </xf>
    <xf numFmtId="10" fontId="1" fillId="18" borderId="11" xfId="27" applyNumberFormat="1" applyBorder="1" applyAlignment="1">
      <alignment horizontal="center" vertical="center"/>
    </xf>
    <xf numFmtId="2" fontId="0" fillId="0" borderId="15" xfId="0" applyNumberFormat="1" applyBorder="1" applyAlignment="1">
      <alignment horizontal="center" vertical="center"/>
    </xf>
    <xf numFmtId="0" fontId="0" fillId="0" borderId="15" xfId="0" applyBorder="1" applyAlignment="1">
      <alignment horizontal="left" vertical="center"/>
    </xf>
    <xf numFmtId="10" fontId="0" fillId="0" borderId="15" xfId="0" applyNumberFormat="1" applyBorder="1" applyAlignment="1">
      <alignment horizontal="center" vertical="center"/>
    </xf>
    <xf numFmtId="198" fontId="0" fillId="0" borderId="15" xfId="0" applyNumberFormat="1" applyBorder="1" applyAlignment="1">
      <alignment horizontal="center" vertical="center"/>
    </xf>
    <xf numFmtId="0" fontId="0" fillId="0" borderId="10" xfId="0" applyBorder="1" applyAlignment="1">
      <alignment vertical="center"/>
    </xf>
    <xf numFmtId="0" fontId="0" fillId="0" borderId="10" xfId="0" applyBorder="1" applyAlignment="1">
      <alignment horizontal="left" vertical="center"/>
    </xf>
    <xf numFmtId="198" fontId="0" fillId="0" borderId="10" xfId="0" applyNumberFormat="1" applyBorder="1" applyAlignment="1">
      <alignment horizontal="center" vertical="center"/>
    </xf>
    <xf numFmtId="1" fontId="0" fillId="57" borderId="10" xfId="0" applyNumberFormat="1" applyFill="1" applyBorder="1" applyAlignment="1">
      <alignment horizontal="center" vertical="center"/>
    </xf>
    <xf numFmtId="1" fontId="0" fillId="57" borderId="12" xfId="0" applyNumberFormat="1" applyFill="1" applyBorder="1" applyAlignment="1">
      <alignment horizontal="center" vertical="center"/>
    </xf>
    <xf numFmtId="198" fontId="0" fillId="0" borderId="12" xfId="0" applyNumberFormat="1" applyBorder="1" applyAlignment="1">
      <alignment horizontal="center" vertical="center"/>
    </xf>
    <xf numFmtId="0" fontId="0" fillId="58" borderId="67" xfId="0" applyFill="1" applyBorder="1" applyAlignment="1">
      <alignment horizontal="center" vertical="center"/>
    </xf>
    <xf numFmtId="0" fontId="0" fillId="0" borderId="67" xfId="0" applyBorder="1" applyAlignment="1">
      <alignment horizontal="center" vertical="center"/>
    </xf>
    <xf numFmtId="0" fontId="0" fillId="0" borderId="68" xfId="0" applyBorder="1" applyAlignment="1">
      <alignment horizontal="center" vertical="center"/>
    </xf>
    <xf numFmtId="0" fontId="0" fillId="58" borderId="0" xfId="0" applyFill="1" applyAlignment="1">
      <alignment horizontal="center" vertical="center"/>
    </xf>
    <xf numFmtId="0" fontId="0" fillId="0" borderId="69" xfId="0" applyBorder="1" applyAlignment="1">
      <alignment horizontal="center" vertical="center"/>
    </xf>
    <xf numFmtId="0" fontId="95" fillId="0" borderId="0" xfId="0" applyFont="1"/>
    <xf numFmtId="0" fontId="0" fillId="58" borderId="31" xfId="0" applyFill="1" applyBorder="1" applyAlignment="1">
      <alignment horizontal="center" vertical="center"/>
    </xf>
    <xf numFmtId="0" fontId="0" fillId="58" borderId="30" xfId="0" applyFill="1" applyBorder="1" applyAlignment="1">
      <alignment horizontal="center" vertical="center"/>
    </xf>
    <xf numFmtId="0" fontId="0" fillId="58" borderId="0" xfId="0" applyFill="1" applyAlignment="1">
      <alignment horizontal="left" vertical="center"/>
    </xf>
    <xf numFmtId="0" fontId="0" fillId="57" borderId="0" xfId="0" applyFill="1"/>
    <xf numFmtId="0" fontId="106" fillId="0" borderId="0" xfId="0" applyFont="1" applyAlignment="1">
      <alignment horizontal="justify" vertical="center"/>
    </xf>
    <xf numFmtId="0" fontId="106" fillId="0" borderId="0" xfId="0" applyFont="1" applyAlignment="1">
      <alignment horizontal="left" vertical="center" wrapText="1"/>
    </xf>
    <xf numFmtId="0" fontId="0" fillId="0" borderId="0" xfId="0" applyAlignment="1">
      <alignment horizontal="left" wrapText="1"/>
    </xf>
    <xf numFmtId="0" fontId="0" fillId="0" borderId="0" xfId="0" applyAlignment="1">
      <alignment horizontal="center" vertical="center"/>
    </xf>
    <xf numFmtId="0" fontId="108" fillId="0" borderId="0" xfId="0" applyFont="1" applyAlignment="1">
      <alignment horizontal="left" vertical="center" wrapText="1"/>
    </xf>
    <xf numFmtId="0" fontId="107" fillId="0" borderId="10" xfId="0" applyFont="1" applyBorder="1" applyAlignment="1">
      <alignment horizontal="center" vertical="center" wrapText="1"/>
    </xf>
    <xf numFmtId="0" fontId="17" fillId="9" borderId="0" xfId="18" applyBorder="1" applyAlignment="1">
      <alignment horizontal="center" wrapText="1"/>
    </xf>
    <xf numFmtId="0" fontId="1" fillId="14" borderId="13" xfId="23" applyBorder="1" applyAlignment="1">
      <alignment horizontal="left" vertical="center" wrapText="1"/>
    </xf>
    <xf numFmtId="0" fontId="95" fillId="12" borderId="0" xfId="21" applyFont="1" applyBorder="1" applyAlignment="1">
      <alignment vertical="center" wrapText="1"/>
    </xf>
    <xf numFmtId="0" fontId="0" fillId="0" borderId="10" xfId="0" applyBorder="1" applyAlignment="1">
      <alignment horizontal="left" vertical="center" wrapText="1"/>
    </xf>
    <xf numFmtId="199" fontId="0" fillId="57" borderId="12" xfId="0" applyNumberFormat="1" applyFill="1" applyBorder="1" applyAlignment="1">
      <alignment horizontal="center" vertical="center"/>
    </xf>
    <xf numFmtId="0" fontId="0" fillId="58" borderId="0" xfId="0" applyFill="1"/>
    <xf numFmtId="0" fontId="110" fillId="0" borderId="0" xfId="0" applyFont="1"/>
    <xf numFmtId="201" fontId="1" fillId="18" borderId="12" xfId="27" applyNumberFormat="1" applyBorder="1" applyAlignment="1">
      <alignment horizontal="center" vertical="center"/>
    </xf>
    <xf numFmtId="201" fontId="0" fillId="0" borderId="12" xfId="0" applyNumberFormat="1" applyBorder="1" applyAlignment="1">
      <alignment horizontal="center" vertical="center"/>
    </xf>
    <xf numFmtId="201" fontId="0" fillId="57" borderId="11" xfId="0" applyNumberFormat="1" applyFill="1" applyBorder="1" applyAlignment="1">
      <alignment horizontal="center" vertical="center"/>
    </xf>
    <xf numFmtId="201" fontId="1" fillId="18" borderId="10" xfId="27" applyNumberFormat="1" applyBorder="1" applyAlignment="1">
      <alignment horizontal="center" vertical="center"/>
    </xf>
    <xf numFmtId="201" fontId="1" fillId="18" borderId="56" xfId="27" applyNumberFormat="1" applyBorder="1" applyAlignment="1">
      <alignment horizontal="center" vertical="center"/>
    </xf>
    <xf numFmtId="201" fontId="0" fillId="0" borderId="56" xfId="0" applyNumberFormat="1" applyBorder="1" applyAlignment="1">
      <alignment horizontal="center" vertical="center"/>
    </xf>
    <xf numFmtId="201" fontId="0" fillId="18" borderId="10" xfId="27" applyNumberFormat="1" applyFont="1" applyBorder="1" applyAlignment="1">
      <alignment horizontal="center" vertical="center"/>
    </xf>
    <xf numFmtId="201" fontId="0" fillId="0" borderId="15" xfId="0" applyNumberFormat="1" applyBorder="1" applyAlignment="1">
      <alignment horizontal="center" vertical="center"/>
    </xf>
    <xf numFmtId="201" fontId="0" fillId="0" borderId="11" xfId="0" applyNumberFormat="1" applyBorder="1" applyAlignment="1">
      <alignment horizontal="center" vertical="center"/>
    </xf>
    <xf numFmtId="201" fontId="0" fillId="0" borderId="10" xfId="0" applyNumberFormat="1" applyBorder="1" applyAlignment="1">
      <alignment horizontal="center" vertical="center"/>
    </xf>
    <xf numFmtId="1" fontId="1" fillId="30" borderId="10" xfId="39" applyNumberFormat="1" applyBorder="1" applyAlignment="1">
      <alignment horizontal="center" vertical="center"/>
    </xf>
    <xf numFmtId="198" fontId="1" fillId="30" borderId="12" xfId="39" applyNumberFormat="1" applyBorder="1" applyAlignment="1">
      <alignment horizontal="center" vertical="center"/>
    </xf>
    <xf numFmtId="0" fontId="109" fillId="0" borderId="0" xfId="0" applyFont="1" applyAlignment="1">
      <alignment horizontal="left" wrapText="1"/>
    </xf>
    <xf numFmtId="1" fontId="1" fillId="10" borderId="14" xfId="19" applyNumberFormat="1" applyBorder="1" applyAlignment="1">
      <alignment horizontal="center" vertical="center"/>
    </xf>
    <xf numFmtId="10" fontId="1" fillId="10" borderId="13" xfId="19" applyNumberFormat="1" applyBorder="1" applyAlignment="1">
      <alignment horizontal="center" vertical="center"/>
    </xf>
    <xf numFmtId="0" fontId="1" fillId="10" borderId="13" xfId="19" applyBorder="1" applyAlignment="1">
      <alignment horizontal="center" vertical="center"/>
    </xf>
    <xf numFmtId="0" fontId="0" fillId="10" borderId="13" xfId="19" applyFont="1" applyBorder="1" applyAlignment="1">
      <alignment horizontal="center" vertical="center"/>
    </xf>
    <xf numFmtId="0" fontId="1" fillId="10" borderId="14" xfId="19" applyBorder="1" applyAlignment="1">
      <alignment horizontal="center" vertical="center"/>
    </xf>
    <xf numFmtId="0" fontId="0" fillId="10" borderId="14" xfId="19" applyFont="1" applyBorder="1" applyAlignment="1">
      <alignment horizontal="center" vertical="center"/>
    </xf>
    <xf numFmtId="0" fontId="1" fillId="10" borderId="29" xfId="19" applyBorder="1" applyAlignment="1">
      <alignment horizontal="center" vertical="center"/>
    </xf>
    <xf numFmtId="0" fontId="1" fillId="10" borderId="36" xfId="19" applyBorder="1" applyAlignment="1">
      <alignment horizontal="center" vertical="center"/>
    </xf>
    <xf numFmtId="0" fontId="1" fillId="10" borderId="39" xfId="19" applyBorder="1" applyAlignment="1">
      <alignment horizontal="center" vertical="center"/>
    </xf>
    <xf numFmtId="2" fontId="0" fillId="0" borderId="11" xfId="0" applyNumberFormat="1" applyBorder="1" applyAlignment="1">
      <alignment horizontal="center" vertical="center"/>
    </xf>
    <xf numFmtId="2" fontId="1" fillId="10" borderId="14" xfId="19" applyNumberFormat="1" applyBorder="1" applyAlignment="1">
      <alignment horizontal="center" vertical="center"/>
    </xf>
    <xf numFmtId="200" fontId="0" fillId="57" borderId="30" xfId="0" applyNumberFormat="1" applyFill="1" applyBorder="1" applyAlignment="1">
      <alignment horizontal="center" vertical="center"/>
    </xf>
    <xf numFmtId="199" fontId="0" fillId="14" borderId="14" xfId="23" applyNumberFormat="1" applyFont="1" applyBorder="1" applyAlignment="1">
      <alignment horizontal="center" vertical="center"/>
    </xf>
    <xf numFmtId="0" fontId="95" fillId="0" borderId="10" xfId="0" applyFont="1" applyBorder="1" applyAlignment="1">
      <alignment horizontal="left" vertical="center" wrapText="1"/>
    </xf>
    <xf numFmtId="0" fontId="16" fillId="14" borderId="13" xfId="23" applyFont="1" applyBorder="1" applyAlignment="1">
      <alignment horizontal="left" vertical="center"/>
    </xf>
    <xf numFmtId="0" fontId="16" fillId="30" borderId="12" xfId="39" applyFont="1" applyBorder="1" applyAlignment="1">
      <alignment horizontal="center" vertical="center"/>
    </xf>
    <xf numFmtId="0" fontId="16" fillId="30" borderId="12" xfId="39" applyFont="1" applyBorder="1" applyAlignment="1">
      <alignment horizontal="left" vertical="center"/>
    </xf>
    <xf numFmtId="0" fontId="16" fillId="30" borderId="10" xfId="39" applyFont="1" applyBorder="1" applyAlignment="1">
      <alignment horizontal="center" vertical="center"/>
    </xf>
    <xf numFmtId="0" fontId="16" fillId="30" borderId="10" xfId="39" applyFont="1" applyBorder="1" applyAlignment="1">
      <alignment horizontal="left" vertical="center"/>
    </xf>
    <xf numFmtId="1" fontId="0" fillId="0" borderId="10" xfId="0" applyNumberFormat="1" applyBorder="1" applyAlignment="1">
      <alignment horizontal="center" vertical="center"/>
    </xf>
    <xf numFmtId="0" fontId="0" fillId="10" borderId="13" xfId="19" applyFont="1" applyBorder="1" applyAlignment="1">
      <alignment horizontal="left" vertical="center" wrapText="1"/>
    </xf>
    <xf numFmtId="0" fontId="0" fillId="30" borderId="10" xfId="39" applyFont="1" applyBorder="1" applyAlignment="1">
      <alignment horizontal="left" vertical="center" wrapText="1"/>
    </xf>
    <xf numFmtId="0" fontId="114" fillId="20" borderId="54" xfId="29" applyFont="1" applyBorder="1" applyAlignment="1">
      <alignment horizontal="left" vertical="center"/>
    </xf>
    <xf numFmtId="0" fontId="16" fillId="18" borderId="56" xfId="27" applyFont="1" applyBorder="1" applyAlignment="1">
      <alignment horizontal="center" vertical="center"/>
    </xf>
    <xf numFmtId="0" fontId="1" fillId="30" borderId="67" xfId="39" applyBorder="1" applyAlignment="1">
      <alignment horizontal="center" vertical="center"/>
    </xf>
    <xf numFmtId="0" fontId="16" fillId="18" borderId="10" xfId="27" applyFont="1" applyBorder="1" applyAlignment="1">
      <alignment horizontal="center" vertical="center"/>
    </xf>
    <xf numFmtId="0" fontId="16" fillId="10" borderId="13" xfId="19" applyFont="1" applyBorder="1" applyAlignment="1">
      <alignment horizontal="center" vertical="center"/>
    </xf>
    <xf numFmtId="0" fontId="1" fillId="10" borderId="66" xfId="19" applyBorder="1" applyAlignment="1">
      <alignment horizontal="center" vertical="center"/>
    </xf>
    <xf numFmtId="0" fontId="1" fillId="30" borderId="47" xfId="39" applyBorder="1" applyAlignment="1">
      <alignment horizontal="left" vertical="center"/>
    </xf>
    <xf numFmtId="200" fontId="0" fillId="57" borderId="11" xfId="0" applyNumberFormat="1" applyFill="1" applyBorder="1" applyAlignment="1">
      <alignment horizontal="center" vertical="center"/>
    </xf>
    <xf numFmtId="201" fontId="1" fillId="10" borderId="14" xfId="19" applyNumberFormat="1" applyBorder="1" applyAlignment="1">
      <alignment horizontal="center" vertical="center"/>
    </xf>
    <xf numFmtId="201" fontId="1" fillId="10" borderId="13" xfId="19" applyNumberFormat="1" applyBorder="1" applyAlignment="1">
      <alignment horizontal="center" vertical="center"/>
    </xf>
    <xf numFmtId="201" fontId="1" fillId="10" borderId="29" xfId="19" applyNumberFormat="1" applyBorder="1" applyAlignment="1">
      <alignment horizontal="center" vertical="center"/>
    </xf>
    <xf numFmtId="201" fontId="0" fillId="0" borderId="31" xfId="0" applyNumberFormat="1" applyBorder="1" applyAlignment="1">
      <alignment horizontal="center" vertical="center"/>
    </xf>
    <xf numFmtId="201" fontId="1" fillId="10" borderId="39" xfId="19" applyNumberFormat="1" applyBorder="1" applyAlignment="1">
      <alignment horizontal="center" vertical="center"/>
    </xf>
    <xf numFmtId="201" fontId="0" fillId="0" borderId="40" xfId="0" applyNumberFormat="1" applyBorder="1" applyAlignment="1">
      <alignment horizontal="center" vertical="center"/>
    </xf>
    <xf numFmtId="201" fontId="0" fillId="57" borderId="15" xfId="0" applyNumberFormat="1" applyFill="1" applyBorder="1" applyAlignment="1">
      <alignment horizontal="center" vertical="center"/>
    </xf>
    <xf numFmtId="201" fontId="1" fillId="10" borderId="36" xfId="19" applyNumberFormat="1" applyBorder="1" applyAlignment="1">
      <alignment horizontal="center" vertical="center"/>
    </xf>
    <xf numFmtId="201" fontId="0" fillId="0" borderId="34" xfId="0" applyNumberFormat="1" applyBorder="1" applyAlignment="1">
      <alignment horizontal="center" vertical="center"/>
    </xf>
    <xf numFmtId="201" fontId="1" fillId="30" borderId="53" xfId="39" applyNumberFormat="1" applyBorder="1" applyAlignment="1">
      <alignment horizontal="center" vertical="center"/>
    </xf>
    <xf numFmtId="201" fontId="0" fillId="0" borderId="53" xfId="0" applyNumberFormat="1" applyBorder="1" applyAlignment="1">
      <alignment horizontal="center" vertical="center"/>
    </xf>
    <xf numFmtId="201" fontId="1" fillId="30" borderId="10" xfId="39" applyNumberFormat="1" applyBorder="1" applyAlignment="1">
      <alignment horizontal="center" vertical="center"/>
    </xf>
    <xf numFmtId="201" fontId="0" fillId="57" borderId="10" xfId="0" applyNumberFormat="1" applyFill="1" applyBorder="1" applyAlignment="1">
      <alignment horizontal="center" vertical="center"/>
    </xf>
    <xf numFmtId="201" fontId="1" fillId="30" borderId="47" xfId="39" applyNumberFormat="1" applyBorder="1" applyAlignment="1">
      <alignment horizontal="center" vertical="center"/>
    </xf>
    <xf numFmtId="201" fontId="0" fillId="0" borderId="47" xfId="0" applyNumberFormat="1" applyBorder="1" applyAlignment="1">
      <alignment horizontal="center" vertical="center"/>
    </xf>
    <xf numFmtId="201" fontId="1" fillId="30" borderId="51" xfId="39" applyNumberFormat="1" applyBorder="1" applyAlignment="1">
      <alignment horizontal="center" vertical="center"/>
    </xf>
    <xf numFmtId="201" fontId="0" fillId="0" borderId="51" xfId="0" applyNumberFormat="1" applyBorder="1" applyAlignment="1">
      <alignment horizontal="center" vertical="center"/>
    </xf>
    <xf numFmtId="10" fontId="0" fillId="18" borderId="10" xfId="27" applyNumberFormat="1" applyFont="1" applyBorder="1" applyAlignment="1">
      <alignment horizontal="center" vertical="center"/>
    </xf>
    <xf numFmtId="201" fontId="1" fillId="18" borderId="60" xfId="27" applyNumberFormat="1" applyBorder="1" applyAlignment="1">
      <alignment horizontal="center" vertical="center"/>
    </xf>
    <xf numFmtId="201" fontId="0" fillId="0" borderId="60" xfId="0" applyNumberFormat="1" applyBorder="1" applyAlignment="1">
      <alignment horizontal="center" vertical="center"/>
    </xf>
    <xf numFmtId="0" fontId="115" fillId="0" borderId="0" xfId="0" applyFont="1" applyAlignment="1">
      <alignment wrapText="1"/>
    </xf>
    <xf numFmtId="0" fontId="1" fillId="10" borderId="66" xfId="19" applyBorder="1" applyAlignment="1">
      <alignment horizontal="left" vertical="center"/>
    </xf>
    <xf numFmtId="0" fontId="17" fillId="32" borderId="46" xfId="41" applyBorder="1" applyAlignment="1">
      <alignment vertical="center"/>
    </xf>
    <xf numFmtId="0" fontId="93" fillId="32" borderId="70" xfId="41" applyFont="1" applyBorder="1" applyAlignment="1">
      <alignment vertical="center"/>
    </xf>
    <xf numFmtId="0" fontId="17" fillId="32" borderId="70" xfId="41" applyBorder="1" applyAlignment="1">
      <alignment vertical="center"/>
    </xf>
    <xf numFmtId="198" fontId="1" fillId="30" borderId="10" xfId="39" applyNumberFormat="1" applyBorder="1" applyAlignment="1">
      <alignment horizontal="center" vertical="center"/>
    </xf>
    <xf numFmtId="0" fontId="0" fillId="30" borderId="71" xfId="39" applyFont="1" applyBorder="1" applyAlignment="1">
      <alignment horizontal="center" vertical="center"/>
    </xf>
    <xf numFmtId="0" fontId="0" fillId="30" borderId="11" xfId="39" applyFont="1" applyBorder="1" applyAlignment="1">
      <alignment horizontal="center" vertical="center"/>
    </xf>
    <xf numFmtId="0" fontId="16" fillId="30" borderId="48" xfId="39" applyFont="1" applyBorder="1" applyAlignment="1">
      <alignment horizontal="center" vertical="center"/>
    </xf>
    <xf numFmtId="0" fontId="1" fillId="30" borderId="48" xfId="39" applyBorder="1" applyAlignment="1">
      <alignment horizontal="center" vertical="center"/>
    </xf>
    <xf numFmtId="0" fontId="1" fillId="30" borderId="48" xfId="39" applyBorder="1" applyAlignment="1">
      <alignment horizontal="left" vertical="center"/>
    </xf>
    <xf numFmtId="0" fontId="0" fillId="0" borderId="70" xfId="0" applyBorder="1" applyAlignment="1">
      <alignment horizontal="center" vertical="center"/>
    </xf>
    <xf numFmtId="0" fontId="16" fillId="30" borderId="15" xfId="39" applyFont="1" applyBorder="1" applyAlignment="1">
      <alignment horizontal="left" vertical="center"/>
    </xf>
    <xf numFmtId="0" fontId="16" fillId="30" borderId="48" xfId="39" applyFont="1" applyBorder="1" applyAlignment="1">
      <alignment horizontal="left" vertical="center"/>
    </xf>
    <xf numFmtId="0" fontId="17" fillId="32" borderId="72" xfId="41" applyBorder="1" applyAlignment="1">
      <alignment vertical="center"/>
    </xf>
    <xf numFmtId="2" fontId="0" fillId="0" borderId="47" xfId="0" applyNumberFormat="1" applyBorder="1" applyAlignment="1">
      <alignment horizontal="center" vertical="center"/>
    </xf>
    <xf numFmtId="0" fontId="16" fillId="14" borderId="66" xfId="23" applyFont="1" applyBorder="1" applyAlignment="1">
      <alignment horizontal="left" vertical="center"/>
    </xf>
    <xf numFmtId="0" fontId="16" fillId="14" borderId="42" xfId="23" applyFont="1" applyBorder="1" applyAlignment="1">
      <alignment horizontal="left" vertical="center"/>
    </xf>
    <xf numFmtId="199" fontId="0" fillId="14" borderId="73" xfId="23" applyNumberFormat="1" applyFont="1" applyBorder="1" applyAlignment="1">
      <alignment horizontal="center" vertical="center"/>
    </xf>
    <xf numFmtId="0" fontId="0" fillId="57" borderId="45" xfId="0" applyFill="1" applyBorder="1" applyAlignment="1">
      <alignment horizontal="center" vertical="center"/>
    </xf>
    <xf numFmtId="9" fontId="0" fillId="14" borderId="14" xfId="23" applyNumberFormat="1" applyFont="1" applyBorder="1" applyAlignment="1">
      <alignment horizontal="center" vertical="center"/>
    </xf>
    <xf numFmtId="1" fontId="0" fillId="14" borderId="14" xfId="23" applyNumberFormat="1" applyFont="1" applyBorder="1" applyAlignment="1">
      <alignment horizontal="center" vertical="center"/>
    </xf>
    <xf numFmtId="1" fontId="0" fillId="14" borderId="73" xfId="23" applyNumberFormat="1" applyFont="1" applyBorder="1" applyAlignment="1">
      <alignment horizontal="center" vertical="center"/>
    </xf>
    <xf numFmtId="0" fontId="16" fillId="10" borderId="13" xfId="19" applyFont="1" applyBorder="1" applyAlignment="1">
      <alignment horizontal="left" vertical="center"/>
    </xf>
    <xf numFmtId="0" fontId="16" fillId="18" borderId="15" xfId="27" applyFont="1" applyBorder="1" applyAlignment="1">
      <alignment horizontal="center" vertical="center"/>
    </xf>
    <xf numFmtId="0" fontId="16" fillId="18" borderId="12" xfId="27" applyFont="1" applyBorder="1" applyAlignment="1">
      <alignment vertical="center"/>
    </xf>
    <xf numFmtId="0" fontId="16" fillId="18" borderId="12" xfId="27" applyFont="1" applyBorder="1" applyAlignment="1">
      <alignment horizontal="center" vertical="center"/>
    </xf>
    <xf numFmtId="0" fontId="16" fillId="18" borderId="11" xfId="27" applyFont="1" applyBorder="1" applyAlignment="1">
      <alignment horizontal="center" vertical="center"/>
    </xf>
    <xf numFmtId="0" fontId="16" fillId="18" borderId="15" xfId="27" applyFont="1" applyBorder="1" applyAlignment="1">
      <alignment vertical="center"/>
    </xf>
    <xf numFmtId="0" fontId="16" fillId="18" borderId="11" xfId="27" applyFont="1" applyBorder="1" applyAlignment="1">
      <alignment vertical="center"/>
    </xf>
    <xf numFmtId="0" fontId="92" fillId="16" borderId="0" xfId="25" applyFont="1" applyBorder="1" applyAlignment="1">
      <alignment vertical="top" wrapText="1"/>
    </xf>
    <xf numFmtId="0" fontId="1" fillId="14" borderId="66" xfId="23" applyBorder="1" applyAlignment="1">
      <alignment horizontal="left" vertical="center"/>
    </xf>
    <xf numFmtId="1" fontId="0" fillId="14" borderId="74" xfId="23" applyNumberFormat="1" applyFont="1" applyBorder="1" applyAlignment="1">
      <alignment horizontal="center" vertical="center"/>
    </xf>
    <xf numFmtId="0" fontId="0" fillId="57" borderId="67" xfId="0" applyFill="1" applyBorder="1" applyAlignment="1">
      <alignment horizontal="center" vertical="center"/>
    </xf>
    <xf numFmtId="0" fontId="17" fillId="16" borderId="0" xfId="25" applyBorder="1" applyAlignment="1">
      <alignment vertical="top" wrapText="1"/>
    </xf>
    <xf numFmtId="2" fontId="0" fillId="14" borderId="75" xfId="23" applyNumberFormat="1" applyFont="1" applyBorder="1" applyAlignment="1">
      <alignment horizontal="center" vertical="center"/>
    </xf>
    <xf numFmtId="197" fontId="0" fillId="57" borderId="67" xfId="0" applyNumberFormat="1" applyFill="1" applyBorder="1" applyAlignment="1">
      <alignment horizontal="center" vertical="center"/>
    </xf>
    <xf numFmtId="0" fontId="0" fillId="58" borderId="69" xfId="0" applyFill="1" applyBorder="1" applyAlignment="1">
      <alignment horizontal="center" vertical="center"/>
    </xf>
    <xf numFmtId="0" fontId="1" fillId="14" borderId="76" xfId="23" applyBorder="1" applyAlignment="1">
      <alignment horizontal="left" vertical="center"/>
    </xf>
    <xf numFmtId="0" fontId="1" fillId="14" borderId="77" xfId="23" applyBorder="1" applyAlignment="1">
      <alignment horizontal="left" vertical="center"/>
    </xf>
    <xf numFmtId="199" fontId="0" fillId="14" borderId="77" xfId="23" applyNumberFormat="1" applyFont="1" applyBorder="1" applyAlignment="1">
      <alignment horizontal="center" vertical="center"/>
    </xf>
    <xf numFmtId="0" fontId="0" fillId="58" borderId="78" xfId="0" applyFill="1" applyBorder="1" applyAlignment="1">
      <alignment horizontal="center" vertical="center"/>
    </xf>
    <xf numFmtId="0" fontId="1" fillId="14" borderId="79" xfId="23" applyBorder="1" applyAlignment="1">
      <alignment horizontal="left" vertical="center"/>
    </xf>
    <xf numFmtId="0" fontId="1" fillId="14" borderId="80" xfId="23" applyBorder="1" applyAlignment="1">
      <alignment horizontal="left" vertical="center"/>
    </xf>
    <xf numFmtId="199" fontId="0" fillId="14" borderId="81" xfId="23" applyNumberFormat="1" applyFont="1" applyBorder="1" applyAlignment="1">
      <alignment horizontal="center" vertical="center"/>
    </xf>
    <xf numFmtId="0" fontId="0" fillId="58" borderId="82" xfId="0" applyFill="1" applyBorder="1" applyAlignment="1">
      <alignment horizontal="center" vertical="center"/>
    </xf>
    <xf numFmtId="0" fontId="1" fillId="14" borderId="83" xfId="23" applyBorder="1" applyAlignment="1">
      <alignment horizontal="left" vertical="center"/>
    </xf>
    <xf numFmtId="0" fontId="0" fillId="58" borderId="84" xfId="0" applyFill="1" applyBorder="1" applyAlignment="1">
      <alignment horizontal="center" vertical="center"/>
    </xf>
    <xf numFmtId="0" fontId="0" fillId="14" borderId="80" xfId="23" applyFont="1" applyBorder="1" applyAlignment="1">
      <alignment horizontal="left" vertical="center"/>
    </xf>
    <xf numFmtId="0" fontId="16" fillId="14" borderId="76" xfId="23" applyFont="1" applyBorder="1" applyAlignment="1">
      <alignment horizontal="left" vertical="center"/>
    </xf>
    <xf numFmtId="1" fontId="0" fillId="14" borderId="77" xfId="23" applyNumberFormat="1" applyFont="1" applyBorder="1" applyAlignment="1">
      <alignment horizontal="center" vertical="center"/>
    </xf>
    <xf numFmtId="0" fontId="0" fillId="0" borderId="78" xfId="0" applyBorder="1" applyAlignment="1">
      <alignment horizontal="center" vertical="center"/>
    </xf>
    <xf numFmtId="1" fontId="0" fillId="14" borderId="81" xfId="23" applyNumberFormat="1" applyFont="1" applyBorder="1" applyAlignment="1">
      <alignment horizontal="center" vertical="center"/>
    </xf>
    <xf numFmtId="0" fontId="0" fillId="0" borderId="82" xfId="0" applyBorder="1" applyAlignment="1">
      <alignment horizontal="center" vertical="center"/>
    </xf>
    <xf numFmtId="0" fontId="91" fillId="12" borderId="0" xfId="21" applyFont="1" applyBorder="1" applyAlignment="1">
      <alignment vertical="top" wrapText="1"/>
    </xf>
    <xf numFmtId="0" fontId="16" fillId="10" borderId="66" xfId="19" applyFont="1" applyBorder="1" applyAlignment="1">
      <alignment horizontal="center" vertical="center"/>
    </xf>
    <xf numFmtId="10" fontId="1" fillId="10" borderId="66" xfId="19" applyNumberFormat="1" applyBorder="1" applyAlignment="1">
      <alignment horizontal="center" vertical="center"/>
    </xf>
    <xf numFmtId="10" fontId="0" fillId="57" borderId="67" xfId="0" applyNumberFormat="1" applyFill="1" applyBorder="1" applyAlignment="1">
      <alignment horizontal="center" vertical="center"/>
    </xf>
    <xf numFmtId="0" fontId="1" fillId="10" borderId="76" xfId="19" applyBorder="1" applyAlignment="1">
      <alignment horizontal="left" vertical="center"/>
    </xf>
    <xf numFmtId="0" fontId="1" fillId="10" borderId="77" xfId="19" applyBorder="1" applyAlignment="1">
      <alignment horizontal="left" vertical="center"/>
    </xf>
    <xf numFmtId="0" fontId="1" fillId="10" borderId="77" xfId="19" applyBorder="1" applyAlignment="1">
      <alignment horizontal="center" vertical="center"/>
    </xf>
    <xf numFmtId="0" fontId="1" fillId="10" borderId="79" xfId="19" applyBorder="1" applyAlignment="1">
      <alignment horizontal="left" vertical="center"/>
    </xf>
    <xf numFmtId="0" fontId="1" fillId="10" borderId="80" xfId="19" applyBorder="1" applyAlignment="1">
      <alignment horizontal="left" vertical="center"/>
    </xf>
    <xf numFmtId="0" fontId="1" fillId="10" borderId="80" xfId="19" applyBorder="1" applyAlignment="1">
      <alignment horizontal="center" vertical="center"/>
    </xf>
    <xf numFmtId="0" fontId="1" fillId="10" borderId="74" xfId="19" applyBorder="1" applyAlignment="1">
      <alignment horizontal="left" vertical="center"/>
    </xf>
    <xf numFmtId="0" fontId="1" fillId="10" borderId="74" xfId="19" applyBorder="1" applyAlignment="1">
      <alignment horizontal="center" vertical="center"/>
    </xf>
    <xf numFmtId="0" fontId="0" fillId="57" borderId="69" xfId="0" applyFill="1" applyBorder="1" applyAlignment="1">
      <alignment horizontal="center" vertical="center"/>
    </xf>
    <xf numFmtId="0" fontId="1" fillId="10" borderId="85" xfId="19" applyBorder="1" applyAlignment="1">
      <alignment horizontal="left" vertical="center"/>
    </xf>
    <xf numFmtId="0" fontId="1" fillId="10" borderId="86" xfId="19" applyBorder="1" applyAlignment="1">
      <alignment horizontal="left" vertical="center"/>
    </xf>
    <xf numFmtId="0" fontId="0" fillId="10" borderId="86" xfId="19" applyFont="1" applyBorder="1" applyAlignment="1">
      <alignment horizontal="center" vertical="center"/>
    </xf>
    <xf numFmtId="0" fontId="0" fillId="0" borderId="87" xfId="0" applyBorder="1" applyAlignment="1">
      <alignment horizontal="center" vertical="center"/>
    </xf>
    <xf numFmtId="0" fontId="0" fillId="10" borderId="66" xfId="19" applyFont="1" applyBorder="1" applyAlignment="1">
      <alignment horizontal="center" vertical="center"/>
    </xf>
    <xf numFmtId="2" fontId="0" fillId="10" borderId="14" xfId="19" applyNumberFormat="1" applyFont="1" applyBorder="1" applyAlignment="1">
      <alignment horizontal="center" vertical="center"/>
    </xf>
    <xf numFmtId="1" fontId="0" fillId="10" borderId="86" xfId="19" applyNumberFormat="1" applyFont="1" applyBorder="1" applyAlignment="1">
      <alignment horizontal="center" vertical="center"/>
    </xf>
    <xf numFmtId="1" fontId="0" fillId="0" borderId="88" xfId="0" applyNumberFormat="1" applyBorder="1" applyAlignment="1">
      <alignment horizontal="center" vertical="center"/>
    </xf>
    <xf numFmtId="0" fontId="17" fillId="12" borderId="0" xfId="21" applyBorder="1" applyAlignment="1">
      <alignment vertical="top" wrapText="1"/>
    </xf>
    <xf numFmtId="0" fontId="1" fillId="10" borderId="89" xfId="19" applyBorder="1" applyAlignment="1">
      <alignment horizontal="left" vertical="center"/>
    </xf>
    <xf numFmtId="2" fontId="0" fillId="58" borderId="67" xfId="0" applyNumberFormat="1" applyFill="1" applyBorder="1" applyAlignment="1">
      <alignment horizontal="center" vertical="center"/>
    </xf>
    <xf numFmtId="0" fontId="1" fillId="10" borderId="86" xfId="19" applyBorder="1" applyAlignment="1">
      <alignment horizontal="center" vertical="center"/>
    </xf>
    <xf numFmtId="0" fontId="0" fillId="10" borderId="66" xfId="19" applyFont="1" applyBorder="1" applyAlignment="1">
      <alignment horizontal="left" vertical="center"/>
    </xf>
    <xf numFmtId="0" fontId="1" fillId="10" borderId="90" xfId="19" applyBorder="1" applyAlignment="1">
      <alignment horizontal="center" vertical="center"/>
    </xf>
    <xf numFmtId="0" fontId="16" fillId="10" borderId="14" xfId="19" applyFont="1" applyBorder="1" applyAlignment="1">
      <alignment horizontal="left" vertical="center"/>
    </xf>
    <xf numFmtId="0" fontId="16" fillId="10" borderId="14" xfId="19" applyFont="1" applyBorder="1" applyAlignment="1">
      <alignment horizontal="center" vertical="center"/>
    </xf>
    <xf numFmtId="0" fontId="16" fillId="10" borderId="74" xfId="19" applyFont="1" applyBorder="1" applyAlignment="1">
      <alignment horizontal="left" vertical="center"/>
    </xf>
    <xf numFmtId="0" fontId="16" fillId="10" borderId="74" xfId="19" applyFont="1" applyBorder="1" applyAlignment="1">
      <alignment horizontal="center" vertical="center"/>
    </xf>
    <xf numFmtId="0" fontId="16" fillId="10" borderId="66" xfId="19" applyFont="1" applyBorder="1" applyAlignment="1">
      <alignment horizontal="left" vertical="center"/>
    </xf>
    <xf numFmtId="10" fontId="0" fillId="0" borderId="67" xfId="0" applyNumberFormat="1" applyBorder="1" applyAlignment="1">
      <alignment horizontal="center" vertical="center"/>
    </xf>
    <xf numFmtId="10" fontId="1" fillId="10" borderId="14" xfId="19" applyNumberFormat="1" applyBorder="1" applyAlignment="1">
      <alignment horizontal="center" vertical="center"/>
    </xf>
    <xf numFmtId="10" fontId="0" fillId="57" borderId="15" xfId="0" applyNumberFormat="1" applyFill="1" applyBorder="1" applyAlignment="1">
      <alignment horizontal="center" vertical="center"/>
    </xf>
    <xf numFmtId="0" fontId="0" fillId="0" borderId="88" xfId="0" applyBorder="1" applyAlignment="1">
      <alignment horizontal="center" vertical="center"/>
    </xf>
    <xf numFmtId="0" fontId="1" fillId="10" borderId="91" xfId="19" applyBorder="1" applyAlignment="1">
      <alignment horizontal="left" vertical="center"/>
    </xf>
    <xf numFmtId="0" fontId="1" fillId="10" borderId="91" xfId="19" applyBorder="1" applyAlignment="1">
      <alignment horizontal="center" vertical="center"/>
    </xf>
    <xf numFmtId="0" fontId="0" fillId="10" borderId="86" xfId="19" applyFont="1" applyBorder="1" applyAlignment="1">
      <alignment horizontal="left" vertical="center"/>
    </xf>
    <xf numFmtId="0" fontId="0" fillId="57" borderId="87" xfId="0" applyFill="1" applyBorder="1" applyAlignment="1">
      <alignment horizontal="center" vertical="center"/>
    </xf>
    <xf numFmtId="0" fontId="0" fillId="10" borderId="74" xfId="19" applyFont="1" applyBorder="1" applyAlignment="1">
      <alignment horizontal="center" vertical="center"/>
    </xf>
    <xf numFmtId="2" fontId="0" fillId="0" borderId="70" xfId="0" applyNumberFormat="1" applyBorder="1" applyAlignment="1">
      <alignment horizontal="center" vertical="center"/>
    </xf>
    <xf numFmtId="0" fontId="0" fillId="10" borderId="77" xfId="19" applyFont="1" applyBorder="1" applyAlignment="1">
      <alignment horizontal="center" vertical="center"/>
    </xf>
    <xf numFmtId="198" fontId="0" fillId="0" borderId="92" xfId="0" quotePrefix="1" applyNumberFormat="1" applyBorder="1" applyAlignment="1">
      <alignment horizontal="center" vertical="center"/>
    </xf>
    <xf numFmtId="0" fontId="0" fillId="10" borderId="83" xfId="19" applyFont="1" applyBorder="1" applyAlignment="1">
      <alignment horizontal="left" vertical="center"/>
    </xf>
    <xf numFmtId="0" fontId="0" fillId="0" borderId="93" xfId="0" applyBorder="1" applyAlignment="1">
      <alignment horizontal="left" vertical="center"/>
    </xf>
    <xf numFmtId="0" fontId="0" fillId="10" borderId="80" xfId="19" applyFont="1" applyBorder="1" applyAlignment="1">
      <alignment horizontal="center" vertical="center"/>
    </xf>
    <xf numFmtId="198" fontId="0" fillId="0" borderId="94" xfId="0" applyNumberFormat="1" applyBorder="1" applyAlignment="1">
      <alignment horizontal="center" vertical="center"/>
    </xf>
    <xf numFmtId="198" fontId="0" fillId="57" borderId="68" xfId="0" applyNumberFormat="1" applyFill="1" applyBorder="1" applyAlignment="1">
      <alignment horizontal="center" vertical="center"/>
    </xf>
    <xf numFmtId="0" fontId="0" fillId="0" borderId="92" xfId="0" applyBorder="1" applyAlignment="1">
      <alignment horizontal="center" vertical="center"/>
    </xf>
    <xf numFmtId="0" fontId="16" fillId="10" borderId="83" xfId="19" applyFont="1" applyBorder="1" applyAlignment="1">
      <alignment horizontal="left" vertical="center"/>
    </xf>
    <xf numFmtId="0" fontId="1" fillId="10" borderId="83" xfId="19" applyBorder="1" applyAlignment="1">
      <alignment horizontal="left" vertical="center"/>
    </xf>
    <xf numFmtId="0" fontId="0" fillId="0" borderId="95" xfId="0" applyBorder="1" applyAlignment="1">
      <alignment horizontal="center" vertical="center"/>
    </xf>
    <xf numFmtId="0" fontId="16" fillId="10" borderId="79" xfId="19" applyFont="1" applyBorder="1" applyAlignment="1">
      <alignment horizontal="left" vertical="center"/>
    </xf>
    <xf numFmtId="0" fontId="16" fillId="10" borderId="80" xfId="19" applyFont="1" applyBorder="1" applyAlignment="1">
      <alignment horizontal="left" vertical="center"/>
    </xf>
    <xf numFmtId="0" fontId="16" fillId="10" borderId="80" xfId="19" applyFont="1" applyBorder="1" applyAlignment="1">
      <alignment horizontal="center" vertical="center"/>
    </xf>
    <xf numFmtId="0" fontId="0" fillId="58" borderId="68" xfId="0" applyFill="1" applyBorder="1" applyAlignment="1">
      <alignment horizontal="center" vertical="center"/>
    </xf>
    <xf numFmtId="200" fontId="0" fillId="57" borderId="12" xfId="0" applyNumberFormat="1" applyFill="1" applyBorder="1" applyAlignment="1">
      <alignment horizontal="center" vertical="center"/>
    </xf>
    <xf numFmtId="201" fontId="1" fillId="10" borderId="77" xfId="19" applyNumberFormat="1" applyBorder="1" applyAlignment="1">
      <alignment horizontal="center" vertical="center"/>
    </xf>
    <xf numFmtId="201" fontId="0" fillId="0" borderId="92" xfId="0" applyNumberFormat="1" applyBorder="1" applyAlignment="1">
      <alignment horizontal="center" vertical="center"/>
    </xf>
    <xf numFmtId="201" fontId="0" fillId="0" borderId="95" xfId="0" applyNumberFormat="1" applyBorder="1" applyAlignment="1">
      <alignment horizontal="center" vertical="center"/>
    </xf>
    <xf numFmtId="201" fontId="1" fillId="10" borderId="80" xfId="19" applyNumberFormat="1" applyBorder="1" applyAlignment="1">
      <alignment horizontal="center" vertical="center"/>
    </xf>
    <xf numFmtId="201" fontId="0" fillId="0" borderId="96" xfId="0" applyNumberFormat="1" applyBorder="1" applyAlignment="1">
      <alignment horizontal="center" vertical="center"/>
    </xf>
    <xf numFmtId="201" fontId="1" fillId="10" borderId="66" xfId="19" applyNumberFormat="1" applyBorder="1" applyAlignment="1">
      <alignment horizontal="center" vertical="center"/>
    </xf>
    <xf numFmtId="201" fontId="0" fillId="0" borderId="68" xfId="0" applyNumberFormat="1" applyBorder="1" applyAlignment="1">
      <alignment horizontal="center" vertical="center"/>
    </xf>
    <xf numFmtId="201" fontId="1" fillId="10" borderId="86" xfId="19" applyNumberFormat="1" applyBorder="1" applyAlignment="1">
      <alignment horizontal="center" vertical="center"/>
    </xf>
    <xf numFmtId="201" fontId="0" fillId="57" borderId="88" xfId="0" applyNumberFormat="1" applyFill="1" applyBorder="1" applyAlignment="1">
      <alignment horizontal="center" vertical="center"/>
    </xf>
    <xf numFmtId="201" fontId="1" fillId="10" borderId="74" xfId="19" applyNumberFormat="1" applyBorder="1" applyAlignment="1">
      <alignment horizontal="center" vertical="center"/>
    </xf>
    <xf numFmtId="201" fontId="0" fillId="57" borderId="70" xfId="0" applyNumberFormat="1" applyFill="1" applyBorder="1" applyAlignment="1">
      <alignment horizontal="center" vertical="center"/>
    </xf>
    <xf numFmtId="201" fontId="0" fillId="57" borderId="68" xfId="0" applyNumberFormat="1" applyFill="1" applyBorder="1" applyAlignment="1">
      <alignment horizontal="center" vertical="center"/>
    </xf>
    <xf numFmtId="0" fontId="17" fillId="12" borderId="97" xfId="21" applyBorder="1" applyAlignment="1">
      <alignment vertical="top" wrapText="1"/>
    </xf>
    <xf numFmtId="0" fontId="0" fillId="0" borderId="40" xfId="0" applyBorder="1" applyAlignment="1">
      <alignment horizontal="center" vertical="center"/>
    </xf>
    <xf numFmtId="202" fontId="0" fillId="57" borderId="27" xfId="0" applyNumberFormat="1" applyFill="1" applyBorder="1" applyAlignment="1">
      <alignment horizontal="center" vertical="center"/>
    </xf>
    <xf numFmtId="0" fontId="0" fillId="10" borderId="77" xfId="19" applyFont="1" applyBorder="1" applyAlignment="1">
      <alignment horizontal="left" vertical="center"/>
    </xf>
    <xf numFmtId="0" fontId="1" fillId="30" borderId="68" xfId="39" applyBorder="1" applyAlignment="1">
      <alignment horizontal="center" vertical="center"/>
    </xf>
    <xf numFmtId="0" fontId="1" fillId="30" borderId="67" xfId="39" applyBorder="1" applyAlignment="1">
      <alignment horizontal="left" vertical="center"/>
    </xf>
    <xf numFmtId="9" fontId="1" fillId="30" borderId="67" xfId="39" applyNumberFormat="1" applyBorder="1" applyAlignment="1">
      <alignment horizontal="center" vertical="center"/>
    </xf>
    <xf numFmtId="0" fontId="1" fillId="30" borderId="15" xfId="39" applyBorder="1" applyAlignment="1">
      <alignment horizontal="center" vertical="center"/>
    </xf>
    <xf numFmtId="0" fontId="1" fillId="30" borderId="98" xfId="39" applyBorder="1" applyAlignment="1">
      <alignment horizontal="center" vertical="center"/>
    </xf>
    <xf numFmtId="0" fontId="1" fillId="30" borderId="99" xfId="39" applyBorder="1" applyAlignment="1">
      <alignment horizontal="left" vertical="center"/>
    </xf>
    <xf numFmtId="0" fontId="1" fillId="30" borderId="99" xfId="39" applyBorder="1" applyAlignment="1">
      <alignment horizontal="center" vertical="center"/>
    </xf>
    <xf numFmtId="0" fontId="1" fillId="30" borderId="100" xfId="39" applyBorder="1" applyAlignment="1">
      <alignment horizontal="center" vertical="center"/>
    </xf>
    <xf numFmtId="0" fontId="1" fillId="30" borderId="101" xfId="39" applyBorder="1" applyAlignment="1">
      <alignment horizontal="left" vertical="center"/>
    </xf>
    <xf numFmtId="0" fontId="1" fillId="30" borderId="101" xfId="39" applyBorder="1" applyAlignment="1">
      <alignment horizontal="center" vertical="center"/>
    </xf>
    <xf numFmtId="0" fontId="0" fillId="0" borderId="96" xfId="0" applyBorder="1" applyAlignment="1">
      <alignment horizontal="center" vertical="center"/>
    </xf>
    <xf numFmtId="0" fontId="1" fillId="30" borderId="67" xfId="39" applyNumberFormat="1" applyBorder="1" applyAlignment="1">
      <alignment horizontal="center" vertical="center"/>
    </xf>
    <xf numFmtId="0" fontId="1" fillId="30" borderId="102" xfId="39" applyBorder="1" applyAlignment="1">
      <alignment horizontal="center" vertical="center"/>
    </xf>
    <xf numFmtId="0" fontId="1" fillId="30" borderId="103" xfId="39" applyBorder="1" applyAlignment="1">
      <alignment horizontal="left" vertical="center"/>
    </xf>
    <xf numFmtId="0" fontId="1" fillId="30" borderId="103" xfId="39" applyBorder="1" applyAlignment="1">
      <alignment horizontal="center" vertical="center"/>
    </xf>
    <xf numFmtId="0" fontId="1" fillId="30" borderId="69" xfId="39" applyBorder="1" applyAlignment="1">
      <alignment horizontal="center" vertical="center"/>
    </xf>
    <xf numFmtId="0" fontId="1" fillId="30" borderId="69" xfId="39" applyBorder="1" applyAlignment="1">
      <alignment horizontal="left" vertical="center"/>
    </xf>
    <xf numFmtId="10" fontId="1" fillId="30" borderId="69" xfId="39" applyNumberFormat="1" applyBorder="1" applyAlignment="1">
      <alignment horizontal="center" vertical="center"/>
    </xf>
    <xf numFmtId="10" fontId="0" fillId="0" borderId="69" xfId="0" applyNumberFormat="1" applyBorder="1" applyAlignment="1">
      <alignment horizontal="center" vertical="center"/>
    </xf>
    <xf numFmtId="0" fontId="16" fillId="30" borderId="67" xfId="39" applyFont="1" applyBorder="1" applyAlignment="1">
      <alignment horizontal="center" vertical="center"/>
    </xf>
    <xf numFmtId="0" fontId="16" fillId="30" borderId="67" xfId="39" applyFont="1" applyBorder="1" applyAlignment="1">
      <alignment horizontal="left" vertical="center"/>
    </xf>
    <xf numFmtId="10" fontId="1" fillId="30" borderId="67" xfId="39" applyNumberFormat="1" applyBorder="1" applyAlignment="1">
      <alignment horizontal="center" vertical="center"/>
    </xf>
    <xf numFmtId="10" fontId="1" fillId="30" borderId="12" xfId="39" applyNumberFormat="1" applyBorder="1" applyAlignment="1">
      <alignment horizontal="center" vertical="center"/>
    </xf>
    <xf numFmtId="1" fontId="0" fillId="0" borderId="12" xfId="0" applyNumberFormat="1" applyBorder="1" applyAlignment="1">
      <alignment horizontal="center" vertical="center"/>
    </xf>
    <xf numFmtId="0" fontId="0" fillId="30" borderId="98" xfId="39" applyFont="1" applyBorder="1" applyAlignment="1">
      <alignment horizontal="center" vertical="center"/>
    </xf>
    <xf numFmtId="0" fontId="0" fillId="30" borderId="99" xfId="39" applyFont="1" applyBorder="1" applyAlignment="1">
      <alignment horizontal="left" vertical="center"/>
    </xf>
    <xf numFmtId="0" fontId="0" fillId="30" borderId="99" xfId="39" applyFont="1" applyBorder="1" applyAlignment="1">
      <alignment horizontal="center" vertical="center"/>
    </xf>
    <xf numFmtId="0" fontId="1" fillId="30" borderId="104" xfId="39" applyBorder="1" applyAlignment="1">
      <alignment horizontal="center" vertical="center"/>
    </xf>
    <xf numFmtId="0" fontId="0" fillId="0" borderId="84" xfId="0" applyBorder="1" applyAlignment="1">
      <alignment horizontal="center" vertical="center"/>
    </xf>
    <xf numFmtId="0" fontId="16" fillId="30" borderId="101" xfId="39" applyFont="1" applyBorder="1" applyAlignment="1">
      <alignment horizontal="center" vertical="center"/>
    </xf>
    <xf numFmtId="10" fontId="16" fillId="30" borderId="101" xfId="39" applyNumberFormat="1" applyFont="1" applyBorder="1" applyAlignment="1">
      <alignment horizontal="center" vertical="center"/>
    </xf>
    <xf numFmtId="10" fontId="0" fillId="0" borderId="82" xfId="0" applyNumberFormat="1" applyBorder="1" applyAlignment="1">
      <alignment horizontal="center" vertical="center"/>
    </xf>
    <xf numFmtId="0" fontId="0" fillId="0" borderId="105" xfId="0" applyBorder="1" applyAlignment="1">
      <alignment horizontal="center" vertical="center"/>
    </xf>
    <xf numFmtId="2" fontId="1" fillId="30" borderId="103" xfId="39" applyNumberFormat="1" applyBorder="1" applyAlignment="1">
      <alignment horizontal="center" vertical="center"/>
    </xf>
    <xf numFmtId="0" fontId="1" fillId="30" borderId="106" xfId="39" applyBorder="1" applyAlignment="1">
      <alignment horizontal="center" vertical="center"/>
    </xf>
    <xf numFmtId="0" fontId="1" fillId="30" borderId="106" xfId="39" applyBorder="1" applyAlignment="1">
      <alignment horizontal="left" vertical="center"/>
    </xf>
    <xf numFmtId="0" fontId="0" fillId="0" borderId="107" xfId="0" applyBorder="1" applyAlignment="1">
      <alignment horizontal="center" vertical="center"/>
    </xf>
    <xf numFmtId="0" fontId="0" fillId="57" borderId="88" xfId="0" applyFill="1" applyBorder="1" applyAlignment="1">
      <alignment horizontal="center" vertical="center"/>
    </xf>
    <xf numFmtId="0" fontId="0" fillId="30" borderId="67" xfId="39" applyFont="1" applyBorder="1" applyAlignment="1">
      <alignment horizontal="center" vertical="center"/>
    </xf>
    <xf numFmtId="0" fontId="0" fillId="57" borderId="72" xfId="0" applyFill="1" applyBorder="1" applyAlignment="1">
      <alignment horizontal="center" vertical="center"/>
    </xf>
    <xf numFmtId="0" fontId="0" fillId="30" borderId="67" xfId="39" applyFont="1" applyBorder="1" applyAlignment="1">
      <alignment horizontal="left" vertical="center"/>
    </xf>
    <xf numFmtId="2" fontId="0" fillId="0" borderId="69" xfId="0" applyNumberFormat="1" applyBorder="1" applyAlignment="1">
      <alignment horizontal="left" vertical="center"/>
    </xf>
    <xf numFmtId="0" fontId="16" fillId="30" borderId="98" xfId="39" applyFont="1" applyBorder="1" applyAlignment="1">
      <alignment horizontal="center" vertical="center"/>
    </xf>
    <xf numFmtId="0" fontId="16" fillId="30" borderId="99" xfId="39" applyFont="1" applyBorder="1" applyAlignment="1">
      <alignment horizontal="left" vertical="center"/>
    </xf>
    <xf numFmtId="0" fontId="16" fillId="30" borderId="99" xfId="39" applyFont="1" applyBorder="1" applyAlignment="1">
      <alignment horizontal="center" vertical="center"/>
    </xf>
    <xf numFmtId="0" fontId="16" fillId="30" borderId="104" xfId="39" applyFont="1" applyBorder="1" applyAlignment="1">
      <alignment horizontal="center" vertical="center"/>
    </xf>
    <xf numFmtId="0" fontId="0" fillId="0" borderId="108" xfId="0" applyBorder="1" applyAlignment="1">
      <alignment horizontal="center" vertical="center"/>
    </xf>
    <xf numFmtId="0" fontId="0" fillId="30" borderId="104" xfId="39" applyFont="1" applyBorder="1" applyAlignment="1">
      <alignment horizontal="center" vertical="center"/>
    </xf>
    <xf numFmtId="0" fontId="0" fillId="30" borderId="100" xfId="39" applyFont="1" applyBorder="1" applyAlignment="1">
      <alignment horizontal="center" vertical="center"/>
    </xf>
    <xf numFmtId="0" fontId="0" fillId="30" borderId="109" xfId="39" applyFont="1" applyBorder="1" applyAlignment="1">
      <alignment horizontal="left" vertical="center"/>
    </xf>
    <xf numFmtId="0" fontId="0" fillId="0" borderId="110" xfId="0" applyBorder="1" applyAlignment="1">
      <alignment horizontal="center" vertical="center"/>
    </xf>
    <xf numFmtId="0" fontId="16" fillId="30" borderId="69" xfId="39" applyFont="1" applyBorder="1" applyAlignment="1">
      <alignment horizontal="center" vertical="center"/>
    </xf>
    <xf numFmtId="0" fontId="16" fillId="30" borderId="69" xfId="39" applyFont="1" applyBorder="1" applyAlignment="1">
      <alignment horizontal="left" vertical="center"/>
    </xf>
    <xf numFmtId="0" fontId="0" fillId="30" borderId="69" xfId="39" applyFont="1" applyBorder="1" applyAlignment="1">
      <alignment horizontal="center" vertical="center"/>
    </xf>
    <xf numFmtId="198" fontId="1" fillId="30" borderId="99" xfId="39" applyNumberFormat="1" applyBorder="1" applyAlignment="1">
      <alignment horizontal="center" vertical="center"/>
    </xf>
    <xf numFmtId="198" fontId="0" fillId="0" borderId="78" xfId="0" applyNumberFormat="1" applyBorder="1" applyAlignment="1">
      <alignment horizontal="center" vertical="center"/>
    </xf>
    <xf numFmtId="0" fontId="0" fillId="0" borderId="94" xfId="0" applyBorder="1" applyAlignment="1">
      <alignment horizontal="left" vertical="center"/>
    </xf>
    <xf numFmtId="198" fontId="0" fillId="30" borderId="67" xfId="39" applyNumberFormat="1" applyFont="1" applyBorder="1" applyAlignment="1">
      <alignment horizontal="center" vertical="center"/>
    </xf>
    <xf numFmtId="198" fontId="0" fillId="57" borderId="67" xfId="0" applyNumberFormat="1" applyFill="1" applyBorder="1" applyAlignment="1">
      <alignment horizontal="center" vertical="center"/>
    </xf>
    <xf numFmtId="0" fontId="0" fillId="0" borderId="111" xfId="0" applyBorder="1" applyAlignment="1">
      <alignment horizontal="center" vertical="center"/>
    </xf>
    <xf numFmtId="0" fontId="0" fillId="0" borderId="72" xfId="0" applyBorder="1" applyAlignment="1">
      <alignment horizontal="center" vertical="center"/>
    </xf>
    <xf numFmtId="2" fontId="1" fillId="30" borderId="67" xfId="39" applyNumberFormat="1" applyBorder="1" applyAlignment="1">
      <alignment horizontal="center" vertical="center"/>
    </xf>
    <xf numFmtId="2" fontId="0" fillId="57" borderId="67" xfId="0" applyNumberFormat="1" applyFill="1" applyBorder="1" applyAlignment="1">
      <alignment horizontal="center" vertical="center"/>
    </xf>
    <xf numFmtId="0" fontId="1" fillId="30" borderId="112" xfId="39" applyBorder="1" applyAlignment="1">
      <alignment horizontal="center" vertical="center"/>
    </xf>
    <xf numFmtId="0" fontId="0" fillId="0" borderId="113" xfId="0" applyBorder="1" applyAlignment="1">
      <alignment horizontal="center" vertical="center"/>
    </xf>
    <xf numFmtId="0" fontId="1" fillId="30" borderId="114" xfId="39" applyBorder="1" applyAlignment="1">
      <alignment horizontal="center" vertical="center"/>
    </xf>
    <xf numFmtId="0" fontId="1" fillId="30" borderId="109" xfId="39" applyBorder="1" applyAlignment="1">
      <alignment horizontal="center" vertical="center"/>
    </xf>
    <xf numFmtId="201" fontId="1" fillId="30" borderId="67" xfId="39" applyNumberFormat="1" applyBorder="1" applyAlignment="1">
      <alignment horizontal="center" vertical="center"/>
    </xf>
    <xf numFmtId="201" fontId="0" fillId="0" borderId="67" xfId="0" applyNumberFormat="1" applyBorder="1" applyAlignment="1">
      <alignment horizontal="center" vertical="center"/>
    </xf>
    <xf numFmtId="201" fontId="1" fillId="30" borderId="12" xfId="39" applyNumberFormat="1" applyBorder="1" applyAlignment="1">
      <alignment horizontal="center" vertical="center"/>
    </xf>
    <xf numFmtId="201" fontId="0" fillId="57" borderId="12" xfId="0" applyNumberFormat="1" applyFill="1" applyBorder="1" applyAlignment="1">
      <alignment horizontal="center" vertical="center"/>
    </xf>
    <xf numFmtId="201" fontId="1" fillId="30" borderId="103" xfId="39" applyNumberFormat="1" applyBorder="1" applyAlignment="1">
      <alignment horizontal="center" vertical="center"/>
    </xf>
    <xf numFmtId="201" fontId="0" fillId="57" borderId="87" xfId="0" applyNumberFormat="1" applyFill="1" applyBorder="1" applyAlignment="1">
      <alignment horizontal="center" vertical="center"/>
    </xf>
    <xf numFmtId="0" fontId="0" fillId="30" borderId="69" xfId="39" applyFont="1" applyBorder="1" applyAlignment="1">
      <alignment horizontal="left" vertical="center"/>
    </xf>
    <xf numFmtId="197" fontId="1" fillId="30" borderId="69" xfId="39" applyNumberFormat="1" applyBorder="1" applyAlignment="1">
      <alignment horizontal="center" vertical="center"/>
    </xf>
    <xf numFmtId="197" fontId="0" fillId="57" borderId="69" xfId="0" applyNumberFormat="1" applyFill="1" applyBorder="1" applyAlignment="1">
      <alignment horizontal="center" vertical="center"/>
    </xf>
    <xf numFmtId="201" fontId="1" fillId="30" borderId="99" xfId="39" applyNumberFormat="1" applyBorder="1" applyAlignment="1">
      <alignment horizontal="center" vertical="center"/>
    </xf>
    <xf numFmtId="201" fontId="0" fillId="0" borderId="78" xfId="0" applyNumberFormat="1" applyBorder="1" applyAlignment="1">
      <alignment horizontal="center" vertical="center"/>
    </xf>
    <xf numFmtId="201" fontId="0" fillId="0" borderId="84" xfId="0" applyNumberFormat="1" applyBorder="1" applyAlignment="1">
      <alignment horizontal="center" vertical="center"/>
    </xf>
    <xf numFmtId="201" fontId="1" fillId="30" borderId="101" xfId="39" applyNumberFormat="1" applyBorder="1" applyAlignment="1">
      <alignment horizontal="center" vertical="center"/>
    </xf>
    <xf numFmtId="201" fontId="0" fillId="0" borderId="82" xfId="0" applyNumberFormat="1" applyBorder="1" applyAlignment="1">
      <alignment horizontal="center" vertical="center"/>
    </xf>
    <xf numFmtId="201" fontId="1" fillId="30" borderId="69" xfId="39" applyNumberFormat="1" applyBorder="1" applyAlignment="1">
      <alignment horizontal="center" vertical="center"/>
    </xf>
    <xf numFmtId="201" fontId="0" fillId="57" borderId="69" xfId="0" applyNumberFormat="1" applyFill="1" applyBorder="1" applyAlignment="1">
      <alignment horizontal="center" vertical="center"/>
    </xf>
    <xf numFmtId="10" fontId="0" fillId="57" borderId="12" xfId="0" applyNumberFormat="1" applyFill="1" applyBorder="1" applyAlignment="1">
      <alignment horizontal="center" vertical="center"/>
    </xf>
    <xf numFmtId="201" fontId="0" fillId="57" borderId="67" xfId="0" applyNumberFormat="1" applyFill="1" applyBorder="1" applyAlignment="1">
      <alignment horizontal="center" vertical="center"/>
    </xf>
    <xf numFmtId="3" fontId="1" fillId="30" borderId="48" xfId="39" applyNumberFormat="1" applyBorder="1" applyAlignment="1">
      <alignment horizontal="center" vertical="center"/>
    </xf>
    <xf numFmtId="3" fontId="0" fillId="57" borderId="12" xfId="0" applyNumberFormat="1" applyFill="1" applyBorder="1" applyAlignment="1">
      <alignment horizontal="center" vertical="center"/>
    </xf>
    <xf numFmtId="0" fontId="1" fillId="18" borderId="70" xfId="27" applyBorder="1" applyAlignment="1">
      <alignment horizontal="center" vertical="center"/>
    </xf>
    <xf numFmtId="0" fontId="1" fillId="18" borderId="69" xfId="27" applyBorder="1" applyAlignment="1">
      <alignment vertical="center"/>
    </xf>
    <xf numFmtId="0" fontId="1" fillId="18" borderId="69" xfId="27" applyBorder="1" applyAlignment="1">
      <alignment horizontal="center" vertical="center"/>
    </xf>
    <xf numFmtId="1" fontId="1" fillId="18" borderId="69" xfId="27" applyNumberFormat="1" applyBorder="1" applyAlignment="1">
      <alignment horizontal="center" vertical="center"/>
    </xf>
    <xf numFmtId="1" fontId="0" fillId="57" borderId="69" xfId="0" applyNumberFormat="1" applyFill="1" applyBorder="1" applyAlignment="1">
      <alignment horizontal="center" vertical="center"/>
    </xf>
    <xf numFmtId="0" fontId="1" fillId="18" borderId="116" xfId="27" applyBorder="1" applyAlignment="1">
      <alignment horizontal="center" vertical="center"/>
    </xf>
    <xf numFmtId="0" fontId="1" fillId="18" borderId="98" xfId="27" applyBorder="1" applyAlignment="1">
      <alignment horizontal="center" vertical="center"/>
    </xf>
    <xf numFmtId="0" fontId="1" fillId="18" borderId="99" xfId="27" applyBorder="1" applyAlignment="1">
      <alignment vertical="center"/>
    </xf>
    <xf numFmtId="0" fontId="1" fillId="18" borderId="99" xfId="27" applyBorder="1" applyAlignment="1">
      <alignment horizontal="center" vertical="center"/>
    </xf>
    <xf numFmtId="0" fontId="1" fillId="18" borderId="100" xfId="27" applyBorder="1" applyAlignment="1">
      <alignment horizontal="center" vertical="center"/>
    </xf>
    <xf numFmtId="0" fontId="1" fillId="18" borderId="101" xfId="27" applyBorder="1" applyAlignment="1">
      <alignment vertical="center"/>
    </xf>
    <xf numFmtId="0" fontId="1" fillId="18" borderId="109" xfId="27" applyBorder="1" applyAlignment="1">
      <alignment horizontal="center" vertical="center"/>
    </xf>
    <xf numFmtId="0" fontId="1" fillId="18" borderId="102" xfId="27" applyBorder="1" applyAlignment="1">
      <alignment horizontal="center" vertical="center"/>
    </xf>
    <xf numFmtId="0" fontId="1" fillId="18" borderId="103" xfId="27" applyBorder="1" applyAlignment="1">
      <alignment vertical="center"/>
    </xf>
    <xf numFmtId="0" fontId="1" fillId="18" borderId="103" xfId="27" applyBorder="1" applyAlignment="1">
      <alignment horizontal="center" vertical="center"/>
    </xf>
    <xf numFmtId="0" fontId="0" fillId="0" borderId="55" xfId="0" applyBorder="1" applyAlignment="1">
      <alignment horizontal="center" vertical="center"/>
    </xf>
    <xf numFmtId="0" fontId="1" fillId="18" borderId="68" xfId="27" applyBorder="1" applyAlignment="1">
      <alignment horizontal="center" vertical="center"/>
    </xf>
    <xf numFmtId="0" fontId="1" fillId="18" borderId="67" xfId="27" applyBorder="1" applyAlignment="1">
      <alignment vertical="center"/>
    </xf>
    <xf numFmtId="0" fontId="1" fillId="18" borderId="67" xfId="27" applyBorder="1" applyAlignment="1">
      <alignment horizontal="center" vertical="center"/>
    </xf>
    <xf numFmtId="0" fontId="1" fillId="18" borderId="117" xfId="27" applyBorder="1" applyAlignment="1">
      <alignment horizontal="center" vertical="center"/>
    </xf>
    <xf numFmtId="10" fontId="1" fillId="18" borderId="67" xfId="27" applyNumberFormat="1" applyBorder="1" applyAlignment="1">
      <alignment horizontal="center" vertical="center"/>
    </xf>
    <xf numFmtId="0" fontId="0" fillId="18" borderId="101" xfId="27" applyFont="1" applyBorder="1" applyAlignment="1">
      <alignment vertical="center"/>
    </xf>
    <xf numFmtId="0" fontId="0" fillId="18" borderId="101" xfId="27" applyFont="1" applyBorder="1" applyAlignment="1">
      <alignment horizontal="center" vertical="center"/>
    </xf>
    <xf numFmtId="0" fontId="1" fillId="18" borderId="101" xfId="27" applyBorder="1" applyAlignment="1">
      <alignment horizontal="center" vertical="center"/>
    </xf>
    <xf numFmtId="0" fontId="0" fillId="0" borderId="116" xfId="0" applyBorder="1" applyAlignment="1">
      <alignment horizontal="center" vertical="center"/>
    </xf>
    <xf numFmtId="0" fontId="0" fillId="0" borderId="69" xfId="0" applyBorder="1" applyAlignment="1">
      <alignment horizontal="left" vertical="center"/>
    </xf>
    <xf numFmtId="0" fontId="16" fillId="18" borderId="98" xfId="27" applyFont="1" applyBorder="1" applyAlignment="1">
      <alignment horizontal="center" vertical="center"/>
    </xf>
    <xf numFmtId="0" fontId="16" fillId="18" borderId="99" xfId="27" applyFont="1" applyBorder="1" applyAlignment="1">
      <alignment vertical="center"/>
    </xf>
    <xf numFmtId="0" fontId="16" fillId="18" borderId="99" xfId="27" applyFont="1" applyBorder="1" applyAlignment="1">
      <alignment horizontal="center" vertical="center"/>
    </xf>
    <xf numFmtId="4" fontId="1" fillId="18" borderId="99" xfId="27" applyNumberFormat="1" applyBorder="1" applyAlignment="1">
      <alignment horizontal="center" vertical="center"/>
    </xf>
    <xf numFmtId="4" fontId="0" fillId="0" borderId="78" xfId="0" applyNumberFormat="1" applyBorder="1" applyAlignment="1">
      <alignment horizontal="center" vertical="center"/>
    </xf>
    <xf numFmtId="0" fontId="1" fillId="18" borderId="109" xfId="27" applyBorder="1" applyAlignment="1">
      <alignment vertical="center"/>
    </xf>
    <xf numFmtId="0" fontId="0" fillId="18" borderId="101" xfId="27" applyFont="1" applyBorder="1" applyAlignment="1">
      <alignment horizontal="left" vertical="center"/>
    </xf>
    <xf numFmtId="0" fontId="0" fillId="0" borderId="110" xfId="0" applyBorder="1" applyAlignment="1">
      <alignment horizontal="left" vertical="center"/>
    </xf>
    <xf numFmtId="0" fontId="1" fillId="18" borderId="117" xfId="27" applyBorder="1" applyAlignment="1">
      <alignment vertical="center"/>
    </xf>
    <xf numFmtId="0" fontId="0" fillId="18" borderId="67" xfId="27" applyFont="1" applyBorder="1" applyAlignment="1">
      <alignment horizontal="center" vertical="center"/>
    </xf>
    <xf numFmtId="10" fontId="0" fillId="18" borderId="67" xfId="27" applyNumberFormat="1" applyFont="1" applyBorder="1" applyAlignment="1">
      <alignment horizontal="center" vertical="center"/>
    </xf>
    <xf numFmtId="201" fontId="1" fillId="18" borderId="99" xfId="27" applyNumberFormat="1" applyBorder="1" applyAlignment="1">
      <alignment horizontal="center" vertical="center"/>
    </xf>
    <xf numFmtId="201" fontId="1" fillId="18" borderId="101" xfId="27" applyNumberFormat="1" applyBorder="1" applyAlignment="1">
      <alignment horizontal="center" vertical="center"/>
    </xf>
    <xf numFmtId="201" fontId="0" fillId="0" borderId="110" xfId="0" applyNumberFormat="1" applyBorder="1" applyAlignment="1">
      <alignment horizontal="center" vertical="center"/>
    </xf>
    <xf numFmtId="0" fontId="16" fillId="18" borderId="68" xfId="27" applyFont="1" applyBorder="1" applyAlignment="1">
      <alignment horizontal="center" vertical="center"/>
    </xf>
    <xf numFmtId="0" fontId="16" fillId="18" borderId="67" xfId="27" applyFont="1" applyBorder="1" applyAlignment="1">
      <alignment vertical="center"/>
    </xf>
    <xf numFmtId="0" fontId="16" fillId="18" borderId="67" xfId="27" applyFont="1" applyBorder="1" applyAlignment="1">
      <alignment horizontal="center" vertical="center"/>
    </xf>
    <xf numFmtId="201" fontId="1" fillId="18" borderId="67" xfId="27" applyNumberFormat="1" applyBorder="1" applyAlignment="1">
      <alignment horizontal="center" vertical="center"/>
    </xf>
    <xf numFmtId="201" fontId="1" fillId="18" borderId="103" xfId="27" applyNumberFormat="1" applyBorder="1" applyAlignment="1">
      <alignment horizontal="center" vertical="center"/>
    </xf>
    <xf numFmtId="201" fontId="1" fillId="18" borderId="69" xfId="27" applyNumberFormat="1" applyBorder="1" applyAlignment="1">
      <alignment horizontal="center" vertical="center"/>
    </xf>
    <xf numFmtId="0" fontId="1" fillId="18" borderId="118" xfId="27" applyBorder="1" applyAlignment="1">
      <alignment vertical="center"/>
    </xf>
    <xf numFmtId="0" fontId="0" fillId="18" borderId="67" xfId="27" applyFont="1" applyBorder="1" applyAlignment="1">
      <alignment vertical="center"/>
    </xf>
    <xf numFmtId="0" fontId="1" fillId="18" borderId="57" xfId="27" applyBorder="1" applyAlignment="1">
      <alignment horizontal="center" vertical="center"/>
    </xf>
    <xf numFmtId="201" fontId="1" fillId="18" borderId="57" xfId="27" applyNumberFormat="1" applyBorder="1" applyAlignment="1">
      <alignment horizontal="center" vertical="center"/>
    </xf>
    <xf numFmtId="0" fontId="0" fillId="18" borderId="99" xfId="27" applyFont="1" applyBorder="1" applyAlignment="1">
      <alignment vertical="center"/>
    </xf>
    <xf numFmtId="0" fontId="1" fillId="18" borderId="119" xfId="27" applyBorder="1" applyAlignment="1">
      <alignment vertical="center"/>
    </xf>
    <xf numFmtId="0" fontId="0" fillId="0" borderId="10" xfId="2158" applyNumberFormat="1" applyFont="1" applyBorder="1" applyAlignment="1">
      <alignment horizontal="center" vertical="center"/>
    </xf>
    <xf numFmtId="2" fontId="0" fillId="0" borderId="87" xfId="0" applyNumberFormat="1" applyBorder="1" applyAlignment="1">
      <alignment horizontal="center" vertical="center"/>
    </xf>
    <xf numFmtId="0" fontId="117" fillId="0" borderId="0" xfId="0" applyFont="1" applyAlignment="1">
      <alignment horizontal="centerContinuous"/>
    </xf>
    <xf numFmtId="0" fontId="118" fillId="0" borderId="0" xfId="0" applyFont="1" applyAlignment="1">
      <alignment horizontal="centerContinuous"/>
    </xf>
    <xf numFmtId="0" fontId="0" fillId="0" borderId="0" xfId="0" applyAlignment="1">
      <alignment horizontal="centerContinuous"/>
    </xf>
    <xf numFmtId="0" fontId="119" fillId="0" borderId="0" xfId="0" applyFont="1"/>
    <xf numFmtId="0" fontId="0" fillId="0" borderId="0" xfId="0" applyAlignment="1">
      <alignment horizontal="right"/>
    </xf>
    <xf numFmtId="0" fontId="118" fillId="0" borderId="121" xfId="0" applyFont="1" applyBorder="1" applyAlignment="1">
      <alignment horizontal="right"/>
    </xf>
    <xf numFmtId="0" fontId="118" fillId="0" borderId="0" xfId="0" applyFont="1" applyAlignment="1">
      <alignment horizontal="right"/>
    </xf>
    <xf numFmtId="0" fontId="118" fillId="0" borderId="122" xfId="0" applyFont="1" applyBorder="1" applyAlignment="1">
      <alignment horizontal="right"/>
    </xf>
    <xf numFmtId="0" fontId="0" fillId="0" borderId="121" xfId="0" applyBorder="1"/>
    <xf numFmtId="0" fontId="0" fillId="0" borderId="122" xfId="0" applyBorder="1"/>
    <xf numFmtId="3" fontId="21" fillId="0" borderId="121" xfId="189" applyNumberFormat="1" applyBorder="1"/>
    <xf numFmtId="3" fontId="21" fillId="0" borderId="0" xfId="46" applyNumberFormat="1" applyBorder="1"/>
    <xf numFmtId="10" fontId="21" fillId="0" borderId="122" xfId="184" applyNumberFormat="1" applyBorder="1"/>
    <xf numFmtId="3" fontId="0" fillId="0" borderId="0" xfId="0" applyNumberFormat="1"/>
    <xf numFmtId="8" fontId="0" fillId="0" borderId="121" xfId="0" applyNumberFormat="1" applyBorder="1"/>
    <xf numFmtId="8" fontId="0" fillId="0" borderId="0" xfId="0" applyNumberFormat="1"/>
    <xf numFmtId="8" fontId="21" fillId="0" borderId="121" xfId="167" applyNumberFormat="1" applyBorder="1"/>
    <xf numFmtId="8" fontId="21" fillId="0" borderId="0" xfId="167" applyNumberFormat="1" applyFill="1" applyBorder="1"/>
    <xf numFmtId="10" fontId="21" fillId="0" borderId="122" xfId="184" applyNumberFormat="1" applyFill="1" applyBorder="1"/>
    <xf numFmtId="8" fontId="21" fillId="0" borderId="121" xfId="167" applyNumberFormat="1" applyFill="1" applyBorder="1"/>
    <xf numFmtId="0" fontId="21" fillId="0" borderId="0" xfId="0" applyFont="1"/>
    <xf numFmtId="43" fontId="0" fillId="0" borderId="0" xfId="0" applyNumberFormat="1"/>
    <xf numFmtId="8" fontId="21" fillId="0" borderId="0" xfId="46" applyNumberFormat="1" applyFill="1" applyBorder="1"/>
    <xf numFmtId="8" fontId="21" fillId="0" borderId="0" xfId="46" applyNumberFormat="1" applyBorder="1"/>
    <xf numFmtId="7" fontId="21" fillId="0" borderId="0" xfId="167" applyNumberFormat="1" applyFill="1" applyBorder="1"/>
    <xf numFmtId="8" fontId="21" fillId="0" borderId="0" xfId="189" applyNumberFormat="1" applyBorder="1"/>
    <xf numFmtId="8" fontId="21" fillId="0" borderId="0" xfId="189" applyNumberFormat="1" applyFill="1" applyBorder="1"/>
    <xf numFmtId="8" fontId="118" fillId="0" borderId="121" xfId="167" applyNumberFormat="1" applyFont="1" applyBorder="1"/>
    <xf numFmtId="8" fontId="118" fillId="0" borderId="0" xfId="261" applyNumberFormat="1" applyFont="1" applyBorder="1"/>
    <xf numFmtId="8" fontId="118" fillId="0" borderId="0" xfId="167" applyNumberFormat="1" applyFont="1" applyFill="1" applyBorder="1"/>
    <xf numFmtId="8" fontId="118" fillId="0" borderId="121" xfId="167" applyNumberFormat="1" applyFont="1" applyFill="1" applyBorder="1"/>
    <xf numFmtId="8" fontId="118" fillId="0" borderId="121" xfId="0" applyNumberFormat="1" applyFont="1" applyBorder="1"/>
    <xf numFmtId="8" fontId="118" fillId="0" borderId="0" xfId="0" applyNumberFormat="1" applyFont="1"/>
    <xf numFmtId="43" fontId="21" fillId="0" borderId="0" xfId="46"/>
    <xf numFmtId="8" fontId="120" fillId="0" borderId="121" xfId="0" applyNumberFormat="1" applyFont="1" applyBorder="1"/>
    <xf numFmtId="8" fontId="120" fillId="0" borderId="0" xfId="0" applyNumberFormat="1" applyFont="1"/>
    <xf numFmtId="10" fontId="120" fillId="0" borderId="122" xfId="184" applyNumberFormat="1" applyFont="1" applyFill="1" applyBorder="1"/>
    <xf numFmtId="10" fontId="120" fillId="0" borderId="122" xfId="184" applyNumberFormat="1" applyFont="1" applyBorder="1"/>
    <xf numFmtId="0" fontId="0" fillId="0" borderId="123" xfId="0" applyBorder="1"/>
    <xf numFmtId="0" fontId="0" fillId="0" borderId="124" xfId="0" applyBorder="1"/>
    <xf numFmtId="8" fontId="0" fillId="0" borderId="125" xfId="0" applyNumberFormat="1" applyBorder="1"/>
    <xf numFmtId="8" fontId="0" fillId="0" borderId="123" xfId="0" applyNumberFormat="1" applyBorder="1"/>
    <xf numFmtId="8" fontId="0" fillId="0" borderId="124" xfId="0" applyNumberFormat="1" applyBorder="1"/>
    <xf numFmtId="8" fontId="21" fillId="0" borderId="0" xfId="167" applyNumberFormat="1" applyBorder="1"/>
    <xf numFmtId="4" fontId="0" fillId="0" borderId="0" xfId="0" applyNumberFormat="1"/>
    <xf numFmtId="44" fontId="21" fillId="0" borderId="0" xfId="167" applyFill="1" applyBorder="1"/>
    <xf numFmtId="3" fontId="21" fillId="0" borderId="0" xfId="189" applyNumberFormat="1" applyBorder="1"/>
    <xf numFmtId="8" fontId="21" fillId="0" borderId="0" xfId="261" applyNumberFormat="1" applyBorder="1"/>
    <xf numFmtId="10" fontId="21" fillId="0" borderId="0" xfId="184" applyNumberFormat="1" applyBorder="1"/>
    <xf numFmtId="8" fontId="21" fillId="0" borderId="0" xfId="261" applyNumberFormat="1" applyFill="1" applyBorder="1"/>
    <xf numFmtId="8" fontId="118" fillId="0" borderId="0" xfId="167" applyNumberFormat="1" applyFont="1" applyBorder="1"/>
    <xf numFmtId="7" fontId="0" fillId="0" borderId="0" xfId="0" applyNumberFormat="1"/>
    <xf numFmtId="10" fontId="120" fillId="0" borderId="0" xfId="184" applyNumberFormat="1" applyFont="1" applyBorder="1"/>
    <xf numFmtId="10" fontId="21" fillId="0" borderId="122" xfId="184" applyNumberFormat="1" applyFont="1" applyBorder="1"/>
    <xf numFmtId="41" fontId="21" fillId="0" borderId="0" xfId="46" applyNumberFormat="1"/>
    <xf numFmtId="44" fontId="21" fillId="0" borderId="0" xfId="167" applyBorder="1"/>
    <xf numFmtId="7" fontId="21" fillId="0" borderId="0" xfId="167" applyNumberFormat="1" applyBorder="1"/>
    <xf numFmtId="201" fontId="0" fillId="0" borderId="0" xfId="0" applyNumberFormat="1"/>
    <xf numFmtId="10" fontId="0" fillId="0" borderId="0" xfId="0" applyNumberFormat="1"/>
    <xf numFmtId="41" fontId="0" fillId="0" borderId="0" xfId="0" applyNumberFormat="1"/>
    <xf numFmtId="0" fontId="118" fillId="0" borderId="0" xfId="0" applyFont="1" applyAlignment="1">
      <alignment horizontal="center"/>
    </xf>
    <xf numFmtId="0" fontId="0" fillId="0" borderId="121" xfId="0" applyBorder="1" applyAlignment="1">
      <alignment horizontal="right"/>
    </xf>
    <xf numFmtId="0" fontId="0" fillId="0" borderId="122" xfId="0" applyBorder="1" applyAlignment="1">
      <alignment horizontal="right"/>
    </xf>
    <xf numFmtId="44" fontId="0" fillId="0" borderId="0" xfId="0" applyNumberFormat="1"/>
    <xf numFmtId="8" fontId="21" fillId="0" borderId="0" xfId="0" applyNumberFormat="1" applyFont="1"/>
    <xf numFmtId="10" fontId="21" fillId="0" borderId="0" xfId="184" applyNumberFormat="1"/>
    <xf numFmtId="3" fontId="21" fillId="0" borderId="121" xfId="189" applyNumberFormat="1" applyFill="1" applyBorder="1"/>
    <xf numFmtId="0" fontId="21" fillId="0" borderId="122" xfId="184" applyNumberFormat="1" applyBorder="1"/>
    <xf numFmtId="10" fontId="0" fillId="0" borderId="122" xfId="0" applyNumberFormat="1" applyBorder="1"/>
    <xf numFmtId="8" fontId="21" fillId="0" borderId="121" xfId="261" applyNumberFormat="1" applyBorder="1"/>
    <xf numFmtId="8" fontId="118" fillId="0" borderId="121" xfId="261" applyNumberFormat="1" applyFont="1" applyBorder="1"/>
    <xf numFmtId="10" fontId="21" fillId="0" borderId="122" xfId="184" applyNumberFormat="1" applyFont="1" applyBorder="1" applyAlignment="1">
      <alignment horizontal="right"/>
    </xf>
    <xf numFmtId="0" fontId="42" fillId="0" borderId="127" xfId="0" applyFont="1" applyBorder="1"/>
    <xf numFmtId="0" fontId="42" fillId="0" borderId="128" xfId="0" applyFont="1" applyBorder="1"/>
    <xf numFmtId="0" fontId="0" fillId="0" borderId="128" xfId="0" applyBorder="1"/>
    <xf numFmtId="0" fontId="0" fillId="0" borderId="128" xfId="0" applyBorder="1" applyAlignment="1">
      <alignment horizontal="center"/>
    </xf>
    <xf numFmtId="0" fontId="0" fillId="0" borderId="129" xfId="0" applyBorder="1"/>
    <xf numFmtId="0" fontId="21" fillId="0" borderId="130" xfId="0" applyFont="1" applyBorder="1"/>
    <xf numFmtId="0" fontId="42" fillId="0" borderId="0" xfId="0" applyFont="1"/>
    <xf numFmtId="0" fontId="0" fillId="0" borderId="131" xfId="0" applyBorder="1"/>
    <xf numFmtId="0" fontId="0" fillId="0" borderId="130" xfId="0" applyBorder="1"/>
    <xf numFmtId="0" fontId="121" fillId="0" borderId="0" xfId="0" applyFont="1" applyAlignment="1">
      <alignment horizontal="right"/>
    </xf>
    <xf numFmtId="0" fontId="21" fillId="0" borderId="0" xfId="0" applyFont="1" applyAlignment="1">
      <alignment horizontal="center"/>
    </xf>
    <xf numFmtId="0" fontId="121" fillId="0" borderId="130" xfId="0" applyFont="1" applyBorder="1"/>
    <xf numFmtId="0" fontId="121" fillId="0" borderId="0" xfId="0" applyFont="1"/>
    <xf numFmtId="0" fontId="0" fillId="0" borderId="131" xfId="0" applyBorder="1" applyAlignment="1">
      <alignment vertical="center"/>
    </xf>
    <xf numFmtId="0" fontId="0" fillId="0" borderId="0" xfId="0" applyAlignment="1">
      <alignment vertical="center"/>
    </xf>
    <xf numFmtId="201" fontId="0" fillId="0" borderId="0" xfId="0" applyNumberFormat="1" applyAlignment="1">
      <alignment horizontal="center"/>
    </xf>
    <xf numFmtId="0" fontId="118" fillId="0" borderId="0" xfId="0" applyFont="1"/>
    <xf numFmtId="3" fontId="118" fillId="0" borderId="0" xfId="0" applyNumberFormat="1" applyFont="1"/>
    <xf numFmtId="0" fontId="0" fillId="0" borderId="132" xfId="0" applyBorder="1"/>
    <xf numFmtId="201" fontId="0" fillId="0" borderId="133" xfId="0" applyNumberFormat="1" applyBorder="1"/>
    <xf numFmtId="0" fontId="0" fillId="0" borderId="133" xfId="0" applyBorder="1"/>
    <xf numFmtId="10" fontId="0" fillId="0" borderId="133" xfId="0" applyNumberFormat="1" applyBorder="1"/>
    <xf numFmtId="201" fontId="0" fillId="0" borderId="133" xfId="0" applyNumberFormat="1" applyBorder="1" applyAlignment="1">
      <alignment horizontal="center"/>
    </xf>
    <xf numFmtId="0" fontId="0" fillId="0" borderId="134" xfId="0" applyBorder="1"/>
    <xf numFmtId="0" fontId="0" fillId="0" borderId="129" xfId="0" applyBorder="1" applyAlignment="1">
      <alignment horizontal="center"/>
    </xf>
    <xf numFmtId="0" fontId="0" fillId="0" borderId="131" xfId="0" applyBorder="1" applyAlignment="1">
      <alignment horizontal="center"/>
    </xf>
    <xf numFmtId="0" fontId="21" fillId="0" borderId="131" xfId="0" applyFont="1" applyBorder="1" applyAlignment="1">
      <alignment horizontal="center"/>
    </xf>
    <xf numFmtId="0" fontId="121" fillId="0" borderId="0" xfId="0" applyFont="1" applyAlignment="1">
      <alignment horizontal="center"/>
    </xf>
    <xf numFmtId="3" fontId="0" fillId="0" borderId="135" xfId="0" applyNumberFormat="1" applyBorder="1"/>
    <xf numFmtId="201" fontId="0" fillId="0" borderId="131" xfId="0" applyNumberFormat="1" applyBorder="1" applyAlignment="1">
      <alignment horizontal="center"/>
    </xf>
    <xf numFmtId="0" fontId="21" fillId="0" borderId="121" xfId="0" applyFont="1" applyBorder="1"/>
    <xf numFmtId="0" fontId="0" fillId="0" borderId="135" xfId="0" applyBorder="1"/>
    <xf numFmtId="9" fontId="118" fillId="0" borderId="0" xfId="0" applyNumberFormat="1" applyFont="1"/>
    <xf numFmtId="0" fontId="21" fillId="0" borderId="135" xfId="0" applyFont="1" applyBorder="1"/>
    <xf numFmtId="0" fontId="42" fillId="0" borderId="0" xfId="0" applyFont="1" applyAlignment="1">
      <alignment horizontal="right"/>
    </xf>
    <xf numFmtId="10" fontId="0" fillId="0" borderId="135" xfId="0" applyNumberFormat="1" applyBorder="1"/>
    <xf numFmtId="201" fontId="0" fillId="0" borderId="136" xfId="0" applyNumberFormat="1" applyBorder="1"/>
    <xf numFmtId="8" fontId="0" fillId="0" borderId="0" xfId="0" applyNumberFormat="1" applyAlignment="1">
      <alignment horizontal="right"/>
    </xf>
    <xf numFmtId="8" fontId="0" fillId="60" borderId="0" xfId="0" applyNumberFormat="1" applyFill="1"/>
    <xf numFmtId="201" fontId="0" fillId="0" borderId="137" xfId="0" applyNumberFormat="1" applyBorder="1"/>
    <xf numFmtId="0" fontId="0" fillId="0" borderId="137" xfId="0" applyBorder="1"/>
    <xf numFmtId="10" fontId="0" fillId="0" borderId="137" xfId="0" applyNumberFormat="1" applyBorder="1"/>
    <xf numFmtId="201" fontId="0" fillId="0" borderId="137" xfId="0" applyNumberFormat="1" applyBorder="1" applyAlignment="1">
      <alignment horizontal="center"/>
    </xf>
    <xf numFmtId="201" fontId="0" fillId="0" borderId="138" xfId="0" applyNumberFormat="1" applyBorder="1" applyAlignment="1">
      <alignment horizontal="center"/>
    </xf>
    <xf numFmtId="8" fontId="21" fillId="60" borderId="0" xfId="167" applyNumberFormat="1" applyFill="1" applyBorder="1"/>
    <xf numFmtId="8" fontId="118" fillId="60" borderId="0" xfId="0" applyNumberFormat="1" applyFont="1" applyFill="1"/>
    <xf numFmtId="0" fontId="16" fillId="61" borderId="139" xfId="0" applyFont="1" applyFill="1" applyBorder="1" applyAlignment="1">
      <alignment vertical="center"/>
    </xf>
    <xf numFmtId="0" fontId="0" fillId="61" borderId="140" xfId="0" applyFill="1" applyBorder="1" applyAlignment="1">
      <alignment horizontal="right"/>
    </xf>
    <xf numFmtId="0" fontId="0" fillId="61" borderId="140" xfId="0" applyFill="1" applyBorder="1"/>
    <xf numFmtId="3" fontId="0" fillId="61" borderId="140" xfId="0" applyNumberFormat="1" applyFill="1" applyBorder="1"/>
    <xf numFmtId="9" fontId="0" fillId="61" borderId="140" xfId="0" applyNumberFormat="1" applyFill="1" applyBorder="1"/>
    <xf numFmtId="0" fontId="0" fillId="62" borderId="0" xfId="0" applyFill="1"/>
    <xf numFmtId="9" fontId="0" fillId="0" borderId="0" xfId="0" applyNumberFormat="1"/>
    <xf numFmtId="0" fontId="122" fillId="0" borderId="0" xfId="0" applyFont="1" applyAlignment="1">
      <alignment horizontal="left"/>
    </xf>
    <xf numFmtId="0" fontId="123" fillId="0" borderId="0" xfId="0" applyFont="1" applyAlignment="1">
      <alignment horizontal="left"/>
    </xf>
    <xf numFmtId="0" fontId="124" fillId="0" borderId="0" xfId="0" applyFont="1"/>
    <xf numFmtId="0" fontId="125" fillId="0" borderId="0" xfId="0" applyFont="1" applyAlignment="1">
      <alignment horizontal="left"/>
    </xf>
    <xf numFmtId="3" fontId="126" fillId="0" borderId="0" xfId="0" applyNumberFormat="1" applyFont="1"/>
    <xf numFmtId="0" fontId="127" fillId="0" borderId="0" xfId="0" applyFont="1" applyAlignment="1">
      <alignment horizontal="left"/>
    </xf>
    <xf numFmtId="0" fontId="13" fillId="63" borderId="141" xfId="0" applyFont="1" applyFill="1" applyBorder="1" applyAlignment="1">
      <alignment horizontal="left"/>
    </xf>
    <xf numFmtId="0" fontId="13" fillId="63" borderId="141" xfId="0" applyFont="1" applyFill="1" applyBorder="1" applyAlignment="1">
      <alignment horizontal="center"/>
    </xf>
    <xf numFmtId="3" fontId="13" fillId="63" borderId="141" xfId="0" applyNumberFormat="1" applyFont="1" applyFill="1" applyBorder="1" applyAlignment="1">
      <alignment horizontal="center"/>
    </xf>
    <xf numFmtId="3" fontId="0" fillId="0" borderId="0" xfId="0" applyNumberFormat="1" applyAlignment="1">
      <alignment horizontal="center"/>
    </xf>
    <xf numFmtId="3" fontId="13" fillId="64" borderId="141" xfId="0" applyNumberFormat="1" applyFont="1" applyFill="1" applyBorder="1" applyAlignment="1">
      <alignment horizontal="center"/>
    </xf>
    <xf numFmtId="9" fontId="13" fillId="63" borderId="142" xfId="0" quotePrefix="1" applyNumberFormat="1" applyFont="1" applyFill="1" applyBorder="1" applyAlignment="1">
      <alignment horizontal="center"/>
    </xf>
    <xf numFmtId="3" fontId="13" fillId="65" borderId="141" xfId="0" applyNumberFormat="1" applyFont="1" applyFill="1" applyBorder="1" applyAlignment="1">
      <alignment horizontal="center"/>
    </xf>
    <xf numFmtId="3" fontId="13" fillId="65" borderId="142" xfId="0" applyNumberFormat="1" applyFont="1" applyFill="1" applyBorder="1" applyAlignment="1">
      <alignment horizontal="center"/>
    </xf>
    <xf numFmtId="9" fontId="13" fillId="65" borderId="141" xfId="0" quotePrefix="1" applyNumberFormat="1" applyFont="1" applyFill="1" applyBorder="1" applyAlignment="1">
      <alignment horizontal="center"/>
    </xf>
    <xf numFmtId="9" fontId="13" fillId="63" borderId="141" xfId="0" applyNumberFormat="1" applyFont="1" applyFill="1" applyBorder="1" applyAlignment="1">
      <alignment horizontal="center"/>
    </xf>
    <xf numFmtId="3" fontId="13" fillId="63" borderId="143" xfId="0" applyNumberFormat="1" applyFont="1" applyFill="1" applyBorder="1" applyAlignment="1">
      <alignment horizontal="center"/>
    </xf>
    <xf numFmtId="0" fontId="13" fillId="63" borderId="144" xfId="0" applyFont="1" applyFill="1" applyBorder="1" applyAlignment="1">
      <alignment horizontal="left"/>
    </xf>
    <xf numFmtId="0" fontId="13" fillId="63" borderId="144" xfId="0" applyFont="1" applyFill="1" applyBorder="1" applyAlignment="1">
      <alignment horizontal="center"/>
    </xf>
    <xf numFmtId="3" fontId="13" fillId="63" borderId="144" xfId="0" applyNumberFormat="1" applyFont="1" applyFill="1" applyBorder="1" applyAlignment="1">
      <alignment horizontal="center"/>
    </xf>
    <xf numFmtId="3" fontId="13" fillId="64" borderId="144" xfId="0" applyNumberFormat="1" applyFont="1" applyFill="1" applyBorder="1" applyAlignment="1">
      <alignment horizontal="center"/>
    </xf>
    <xf numFmtId="9" fontId="13" fillId="63" borderId="145" xfId="0" applyNumberFormat="1" applyFont="1" applyFill="1" applyBorder="1" applyAlignment="1">
      <alignment horizontal="center"/>
    </xf>
    <xf numFmtId="3" fontId="13" fillId="65" borderId="144" xfId="0" applyNumberFormat="1" applyFont="1" applyFill="1" applyBorder="1" applyAlignment="1">
      <alignment horizontal="center"/>
    </xf>
    <xf numFmtId="3" fontId="13" fillId="65" borderId="145" xfId="0" applyNumberFormat="1" applyFont="1" applyFill="1" applyBorder="1" applyAlignment="1">
      <alignment horizontal="center"/>
    </xf>
    <xf numFmtId="9" fontId="13" fillId="65" borderId="144" xfId="0" applyNumberFormat="1" applyFont="1" applyFill="1" applyBorder="1" applyAlignment="1">
      <alignment horizontal="center"/>
    </xf>
    <xf numFmtId="9" fontId="13" fillId="63" borderId="144" xfId="0" applyNumberFormat="1" applyFont="1" applyFill="1" applyBorder="1" applyAlignment="1">
      <alignment horizontal="center"/>
    </xf>
    <xf numFmtId="0" fontId="0" fillId="0" borderId="144" xfId="0" applyBorder="1" applyAlignment="1">
      <alignment horizontal="left" vertical="top"/>
    </xf>
    <xf numFmtId="0" fontId="0" fillId="0" borderId="144" xfId="0" applyBorder="1" applyAlignment="1">
      <alignment vertical="top"/>
    </xf>
    <xf numFmtId="203" fontId="0" fillId="0" borderId="144" xfId="0" applyNumberFormat="1" applyBorder="1"/>
    <xf numFmtId="203" fontId="0" fillId="0" borderId="144" xfId="0" applyNumberFormat="1" applyBorder="1" applyAlignment="1">
      <alignment horizontal="right"/>
    </xf>
    <xf numFmtId="203" fontId="0" fillId="0" borderId="0" xfId="0" applyNumberFormat="1"/>
    <xf numFmtId="203" fontId="0" fillId="0" borderId="0" xfId="0" applyNumberFormat="1" applyAlignment="1">
      <alignment vertical="top"/>
    </xf>
    <xf numFmtId="203" fontId="0" fillId="0" borderId="144" xfId="0" applyNumberFormat="1" applyBorder="1" applyAlignment="1">
      <alignment vertical="top"/>
    </xf>
    <xf numFmtId="9" fontId="0" fillId="0" borderId="145" xfId="0" applyNumberFormat="1" applyBorder="1" applyAlignment="1">
      <alignment vertical="top"/>
    </xf>
    <xf numFmtId="3" fontId="0" fillId="0" borderId="145" xfId="0" applyNumberFormat="1" applyBorder="1" applyAlignment="1">
      <alignment horizontal="center" vertical="top"/>
    </xf>
    <xf numFmtId="9" fontId="0" fillId="0" borderId="144" xfId="0" applyNumberFormat="1" applyBorder="1" applyAlignment="1">
      <alignment vertical="top"/>
    </xf>
    <xf numFmtId="0" fontId="0" fillId="0" borderId="144" xfId="0" applyBorder="1"/>
    <xf numFmtId="3" fontId="0" fillId="0" borderId="144" xfId="0" applyNumberFormat="1" applyBorder="1" applyAlignment="1">
      <alignment wrapText="1"/>
    </xf>
    <xf numFmtId="0" fontId="0" fillId="0" borderId="144" xfId="0" quotePrefix="1" applyBorder="1" applyAlignment="1">
      <alignment horizontal="left" vertical="top"/>
    </xf>
    <xf numFmtId="0" fontId="0" fillId="0" borderId="144" xfId="0" applyBorder="1" applyAlignment="1">
      <alignment vertical="top" wrapText="1"/>
    </xf>
    <xf numFmtId="203" fontId="0" fillId="0" borderId="144" xfId="0" applyNumberFormat="1" applyBorder="1" applyAlignment="1">
      <alignment horizontal="right" vertical="top"/>
    </xf>
    <xf numFmtId="38" fontId="128" fillId="0" borderId="146" xfId="0" applyNumberFormat="1" applyFont="1" applyBorder="1" applyAlignment="1">
      <alignment horizontal="center" vertical="top"/>
    </xf>
    <xf numFmtId="9" fontId="16" fillId="0" borderId="147" xfId="0" applyNumberFormat="1" applyFont="1" applyBorder="1" applyAlignment="1">
      <alignment horizontal="right" vertical="top"/>
    </xf>
    <xf numFmtId="0" fontId="0" fillId="0" borderId="144" xfId="0" applyBorder="1" applyAlignment="1">
      <alignment wrapText="1"/>
    </xf>
    <xf numFmtId="0" fontId="0" fillId="0" borderId="0" xfId="0" quotePrefix="1"/>
    <xf numFmtId="38" fontId="0" fillId="0" borderId="144" xfId="0" applyNumberFormat="1" applyBorder="1" applyAlignment="1">
      <alignment vertical="top" wrapText="1"/>
    </xf>
    <xf numFmtId="203" fontId="0" fillId="0" borderId="148" xfId="0" applyNumberFormat="1" applyBorder="1" applyAlignment="1">
      <alignment vertical="top"/>
    </xf>
    <xf numFmtId="9" fontId="0" fillId="0" borderId="149" xfId="0" applyNumberFormat="1" applyBorder="1" applyAlignment="1">
      <alignment vertical="top"/>
    </xf>
    <xf numFmtId="38" fontId="0" fillId="0" borderId="149" xfId="0" applyNumberFormat="1" applyBorder="1" applyAlignment="1">
      <alignment horizontal="center" vertical="top"/>
    </xf>
    <xf numFmtId="9" fontId="0" fillId="0" borderId="148" xfId="0" applyNumberFormat="1" applyBorder="1" applyAlignment="1">
      <alignment vertical="top"/>
    </xf>
    <xf numFmtId="38" fontId="0" fillId="0" borderId="148" xfId="0" applyNumberFormat="1" applyBorder="1" applyAlignment="1">
      <alignment vertical="top" wrapText="1"/>
    </xf>
    <xf numFmtId="0" fontId="16" fillId="0" borderId="144" xfId="0" applyFont="1" applyBorder="1" applyAlignment="1">
      <alignment horizontal="left" vertical="top"/>
    </xf>
    <xf numFmtId="0" fontId="16" fillId="0" borderId="144" xfId="0" applyFont="1" applyBorder="1" applyAlignment="1">
      <alignment vertical="top" wrapText="1"/>
    </xf>
    <xf numFmtId="203" fontId="128" fillId="0" borderId="147" xfId="0" applyNumberFormat="1" applyFont="1" applyBorder="1" applyAlignment="1">
      <alignment horizontal="right" vertical="top"/>
    </xf>
    <xf numFmtId="203" fontId="16" fillId="0" borderId="0" xfId="0" applyNumberFormat="1" applyFont="1" applyAlignment="1">
      <alignment vertical="top"/>
    </xf>
    <xf numFmtId="9" fontId="16" fillId="0" borderId="146" xfId="0" applyNumberFormat="1" applyFont="1" applyBorder="1" applyAlignment="1">
      <alignment horizontal="right" vertical="top"/>
    </xf>
    <xf numFmtId="0" fontId="16" fillId="0" borderId="144" xfId="0" applyFont="1" applyBorder="1" applyAlignment="1">
      <alignment wrapText="1"/>
    </xf>
    <xf numFmtId="38" fontId="128" fillId="0" borderId="147" xfId="0" applyNumberFormat="1" applyFont="1" applyBorder="1" applyAlignment="1">
      <alignment horizontal="right" vertical="top" wrapText="1"/>
    </xf>
    <xf numFmtId="203" fontId="16" fillId="0" borderId="147" xfId="0" applyNumberFormat="1" applyFont="1" applyBorder="1" applyAlignment="1">
      <alignment vertical="top"/>
    </xf>
    <xf numFmtId="38" fontId="16" fillId="0" borderId="147" xfId="0" applyNumberFormat="1" applyFont="1" applyBorder="1" applyAlignment="1">
      <alignment vertical="top" wrapText="1"/>
    </xf>
    <xf numFmtId="203" fontId="16" fillId="0" borderId="144" xfId="0" applyNumberFormat="1" applyFont="1" applyBorder="1" applyAlignment="1">
      <alignment vertical="top"/>
    </xf>
    <xf numFmtId="9" fontId="16" fillId="0" borderId="145" xfId="0" applyNumberFormat="1" applyFont="1" applyBorder="1" applyAlignment="1">
      <alignment horizontal="right" vertical="top"/>
    </xf>
    <xf numFmtId="38" fontId="16" fillId="0" borderId="144" xfId="0" applyNumberFormat="1" applyFont="1" applyBorder="1" applyAlignment="1">
      <alignment vertical="top" wrapText="1"/>
    </xf>
    <xf numFmtId="0" fontId="0" fillId="0" borderId="148" xfId="0" applyBorder="1" applyAlignment="1">
      <alignment horizontal="left"/>
    </xf>
    <xf numFmtId="0" fontId="0" fillId="0" borderId="148" xfId="0" applyBorder="1" applyAlignment="1">
      <alignment wrapText="1"/>
    </xf>
    <xf numFmtId="203" fontId="0" fillId="0" borderId="148" xfId="0" applyNumberFormat="1" applyBorder="1"/>
    <xf numFmtId="9" fontId="0" fillId="0" borderId="149" xfId="0" applyNumberFormat="1" applyBorder="1"/>
    <xf numFmtId="3" fontId="0" fillId="0" borderId="149" xfId="0" applyNumberFormat="1" applyBorder="1"/>
    <xf numFmtId="9" fontId="0" fillId="0" borderId="148" xfId="0" applyNumberFormat="1" applyBorder="1"/>
    <xf numFmtId="0" fontId="0" fillId="0" borderId="148" xfId="0" applyBorder="1"/>
    <xf numFmtId="3" fontId="0" fillId="0" borderId="150" xfId="0" applyNumberFormat="1" applyBorder="1" applyAlignment="1">
      <alignment wrapText="1"/>
    </xf>
    <xf numFmtId="0" fontId="0" fillId="62" borderId="0" xfId="0" applyFill="1" applyAlignment="1">
      <alignment horizontal="left"/>
    </xf>
    <xf numFmtId="0" fontId="129" fillId="0" borderId="151" xfId="0" applyFont="1" applyBorder="1"/>
    <xf numFmtId="0" fontId="16" fillId="0" borderId="152" xfId="0" applyFont="1" applyBorder="1" applyAlignment="1">
      <alignment vertical="top" wrapText="1"/>
    </xf>
    <xf numFmtId="203" fontId="16" fillId="0" borderId="153" xfId="0" applyNumberFormat="1" applyFont="1" applyBorder="1" applyAlignment="1">
      <alignment vertical="top"/>
    </xf>
    <xf numFmtId="203" fontId="16" fillId="0" borderId="126" xfId="0" applyNumberFormat="1" applyFont="1" applyBorder="1" applyAlignment="1">
      <alignment vertical="top"/>
    </xf>
    <xf numFmtId="3" fontId="0" fillId="0" borderId="122" xfId="0" applyNumberFormat="1" applyBorder="1"/>
    <xf numFmtId="203" fontId="16" fillId="0" borderId="120" xfId="0" applyNumberFormat="1" applyFont="1" applyBorder="1" applyAlignment="1">
      <alignment vertical="top"/>
    </xf>
    <xf numFmtId="9" fontId="16" fillId="0" borderId="126" xfId="0" applyNumberFormat="1" applyFont="1" applyBorder="1" applyAlignment="1">
      <alignment horizontal="right" vertical="top"/>
    </xf>
    <xf numFmtId="0" fontId="16" fillId="0" borderId="126" xfId="0" applyFont="1" applyBorder="1" applyAlignment="1">
      <alignment vertical="top" wrapText="1"/>
    </xf>
    <xf numFmtId="0" fontId="0" fillId="0" borderId="126" xfId="0" applyBorder="1" applyAlignment="1">
      <alignment vertical="top" wrapText="1"/>
    </xf>
    <xf numFmtId="0" fontId="0" fillId="0" borderId="154" xfId="0" applyBorder="1" applyAlignment="1">
      <alignment horizontal="left" vertical="top"/>
    </xf>
    <xf numFmtId="0" fontId="0" fillId="0" borderId="152" xfId="0" applyBorder="1" applyAlignment="1">
      <alignment vertical="top" wrapText="1"/>
    </xf>
    <xf numFmtId="203" fontId="0" fillId="0" borderId="153" xfId="0" applyNumberFormat="1" applyBorder="1" applyAlignment="1">
      <alignment vertical="top"/>
    </xf>
    <xf numFmtId="0" fontId="16" fillId="0" borderId="153" xfId="0" applyFont="1" applyBorder="1" applyAlignment="1">
      <alignment vertical="top" wrapText="1"/>
    </xf>
    <xf numFmtId="0" fontId="0" fillId="0" borderId="153" xfId="0" applyBorder="1" applyAlignment="1">
      <alignment vertical="top" wrapText="1"/>
    </xf>
    <xf numFmtId="0" fontId="0" fillId="0" borderId="154" xfId="0" quotePrefix="1" applyBorder="1" applyAlignment="1">
      <alignment horizontal="left" vertical="top"/>
    </xf>
    <xf numFmtId="0" fontId="0" fillId="0" borderId="155" xfId="0" applyBorder="1" applyAlignment="1">
      <alignment horizontal="left" vertical="top"/>
    </xf>
    <xf numFmtId="0" fontId="0" fillId="0" borderId="156" xfId="0" applyBorder="1" applyAlignment="1">
      <alignment vertical="top" wrapText="1"/>
    </xf>
    <xf numFmtId="203" fontId="0" fillId="0" borderId="156" xfId="0" applyNumberFormat="1" applyBorder="1" applyAlignment="1">
      <alignment vertical="top"/>
    </xf>
    <xf numFmtId="9" fontId="0" fillId="0" borderId="148" xfId="0" applyNumberFormat="1" applyBorder="1" applyAlignment="1">
      <alignment horizontal="right" vertical="top"/>
    </xf>
    <xf numFmtId="0" fontId="16" fillId="0" borderId="148" xfId="0" applyFont="1" applyBorder="1" applyAlignment="1">
      <alignment vertical="top" wrapText="1"/>
    </xf>
    <xf numFmtId="0" fontId="0" fillId="0" borderId="148" xfId="0" applyBorder="1" applyAlignment="1">
      <alignment vertical="top" wrapText="1"/>
    </xf>
    <xf numFmtId="0" fontId="130" fillId="0" borderId="0" xfId="0" applyFont="1"/>
    <xf numFmtId="0" fontId="131" fillId="0" borderId="0" xfId="0" applyFont="1"/>
    <xf numFmtId="0" fontId="132" fillId="0" borderId="0" xfId="0" quotePrefix="1" applyFont="1"/>
    <xf numFmtId="0" fontId="133" fillId="0" borderId="0" xfId="0" applyFont="1"/>
    <xf numFmtId="0" fontId="134" fillId="66" borderId="157" xfId="0" applyFont="1" applyFill="1" applyBorder="1" applyAlignment="1">
      <alignment horizontal="left"/>
    </xf>
    <xf numFmtId="0" fontId="134" fillId="66" borderId="158" xfId="0" applyFont="1" applyFill="1" applyBorder="1" applyAlignment="1">
      <alignment horizontal="center" wrapText="1"/>
    </xf>
    <xf numFmtId="0" fontId="134" fillId="66" borderId="159" xfId="0" applyFont="1" applyFill="1" applyBorder="1" applyAlignment="1">
      <alignment horizontal="center" wrapText="1"/>
    </xf>
    <xf numFmtId="0" fontId="134" fillId="66" borderId="158" xfId="0" applyFont="1" applyFill="1" applyBorder="1" applyAlignment="1">
      <alignment horizontal="left"/>
    </xf>
    <xf numFmtId="0" fontId="134" fillId="66" borderId="159" xfId="0" applyFont="1" applyFill="1" applyBorder="1" applyAlignment="1">
      <alignment horizontal="left" vertical="top" wrapText="1"/>
    </xf>
    <xf numFmtId="0" fontId="0" fillId="0" borderId="162" xfId="0" applyBorder="1" applyAlignment="1">
      <alignment horizontal="justify" vertical="top" wrapText="1"/>
    </xf>
    <xf numFmtId="0" fontId="0" fillId="0" borderId="123" xfId="0" applyBorder="1" applyAlignment="1">
      <alignment horizontal="center" vertical="top" wrapText="1"/>
    </xf>
    <xf numFmtId="0" fontId="0" fillId="0" borderId="136" xfId="0" quotePrefix="1" applyBorder="1" applyAlignment="1">
      <alignment horizontal="center" vertical="top" wrapText="1"/>
    </xf>
    <xf numFmtId="0" fontId="0" fillId="0" borderId="123" xfId="0" applyBorder="1" applyAlignment="1">
      <alignment horizontal="left" vertical="top" wrapText="1"/>
    </xf>
    <xf numFmtId="0" fontId="0" fillId="0" borderId="136" xfId="0" applyBorder="1" applyAlignment="1">
      <alignment horizontal="left" vertical="top" wrapText="1"/>
    </xf>
    <xf numFmtId="38" fontId="0" fillId="0" borderId="136" xfId="0" applyNumberFormat="1" applyBorder="1" applyAlignment="1">
      <alignment horizontal="right" vertical="top" wrapText="1"/>
    </xf>
    <xf numFmtId="38" fontId="0" fillId="58" borderId="136" xfId="0" applyNumberFormat="1" applyFill="1" applyBorder="1" applyAlignment="1">
      <alignment horizontal="right" vertical="top" wrapText="1"/>
    </xf>
    <xf numFmtId="0" fontId="17" fillId="0" borderId="163" xfId="0" applyFont="1" applyBorder="1" applyAlignment="1">
      <alignment horizontal="justify" vertical="top" wrapText="1"/>
    </xf>
    <xf numFmtId="0" fontId="16" fillId="0" borderId="164" xfId="0" applyFont="1" applyBorder="1" applyAlignment="1">
      <alignment horizontal="center" vertical="top" wrapText="1"/>
    </xf>
    <xf numFmtId="0" fontId="16" fillId="0" borderId="165" xfId="0" applyFont="1" applyBorder="1" applyAlignment="1">
      <alignment horizontal="center" vertical="top" wrapText="1"/>
    </xf>
    <xf numFmtId="0" fontId="128" fillId="0" borderId="164" xfId="0" applyFont="1" applyBorder="1" applyAlignment="1">
      <alignment horizontal="right" vertical="top" wrapText="1"/>
    </xf>
    <xf numFmtId="0" fontId="0" fillId="0" borderId="165" xfId="0" applyBorder="1" applyAlignment="1">
      <alignment horizontal="left" vertical="top" wrapText="1"/>
    </xf>
    <xf numFmtId="38" fontId="128" fillId="0" borderId="165" xfId="0" applyNumberFormat="1" applyFont="1" applyBorder="1" applyAlignment="1">
      <alignment horizontal="right" vertical="top" wrapText="1"/>
    </xf>
    <xf numFmtId="0" fontId="0" fillId="0" borderId="0" xfId="0" applyAlignment="1">
      <alignment horizontal="justify" vertical="top" wrapText="1"/>
    </xf>
    <xf numFmtId="0" fontId="0" fillId="0" borderId="0" xfId="0" applyAlignment="1">
      <alignment horizontal="center" vertical="top" wrapText="1"/>
    </xf>
    <xf numFmtId="0" fontId="0" fillId="0" borderId="0" xfId="0" applyAlignment="1">
      <alignment horizontal="left" vertical="top" wrapText="1"/>
    </xf>
    <xf numFmtId="38" fontId="0" fillId="0" borderId="0" xfId="0" applyNumberFormat="1" applyAlignment="1">
      <alignment horizontal="right" vertical="top" wrapText="1"/>
    </xf>
    <xf numFmtId="0" fontId="16" fillId="0" borderId="0" xfId="0" applyFont="1" applyAlignment="1">
      <alignment horizontal="right" vertical="top" wrapText="1"/>
    </xf>
    <xf numFmtId="38" fontId="128" fillId="0" borderId="166" xfId="0" applyNumberFormat="1" applyFont="1" applyBorder="1" applyAlignment="1">
      <alignment horizontal="right" vertical="top" wrapText="1"/>
    </xf>
    <xf numFmtId="0" fontId="0" fillId="61" borderId="140" xfId="0" applyFill="1" applyBorder="1" applyAlignment="1">
      <alignment horizontal="left" vertical="top"/>
    </xf>
    <xf numFmtId="38" fontId="0" fillId="61" borderId="140" xfId="201" applyNumberFormat="1" applyFont="1" applyFill="1" applyBorder="1"/>
    <xf numFmtId="38" fontId="0" fillId="61" borderId="140" xfId="201" applyNumberFormat="1" applyFont="1" applyFill="1" applyBorder="1" applyAlignment="1">
      <alignment horizontal="left"/>
    </xf>
    <xf numFmtId="38" fontId="0" fillId="0" borderId="0" xfId="201" applyNumberFormat="1" applyFont="1"/>
    <xf numFmtId="38" fontId="0" fillId="0" borderId="0" xfId="201" applyNumberFormat="1" applyFont="1" applyAlignment="1">
      <alignment horizontal="left"/>
    </xf>
    <xf numFmtId="0" fontId="134" fillId="67" borderId="160" xfId="0" applyFont="1" applyFill="1" applyBorder="1" applyAlignment="1">
      <alignment horizontal="center" wrapText="1"/>
    </xf>
    <xf numFmtId="0" fontId="134" fillId="67" borderId="157" xfId="0" applyFont="1" applyFill="1" applyBorder="1" applyAlignment="1">
      <alignment horizontal="center" wrapText="1"/>
    </xf>
    <xf numFmtId="0" fontId="134" fillId="67" borderId="161" xfId="0" applyFont="1" applyFill="1" applyBorder="1" applyAlignment="1">
      <alignment horizontal="center" wrapText="1"/>
    </xf>
    <xf numFmtId="0" fontId="134" fillId="65" borderId="159" xfId="0" applyFont="1" applyFill="1" applyBorder="1" applyAlignment="1">
      <alignment horizontal="center" wrapText="1"/>
    </xf>
    <xf numFmtId="0" fontId="134" fillId="65" borderId="158" xfId="0" applyFont="1" applyFill="1" applyBorder="1" applyAlignment="1">
      <alignment horizontal="center" wrapText="1"/>
    </xf>
    <xf numFmtId="0" fontId="134" fillId="65" borderId="167" xfId="0" applyFont="1" applyFill="1" applyBorder="1" applyAlignment="1">
      <alignment horizontal="center" wrapText="1"/>
    </xf>
    <xf numFmtId="0" fontId="134" fillId="65" borderId="161" xfId="0" applyFont="1" applyFill="1" applyBorder="1" applyAlignment="1">
      <alignment horizontal="center" wrapText="1"/>
    </xf>
    <xf numFmtId="4" fontId="134" fillId="65" borderId="167" xfId="0" quotePrefix="1" applyNumberFormat="1" applyFont="1" applyFill="1" applyBorder="1" applyAlignment="1">
      <alignment horizontal="center" wrapText="1"/>
    </xf>
    <xf numFmtId="0" fontId="134" fillId="68" borderId="167" xfId="0" applyFont="1" applyFill="1" applyBorder="1" applyAlignment="1">
      <alignment horizontal="center"/>
    </xf>
    <xf numFmtId="0" fontId="134" fillId="69" borderId="160" xfId="0" quotePrefix="1" applyFont="1" applyFill="1" applyBorder="1" applyAlignment="1">
      <alignment horizontal="center" wrapText="1"/>
    </xf>
    <xf numFmtId="38" fontId="134" fillId="69" borderId="160" xfId="201" applyNumberFormat="1" applyFont="1" applyFill="1" applyBorder="1" applyAlignment="1">
      <alignment horizontal="center" wrapText="1"/>
    </xf>
    <xf numFmtId="38" fontId="134" fillId="70" borderId="160" xfId="201" applyNumberFormat="1" applyFont="1" applyFill="1" applyBorder="1" applyAlignment="1">
      <alignment horizontal="center" wrapText="1"/>
    </xf>
    <xf numFmtId="38" fontId="134" fillId="65" borderId="160" xfId="201" applyNumberFormat="1" applyFont="1" applyFill="1" applyBorder="1" applyAlignment="1">
      <alignment horizontal="center" wrapText="1"/>
    </xf>
    <xf numFmtId="38" fontId="0" fillId="0" borderId="0" xfId="0" applyNumberFormat="1"/>
    <xf numFmtId="38" fontId="16" fillId="58" borderId="136" xfId="0" applyNumberFormat="1" applyFont="1" applyFill="1" applyBorder="1" applyAlignment="1">
      <alignment horizontal="right" vertical="top" wrapText="1"/>
    </xf>
    <xf numFmtId="9" fontId="0" fillId="0" borderId="168" xfId="182" applyFont="1" applyBorder="1" applyAlignment="1">
      <alignment horizontal="center" vertical="top" wrapText="1"/>
    </xf>
    <xf numFmtId="0" fontId="0" fillId="0" borderId="168" xfId="0" applyBorder="1" applyAlignment="1">
      <alignment horizontal="justify" vertical="top" wrapText="1"/>
    </xf>
    <xf numFmtId="9" fontId="0" fillId="0" borderId="136" xfId="182" applyFont="1" applyBorder="1" applyAlignment="1">
      <alignment horizontal="right" vertical="top" wrapText="1"/>
    </xf>
    <xf numFmtId="38" fontId="0" fillId="0" borderId="136" xfId="201" applyNumberFormat="1" applyFont="1" applyBorder="1" applyAlignment="1">
      <alignment horizontal="right" vertical="top" wrapText="1"/>
    </xf>
    <xf numFmtId="38" fontId="0" fillId="0" borderId="136" xfId="201" applyNumberFormat="1" applyFont="1" applyBorder="1" applyAlignment="1">
      <alignment horizontal="left" vertical="top" wrapText="1"/>
    </xf>
    <xf numFmtId="9" fontId="0" fillId="0" borderId="169" xfId="182" applyFont="1" applyBorder="1" applyAlignment="1">
      <alignment horizontal="center" vertical="top" wrapText="1"/>
    </xf>
    <xf numFmtId="0" fontId="128" fillId="0" borderId="169" xfId="0" applyFont="1" applyBorder="1" applyAlignment="1">
      <alignment horizontal="justify" vertical="top" wrapText="1"/>
    </xf>
    <xf numFmtId="38" fontId="128" fillId="0" borderId="165" xfId="201" applyNumberFormat="1" applyFont="1" applyBorder="1" applyAlignment="1">
      <alignment horizontal="right" vertical="top" wrapText="1"/>
    </xf>
    <xf numFmtId="38" fontId="128" fillId="0" borderId="165" xfId="201" applyNumberFormat="1" applyFont="1" applyBorder="1" applyAlignment="1">
      <alignment horizontal="left" vertical="top" wrapText="1"/>
    </xf>
    <xf numFmtId="0" fontId="0" fillId="0" borderId="168" xfId="0" quotePrefix="1" applyBorder="1" applyAlignment="1">
      <alignment horizontal="justify" vertical="top" wrapText="1"/>
    </xf>
    <xf numFmtId="4" fontId="0" fillId="0" borderId="0" xfId="0" applyNumberFormat="1" applyAlignment="1">
      <alignment horizontal="justify" vertical="top" wrapText="1"/>
    </xf>
    <xf numFmtId="204" fontId="0" fillId="0" borderId="0" xfId="0" applyNumberFormat="1" applyAlignment="1">
      <alignment vertical="top"/>
    </xf>
    <xf numFmtId="49" fontId="135" fillId="0" borderId="0" xfId="0" applyNumberFormat="1" applyFont="1"/>
    <xf numFmtId="49" fontId="0" fillId="0" borderId="0" xfId="0" applyNumberFormat="1"/>
    <xf numFmtId="0" fontId="0" fillId="71" borderId="12" xfId="0" applyFill="1" applyBorder="1" applyAlignment="1">
      <alignment horizontal="center" vertical="center"/>
    </xf>
    <xf numFmtId="0" fontId="0" fillId="71" borderId="10" xfId="0" applyFill="1" applyBorder="1" applyAlignment="1">
      <alignment horizontal="center" vertical="center"/>
    </xf>
    <xf numFmtId="0" fontId="0" fillId="71" borderId="63" xfId="0" applyFill="1" applyBorder="1" applyAlignment="1">
      <alignment horizontal="center" vertical="center"/>
    </xf>
    <xf numFmtId="0" fontId="0" fillId="71" borderId="67" xfId="0" applyFill="1" applyBorder="1" applyAlignment="1">
      <alignment horizontal="center" vertical="center"/>
    </xf>
    <xf numFmtId="0" fontId="0" fillId="71" borderId="47" xfId="0" applyFill="1" applyBorder="1" applyAlignment="1">
      <alignment horizontal="center" vertical="center"/>
    </xf>
    <xf numFmtId="0" fontId="0" fillId="57" borderId="67" xfId="0" applyFill="1" applyBorder="1" applyAlignment="1">
      <alignment vertical="center"/>
    </xf>
    <xf numFmtId="0" fontId="0" fillId="57" borderId="10" xfId="0" applyFill="1" applyBorder="1" applyAlignment="1">
      <alignment horizontal="left" vertical="center"/>
    </xf>
    <xf numFmtId="0" fontId="0" fillId="57" borderId="11" xfId="0" applyFill="1" applyBorder="1" applyAlignment="1">
      <alignment horizontal="left" vertical="center"/>
    </xf>
    <xf numFmtId="2" fontId="0" fillId="0" borderId="12" xfId="0" applyNumberFormat="1" applyBorder="1" applyAlignment="1">
      <alignment horizontal="center" vertical="center"/>
    </xf>
    <xf numFmtId="2" fontId="0" fillId="0" borderId="10" xfId="0" applyNumberFormat="1" applyBorder="1" applyAlignment="1">
      <alignment horizontal="center" vertical="center"/>
    </xf>
    <xf numFmtId="199" fontId="1" fillId="10" borderId="77" xfId="19" applyNumberFormat="1" applyBorder="1" applyAlignment="1">
      <alignment horizontal="center" vertical="center"/>
    </xf>
    <xf numFmtId="199" fontId="0" fillId="0" borderId="92" xfId="0" applyNumberFormat="1" applyBorder="1" applyAlignment="1">
      <alignment horizontal="center" vertical="center"/>
    </xf>
    <xf numFmtId="199" fontId="1" fillId="10" borderId="13" xfId="19" applyNumberFormat="1" applyBorder="1" applyAlignment="1">
      <alignment horizontal="center" vertical="center"/>
    </xf>
    <xf numFmtId="199" fontId="0" fillId="0" borderId="93" xfId="0" applyNumberFormat="1" applyBorder="1" applyAlignment="1">
      <alignment horizontal="center" vertical="center"/>
    </xf>
    <xf numFmtId="199" fontId="0" fillId="0" borderId="95" xfId="0" applyNumberFormat="1" applyBorder="1" applyAlignment="1">
      <alignment horizontal="center" vertical="center"/>
    </xf>
    <xf numFmtId="199" fontId="1" fillId="10" borderId="80" xfId="19" applyNumberFormat="1" applyBorder="1" applyAlignment="1">
      <alignment horizontal="center" vertical="center"/>
    </xf>
    <xf numFmtId="199" fontId="0" fillId="0" borderId="94" xfId="0" applyNumberFormat="1" applyBorder="1" applyAlignment="1">
      <alignment horizontal="center" vertical="center"/>
    </xf>
    <xf numFmtId="4" fontId="0" fillId="0" borderId="12" xfId="0" applyNumberFormat="1" applyBorder="1" applyAlignment="1">
      <alignment horizontal="center" vertical="center"/>
    </xf>
    <xf numFmtId="10" fontId="0" fillId="60" borderId="69" xfId="0" applyNumberFormat="1" applyFill="1" applyBorder="1" applyAlignment="1">
      <alignment horizontal="center" vertical="center"/>
    </xf>
    <xf numFmtId="0" fontId="0" fillId="0" borderId="115" xfId="0" applyBorder="1" applyAlignment="1">
      <alignment horizontal="center" vertical="center"/>
    </xf>
    <xf numFmtId="0" fontId="0" fillId="60" borderId="10" xfId="0" applyFill="1" applyBorder="1" applyAlignment="1">
      <alignment horizontal="center" vertical="center"/>
    </xf>
    <xf numFmtId="0" fontId="0" fillId="60" borderId="12" xfId="0" applyFill="1" applyBorder="1" applyAlignment="1">
      <alignment horizontal="center" vertical="center"/>
    </xf>
    <xf numFmtId="0" fontId="0" fillId="60" borderId="30" xfId="0" applyFill="1" applyBorder="1" applyAlignment="1">
      <alignment horizontal="center" vertical="center"/>
    </xf>
    <xf numFmtId="0" fontId="109" fillId="0" borderId="0" xfId="0" applyFont="1" applyAlignment="1">
      <alignment horizontal="left" vertical="center" wrapText="1"/>
    </xf>
    <xf numFmtId="0" fontId="23" fillId="0" borderId="0" xfId="2157" applyAlignment="1">
      <alignment horizontal="left" vertical="top" wrapText="1"/>
    </xf>
    <xf numFmtId="0" fontId="109" fillId="0" borderId="0" xfId="0" applyFont="1" applyAlignment="1">
      <alignment horizontal="left" wrapText="1"/>
    </xf>
    <xf numFmtId="0" fontId="118" fillId="0" borderId="174" xfId="0" applyFont="1" applyBorder="1" applyAlignment="1">
      <alignment horizontal="right"/>
    </xf>
    <xf numFmtId="0" fontId="118" fillId="0" borderId="175" xfId="0" applyFont="1" applyBorder="1" applyAlignment="1">
      <alignment horizontal="right"/>
    </xf>
    <xf numFmtId="0" fontId="118" fillId="0" borderId="176" xfId="0" applyFont="1" applyBorder="1" applyAlignment="1">
      <alignment horizontal="right"/>
    </xf>
    <xf numFmtId="0" fontId="0" fillId="0" borderId="177" xfId="0" applyBorder="1"/>
    <xf numFmtId="0" fontId="0" fillId="0" borderId="177" xfId="0" applyBorder="1" applyAlignment="1">
      <alignment horizontal="left"/>
    </xf>
    <xf numFmtId="0" fontId="0" fillId="0" borderId="178" xfId="0" applyBorder="1" applyAlignment="1">
      <alignment horizontal="left"/>
    </xf>
    <xf numFmtId="0" fontId="0" fillId="0" borderId="177" xfId="0" applyBorder="1" applyAlignment="1">
      <alignment horizontal="right"/>
    </xf>
    <xf numFmtId="0" fontId="0" fillId="0" borderId="178" xfId="0" applyBorder="1"/>
    <xf numFmtId="3" fontId="0" fillId="0" borderId="178" xfId="0" applyNumberFormat="1" applyBorder="1"/>
    <xf numFmtId="201" fontId="0" fillId="0" borderId="178" xfId="0" applyNumberFormat="1" applyBorder="1"/>
  </cellXfs>
  <cellStyles count="2814">
    <cellStyle name="$/day" xfId="1312" xr:uid="{00000000-0005-0000-0000-000000000000}"/>
    <cellStyle name="$/day 2" xfId="1347" xr:uid="{00000000-0005-0000-0000-000001000000}"/>
    <cellStyle name="$/day 3" xfId="1378" xr:uid="{00000000-0005-0000-0000-000002000000}"/>
    <cellStyle name="$/day 4" xfId="1405" xr:uid="{00000000-0005-0000-0000-000003000000}"/>
    <cellStyle name="$/day 5" xfId="1432" xr:uid="{00000000-0005-0000-0000-000004000000}"/>
    <cellStyle name="$/day 6" xfId="1648" xr:uid="{00000000-0005-0000-0000-000005000000}"/>
    <cellStyle name="$/day 6 2" xfId="1682" xr:uid="{00000000-0005-0000-0000-000006000000}"/>
    <cellStyle name="$/hr" xfId="1313" xr:uid="{00000000-0005-0000-0000-000007000000}"/>
    <cellStyle name="$/hr 2" xfId="1348" xr:uid="{00000000-0005-0000-0000-000008000000}"/>
    <cellStyle name="$/hr 3" xfId="1379" xr:uid="{00000000-0005-0000-0000-000009000000}"/>
    <cellStyle name="$/hr 4" xfId="1406" xr:uid="{00000000-0005-0000-0000-00000A000000}"/>
    <cellStyle name="$/hr 5" xfId="1433" xr:uid="{00000000-0005-0000-0000-00000B000000}"/>
    <cellStyle name="$/hr 6" xfId="1649" xr:uid="{00000000-0005-0000-0000-00000C000000}"/>
    <cellStyle name="$/hr 6 2" xfId="1683" xr:uid="{00000000-0005-0000-0000-00000D000000}"/>
    <cellStyle name="$/m" xfId="1314" xr:uid="{00000000-0005-0000-0000-00000E000000}"/>
    <cellStyle name="$/m 2" xfId="1349" xr:uid="{00000000-0005-0000-0000-00000F000000}"/>
    <cellStyle name="$/m 3" xfId="1380" xr:uid="{00000000-0005-0000-0000-000010000000}"/>
    <cellStyle name="$/m 4" xfId="1407" xr:uid="{00000000-0005-0000-0000-000011000000}"/>
    <cellStyle name="$/m 5" xfId="1434" xr:uid="{00000000-0005-0000-0000-000012000000}"/>
    <cellStyle name="$/m 6" xfId="1650" xr:uid="{00000000-0005-0000-0000-000013000000}"/>
    <cellStyle name="$/m 6 2" xfId="1684" xr:uid="{00000000-0005-0000-0000-000014000000}"/>
    <cellStyle name="20% - Accent1" xfId="19" builtinId="30" customBuiltin="1"/>
    <cellStyle name="20% - Accent1 2" xfId="250" xr:uid="{00000000-0005-0000-0000-000016000000}"/>
    <cellStyle name="20% - Accent1 2 2" xfId="282" xr:uid="{00000000-0005-0000-0000-000017000000}"/>
    <cellStyle name="20% - Accent1 2 2 2" xfId="1482" xr:uid="{00000000-0005-0000-0000-000018000000}"/>
    <cellStyle name="20% - Accent1 2 2 2 2" xfId="2090" xr:uid="{00000000-0005-0000-0000-000019000000}"/>
    <cellStyle name="20% - Accent1 2 3" xfId="1178" xr:uid="{00000000-0005-0000-0000-00001A000000}"/>
    <cellStyle name="20% - Accent1 2 3 2" xfId="1512" xr:uid="{00000000-0005-0000-0000-00001B000000}"/>
    <cellStyle name="20% - Accent1 2 3 3" xfId="1616" xr:uid="{00000000-0005-0000-0000-00001C000000}"/>
    <cellStyle name="20% - Accent1 3" xfId="283" xr:uid="{00000000-0005-0000-0000-00001D000000}"/>
    <cellStyle name="20% - Accent1 3 2" xfId="1179" xr:uid="{00000000-0005-0000-0000-00001E000000}"/>
    <cellStyle name="20% - Accent1 3 2 2" xfId="1627" xr:uid="{00000000-0005-0000-0000-00001F000000}"/>
    <cellStyle name="20% - Accent1 3 2 3" xfId="1748" xr:uid="{00000000-0005-0000-0000-000020000000}"/>
    <cellStyle name="20% - Accent1 4" xfId="2127" xr:uid="{00000000-0005-0000-0000-000021000000}"/>
    <cellStyle name="20% - Accent2" xfId="23" builtinId="34" customBuiltin="1"/>
    <cellStyle name="20% - Accent2 2" xfId="284" xr:uid="{00000000-0005-0000-0000-000023000000}"/>
    <cellStyle name="20% - Accent2 2 2" xfId="285" xr:uid="{00000000-0005-0000-0000-000024000000}"/>
    <cellStyle name="20% - Accent2 2 2 2" xfId="1484" xr:uid="{00000000-0005-0000-0000-000025000000}"/>
    <cellStyle name="20% - Accent2 2 2 2 2" xfId="2092" xr:uid="{00000000-0005-0000-0000-000026000000}"/>
    <cellStyle name="20% - Accent2 2 3" xfId="1180" xr:uid="{00000000-0005-0000-0000-000027000000}"/>
    <cellStyle name="20% - Accent2 2 3 2" xfId="1592" xr:uid="{00000000-0005-0000-0000-000028000000}"/>
    <cellStyle name="20% - Accent2 2 3 3" xfId="1548" xr:uid="{00000000-0005-0000-0000-000029000000}"/>
    <cellStyle name="20% - Accent2 3" xfId="286" xr:uid="{00000000-0005-0000-0000-00002A000000}"/>
    <cellStyle name="20% - Accent2 3 2" xfId="1181" xr:uid="{00000000-0005-0000-0000-00002B000000}"/>
    <cellStyle name="20% - Accent2 3 2 2" xfId="1554" xr:uid="{00000000-0005-0000-0000-00002C000000}"/>
    <cellStyle name="20% - Accent2 3 2 3" xfId="1610" xr:uid="{00000000-0005-0000-0000-00002D000000}"/>
    <cellStyle name="20% - Accent2 4" xfId="2131" xr:uid="{00000000-0005-0000-0000-00002E000000}"/>
    <cellStyle name="20% - Accent3" xfId="27" builtinId="38" customBuiltin="1"/>
    <cellStyle name="20% - Accent3 2" xfId="287" xr:uid="{00000000-0005-0000-0000-000030000000}"/>
    <cellStyle name="20% - Accent3 2 2" xfId="288" xr:uid="{00000000-0005-0000-0000-000031000000}"/>
    <cellStyle name="20% - Accent3 2 2 2" xfId="1486" xr:uid="{00000000-0005-0000-0000-000032000000}"/>
    <cellStyle name="20% - Accent3 2 2 2 2" xfId="2094" xr:uid="{00000000-0005-0000-0000-000033000000}"/>
    <cellStyle name="20% - Accent3 2 3" xfId="1182" xr:uid="{00000000-0005-0000-0000-000034000000}"/>
    <cellStyle name="20% - Accent3 2 3 2" xfId="1575" xr:uid="{00000000-0005-0000-0000-000035000000}"/>
    <cellStyle name="20% - Accent3 2 3 3" xfId="1513" xr:uid="{00000000-0005-0000-0000-000036000000}"/>
    <cellStyle name="20% - Accent3 3" xfId="289" xr:uid="{00000000-0005-0000-0000-000037000000}"/>
    <cellStyle name="20% - Accent3 3 2" xfId="1183" xr:uid="{00000000-0005-0000-0000-000038000000}"/>
    <cellStyle name="20% - Accent3 3 2 2" xfId="1595" xr:uid="{00000000-0005-0000-0000-000039000000}"/>
    <cellStyle name="20% - Accent3 3 2 3" xfId="1749" xr:uid="{00000000-0005-0000-0000-00003A000000}"/>
    <cellStyle name="20% - Accent3 4" xfId="2135" xr:uid="{00000000-0005-0000-0000-00003B000000}"/>
    <cellStyle name="20% - Accent4" xfId="31" builtinId="42" customBuiltin="1"/>
    <cellStyle name="20% - Accent4 2" xfId="290" xr:uid="{00000000-0005-0000-0000-00003D000000}"/>
    <cellStyle name="20% - Accent4 2 2" xfId="291" xr:uid="{00000000-0005-0000-0000-00003E000000}"/>
    <cellStyle name="20% - Accent4 2 2 2" xfId="1488" xr:uid="{00000000-0005-0000-0000-00003F000000}"/>
    <cellStyle name="20% - Accent4 2 2 2 2" xfId="2096" xr:uid="{00000000-0005-0000-0000-000040000000}"/>
    <cellStyle name="20% - Accent4 2 3" xfId="1184" xr:uid="{00000000-0005-0000-0000-000041000000}"/>
    <cellStyle name="20% - Accent4 2 3 2" xfId="1557" xr:uid="{00000000-0005-0000-0000-000042000000}"/>
    <cellStyle name="20% - Accent4 2 3 3" xfId="1540" xr:uid="{00000000-0005-0000-0000-000043000000}"/>
    <cellStyle name="20% - Accent4 3" xfId="292" xr:uid="{00000000-0005-0000-0000-000044000000}"/>
    <cellStyle name="20% - Accent4 3 2" xfId="1185" xr:uid="{00000000-0005-0000-0000-000045000000}"/>
    <cellStyle name="20% - Accent4 3 2 2" xfId="1541" xr:uid="{00000000-0005-0000-0000-000046000000}"/>
    <cellStyle name="20% - Accent4 3 2 3" xfId="1599" xr:uid="{00000000-0005-0000-0000-000047000000}"/>
    <cellStyle name="20% - Accent4 4" xfId="2139" xr:uid="{00000000-0005-0000-0000-000048000000}"/>
    <cellStyle name="20% - Accent5" xfId="35" builtinId="46" customBuiltin="1"/>
    <cellStyle name="20% - Accent5 2" xfId="293" xr:uid="{00000000-0005-0000-0000-00004A000000}"/>
    <cellStyle name="20% - Accent5 2 2" xfId="294" xr:uid="{00000000-0005-0000-0000-00004B000000}"/>
    <cellStyle name="20% - Accent5 2 2 2" xfId="1490" xr:uid="{00000000-0005-0000-0000-00004C000000}"/>
    <cellStyle name="20% - Accent5 2 2 2 2" xfId="2098" xr:uid="{00000000-0005-0000-0000-00004D000000}"/>
    <cellStyle name="20% - Accent5 2 3" xfId="1186" xr:uid="{00000000-0005-0000-0000-00004E000000}"/>
    <cellStyle name="20% - Accent5 2 3 2" xfId="1754" xr:uid="{00000000-0005-0000-0000-00004F000000}"/>
    <cellStyle name="20% - Accent5 2 3 3" xfId="1549" xr:uid="{00000000-0005-0000-0000-000050000000}"/>
    <cellStyle name="20% - Accent5 3" xfId="295" xr:uid="{00000000-0005-0000-0000-000051000000}"/>
    <cellStyle name="20% - Accent5 3 2" xfId="1187" xr:uid="{00000000-0005-0000-0000-000052000000}"/>
    <cellStyle name="20% - Accent5 3 2 2" xfId="1755" xr:uid="{00000000-0005-0000-0000-000053000000}"/>
    <cellStyle name="20% - Accent5 3 2 3" xfId="1562" xr:uid="{00000000-0005-0000-0000-000054000000}"/>
    <cellStyle name="20% - Accent5 4" xfId="2143" xr:uid="{00000000-0005-0000-0000-000055000000}"/>
    <cellStyle name="20% - Accent6" xfId="39" builtinId="50" customBuiltin="1"/>
    <cellStyle name="20% - Accent6 2" xfId="296" xr:uid="{00000000-0005-0000-0000-000057000000}"/>
    <cellStyle name="20% - Accent6 2 2" xfId="297" xr:uid="{00000000-0005-0000-0000-000058000000}"/>
    <cellStyle name="20% - Accent6 2 2 2" xfId="1492" xr:uid="{00000000-0005-0000-0000-000059000000}"/>
    <cellStyle name="20% - Accent6 2 2 2 2" xfId="2100" xr:uid="{00000000-0005-0000-0000-00005A000000}"/>
    <cellStyle name="20% - Accent6 2 3" xfId="1188" xr:uid="{00000000-0005-0000-0000-00005B000000}"/>
    <cellStyle name="20% - Accent6 2 3 2" xfId="1756" xr:uid="{00000000-0005-0000-0000-00005C000000}"/>
    <cellStyle name="20% - Accent6 2 3 3" xfId="1743" xr:uid="{00000000-0005-0000-0000-00005D000000}"/>
    <cellStyle name="20% - Accent6 3" xfId="298" xr:uid="{00000000-0005-0000-0000-00005E000000}"/>
    <cellStyle name="20% - Accent6 3 2" xfId="1189" xr:uid="{00000000-0005-0000-0000-00005F000000}"/>
    <cellStyle name="20% - Accent6 3 2 2" xfId="1757" xr:uid="{00000000-0005-0000-0000-000060000000}"/>
    <cellStyle name="20% - Accent6 3 2 3" xfId="1538" xr:uid="{00000000-0005-0000-0000-000061000000}"/>
    <cellStyle name="20% - Accent6 4" xfId="2147" xr:uid="{00000000-0005-0000-0000-000062000000}"/>
    <cellStyle name="40% - Accent1" xfId="20" builtinId="31" customBuiltin="1"/>
    <cellStyle name="40% - Accent1 2" xfId="299" xr:uid="{00000000-0005-0000-0000-000064000000}"/>
    <cellStyle name="40% - Accent1 2 2" xfId="300" xr:uid="{00000000-0005-0000-0000-000065000000}"/>
    <cellStyle name="40% - Accent1 2 2 2" xfId="1483" xr:uid="{00000000-0005-0000-0000-000066000000}"/>
    <cellStyle name="40% - Accent1 2 2 2 2" xfId="2091" xr:uid="{00000000-0005-0000-0000-000067000000}"/>
    <cellStyle name="40% - Accent1 2 3" xfId="1190" xr:uid="{00000000-0005-0000-0000-000068000000}"/>
    <cellStyle name="40% - Accent1 2 3 2" xfId="1758" xr:uid="{00000000-0005-0000-0000-000069000000}"/>
    <cellStyle name="40% - Accent1 2 3 3" xfId="1635" xr:uid="{00000000-0005-0000-0000-00006A000000}"/>
    <cellStyle name="40% - Accent1 3" xfId="301" xr:uid="{00000000-0005-0000-0000-00006B000000}"/>
    <cellStyle name="40% - Accent1 3 2" xfId="1191" xr:uid="{00000000-0005-0000-0000-00006C000000}"/>
    <cellStyle name="40% - Accent1 3 2 2" xfId="1759" xr:uid="{00000000-0005-0000-0000-00006D000000}"/>
    <cellStyle name="40% - Accent1 3 2 3" xfId="1753" xr:uid="{00000000-0005-0000-0000-00006E000000}"/>
    <cellStyle name="40% - Accent1 4" xfId="2128" xr:uid="{00000000-0005-0000-0000-00006F000000}"/>
    <cellStyle name="40% - Accent2" xfId="24" builtinId="35" customBuiltin="1"/>
    <cellStyle name="40% - Accent2 2" xfId="302" xr:uid="{00000000-0005-0000-0000-000071000000}"/>
    <cellStyle name="40% - Accent2 2 2" xfId="303" xr:uid="{00000000-0005-0000-0000-000072000000}"/>
    <cellStyle name="40% - Accent2 2 2 2" xfId="1485" xr:uid="{00000000-0005-0000-0000-000073000000}"/>
    <cellStyle name="40% - Accent2 2 2 2 2" xfId="2093" xr:uid="{00000000-0005-0000-0000-000074000000}"/>
    <cellStyle name="40% - Accent2 2 3" xfId="1192" xr:uid="{00000000-0005-0000-0000-000075000000}"/>
    <cellStyle name="40% - Accent2 2 3 2" xfId="1760" xr:uid="{00000000-0005-0000-0000-000076000000}"/>
    <cellStyle name="40% - Accent2 2 3 3" xfId="1520" xr:uid="{00000000-0005-0000-0000-000077000000}"/>
    <cellStyle name="40% - Accent2 3" xfId="304" xr:uid="{00000000-0005-0000-0000-000078000000}"/>
    <cellStyle name="40% - Accent2 3 2" xfId="1193" xr:uid="{00000000-0005-0000-0000-000079000000}"/>
    <cellStyle name="40% - Accent2 3 2 2" xfId="1761" xr:uid="{00000000-0005-0000-0000-00007A000000}"/>
    <cellStyle name="40% - Accent2 3 2 3" xfId="1629" xr:uid="{00000000-0005-0000-0000-00007B000000}"/>
    <cellStyle name="40% - Accent2 4" xfId="2132" xr:uid="{00000000-0005-0000-0000-00007C000000}"/>
    <cellStyle name="40% - Accent3" xfId="28" builtinId="39" customBuiltin="1"/>
    <cellStyle name="40% - Accent3 2" xfId="305" xr:uid="{00000000-0005-0000-0000-00007E000000}"/>
    <cellStyle name="40% - Accent3 2 2" xfId="306" xr:uid="{00000000-0005-0000-0000-00007F000000}"/>
    <cellStyle name="40% - Accent3 2 2 2" xfId="1487" xr:uid="{00000000-0005-0000-0000-000080000000}"/>
    <cellStyle name="40% - Accent3 2 2 2 2" xfId="2095" xr:uid="{00000000-0005-0000-0000-000081000000}"/>
    <cellStyle name="40% - Accent3 2 3" xfId="1194" xr:uid="{00000000-0005-0000-0000-000082000000}"/>
    <cellStyle name="40% - Accent3 2 3 2" xfId="1762" xr:uid="{00000000-0005-0000-0000-000083000000}"/>
    <cellStyle name="40% - Accent3 2 3 3" xfId="1626" xr:uid="{00000000-0005-0000-0000-000084000000}"/>
    <cellStyle name="40% - Accent3 3" xfId="307" xr:uid="{00000000-0005-0000-0000-000085000000}"/>
    <cellStyle name="40% - Accent3 3 2" xfId="1195" xr:uid="{00000000-0005-0000-0000-000086000000}"/>
    <cellStyle name="40% - Accent3 3 2 2" xfId="1763" xr:uid="{00000000-0005-0000-0000-000087000000}"/>
    <cellStyle name="40% - Accent3 3 2 3" xfId="1588" xr:uid="{00000000-0005-0000-0000-000088000000}"/>
    <cellStyle name="40% - Accent3 4" xfId="2136" xr:uid="{00000000-0005-0000-0000-000089000000}"/>
    <cellStyle name="40% - Accent4" xfId="32" builtinId="43" customBuiltin="1"/>
    <cellStyle name="40% - Accent4 2" xfId="308" xr:uid="{00000000-0005-0000-0000-00008B000000}"/>
    <cellStyle name="40% - Accent4 2 2" xfId="309" xr:uid="{00000000-0005-0000-0000-00008C000000}"/>
    <cellStyle name="40% - Accent4 2 2 2" xfId="1489" xr:uid="{00000000-0005-0000-0000-00008D000000}"/>
    <cellStyle name="40% - Accent4 2 2 2 2" xfId="2097" xr:uid="{00000000-0005-0000-0000-00008E000000}"/>
    <cellStyle name="40% - Accent4 2 3" xfId="1196" xr:uid="{00000000-0005-0000-0000-00008F000000}"/>
    <cellStyle name="40% - Accent4 2 3 2" xfId="1764" xr:uid="{00000000-0005-0000-0000-000090000000}"/>
    <cellStyle name="40% - Accent4 2 3 3" xfId="1544" xr:uid="{00000000-0005-0000-0000-000091000000}"/>
    <cellStyle name="40% - Accent4 3" xfId="310" xr:uid="{00000000-0005-0000-0000-000092000000}"/>
    <cellStyle name="40% - Accent4 3 2" xfId="1197" xr:uid="{00000000-0005-0000-0000-000093000000}"/>
    <cellStyle name="40% - Accent4 3 2 2" xfId="1765" xr:uid="{00000000-0005-0000-0000-000094000000}"/>
    <cellStyle name="40% - Accent4 3 2 3" xfId="1615" xr:uid="{00000000-0005-0000-0000-000095000000}"/>
    <cellStyle name="40% - Accent4 4" xfId="2140" xr:uid="{00000000-0005-0000-0000-000096000000}"/>
    <cellStyle name="40% - Accent5" xfId="36" builtinId="47" customBuiltin="1"/>
    <cellStyle name="40% - Accent5 2" xfId="311" xr:uid="{00000000-0005-0000-0000-000098000000}"/>
    <cellStyle name="40% - Accent5 2 2" xfId="312" xr:uid="{00000000-0005-0000-0000-000099000000}"/>
    <cellStyle name="40% - Accent5 2 2 2" xfId="1491" xr:uid="{00000000-0005-0000-0000-00009A000000}"/>
    <cellStyle name="40% - Accent5 2 2 2 2" xfId="2099" xr:uid="{00000000-0005-0000-0000-00009B000000}"/>
    <cellStyle name="40% - Accent5 2 3" xfId="1198" xr:uid="{00000000-0005-0000-0000-00009C000000}"/>
    <cellStyle name="40% - Accent5 2 3 2" xfId="1766" xr:uid="{00000000-0005-0000-0000-00009D000000}"/>
    <cellStyle name="40% - Accent5 2 3 3" xfId="1603" xr:uid="{00000000-0005-0000-0000-00009E000000}"/>
    <cellStyle name="40% - Accent5 3" xfId="313" xr:uid="{00000000-0005-0000-0000-00009F000000}"/>
    <cellStyle name="40% - Accent5 3 2" xfId="1199" xr:uid="{00000000-0005-0000-0000-0000A0000000}"/>
    <cellStyle name="40% - Accent5 3 2 2" xfId="1767" xr:uid="{00000000-0005-0000-0000-0000A1000000}"/>
    <cellStyle name="40% - Accent5 3 2 3" xfId="1613" xr:uid="{00000000-0005-0000-0000-0000A2000000}"/>
    <cellStyle name="40% - Accent5 4" xfId="2144" xr:uid="{00000000-0005-0000-0000-0000A3000000}"/>
    <cellStyle name="40% - Accent6" xfId="40" builtinId="51" customBuiltin="1"/>
    <cellStyle name="40% - Accent6 2" xfId="314" xr:uid="{00000000-0005-0000-0000-0000A5000000}"/>
    <cellStyle name="40% - Accent6 2 2" xfId="315" xr:uid="{00000000-0005-0000-0000-0000A6000000}"/>
    <cellStyle name="40% - Accent6 2 2 2" xfId="1493" xr:uid="{00000000-0005-0000-0000-0000A7000000}"/>
    <cellStyle name="40% - Accent6 2 2 2 2" xfId="2101" xr:uid="{00000000-0005-0000-0000-0000A8000000}"/>
    <cellStyle name="40% - Accent6 2 3" xfId="1200" xr:uid="{00000000-0005-0000-0000-0000A9000000}"/>
    <cellStyle name="40% - Accent6 2 3 2" xfId="1768" xr:uid="{00000000-0005-0000-0000-0000AA000000}"/>
    <cellStyle name="40% - Accent6 2 3 3" xfId="1514" xr:uid="{00000000-0005-0000-0000-0000AB000000}"/>
    <cellStyle name="40% - Accent6 3" xfId="316" xr:uid="{00000000-0005-0000-0000-0000AC000000}"/>
    <cellStyle name="40% - Accent6 3 2" xfId="1201" xr:uid="{00000000-0005-0000-0000-0000AD000000}"/>
    <cellStyle name="40% - Accent6 3 2 2" xfId="1769" xr:uid="{00000000-0005-0000-0000-0000AE000000}"/>
    <cellStyle name="40% - Accent6 3 2 3" xfId="1537" xr:uid="{00000000-0005-0000-0000-0000AF000000}"/>
    <cellStyle name="40% - Accent6 4" xfId="2148" xr:uid="{00000000-0005-0000-0000-0000B0000000}"/>
    <cellStyle name="60% - Accent1" xfId="21" builtinId="32" customBuiltin="1"/>
    <cellStyle name="60% - Accent1 2" xfId="317" xr:uid="{00000000-0005-0000-0000-0000B2000000}"/>
    <cellStyle name="60% - Accent1 2 2" xfId="318" xr:uid="{00000000-0005-0000-0000-0000B3000000}"/>
    <cellStyle name="60% - Accent1 2 3" xfId="1202" xr:uid="{00000000-0005-0000-0000-0000B4000000}"/>
    <cellStyle name="60% - Accent1 2 3 2" xfId="1770" xr:uid="{00000000-0005-0000-0000-0000B5000000}"/>
    <cellStyle name="60% - Accent1 2 3 3" xfId="1555" xr:uid="{00000000-0005-0000-0000-0000B6000000}"/>
    <cellStyle name="60% - Accent1 3" xfId="319" xr:uid="{00000000-0005-0000-0000-0000B7000000}"/>
    <cellStyle name="60% - Accent1 4" xfId="2129" xr:uid="{00000000-0005-0000-0000-0000B8000000}"/>
    <cellStyle name="60% - Accent2" xfId="25" builtinId="36" customBuiltin="1"/>
    <cellStyle name="60% - Accent2 2" xfId="320" xr:uid="{00000000-0005-0000-0000-0000BA000000}"/>
    <cellStyle name="60% - Accent2 2 2" xfId="321" xr:uid="{00000000-0005-0000-0000-0000BB000000}"/>
    <cellStyle name="60% - Accent2 2 3" xfId="1203" xr:uid="{00000000-0005-0000-0000-0000BC000000}"/>
    <cellStyle name="60% - Accent2 2 3 2" xfId="1771" xr:uid="{00000000-0005-0000-0000-0000BD000000}"/>
    <cellStyle name="60% - Accent2 2 3 3" xfId="1543" xr:uid="{00000000-0005-0000-0000-0000BE000000}"/>
    <cellStyle name="60% - Accent2 3" xfId="322" xr:uid="{00000000-0005-0000-0000-0000BF000000}"/>
    <cellStyle name="60% - Accent2 4" xfId="2133" xr:uid="{00000000-0005-0000-0000-0000C0000000}"/>
    <cellStyle name="60% - Accent3" xfId="29" builtinId="40" customBuiltin="1"/>
    <cellStyle name="60% - Accent3 2" xfId="323" xr:uid="{00000000-0005-0000-0000-0000C2000000}"/>
    <cellStyle name="60% - Accent3 2 2" xfId="324" xr:uid="{00000000-0005-0000-0000-0000C3000000}"/>
    <cellStyle name="60% - Accent3 2 3" xfId="1204" xr:uid="{00000000-0005-0000-0000-0000C4000000}"/>
    <cellStyle name="60% - Accent3 2 3 2" xfId="1772" xr:uid="{00000000-0005-0000-0000-0000C5000000}"/>
    <cellStyle name="60% - Accent3 2 3 3" xfId="1745" xr:uid="{00000000-0005-0000-0000-0000C6000000}"/>
    <cellStyle name="60% - Accent3 3" xfId="325" xr:uid="{00000000-0005-0000-0000-0000C7000000}"/>
    <cellStyle name="60% - Accent3 4" xfId="2137" xr:uid="{00000000-0005-0000-0000-0000C8000000}"/>
    <cellStyle name="60% - Accent4" xfId="33" builtinId="44" customBuiltin="1"/>
    <cellStyle name="60% - Accent4 2" xfId="326" xr:uid="{00000000-0005-0000-0000-0000CA000000}"/>
    <cellStyle name="60% - Accent4 2 2" xfId="327" xr:uid="{00000000-0005-0000-0000-0000CB000000}"/>
    <cellStyle name="60% - Accent4 2 3" xfId="1205" xr:uid="{00000000-0005-0000-0000-0000CC000000}"/>
    <cellStyle name="60% - Accent4 2 3 2" xfId="1773" xr:uid="{00000000-0005-0000-0000-0000CD000000}"/>
    <cellStyle name="60% - Accent4 2 3 3" xfId="1577" xr:uid="{00000000-0005-0000-0000-0000CE000000}"/>
    <cellStyle name="60% - Accent4 3" xfId="328" xr:uid="{00000000-0005-0000-0000-0000CF000000}"/>
    <cellStyle name="60% - Accent4 4" xfId="2141" xr:uid="{00000000-0005-0000-0000-0000D0000000}"/>
    <cellStyle name="60% - Accent5" xfId="37" builtinId="48" customBuiltin="1"/>
    <cellStyle name="60% - Accent5 2" xfId="329" xr:uid="{00000000-0005-0000-0000-0000D2000000}"/>
    <cellStyle name="60% - Accent5 2 2" xfId="330" xr:uid="{00000000-0005-0000-0000-0000D3000000}"/>
    <cellStyle name="60% - Accent5 2 3" xfId="1206" xr:uid="{00000000-0005-0000-0000-0000D4000000}"/>
    <cellStyle name="60% - Accent5 2 3 2" xfId="1774" xr:uid="{00000000-0005-0000-0000-0000D5000000}"/>
    <cellStyle name="60% - Accent5 2 3 3" xfId="1515" xr:uid="{00000000-0005-0000-0000-0000D6000000}"/>
    <cellStyle name="60% - Accent5 3" xfId="331" xr:uid="{00000000-0005-0000-0000-0000D7000000}"/>
    <cellStyle name="60% - Accent5 4" xfId="2145" xr:uid="{00000000-0005-0000-0000-0000D8000000}"/>
    <cellStyle name="60% - Accent6" xfId="41" builtinId="52" customBuiltin="1"/>
    <cellStyle name="60% - Accent6 2" xfId="332" xr:uid="{00000000-0005-0000-0000-0000DA000000}"/>
    <cellStyle name="60% - Accent6 2 2" xfId="333" xr:uid="{00000000-0005-0000-0000-0000DB000000}"/>
    <cellStyle name="60% - Accent6 2 3" xfId="1207" xr:uid="{00000000-0005-0000-0000-0000DC000000}"/>
    <cellStyle name="60% - Accent6 2 3 2" xfId="1775" xr:uid="{00000000-0005-0000-0000-0000DD000000}"/>
    <cellStyle name="60% - Accent6 2 3 3" xfId="1597" xr:uid="{00000000-0005-0000-0000-0000DE000000}"/>
    <cellStyle name="60% - Accent6 3" xfId="334" xr:uid="{00000000-0005-0000-0000-0000DF000000}"/>
    <cellStyle name="60% - Accent6 4" xfId="2149" xr:uid="{00000000-0005-0000-0000-0000E0000000}"/>
    <cellStyle name="Accent1" xfId="18" builtinId="29" customBuiltin="1"/>
    <cellStyle name="Accent1 2" xfId="335" xr:uid="{00000000-0005-0000-0000-0000E2000000}"/>
    <cellStyle name="Accent1 2 2" xfId="336" xr:uid="{00000000-0005-0000-0000-0000E3000000}"/>
    <cellStyle name="Accent1 2 3" xfId="1208" xr:uid="{00000000-0005-0000-0000-0000E4000000}"/>
    <cellStyle name="Accent1 2 3 2" xfId="1776" xr:uid="{00000000-0005-0000-0000-0000E5000000}"/>
    <cellStyle name="Accent1 2 3 3" xfId="1529" xr:uid="{00000000-0005-0000-0000-0000E6000000}"/>
    <cellStyle name="Accent1 3" xfId="337" xr:uid="{00000000-0005-0000-0000-0000E7000000}"/>
    <cellStyle name="Accent1 4" xfId="2126" xr:uid="{00000000-0005-0000-0000-0000E8000000}"/>
    <cellStyle name="Accent2" xfId="22" builtinId="33" customBuiltin="1"/>
    <cellStyle name="Accent2 2" xfId="338" xr:uid="{00000000-0005-0000-0000-0000EA000000}"/>
    <cellStyle name="Accent2 2 2" xfId="339" xr:uid="{00000000-0005-0000-0000-0000EB000000}"/>
    <cellStyle name="Accent2 2 3" xfId="1209" xr:uid="{00000000-0005-0000-0000-0000EC000000}"/>
    <cellStyle name="Accent2 2 3 2" xfId="1777" xr:uid="{00000000-0005-0000-0000-0000ED000000}"/>
    <cellStyle name="Accent2 2 3 3" xfId="1517" xr:uid="{00000000-0005-0000-0000-0000EE000000}"/>
    <cellStyle name="Accent2 3" xfId="340" xr:uid="{00000000-0005-0000-0000-0000EF000000}"/>
    <cellStyle name="Accent2 4" xfId="2130" xr:uid="{00000000-0005-0000-0000-0000F0000000}"/>
    <cellStyle name="Accent3" xfId="26" builtinId="37" customBuiltin="1"/>
    <cellStyle name="Accent3 2" xfId="175" xr:uid="{00000000-0005-0000-0000-0000F2000000}"/>
    <cellStyle name="Accent3 2 2" xfId="342" xr:uid="{00000000-0005-0000-0000-0000F3000000}"/>
    <cellStyle name="Accent3 2 3" xfId="341" xr:uid="{00000000-0005-0000-0000-0000F4000000}"/>
    <cellStyle name="Accent3 2 4" xfId="1210" xr:uid="{00000000-0005-0000-0000-0000F5000000}"/>
    <cellStyle name="Accent3 2 5" xfId="1609" xr:uid="{00000000-0005-0000-0000-0000F6000000}"/>
    <cellStyle name="Accent3 3" xfId="169" xr:uid="{00000000-0005-0000-0000-0000F7000000}"/>
    <cellStyle name="Accent3 3 2" xfId="343" xr:uid="{00000000-0005-0000-0000-0000F8000000}"/>
    <cellStyle name="Accent3 3 3" xfId="1568" xr:uid="{00000000-0005-0000-0000-0000F9000000}"/>
    <cellStyle name="Accent3 4" xfId="2134" xr:uid="{00000000-0005-0000-0000-0000FA000000}"/>
    <cellStyle name="Accent4" xfId="30" builtinId="41" customBuiltin="1"/>
    <cellStyle name="Accent4 2" xfId="344" xr:uid="{00000000-0005-0000-0000-0000FC000000}"/>
    <cellStyle name="Accent4 2 2" xfId="345" xr:uid="{00000000-0005-0000-0000-0000FD000000}"/>
    <cellStyle name="Accent4 2 3" xfId="1211" xr:uid="{00000000-0005-0000-0000-0000FE000000}"/>
    <cellStyle name="Accent4 2 3 2" xfId="1778" xr:uid="{00000000-0005-0000-0000-0000FF000000}"/>
    <cellStyle name="Accent4 2 3 3" xfId="1589" xr:uid="{00000000-0005-0000-0000-000000010000}"/>
    <cellStyle name="Accent4 3" xfId="346" xr:uid="{00000000-0005-0000-0000-000001010000}"/>
    <cellStyle name="Accent4 4" xfId="2138" xr:uid="{00000000-0005-0000-0000-000002010000}"/>
    <cellStyle name="Accent5" xfId="34" builtinId="45" customBuiltin="1"/>
    <cellStyle name="Accent5 2" xfId="347" xr:uid="{00000000-0005-0000-0000-000004010000}"/>
    <cellStyle name="Accent5 2 2" xfId="348" xr:uid="{00000000-0005-0000-0000-000005010000}"/>
    <cellStyle name="Accent5 2 3" xfId="1212" xr:uid="{00000000-0005-0000-0000-000006010000}"/>
    <cellStyle name="Accent5 2 3 2" xfId="1779" xr:uid="{00000000-0005-0000-0000-000007010000}"/>
    <cellStyle name="Accent5 2 3 3" xfId="1525" xr:uid="{00000000-0005-0000-0000-000008010000}"/>
    <cellStyle name="Accent5 3" xfId="349" xr:uid="{00000000-0005-0000-0000-000009010000}"/>
    <cellStyle name="Accent5 4" xfId="2142" xr:uid="{00000000-0005-0000-0000-00000A010000}"/>
    <cellStyle name="Accent6" xfId="38" builtinId="49" customBuiltin="1"/>
    <cellStyle name="Accent6 2" xfId="176" xr:uid="{00000000-0005-0000-0000-00000C010000}"/>
    <cellStyle name="Accent6 2 2" xfId="351" xr:uid="{00000000-0005-0000-0000-00000D010000}"/>
    <cellStyle name="Accent6 2 3" xfId="350" xr:uid="{00000000-0005-0000-0000-00000E010000}"/>
    <cellStyle name="Accent6 2 4" xfId="1213" xr:uid="{00000000-0005-0000-0000-00000F010000}"/>
    <cellStyle name="Accent6 2 5" xfId="1572" xr:uid="{00000000-0005-0000-0000-000010010000}"/>
    <cellStyle name="Accent6 3" xfId="170" xr:uid="{00000000-0005-0000-0000-000011010000}"/>
    <cellStyle name="Accent6 3 2" xfId="352" xr:uid="{00000000-0005-0000-0000-000012010000}"/>
    <cellStyle name="Accent6 3 3" xfId="1532" xr:uid="{00000000-0005-0000-0000-000013010000}"/>
    <cellStyle name="Accent6 4" xfId="2146" xr:uid="{00000000-0005-0000-0000-000014010000}"/>
    <cellStyle name="Bad" xfId="7" builtinId="27" customBuiltin="1"/>
    <cellStyle name="Bad 2" xfId="353" xr:uid="{00000000-0005-0000-0000-000016010000}"/>
    <cellStyle name="Bad 2 2" xfId="354" xr:uid="{00000000-0005-0000-0000-000017010000}"/>
    <cellStyle name="Bad 2 3" xfId="1214" xr:uid="{00000000-0005-0000-0000-000018010000}"/>
    <cellStyle name="Bad 2 3 2" xfId="1780" xr:uid="{00000000-0005-0000-0000-000019010000}"/>
    <cellStyle name="Bad 2 3 3" xfId="1600" xr:uid="{00000000-0005-0000-0000-00001A010000}"/>
    <cellStyle name="Bad 2 4" xfId="1815" xr:uid="{00000000-0005-0000-0000-00001B010000}"/>
    <cellStyle name="Bad 3" xfId="355" xr:uid="{00000000-0005-0000-0000-00001C010000}"/>
    <cellStyle name="Bad 3 2" xfId="1215" xr:uid="{00000000-0005-0000-0000-00001D010000}"/>
    <cellStyle name="Bad 3 2 2" xfId="1781" xr:uid="{00000000-0005-0000-0000-00001E010000}"/>
    <cellStyle name="Bad 3 2 3" xfId="1559" xr:uid="{00000000-0005-0000-0000-00001F010000}"/>
    <cellStyle name="Bad 4" xfId="2115" xr:uid="{00000000-0005-0000-0000-000020010000}"/>
    <cellStyle name="Calculation" xfId="11" builtinId="22" customBuiltin="1"/>
    <cellStyle name="Calculation 2" xfId="217" xr:uid="{00000000-0005-0000-0000-000022010000}"/>
    <cellStyle name="Calculation 2 2" xfId="357" xr:uid="{00000000-0005-0000-0000-000023010000}"/>
    <cellStyle name="Calculation 2 2 2" xfId="986" xr:uid="{00000000-0005-0000-0000-000024010000}"/>
    <cellStyle name="Calculation 2 2 2 2" xfId="1098" xr:uid="{00000000-0005-0000-0000-000025010000}"/>
    <cellStyle name="Calculation 2 2 2 2 2" xfId="2479" xr:uid="{00000000-0005-0000-0000-000026010000}"/>
    <cellStyle name="Calculation 2 2 2 3" xfId="2390" xr:uid="{00000000-0005-0000-0000-000027010000}"/>
    <cellStyle name="Calculation 2 2 3" xfId="1027" xr:uid="{00000000-0005-0000-0000-000028010000}"/>
    <cellStyle name="Calculation 2 2 3 2" xfId="1081" xr:uid="{00000000-0005-0000-0000-000029010000}"/>
    <cellStyle name="Calculation 2 2 3 2 2" xfId="2462" xr:uid="{00000000-0005-0000-0000-00002A010000}"/>
    <cellStyle name="Calculation 2 2 3 3" xfId="2425" xr:uid="{00000000-0005-0000-0000-00002B010000}"/>
    <cellStyle name="Calculation 2 2 4" xfId="1038" xr:uid="{00000000-0005-0000-0000-00002C010000}"/>
    <cellStyle name="Calculation 2 2 4 2" xfId="1157" xr:uid="{00000000-0005-0000-0000-00002D010000}"/>
    <cellStyle name="Calculation 2 2 4 2 2" xfId="2538" xr:uid="{00000000-0005-0000-0000-00002E010000}"/>
    <cellStyle name="Calculation 2 2 4 3" xfId="2435" xr:uid="{00000000-0005-0000-0000-00002F010000}"/>
    <cellStyle name="Calculation 2 2 5" xfId="1047" xr:uid="{00000000-0005-0000-0000-000030010000}"/>
    <cellStyle name="Calculation 2 2 5 2" xfId="1158" xr:uid="{00000000-0005-0000-0000-000031010000}"/>
    <cellStyle name="Calculation 2 2 5 2 2" xfId="2539" xr:uid="{00000000-0005-0000-0000-000032010000}"/>
    <cellStyle name="Calculation 2 2 5 3" xfId="2442" xr:uid="{00000000-0005-0000-0000-000033010000}"/>
    <cellStyle name="Calculation 2 2 6" xfId="988" xr:uid="{00000000-0005-0000-0000-000034010000}"/>
    <cellStyle name="Calculation 2 2 6 2" xfId="1096" xr:uid="{00000000-0005-0000-0000-000035010000}"/>
    <cellStyle name="Calculation 2 2 6 2 2" xfId="2477" xr:uid="{00000000-0005-0000-0000-000036010000}"/>
    <cellStyle name="Calculation 2 2 6 3" xfId="2392" xr:uid="{00000000-0005-0000-0000-000037010000}"/>
    <cellStyle name="Calculation 2 2 7" xfId="1110" xr:uid="{00000000-0005-0000-0000-000038010000}"/>
    <cellStyle name="Calculation 2 2 7 2" xfId="2491" xr:uid="{00000000-0005-0000-0000-000039010000}"/>
    <cellStyle name="Calculation 2 2 8" xfId="1216" xr:uid="{00000000-0005-0000-0000-00003A010000}"/>
    <cellStyle name="Calculation 2 2 8 2" xfId="1782" xr:uid="{00000000-0005-0000-0000-00003B010000}"/>
    <cellStyle name="Calculation 2 2 8 3" xfId="1605" xr:uid="{00000000-0005-0000-0000-00003C010000}"/>
    <cellStyle name="Calculation 2 2 8 3 2" xfId="2598" xr:uid="{00000000-0005-0000-0000-00003D010000}"/>
    <cellStyle name="Calculation 2 2 9" xfId="2197" xr:uid="{00000000-0005-0000-0000-00003E010000}"/>
    <cellStyle name="Calculation 2 3" xfId="985" xr:uid="{00000000-0005-0000-0000-00003F010000}"/>
    <cellStyle name="Calculation 2 3 2" xfId="1099" xr:uid="{00000000-0005-0000-0000-000040010000}"/>
    <cellStyle name="Calculation 2 3 2 2" xfId="2480" xr:uid="{00000000-0005-0000-0000-000041010000}"/>
    <cellStyle name="Calculation 2 3 3" xfId="2389" xr:uid="{00000000-0005-0000-0000-000042010000}"/>
    <cellStyle name="Calculation 2 4" xfId="999" xr:uid="{00000000-0005-0000-0000-000043010000}"/>
    <cellStyle name="Calculation 2 4 2" xfId="1088" xr:uid="{00000000-0005-0000-0000-000044010000}"/>
    <cellStyle name="Calculation 2 4 2 2" xfId="2469" xr:uid="{00000000-0005-0000-0000-000045010000}"/>
    <cellStyle name="Calculation 2 4 3" xfId="2401" xr:uid="{00000000-0005-0000-0000-000046010000}"/>
    <cellStyle name="Calculation 2 5" xfId="1058" xr:uid="{00000000-0005-0000-0000-000047010000}"/>
    <cellStyle name="Calculation 2 5 2" xfId="1162" xr:uid="{00000000-0005-0000-0000-000048010000}"/>
    <cellStyle name="Calculation 2 5 2 2" xfId="2543" xr:uid="{00000000-0005-0000-0000-000049010000}"/>
    <cellStyle name="Calculation 2 5 3" xfId="2453" xr:uid="{00000000-0005-0000-0000-00004A010000}"/>
    <cellStyle name="Calculation 2 6" xfId="1006" xr:uid="{00000000-0005-0000-0000-00004B010000}"/>
    <cellStyle name="Calculation 2 6 2" xfId="1085" xr:uid="{00000000-0005-0000-0000-00004C010000}"/>
    <cellStyle name="Calculation 2 6 2 2" xfId="2466" xr:uid="{00000000-0005-0000-0000-00004D010000}"/>
    <cellStyle name="Calculation 2 6 3" xfId="2406" xr:uid="{00000000-0005-0000-0000-00004E010000}"/>
    <cellStyle name="Calculation 2 7" xfId="1059" xr:uid="{00000000-0005-0000-0000-00004F010000}"/>
    <cellStyle name="Calculation 2 7 2" xfId="1163" xr:uid="{00000000-0005-0000-0000-000050010000}"/>
    <cellStyle name="Calculation 2 7 2 2" xfId="2544" xr:uid="{00000000-0005-0000-0000-000051010000}"/>
    <cellStyle name="Calculation 2 7 3" xfId="2454" xr:uid="{00000000-0005-0000-0000-000052010000}"/>
    <cellStyle name="Calculation 2 8" xfId="1112" xr:uid="{00000000-0005-0000-0000-000053010000}"/>
    <cellStyle name="Calculation 2 8 2" xfId="2493" xr:uid="{00000000-0005-0000-0000-000054010000}"/>
    <cellStyle name="Calculation 2 9" xfId="356" xr:uid="{00000000-0005-0000-0000-000055010000}"/>
    <cellStyle name="Calculation 2 9 2" xfId="2196" xr:uid="{00000000-0005-0000-0000-000056010000}"/>
    <cellStyle name="Calculation 3" xfId="358" xr:uid="{00000000-0005-0000-0000-000057010000}"/>
    <cellStyle name="Calculation 3 2" xfId="987" xr:uid="{00000000-0005-0000-0000-000058010000}"/>
    <cellStyle name="Calculation 3 2 2" xfId="1097" xr:uid="{00000000-0005-0000-0000-000059010000}"/>
    <cellStyle name="Calculation 3 2 2 2" xfId="2478" xr:uid="{00000000-0005-0000-0000-00005A010000}"/>
    <cellStyle name="Calculation 3 2 3" xfId="2391" xr:uid="{00000000-0005-0000-0000-00005B010000}"/>
    <cellStyle name="Calculation 3 3" xfId="1034" xr:uid="{00000000-0005-0000-0000-00005C010000}"/>
    <cellStyle name="Calculation 3 3 2" xfId="1156" xr:uid="{00000000-0005-0000-0000-00005D010000}"/>
    <cellStyle name="Calculation 3 3 2 2" xfId="2537" xr:uid="{00000000-0005-0000-0000-00005E010000}"/>
    <cellStyle name="Calculation 3 3 3" xfId="2431" xr:uid="{00000000-0005-0000-0000-00005F010000}"/>
    <cellStyle name="Calculation 3 4" xfId="993" xr:uid="{00000000-0005-0000-0000-000060010000}"/>
    <cellStyle name="Calculation 3 4 2" xfId="1094" xr:uid="{00000000-0005-0000-0000-000061010000}"/>
    <cellStyle name="Calculation 3 4 2 2" xfId="2475" xr:uid="{00000000-0005-0000-0000-000062010000}"/>
    <cellStyle name="Calculation 3 4 3" xfId="2395" xr:uid="{00000000-0005-0000-0000-000063010000}"/>
    <cellStyle name="Calculation 3 5" xfId="1061" xr:uid="{00000000-0005-0000-0000-000064010000}"/>
    <cellStyle name="Calculation 3 5 2" xfId="1164" xr:uid="{00000000-0005-0000-0000-000065010000}"/>
    <cellStyle name="Calculation 3 5 2 2" xfId="2545" xr:uid="{00000000-0005-0000-0000-000066010000}"/>
    <cellStyle name="Calculation 3 5 3" xfId="2456" xr:uid="{00000000-0005-0000-0000-000067010000}"/>
    <cellStyle name="Calculation 3 6" xfId="1000" xr:uid="{00000000-0005-0000-0000-000068010000}"/>
    <cellStyle name="Calculation 3 6 2" xfId="1087" xr:uid="{00000000-0005-0000-0000-000069010000}"/>
    <cellStyle name="Calculation 3 6 2 2" xfId="2468" xr:uid="{00000000-0005-0000-0000-00006A010000}"/>
    <cellStyle name="Calculation 3 6 3" xfId="2402" xr:uid="{00000000-0005-0000-0000-00006B010000}"/>
    <cellStyle name="Calculation 3 7" xfId="1108" xr:uid="{00000000-0005-0000-0000-00006C010000}"/>
    <cellStyle name="Calculation 3 7 2" xfId="2489" xr:uid="{00000000-0005-0000-0000-00006D010000}"/>
    <cellStyle name="Calculation 3 8" xfId="2198" xr:uid="{00000000-0005-0000-0000-00006E010000}"/>
    <cellStyle name="Calculation 4" xfId="2119" xr:uid="{00000000-0005-0000-0000-00006F010000}"/>
    <cellStyle name="Check Cell" xfId="13" builtinId="23" customBuiltin="1"/>
    <cellStyle name="Check Cell 2" xfId="359" xr:uid="{00000000-0005-0000-0000-000071010000}"/>
    <cellStyle name="Check Cell 2 2" xfId="360" xr:uid="{00000000-0005-0000-0000-000072010000}"/>
    <cellStyle name="Check Cell 2 3" xfId="1217" xr:uid="{00000000-0005-0000-0000-000073010000}"/>
    <cellStyle name="Check Cell 2 3 2" xfId="1783" xr:uid="{00000000-0005-0000-0000-000074010000}"/>
    <cellStyle name="Check Cell 2 3 3" xfId="1750" xr:uid="{00000000-0005-0000-0000-000075010000}"/>
    <cellStyle name="Check Cell 3" xfId="361" xr:uid="{00000000-0005-0000-0000-000076010000}"/>
    <cellStyle name="Check Cell 4" xfId="2121" xr:uid="{00000000-0005-0000-0000-000077010000}"/>
    <cellStyle name="Comma 10" xfId="522" xr:uid="{00000000-0005-0000-0000-000078010000}"/>
    <cellStyle name="Comma 10 2" xfId="534" xr:uid="{00000000-0005-0000-0000-000079010000}"/>
    <cellStyle name="Comma 10 2 2" xfId="584" xr:uid="{00000000-0005-0000-0000-00007A010000}"/>
    <cellStyle name="Comma 10 2 2 2" xfId="696" xr:uid="{00000000-0005-0000-0000-00007B010000}"/>
    <cellStyle name="Comma 10 2 2 2 2" xfId="923" xr:uid="{00000000-0005-0000-0000-00007C010000}"/>
    <cellStyle name="Comma 10 2 2 2 2 2" xfId="1963" xr:uid="{00000000-0005-0000-0000-00007D010000}"/>
    <cellStyle name="Comma 10 2 2 2 2 2 2" xfId="2767" xr:uid="{00000000-0005-0000-0000-00007E010000}"/>
    <cellStyle name="Comma 10 2 2 2 2 3" xfId="2364" xr:uid="{00000000-0005-0000-0000-00007F010000}"/>
    <cellStyle name="Comma 10 2 2 2 3" xfId="1896" xr:uid="{00000000-0005-0000-0000-000080010000}"/>
    <cellStyle name="Comma 10 2 2 2 3 2" xfId="2700" xr:uid="{00000000-0005-0000-0000-000081010000}"/>
    <cellStyle name="Comma 10 2 2 2 4" xfId="2280" xr:uid="{00000000-0005-0000-0000-000082010000}"/>
    <cellStyle name="Comma 10 2 2 3" xfId="810" xr:uid="{00000000-0005-0000-0000-000083010000}"/>
    <cellStyle name="Comma 10 2 2 3 2" xfId="1929" xr:uid="{00000000-0005-0000-0000-000084010000}"/>
    <cellStyle name="Comma 10 2 2 3 2 2" xfId="2733" xr:uid="{00000000-0005-0000-0000-000085010000}"/>
    <cellStyle name="Comma 10 2 2 3 3" xfId="2322" xr:uid="{00000000-0005-0000-0000-000086010000}"/>
    <cellStyle name="Comma 10 2 2 4" xfId="1863" xr:uid="{00000000-0005-0000-0000-000087010000}"/>
    <cellStyle name="Comma 10 2 2 4 2" xfId="2667" xr:uid="{00000000-0005-0000-0000-000088010000}"/>
    <cellStyle name="Comma 10 2 2 5" xfId="2238" xr:uid="{00000000-0005-0000-0000-000089010000}"/>
    <cellStyle name="Comma 10 2 3" xfId="621" xr:uid="{00000000-0005-0000-0000-00008A010000}"/>
    <cellStyle name="Comma 10 2 3 2" xfId="733" xr:uid="{00000000-0005-0000-0000-00008B010000}"/>
    <cellStyle name="Comma 10 2 3 2 2" xfId="960" xr:uid="{00000000-0005-0000-0000-00008C010000}"/>
    <cellStyle name="Comma 10 2 3 2 2 2" xfId="1974" xr:uid="{00000000-0005-0000-0000-00008D010000}"/>
    <cellStyle name="Comma 10 2 3 2 2 2 2" xfId="2778" xr:uid="{00000000-0005-0000-0000-00008E010000}"/>
    <cellStyle name="Comma 10 2 3 2 2 3" xfId="2378" xr:uid="{00000000-0005-0000-0000-00008F010000}"/>
    <cellStyle name="Comma 10 2 3 2 3" xfId="1907" xr:uid="{00000000-0005-0000-0000-000090010000}"/>
    <cellStyle name="Comma 10 2 3 2 3 2" xfId="2711" xr:uid="{00000000-0005-0000-0000-000091010000}"/>
    <cellStyle name="Comma 10 2 3 2 4" xfId="2294" xr:uid="{00000000-0005-0000-0000-000092010000}"/>
    <cellStyle name="Comma 10 2 3 3" xfId="847" xr:uid="{00000000-0005-0000-0000-000093010000}"/>
    <cellStyle name="Comma 10 2 3 3 2" xfId="1940" xr:uid="{00000000-0005-0000-0000-000094010000}"/>
    <cellStyle name="Comma 10 2 3 3 2 2" xfId="2744" xr:uid="{00000000-0005-0000-0000-000095010000}"/>
    <cellStyle name="Comma 10 2 3 3 3" xfId="2336" xr:uid="{00000000-0005-0000-0000-000096010000}"/>
    <cellStyle name="Comma 10 2 3 4" xfId="1874" xr:uid="{00000000-0005-0000-0000-000097010000}"/>
    <cellStyle name="Comma 10 2 3 4 2" xfId="2678" xr:uid="{00000000-0005-0000-0000-000098010000}"/>
    <cellStyle name="Comma 10 2 3 5" xfId="2252" xr:uid="{00000000-0005-0000-0000-000099010000}"/>
    <cellStyle name="Comma 10 2 4" xfId="660" xr:uid="{00000000-0005-0000-0000-00009A010000}"/>
    <cellStyle name="Comma 10 2 4 2" xfId="886" xr:uid="{00000000-0005-0000-0000-00009B010000}"/>
    <cellStyle name="Comma 10 2 4 2 2" xfId="1951" xr:uid="{00000000-0005-0000-0000-00009C010000}"/>
    <cellStyle name="Comma 10 2 4 2 2 2" xfId="2755" xr:uid="{00000000-0005-0000-0000-00009D010000}"/>
    <cellStyle name="Comma 10 2 4 2 3" xfId="2350" xr:uid="{00000000-0005-0000-0000-00009E010000}"/>
    <cellStyle name="Comma 10 2 4 3" xfId="1885" xr:uid="{00000000-0005-0000-0000-00009F010000}"/>
    <cellStyle name="Comma 10 2 4 3 2" xfId="2689" xr:uid="{00000000-0005-0000-0000-0000A0010000}"/>
    <cellStyle name="Comma 10 2 4 4" xfId="2266" xr:uid="{00000000-0005-0000-0000-0000A1010000}"/>
    <cellStyle name="Comma 10 2 5" xfId="773" xr:uid="{00000000-0005-0000-0000-0000A2010000}"/>
    <cellStyle name="Comma 10 2 5 2" xfId="1918" xr:uid="{00000000-0005-0000-0000-0000A3010000}"/>
    <cellStyle name="Comma 10 2 5 2 2" xfId="2722" xr:uid="{00000000-0005-0000-0000-0000A4010000}"/>
    <cellStyle name="Comma 10 2 5 3" xfId="2308" xr:uid="{00000000-0005-0000-0000-0000A5010000}"/>
    <cellStyle name="Comma 10 2 6" xfId="1851" xr:uid="{00000000-0005-0000-0000-0000A6010000}"/>
    <cellStyle name="Comma 10 2 6 2" xfId="2655" xr:uid="{00000000-0005-0000-0000-0000A7010000}"/>
    <cellStyle name="Comma 10 2 7" xfId="2222" xr:uid="{00000000-0005-0000-0000-0000A8010000}"/>
    <cellStyle name="Comma 10 3" xfId="1807" xr:uid="{00000000-0005-0000-0000-0000A9010000}"/>
    <cellStyle name="Comma 10 3 2" xfId="2616" xr:uid="{00000000-0005-0000-0000-0000AA010000}"/>
    <cellStyle name="Comma 10 4" xfId="2216" xr:uid="{00000000-0005-0000-0000-0000AB010000}"/>
    <cellStyle name="Comma 11" xfId="533" xr:uid="{00000000-0005-0000-0000-0000AC010000}"/>
    <cellStyle name="Comma 11 2" xfId="1850" xr:uid="{00000000-0005-0000-0000-0000AD010000}"/>
    <cellStyle name="Comma 11 2 2" xfId="2654" xr:uid="{00000000-0005-0000-0000-0000AE010000}"/>
    <cellStyle name="Comma 11 3" xfId="2221" xr:uid="{00000000-0005-0000-0000-0000AF010000}"/>
    <cellStyle name="Comma 12" xfId="535" xr:uid="{00000000-0005-0000-0000-0000B0010000}"/>
    <cellStyle name="Comma 12 2" xfId="585" xr:uid="{00000000-0005-0000-0000-0000B1010000}"/>
    <cellStyle name="Comma 12 2 2" xfId="697" xr:uid="{00000000-0005-0000-0000-0000B2010000}"/>
    <cellStyle name="Comma 12 2 2 2" xfId="924" xr:uid="{00000000-0005-0000-0000-0000B3010000}"/>
    <cellStyle name="Comma 12 2 2 2 2" xfId="2365" xr:uid="{00000000-0005-0000-0000-0000B4010000}"/>
    <cellStyle name="Comma 12 2 2 3" xfId="2281" xr:uid="{00000000-0005-0000-0000-0000B5010000}"/>
    <cellStyle name="Comma 12 2 3" xfId="811" xr:uid="{00000000-0005-0000-0000-0000B6010000}"/>
    <cellStyle name="Comma 12 2 3 2" xfId="2323" xr:uid="{00000000-0005-0000-0000-0000B7010000}"/>
    <cellStyle name="Comma 12 2 4" xfId="2239" xr:uid="{00000000-0005-0000-0000-0000B8010000}"/>
    <cellStyle name="Comma 12 3" xfId="622" xr:uid="{00000000-0005-0000-0000-0000B9010000}"/>
    <cellStyle name="Comma 12 3 2" xfId="734" xr:uid="{00000000-0005-0000-0000-0000BA010000}"/>
    <cellStyle name="Comma 12 3 2 2" xfId="961" xr:uid="{00000000-0005-0000-0000-0000BB010000}"/>
    <cellStyle name="Comma 12 3 2 2 2" xfId="2379" xr:uid="{00000000-0005-0000-0000-0000BC010000}"/>
    <cellStyle name="Comma 12 3 2 3" xfId="2295" xr:uid="{00000000-0005-0000-0000-0000BD010000}"/>
    <cellStyle name="Comma 12 3 3" xfId="848" xr:uid="{00000000-0005-0000-0000-0000BE010000}"/>
    <cellStyle name="Comma 12 3 3 2" xfId="2337" xr:uid="{00000000-0005-0000-0000-0000BF010000}"/>
    <cellStyle name="Comma 12 3 4" xfId="2253" xr:uid="{00000000-0005-0000-0000-0000C0010000}"/>
    <cellStyle name="Comma 12 4" xfId="661" xr:uid="{00000000-0005-0000-0000-0000C1010000}"/>
    <cellStyle name="Comma 12 4 2" xfId="887" xr:uid="{00000000-0005-0000-0000-0000C2010000}"/>
    <cellStyle name="Comma 12 4 2 2" xfId="2351" xr:uid="{00000000-0005-0000-0000-0000C3010000}"/>
    <cellStyle name="Comma 12 4 3" xfId="2267" xr:uid="{00000000-0005-0000-0000-0000C4010000}"/>
    <cellStyle name="Comma 12 5" xfId="774" xr:uid="{00000000-0005-0000-0000-0000C5010000}"/>
    <cellStyle name="Comma 12 5 2" xfId="2309" xr:uid="{00000000-0005-0000-0000-0000C6010000}"/>
    <cellStyle name="Comma 12 6" xfId="2223" xr:uid="{00000000-0005-0000-0000-0000C7010000}"/>
    <cellStyle name="Comma 13" xfId="536" xr:uid="{00000000-0005-0000-0000-0000C8010000}"/>
    <cellStyle name="Comma 13 2" xfId="586" xr:uid="{00000000-0005-0000-0000-0000C9010000}"/>
    <cellStyle name="Comma 13 2 2" xfId="698" xr:uid="{00000000-0005-0000-0000-0000CA010000}"/>
    <cellStyle name="Comma 13 2 2 2" xfId="925" xr:uid="{00000000-0005-0000-0000-0000CB010000}"/>
    <cellStyle name="Comma 13 2 2 2 2" xfId="2366" xr:uid="{00000000-0005-0000-0000-0000CC010000}"/>
    <cellStyle name="Comma 13 2 2 3" xfId="2282" xr:uid="{00000000-0005-0000-0000-0000CD010000}"/>
    <cellStyle name="Comma 13 2 3" xfId="812" xr:uid="{00000000-0005-0000-0000-0000CE010000}"/>
    <cellStyle name="Comma 13 2 3 2" xfId="2324" xr:uid="{00000000-0005-0000-0000-0000CF010000}"/>
    <cellStyle name="Comma 13 2 4" xfId="2240" xr:uid="{00000000-0005-0000-0000-0000D0010000}"/>
    <cellStyle name="Comma 13 3" xfId="623" xr:uid="{00000000-0005-0000-0000-0000D1010000}"/>
    <cellStyle name="Comma 13 3 2" xfId="735" xr:uid="{00000000-0005-0000-0000-0000D2010000}"/>
    <cellStyle name="Comma 13 3 2 2" xfId="962" xr:uid="{00000000-0005-0000-0000-0000D3010000}"/>
    <cellStyle name="Comma 13 3 2 2 2" xfId="2380" xr:uid="{00000000-0005-0000-0000-0000D4010000}"/>
    <cellStyle name="Comma 13 3 2 3" xfId="2296" xr:uid="{00000000-0005-0000-0000-0000D5010000}"/>
    <cellStyle name="Comma 13 3 3" xfId="849" xr:uid="{00000000-0005-0000-0000-0000D6010000}"/>
    <cellStyle name="Comma 13 3 3 2" xfId="2338" xr:uid="{00000000-0005-0000-0000-0000D7010000}"/>
    <cellStyle name="Comma 13 3 4" xfId="2254" xr:uid="{00000000-0005-0000-0000-0000D8010000}"/>
    <cellStyle name="Comma 13 4" xfId="662" xr:uid="{00000000-0005-0000-0000-0000D9010000}"/>
    <cellStyle name="Comma 13 4 2" xfId="888" xr:uid="{00000000-0005-0000-0000-0000DA010000}"/>
    <cellStyle name="Comma 13 4 2 2" xfId="2352" xr:uid="{00000000-0005-0000-0000-0000DB010000}"/>
    <cellStyle name="Comma 13 4 3" xfId="2268" xr:uid="{00000000-0005-0000-0000-0000DC010000}"/>
    <cellStyle name="Comma 13 5" xfId="775" xr:uid="{00000000-0005-0000-0000-0000DD010000}"/>
    <cellStyle name="Comma 13 5 2" xfId="2310" xr:uid="{00000000-0005-0000-0000-0000DE010000}"/>
    <cellStyle name="Comma 13 6" xfId="2224" xr:uid="{00000000-0005-0000-0000-0000DF010000}"/>
    <cellStyle name="Comma 14" xfId="1068" xr:uid="{00000000-0005-0000-0000-0000E0010000}"/>
    <cellStyle name="Comma 14 2" xfId="1077" xr:uid="{00000000-0005-0000-0000-0000E1010000}"/>
    <cellStyle name="Comma 14 2 2" xfId="1980" xr:uid="{00000000-0005-0000-0000-0000E2010000}"/>
    <cellStyle name="Comma 14 2 2 2" xfId="2784" xr:uid="{00000000-0005-0000-0000-0000E3010000}"/>
    <cellStyle name="Comma 14 2 3" xfId="2459" xr:uid="{00000000-0005-0000-0000-0000E4010000}"/>
    <cellStyle name="Comma 14 3" xfId="1979" xr:uid="{00000000-0005-0000-0000-0000E5010000}"/>
    <cellStyle name="Comma 14 3 2" xfId="2783" xr:uid="{00000000-0005-0000-0000-0000E6010000}"/>
    <cellStyle name="Comma 14 4" xfId="2458" xr:uid="{00000000-0005-0000-0000-0000E7010000}"/>
    <cellStyle name="Comma 15" xfId="1079" xr:uid="{00000000-0005-0000-0000-0000E8010000}"/>
    <cellStyle name="Comma 15 2" xfId="1981" xr:uid="{00000000-0005-0000-0000-0000E9010000}"/>
    <cellStyle name="Comma 15 2 2" xfId="2785" xr:uid="{00000000-0005-0000-0000-0000EA010000}"/>
    <cellStyle name="Comma 15 3" xfId="2460" xr:uid="{00000000-0005-0000-0000-0000EB010000}"/>
    <cellStyle name="Comma 16" xfId="1504" xr:uid="{00000000-0005-0000-0000-0000EC010000}"/>
    <cellStyle name="Comma 16 2" xfId="2574" xr:uid="{00000000-0005-0000-0000-0000ED010000}"/>
    <cellStyle name="Comma 17" xfId="1506" xr:uid="{00000000-0005-0000-0000-0000EE010000}"/>
    <cellStyle name="Comma 17 2" xfId="2576" xr:uid="{00000000-0005-0000-0000-0000EF010000}"/>
    <cellStyle name="Comma 19" xfId="2160" xr:uid="{00000000-0005-0000-0000-0000F0010000}"/>
    <cellStyle name="Comma 2" xfId="44" xr:uid="{00000000-0005-0000-0000-0000F1010000}"/>
    <cellStyle name="Comma 2 10" xfId="2161" xr:uid="{00000000-0005-0000-0000-0000F2010000}"/>
    <cellStyle name="Comma 2 2" xfId="201" xr:uid="{00000000-0005-0000-0000-0000F3010000}"/>
    <cellStyle name="Comma 2 2 2" xfId="218" xr:uid="{00000000-0005-0000-0000-0000F4010000}"/>
    <cellStyle name="Comma 2 2 2 2" xfId="219" xr:uid="{00000000-0005-0000-0000-0000F5010000}"/>
    <cellStyle name="Comma 2 2 2 2 2" xfId="1830" xr:uid="{00000000-0005-0000-0000-0000F6010000}"/>
    <cellStyle name="Comma 2 2 2 2 2 2" xfId="2634" xr:uid="{00000000-0005-0000-0000-0000F7010000}"/>
    <cellStyle name="Comma 2 2 2 2 3" xfId="2182" xr:uid="{00000000-0005-0000-0000-0000F8010000}"/>
    <cellStyle name="Comma 2 2 2 3" xfId="1474" xr:uid="{00000000-0005-0000-0000-0000F9010000}"/>
    <cellStyle name="Comma 2 2 2 3 2" xfId="2023" xr:uid="{00000000-0005-0000-0000-0000FA010000}"/>
    <cellStyle name="Comma 2 2 2 3 2 2" xfId="2082" xr:uid="{00000000-0005-0000-0000-0000FB010000}"/>
    <cellStyle name="Comma 2 2 2 3 2 2 2" xfId="2809" xr:uid="{00000000-0005-0000-0000-0000FC010000}"/>
    <cellStyle name="Comma 2 2 2 3 3" xfId="1842" xr:uid="{00000000-0005-0000-0000-0000FD010000}"/>
    <cellStyle name="Comma 2 2 2 3 3 2" xfId="2646" xr:uid="{00000000-0005-0000-0000-0000FE010000}"/>
    <cellStyle name="Comma 2 2 2 3 4" xfId="1596" xr:uid="{00000000-0005-0000-0000-0000FF010000}"/>
    <cellStyle name="Comma 2 2 2 3 4 2" xfId="2595" xr:uid="{00000000-0005-0000-0000-000000020000}"/>
    <cellStyle name="Comma 2 2 2 3 5" xfId="2569" xr:uid="{00000000-0005-0000-0000-000001020000}"/>
    <cellStyle name="Comma 2 2 2 4" xfId="1801" xr:uid="{00000000-0005-0000-0000-000002020000}"/>
    <cellStyle name="Comma 2 2 2 4 2" xfId="2614" xr:uid="{00000000-0005-0000-0000-000003020000}"/>
    <cellStyle name="Comma 2 2 2 5" xfId="1829" xr:uid="{00000000-0005-0000-0000-000004020000}"/>
    <cellStyle name="Comma 2 2 2 5 2" xfId="2633" xr:uid="{00000000-0005-0000-0000-000005020000}"/>
    <cellStyle name="Comma 2 2 2 6" xfId="1547" xr:uid="{00000000-0005-0000-0000-000006020000}"/>
    <cellStyle name="Comma 2 2 2 6 2" xfId="2586" xr:uid="{00000000-0005-0000-0000-000007020000}"/>
    <cellStyle name="Comma 2 2 2 7" xfId="2181" xr:uid="{00000000-0005-0000-0000-000008020000}"/>
    <cellStyle name="Comma 2 2 3" xfId="257" xr:uid="{00000000-0005-0000-0000-000009020000}"/>
    <cellStyle name="Comma 2 2 3 2" xfId="2186" xr:uid="{00000000-0005-0000-0000-00000A020000}"/>
    <cellStyle name="Comma 2 2 4" xfId="1173" xr:uid="{00000000-0005-0000-0000-00000B020000}"/>
    <cellStyle name="Comma 2 2 4 2" xfId="1985" xr:uid="{00000000-0005-0000-0000-00000C020000}"/>
    <cellStyle name="Comma 2 2 4 2 2" xfId="2788" xr:uid="{00000000-0005-0000-0000-00000D020000}"/>
    <cellStyle name="Comma 2 2 4 3" xfId="2550" xr:uid="{00000000-0005-0000-0000-00000E020000}"/>
    <cellStyle name="Comma 2 2 5" xfId="2037" xr:uid="{00000000-0005-0000-0000-00000F020000}"/>
    <cellStyle name="Comma 2 2 5 2" xfId="2056" xr:uid="{00000000-0005-0000-0000-000010020000}"/>
    <cellStyle name="Comma 2 2 5 2 2" xfId="2804" xr:uid="{00000000-0005-0000-0000-000011020000}"/>
    <cellStyle name="Comma 2 2 5 3" xfId="2800" xr:uid="{00000000-0005-0000-0000-000012020000}"/>
    <cellStyle name="Comma 2 2 6" xfId="1828" xr:uid="{00000000-0005-0000-0000-000013020000}"/>
    <cellStyle name="Comma 2 2 6 2" xfId="2632" xr:uid="{00000000-0005-0000-0000-000014020000}"/>
    <cellStyle name="Comma 2 2 7" xfId="2179" xr:uid="{00000000-0005-0000-0000-000015020000}"/>
    <cellStyle name="Comma 2 3" xfId="172" xr:uid="{00000000-0005-0000-0000-000016020000}"/>
    <cellStyle name="Comma 2 3 2" xfId="220" xr:uid="{00000000-0005-0000-0000-000017020000}"/>
    <cellStyle name="Comma 2 3 2 2" xfId="1496" xr:uid="{00000000-0005-0000-0000-000018020000}"/>
    <cellStyle name="Comma 2 3 2 2 2" xfId="2027" xr:uid="{00000000-0005-0000-0000-000019020000}"/>
    <cellStyle name="Comma 2 3 2 2 2 2" xfId="2103" xr:uid="{00000000-0005-0000-0000-00001A020000}"/>
    <cellStyle name="Comma 2 3 2 2 2 2 2" xfId="2812" xr:uid="{00000000-0005-0000-0000-00001B020000}"/>
    <cellStyle name="Comma 2 3 2 2 3" xfId="1856" xr:uid="{00000000-0005-0000-0000-00001C020000}"/>
    <cellStyle name="Comma 2 3 2 2 3 2" xfId="2660" xr:uid="{00000000-0005-0000-0000-00001D020000}"/>
    <cellStyle name="Comma 2 3 2 2 4" xfId="1632" xr:uid="{00000000-0005-0000-0000-00001E020000}"/>
    <cellStyle name="Comma 2 3 2 2 4 2" xfId="2606" xr:uid="{00000000-0005-0000-0000-00001F020000}"/>
    <cellStyle name="Comma 2 3 2 2 5" xfId="2572" xr:uid="{00000000-0005-0000-0000-000020020000}"/>
    <cellStyle name="Comma 2 3 2 3" xfId="1803" xr:uid="{00000000-0005-0000-0000-000021020000}"/>
    <cellStyle name="Comma 2 3 2 3 2" xfId="2615" xr:uid="{00000000-0005-0000-0000-000022020000}"/>
    <cellStyle name="Comma 2 3 2 4" xfId="1831" xr:uid="{00000000-0005-0000-0000-000023020000}"/>
    <cellStyle name="Comma 2 3 2 4 2" xfId="2635" xr:uid="{00000000-0005-0000-0000-000024020000}"/>
    <cellStyle name="Comma 2 3 2 5" xfId="1560" xr:uid="{00000000-0005-0000-0000-000025020000}"/>
    <cellStyle name="Comma 2 3 2 5 2" xfId="2589" xr:uid="{00000000-0005-0000-0000-000026020000}"/>
    <cellStyle name="Comma 2 3 2 6" xfId="2183" xr:uid="{00000000-0005-0000-0000-000027020000}"/>
    <cellStyle name="Comma 2 3 3" xfId="248" xr:uid="{00000000-0005-0000-0000-000028020000}"/>
    <cellStyle name="Comma 2 3 3 2" xfId="1278" xr:uid="{00000000-0005-0000-0000-000029020000}"/>
    <cellStyle name="Comma 2 3 3 2 2" xfId="1995" xr:uid="{00000000-0005-0000-0000-00002A020000}"/>
    <cellStyle name="Comma 2 3 3 2 2 2" xfId="2795" xr:uid="{00000000-0005-0000-0000-00002B020000}"/>
    <cellStyle name="Comma 2 3 3 2 3" xfId="2564" xr:uid="{00000000-0005-0000-0000-00002C020000}"/>
    <cellStyle name="Comma 2 3 3 3" xfId="1280" xr:uid="{00000000-0005-0000-0000-00002D020000}"/>
    <cellStyle name="Comma 2 3 3 3 2" xfId="2565" xr:uid="{00000000-0005-0000-0000-00002E020000}"/>
    <cellStyle name="Comma 2 3 3 4" xfId="2184" xr:uid="{00000000-0005-0000-0000-00002F020000}"/>
    <cellStyle name="Comma 2 3 4" xfId="1170" xr:uid="{00000000-0005-0000-0000-000030020000}"/>
    <cellStyle name="Comma 2 3 4 2" xfId="1983" xr:uid="{00000000-0005-0000-0000-000031020000}"/>
    <cellStyle name="Comma 2 3 4 2 2" xfId="2060" xr:uid="{00000000-0005-0000-0000-000032020000}"/>
    <cellStyle name="Comma 2 3 4 2 2 2" xfId="2805" xr:uid="{00000000-0005-0000-0000-000033020000}"/>
    <cellStyle name="Comma 2 3 4 3" xfId="2548" xr:uid="{00000000-0005-0000-0000-000034020000}"/>
    <cellStyle name="Comma 2 3 5" xfId="1534" xr:uid="{00000000-0005-0000-0000-000035020000}"/>
    <cellStyle name="Comma 2 3 5 2" xfId="2584" xr:uid="{00000000-0005-0000-0000-000036020000}"/>
    <cellStyle name="Comma 2 3 6" xfId="1813" xr:uid="{00000000-0005-0000-0000-000037020000}"/>
    <cellStyle name="Comma 2 3 6 2" xfId="2619" xr:uid="{00000000-0005-0000-0000-000038020000}"/>
    <cellStyle name="Comma 2 3 7" xfId="1819" xr:uid="{00000000-0005-0000-0000-000039020000}"/>
    <cellStyle name="Comma 2 3 7 2" xfId="2623" xr:uid="{00000000-0005-0000-0000-00003A020000}"/>
    <cellStyle name="Comma 2 3 8" xfId="2166" xr:uid="{00000000-0005-0000-0000-00003B020000}"/>
    <cellStyle name="Comma 2 4" xfId="206" xr:uid="{00000000-0005-0000-0000-00003C020000}"/>
    <cellStyle name="Comma 2 4 2" xfId="1218" xr:uid="{00000000-0005-0000-0000-00003D020000}"/>
    <cellStyle name="Comma 2 4 2 2" xfId="1986" xr:uid="{00000000-0005-0000-0000-00003E020000}"/>
    <cellStyle name="Comma 2 4 2 2 2" xfId="2064" xr:uid="{00000000-0005-0000-0000-00003F020000}"/>
    <cellStyle name="Comma 2 4 2 2 2 2" xfId="2806" xr:uid="{00000000-0005-0000-0000-000040020000}"/>
    <cellStyle name="Comma 2 4 2 3" xfId="2551" xr:uid="{00000000-0005-0000-0000-000041020000}"/>
    <cellStyle name="Comma 2 4 3" xfId="1576" xr:uid="{00000000-0005-0000-0000-000042020000}"/>
    <cellStyle name="Comma 2 4 3 2" xfId="2593" xr:uid="{00000000-0005-0000-0000-000043020000}"/>
    <cellStyle name="Comma 2 4 4" xfId="2180" xr:uid="{00000000-0005-0000-0000-000044020000}"/>
    <cellStyle name="Comma 2 5" xfId="166" xr:uid="{00000000-0005-0000-0000-000045020000}"/>
    <cellStyle name="Comma 2 5 2" xfId="1219" xr:uid="{00000000-0005-0000-0000-000046020000}"/>
    <cellStyle name="Comma 2 5 2 2" xfId="1987" xr:uid="{00000000-0005-0000-0000-000047020000}"/>
    <cellStyle name="Comma 2 5 2 2 2" xfId="2789" xr:uid="{00000000-0005-0000-0000-000048020000}"/>
    <cellStyle name="Comma 2 5 2 3" xfId="2552" xr:uid="{00000000-0005-0000-0000-000049020000}"/>
    <cellStyle name="Comma 2 5 3" xfId="1612" xr:uid="{00000000-0005-0000-0000-00004A020000}"/>
    <cellStyle name="Comma 2 5 3 2" xfId="2600" xr:uid="{00000000-0005-0000-0000-00004B020000}"/>
    <cellStyle name="Comma 2 5 4" xfId="1818" xr:uid="{00000000-0005-0000-0000-00004C020000}"/>
    <cellStyle name="Comma 2 5 4 2" xfId="2622" xr:uid="{00000000-0005-0000-0000-00004D020000}"/>
    <cellStyle name="Comma 2 5 5" xfId="2164" xr:uid="{00000000-0005-0000-0000-00004E020000}"/>
    <cellStyle name="Comma 2 6" xfId="47" xr:uid="{00000000-0005-0000-0000-00004F020000}"/>
    <cellStyle name="Comma 2 6 2" xfId="1220" xr:uid="{00000000-0005-0000-0000-000050020000}"/>
    <cellStyle name="Comma 2 6 2 2" xfId="2553" xr:uid="{00000000-0005-0000-0000-000051020000}"/>
    <cellStyle name="Comma 2 6 3" xfId="1528" xr:uid="{00000000-0005-0000-0000-000052020000}"/>
    <cellStyle name="Comma 2 6 3 2" xfId="2582" xr:uid="{00000000-0005-0000-0000-000053020000}"/>
    <cellStyle name="Comma 2 6 4" xfId="2163" xr:uid="{00000000-0005-0000-0000-000054020000}"/>
    <cellStyle name="Comma 2 7" xfId="1297" xr:uid="{00000000-0005-0000-0000-000055020000}"/>
    <cellStyle name="Comma 2 7 2" xfId="1997" xr:uid="{00000000-0005-0000-0000-000056020000}"/>
    <cellStyle name="Comma 2 7 2 2" xfId="2796" xr:uid="{00000000-0005-0000-0000-000057020000}"/>
    <cellStyle name="Comma 2 7 3" xfId="2566" xr:uid="{00000000-0005-0000-0000-000058020000}"/>
    <cellStyle name="Comma 2 8" xfId="1503" xr:uid="{00000000-0005-0000-0000-000059020000}"/>
    <cellStyle name="Comma 2 8 2" xfId="2573" xr:uid="{00000000-0005-0000-0000-00005A020000}"/>
    <cellStyle name="Comma 2 9" xfId="1505" xr:uid="{00000000-0005-0000-0000-00005B020000}"/>
    <cellStyle name="Comma 2 9 2" xfId="2575" xr:uid="{00000000-0005-0000-0000-00005C020000}"/>
    <cellStyle name="Comma 2_Rates project" xfId="362" xr:uid="{00000000-0005-0000-0000-00005D020000}"/>
    <cellStyle name="Comma 3" xfId="48" xr:uid="{00000000-0005-0000-0000-00005E020000}"/>
    <cellStyle name="Comma 3 2" xfId="188" xr:uid="{00000000-0005-0000-0000-00005F020000}"/>
    <cellStyle name="Comma 3 2 2" xfId="1298" xr:uid="{00000000-0005-0000-0000-000060020000}"/>
    <cellStyle name="Comma 3 2 2 2" xfId="1998" xr:uid="{00000000-0005-0000-0000-000061020000}"/>
    <cellStyle name="Comma 3 2 2 2 2" xfId="2797" xr:uid="{00000000-0005-0000-0000-000062020000}"/>
    <cellStyle name="Comma 3 2 2 3" xfId="1817" xr:uid="{00000000-0005-0000-0000-000063020000}"/>
    <cellStyle name="Comma 3 2 2 3 2" xfId="2621" xr:uid="{00000000-0005-0000-0000-000064020000}"/>
    <cellStyle name="Comma 3 2 2 4" xfId="1628" xr:uid="{00000000-0005-0000-0000-000065020000}"/>
    <cellStyle name="Comma 3 2 2 4 2" xfId="2604" xr:uid="{00000000-0005-0000-0000-000066020000}"/>
    <cellStyle name="Comma 3 2 2 5" xfId="2567" xr:uid="{00000000-0005-0000-0000-000067020000}"/>
    <cellStyle name="Comma 3 2 3" xfId="1823" xr:uid="{00000000-0005-0000-0000-000068020000}"/>
    <cellStyle name="Comma 3 2 3 2" xfId="2627" xr:uid="{00000000-0005-0000-0000-000069020000}"/>
    <cellStyle name="Comma 3 2 4" xfId="2174" xr:uid="{00000000-0005-0000-0000-00006A020000}"/>
    <cellStyle name="Comma 3 3" xfId="187" xr:uid="{00000000-0005-0000-0000-00006B020000}"/>
    <cellStyle name="Comma 3 3 2" xfId="537" xr:uid="{00000000-0005-0000-0000-00006C020000}"/>
    <cellStyle name="Comma 3 3 2 2" xfId="2225" xr:uid="{00000000-0005-0000-0000-00006D020000}"/>
    <cellStyle name="Comma 3 3 3" xfId="1516" xr:uid="{00000000-0005-0000-0000-00006E020000}"/>
    <cellStyle name="Comma 3 3 3 2" xfId="2579" xr:uid="{00000000-0005-0000-0000-00006F020000}"/>
    <cellStyle name="Comma 3 3 4" xfId="2173" xr:uid="{00000000-0005-0000-0000-000070020000}"/>
    <cellStyle name="Comma 3 4" xfId="180" xr:uid="{00000000-0005-0000-0000-000071020000}"/>
    <cellStyle name="Comma 3 4 2" xfId="1617" xr:uid="{00000000-0005-0000-0000-000072020000}"/>
    <cellStyle name="Comma 3 4 2 2" xfId="2601" xr:uid="{00000000-0005-0000-0000-000073020000}"/>
    <cellStyle name="Comma 3 4 3" xfId="1518" xr:uid="{00000000-0005-0000-0000-000074020000}"/>
    <cellStyle name="Comma 3 4 3 2" xfId="2580" xr:uid="{00000000-0005-0000-0000-000075020000}"/>
    <cellStyle name="Comma 3 4 4" xfId="2169" xr:uid="{00000000-0005-0000-0000-000076020000}"/>
    <cellStyle name="Comma 3 5" xfId="1811" xr:uid="{00000000-0005-0000-0000-000077020000}"/>
    <cellStyle name="Comma 3 5 2" xfId="2036" xr:uid="{00000000-0005-0000-0000-000078020000}"/>
    <cellStyle name="Comma 3 5 2 2" xfId="2799" xr:uid="{00000000-0005-0000-0000-000079020000}"/>
    <cellStyle name="Comma 3 5 3" xfId="2618" xr:uid="{00000000-0005-0000-0000-00007A020000}"/>
    <cellStyle name="Comma 4" xfId="46" xr:uid="{00000000-0005-0000-0000-00007B020000}"/>
    <cellStyle name="Comma 4 2" xfId="189" xr:uid="{00000000-0005-0000-0000-00007C020000}"/>
    <cellStyle name="Comma 4 2 2" xfId="266" xr:uid="{00000000-0005-0000-0000-00007D020000}"/>
    <cellStyle name="Comma 4 2 2 2" xfId="1835" xr:uid="{00000000-0005-0000-0000-00007E020000}"/>
    <cellStyle name="Comma 4 2 2 2 2" xfId="2639" xr:uid="{00000000-0005-0000-0000-00007F020000}"/>
    <cellStyle name="Comma 4 2 2 3" xfId="2189" xr:uid="{00000000-0005-0000-0000-000080020000}"/>
    <cellStyle name="Comma 4 2 3" xfId="1221" xr:uid="{00000000-0005-0000-0000-000081020000}"/>
    <cellStyle name="Comma 4 2 3 2" xfId="1988" xr:uid="{00000000-0005-0000-0000-000082020000}"/>
    <cellStyle name="Comma 4 2 3 2 2" xfId="2790" xr:uid="{00000000-0005-0000-0000-000083020000}"/>
    <cellStyle name="Comma 4 2 3 3" xfId="2554" xr:uid="{00000000-0005-0000-0000-000084020000}"/>
    <cellStyle name="Comma 4 2 4" xfId="1624" xr:uid="{00000000-0005-0000-0000-000085020000}"/>
    <cellStyle name="Comma 4 2 4 2" xfId="2603" xr:uid="{00000000-0005-0000-0000-000086020000}"/>
    <cellStyle name="Comma 4 2 5" xfId="1824" xr:uid="{00000000-0005-0000-0000-000087020000}"/>
    <cellStyle name="Comma 4 2 5 2" xfId="2628" xr:uid="{00000000-0005-0000-0000-000088020000}"/>
    <cellStyle name="Comma 4 2 6" xfId="2175" xr:uid="{00000000-0005-0000-0000-000089020000}"/>
    <cellStyle name="Comma 4 3" xfId="179" xr:uid="{00000000-0005-0000-0000-00008A020000}"/>
    <cellStyle name="Comma 4 3 2" xfId="267" xr:uid="{00000000-0005-0000-0000-00008B020000}"/>
    <cellStyle name="Comma 4 3 2 2" xfId="1836" xr:uid="{00000000-0005-0000-0000-00008C020000}"/>
    <cellStyle name="Comma 4 3 2 2 2" xfId="2640" xr:uid="{00000000-0005-0000-0000-00008D020000}"/>
    <cellStyle name="Comma 4 3 2 3" xfId="2190" xr:uid="{00000000-0005-0000-0000-00008E020000}"/>
    <cellStyle name="Comma 4 3 3" xfId="1821" xr:uid="{00000000-0005-0000-0000-00008F020000}"/>
    <cellStyle name="Comma 4 3 3 2" xfId="2625" xr:uid="{00000000-0005-0000-0000-000090020000}"/>
    <cellStyle name="Comma 4 3 4" xfId="2168" xr:uid="{00000000-0005-0000-0000-000091020000}"/>
    <cellStyle name="Comma 4 4" xfId="1168" xr:uid="{00000000-0005-0000-0000-000092020000}"/>
    <cellStyle name="Comma 4 4 2" xfId="1982" xr:uid="{00000000-0005-0000-0000-000093020000}"/>
    <cellStyle name="Comma 4 4 2 2" xfId="2786" xr:uid="{00000000-0005-0000-0000-000094020000}"/>
    <cellStyle name="Comma 4 4 3" xfId="2547" xr:uid="{00000000-0005-0000-0000-000095020000}"/>
    <cellStyle name="Comma 4 5" xfId="1809" xr:uid="{00000000-0005-0000-0000-000096020000}"/>
    <cellStyle name="Comma 4 5 2" xfId="2617" xr:uid="{00000000-0005-0000-0000-000097020000}"/>
    <cellStyle name="Comma 4 6" xfId="1816" xr:uid="{00000000-0005-0000-0000-000098020000}"/>
    <cellStyle name="Comma 4 6 2" xfId="2620" xr:uid="{00000000-0005-0000-0000-000099020000}"/>
    <cellStyle name="Comma 4 7" xfId="2162" xr:uid="{00000000-0005-0000-0000-00009A020000}"/>
    <cellStyle name="Comma 5" xfId="190" xr:uid="{00000000-0005-0000-0000-00009B020000}"/>
    <cellStyle name="Comma 5 10" xfId="1742" xr:uid="{00000000-0005-0000-0000-00009C020000}"/>
    <cellStyle name="Comma 5 10 2" xfId="2610" xr:uid="{00000000-0005-0000-0000-00009D020000}"/>
    <cellStyle name="Comma 5 11" xfId="1825" xr:uid="{00000000-0005-0000-0000-00009E020000}"/>
    <cellStyle name="Comma 5 11 2" xfId="2629" xr:uid="{00000000-0005-0000-0000-00009F020000}"/>
    <cellStyle name="Comma 5 12" xfId="2176" xr:uid="{00000000-0005-0000-0000-0000A0020000}"/>
    <cellStyle name="Comma 5 2" xfId="364" xr:uid="{00000000-0005-0000-0000-0000A1020000}"/>
    <cellStyle name="Comma 5 2 2" xfId="1468" xr:uid="{00000000-0005-0000-0000-0000A2020000}"/>
    <cellStyle name="Comma 5 2 2 2" xfId="2021" xr:uid="{00000000-0005-0000-0000-0000A3020000}"/>
    <cellStyle name="Comma 5 2 2 2 2" xfId="2798" xr:uid="{00000000-0005-0000-0000-0000A4020000}"/>
    <cellStyle name="Comma 5 2 2 3" xfId="1956" xr:uid="{00000000-0005-0000-0000-0000A5020000}"/>
    <cellStyle name="Comma 5 2 2 3 2" xfId="2760" xr:uid="{00000000-0005-0000-0000-0000A6020000}"/>
    <cellStyle name="Comma 5 2 2 4" xfId="1508" xr:uid="{00000000-0005-0000-0000-0000A7020000}"/>
    <cellStyle name="Comma 5 2 2 4 2" xfId="2577" xr:uid="{00000000-0005-0000-0000-0000A8020000}"/>
    <cellStyle name="Comma 5 2 2 5" xfId="2568" xr:uid="{00000000-0005-0000-0000-0000A9020000}"/>
    <cellStyle name="Comma 5 2 3" xfId="2200" xr:uid="{00000000-0005-0000-0000-0000AA020000}"/>
    <cellStyle name="Comma 5 3" xfId="524" xr:uid="{00000000-0005-0000-0000-0000AB020000}"/>
    <cellStyle name="Comma 5 3 2" xfId="576" xr:uid="{00000000-0005-0000-0000-0000AC020000}"/>
    <cellStyle name="Comma 5 3 2 2" xfId="688" xr:uid="{00000000-0005-0000-0000-0000AD020000}"/>
    <cellStyle name="Comma 5 3 2 2 2" xfId="915" xr:uid="{00000000-0005-0000-0000-0000AE020000}"/>
    <cellStyle name="Comma 5 3 2 2 2 2" xfId="1960" xr:uid="{00000000-0005-0000-0000-0000AF020000}"/>
    <cellStyle name="Comma 5 3 2 2 2 2 2" xfId="2764" xr:uid="{00000000-0005-0000-0000-0000B0020000}"/>
    <cellStyle name="Comma 5 3 2 2 2 3" xfId="2361" xr:uid="{00000000-0005-0000-0000-0000B1020000}"/>
    <cellStyle name="Comma 5 3 2 2 3" xfId="1893" xr:uid="{00000000-0005-0000-0000-0000B2020000}"/>
    <cellStyle name="Comma 5 3 2 2 3 2" xfId="2697" xr:uid="{00000000-0005-0000-0000-0000B3020000}"/>
    <cellStyle name="Comma 5 3 2 2 4" xfId="2277" xr:uid="{00000000-0005-0000-0000-0000B4020000}"/>
    <cellStyle name="Comma 5 3 2 3" xfId="802" xr:uid="{00000000-0005-0000-0000-0000B5020000}"/>
    <cellStyle name="Comma 5 3 2 3 2" xfId="1926" xr:uid="{00000000-0005-0000-0000-0000B6020000}"/>
    <cellStyle name="Comma 5 3 2 3 2 2" xfId="2730" xr:uid="{00000000-0005-0000-0000-0000B7020000}"/>
    <cellStyle name="Comma 5 3 2 3 3" xfId="2319" xr:uid="{00000000-0005-0000-0000-0000B8020000}"/>
    <cellStyle name="Comma 5 3 2 4" xfId="1860" xr:uid="{00000000-0005-0000-0000-0000B9020000}"/>
    <cellStyle name="Comma 5 3 2 4 2" xfId="2664" xr:uid="{00000000-0005-0000-0000-0000BA020000}"/>
    <cellStyle name="Comma 5 3 2 5" xfId="2235" xr:uid="{00000000-0005-0000-0000-0000BB020000}"/>
    <cellStyle name="Comma 5 3 3" xfId="613" xr:uid="{00000000-0005-0000-0000-0000BC020000}"/>
    <cellStyle name="Comma 5 3 3 2" xfId="725" xr:uid="{00000000-0005-0000-0000-0000BD020000}"/>
    <cellStyle name="Comma 5 3 3 2 2" xfId="952" xr:uid="{00000000-0005-0000-0000-0000BE020000}"/>
    <cellStyle name="Comma 5 3 3 2 2 2" xfId="1971" xr:uid="{00000000-0005-0000-0000-0000BF020000}"/>
    <cellStyle name="Comma 5 3 3 2 2 2 2" xfId="2775" xr:uid="{00000000-0005-0000-0000-0000C0020000}"/>
    <cellStyle name="Comma 5 3 3 2 2 3" xfId="2375" xr:uid="{00000000-0005-0000-0000-0000C1020000}"/>
    <cellStyle name="Comma 5 3 3 2 3" xfId="1904" xr:uid="{00000000-0005-0000-0000-0000C2020000}"/>
    <cellStyle name="Comma 5 3 3 2 3 2" xfId="2708" xr:uid="{00000000-0005-0000-0000-0000C3020000}"/>
    <cellStyle name="Comma 5 3 3 2 4" xfId="2291" xr:uid="{00000000-0005-0000-0000-0000C4020000}"/>
    <cellStyle name="Comma 5 3 3 3" xfId="839" xr:uid="{00000000-0005-0000-0000-0000C5020000}"/>
    <cellStyle name="Comma 5 3 3 3 2" xfId="1937" xr:uid="{00000000-0005-0000-0000-0000C6020000}"/>
    <cellStyle name="Comma 5 3 3 3 2 2" xfId="2741" xr:uid="{00000000-0005-0000-0000-0000C7020000}"/>
    <cellStyle name="Comma 5 3 3 3 3" xfId="2333" xr:uid="{00000000-0005-0000-0000-0000C8020000}"/>
    <cellStyle name="Comma 5 3 3 4" xfId="1871" xr:uid="{00000000-0005-0000-0000-0000C9020000}"/>
    <cellStyle name="Comma 5 3 3 4 2" xfId="2675" xr:uid="{00000000-0005-0000-0000-0000CA020000}"/>
    <cellStyle name="Comma 5 3 3 5" xfId="2249" xr:uid="{00000000-0005-0000-0000-0000CB020000}"/>
    <cellStyle name="Comma 5 3 4" xfId="652" xr:uid="{00000000-0005-0000-0000-0000CC020000}"/>
    <cellStyle name="Comma 5 3 4 2" xfId="878" xr:uid="{00000000-0005-0000-0000-0000CD020000}"/>
    <cellStyle name="Comma 5 3 4 2 2" xfId="1948" xr:uid="{00000000-0005-0000-0000-0000CE020000}"/>
    <cellStyle name="Comma 5 3 4 2 2 2" xfId="2752" xr:uid="{00000000-0005-0000-0000-0000CF020000}"/>
    <cellStyle name="Comma 5 3 4 2 3" xfId="2347" xr:uid="{00000000-0005-0000-0000-0000D0020000}"/>
    <cellStyle name="Comma 5 3 4 3" xfId="1882" xr:uid="{00000000-0005-0000-0000-0000D1020000}"/>
    <cellStyle name="Comma 5 3 4 3 2" xfId="2686" xr:uid="{00000000-0005-0000-0000-0000D2020000}"/>
    <cellStyle name="Comma 5 3 4 4" xfId="2263" xr:uid="{00000000-0005-0000-0000-0000D3020000}"/>
    <cellStyle name="Comma 5 3 5" xfId="765" xr:uid="{00000000-0005-0000-0000-0000D4020000}"/>
    <cellStyle name="Comma 5 3 5 2" xfId="1915" xr:uid="{00000000-0005-0000-0000-0000D5020000}"/>
    <cellStyle name="Comma 5 3 5 2 2" xfId="2719" xr:uid="{00000000-0005-0000-0000-0000D6020000}"/>
    <cellStyle name="Comma 5 3 5 3" xfId="2305" xr:uid="{00000000-0005-0000-0000-0000D7020000}"/>
    <cellStyle name="Comma 5 3 6" xfId="1847" xr:uid="{00000000-0005-0000-0000-0000D8020000}"/>
    <cellStyle name="Comma 5 3 6 2" xfId="2651" xr:uid="{00000000-0005-0000-0000-0000D9020000}"/>
    <cellStyle name="Comma 5 3 7" xfId="2218" xr:uid="{00000000-0005-0000-0000-0000DA020000}"/>
    <cellStyle name="Comma 5 4" xfId="538" xr:uid="{00000000-0005-0000-0000-0000DB020000}"/>
    <cellStyle name="Comma 5 4 2" xfId="587" xr:uid="{00000000-0005-0000-0000-0000DC020000}"/>
    <cellStyle name="Comma 5 4 2 2" xfId="699" xr:uid="{00000000-0005-0000-0000-0000DD020000}"/>
    <cellStyle name="Comma 5 4 2 2 2" xfId="926" xr:uid="{00000000-0005-0000-0000-0000DE020000}"/>
    <cellStyle name="Comma 5 4 2 2 2 2" xfId="1964" xr:uid="{00000000-0005-0000-0000-0000DF020000}"/>
    <cellStyle name="Comma 5 4 2 2 2 2 2" xfId="2768" xr:uid="{00000000-0005-0000-0000-0000E0020000}"/>
    <cellStyle name="Comma 5 4 2 2 2 3" xfId="2367" xr:uid="{00000000-0005-0000-0000-0000E1020000}"/>
    <cellStyle name="Comma 5 4 2 2 3" xfId="1897" xr:uid="{00000000-0005-0000-0000-0000E2020000}"/>
    <cellStyle name="Comma 5 4 2 2 3 2" xfId="2701" xr:uid="{00000000-0005-0000-0000-0000E3020000}"/>
    <cellStyle name="Comma 5 4 2 2 4" xfId="2283" xr:uid="{00000000-0005-0000-0000-0000E4020000}"/>
    <cellStyle name="Comma 5 4 2 3" xfId="813" xr:uid="{00000000-0005-0000-0000-0000E5020000}"/>
    <cellStyle name="Comma 5 4 2 3 2" xfId="1930" xr:uid="{00000000-0005-0000-0000-0000E6020000}"/>
    <cellStyle name="Comma 5 4 2 3 2 2" xfId="2734" xr:uid="{00000000-0005-0000-0000-0000E7020000}"/>
    <cellStyle name="Comma 5 4 2 3 3" xfId="2325" xr:uid="{00000000-0005-0000-0000-0000E8020000}"/>
    <cellStyle name="Comma 5 4 2 4" xfId="1864" xr:uid="{00000000-0005-0000-0000-0000E9020000}"/>
    <cellStyle name="Comma 5 4 2 4 2" xfId="2668" xr:uid="{00000000-0005-0000-0000-0000EA020000}"/>
    <cellStyle name="Comma 5 4 2 5" xfId="2241" xr:uid="{00000000-0005-0000-0000-0000EB020000}"/>
    <cellStyle name="Comma 5 4 3" xfId="624" xr:uid="{00000000-0005-0000-0000-0000EC020000}"/>
    <cellStyle name="Comma 5 4 3 2" xfId="736" xr:uid="{00000000-0005-0000-0000-0000ED020000}"/>
    <cellStyle name="Comma 5 4 3 2 2" xfId="963" xr:uid="{00000000-0005-0000-0000-0000EE020000}"/>
    <cellStyle name="Comma 5 4 3 2 2 2" xfId="1975" xr:uid="{00000000-0005-0000-0000-0000EF020000}"/>
    <cellStyle name="Comma 5 4 3 2 2 2 2" xfId="2779" xr:uid="{00000000-0005-0000-0000-0000F0020000}"/>
    <cellStyle name="Comma 5 4 3 2 2 3" xfId="2381" xr:uid="{00000000-0005-0000-0000-0000F1020000}"/>
    <cellStyle name="Comma 5 4 3 2 3" xfId="1908" xr:uid="{00000000-0005-0000-0000-0000F2020000}"/>
    <cellStyle name="Comma 5 4 3 2 3 2" xfId="2712" xr:uid="{00000000-0005-0000-0000-0000F3020000}"/>
    <cellStyle name="Comma 5 4 3 2 4" xfId="2297" xr:uid="{00000000-0005-0000-0000-0000F4020000}"/>
    <cellStyle name="Comma 5 4 3 3" xfId="850" xr:uid="{00000000-0005-0000-0000-0000F5020000}"/>
    <cellStyle name="Comma 5 4 3 3 2" xfId="1941" xr:uid="{00000000-0005-0000-0000-0000F6020000}"/>
    <cellStyle name="Comma 5 4 3 3 2 2" xfId="2745" xr:uid="{00000000-0005-0000-0000-0000F7020000}"/>
    <cellStyle name="Comma 5 4 3 3 3" xfId="2339" xr:uid="{00000000-0005-0000-0000-0000F8020000}"/>
    <cellStyle name="Comma 5 4 3 4" xfId="1875" xr:uid="{00000000-0005-0000-0000-0000F9020000}"/>
    <cellStyle name="Comma 5 4 3 4 2" xfId="2679" xr:uid="{00000000-0005-0000-0000-0000FA020000}"/>
    <cellStyle name="Comma 5 4 3 5" xfId="2255" xr:uid="{00000000-0005-0000-0000-0000FB020000}"/>
    <cellStyle name="Comma 5 4 4" xfId="663" xr:uid="{00000000-0005-0000-0000-0000FC020000}"/>
    <cellStyle name="Comma 5 4 4 2" xfId="889" xr:uid="{00000000-0005-0000-0000-0000FD020000}"/>
    <cellStyle name="Comma 5 4 4 2 2" xfId="1952" xr:uid="{00000000-0005-0000-0000-0000FE020000}"/>
    <cellStyle name="Comma 5 4 4 2 2 2" xfId="2756" xr:uid="{00000000-0005-0000-0000-0000FF020000}"/>
    <cellStyle name="Comma 5 4 4 2 3" xfId="2353" xr:uid="{00000000-0005-0000-0000-000000030000}"/>
    <cellStyle name="Comma 5 4 4 3" xfId="1886" xr:uid="{00000000-0005-0000-0000-000001030000}"/>
    <cellStyle name="Comma 5 4 4 3 2" xfId="2690" xr:uid="{00000000-0005-0000-0000-000002030000}"/>
    <cellStyle name="Comma 5 4 4 4" xfId="2269" xr:uid="{00000000-0005-0000-0000-000003030000}"/>
    <cellStyle name="Comma 5 4 5" xfId="776" xr:uid="{00000000-0005-0000-0000-000004030000}"/>
    <cellStyle name="Comma 5 4 5 2" xfId="1919" xr:uid="{00000000-0005-0000-0000-000005030000}"/>
    <cellStyle name="Comma 5 4 5 2 2" xfId="2723" xr:uid="{00000000-0005-0000-0000-000006030000}"/>
    <cellStyle name="Comma 5 4 5 3" xfId="2311" xr:uid="{00000000-0005-0000-0000-000007030000}"/>
    <cellStyle name="Comma 5 4 6" xfId="1852" xr:uid="{00000000-0005-0000-0000-000008030000}"/>
    <cellStyle name="Comma 5 4 6 2" xfId="2656" xr:uid="{00000000-0005-0000-0000-000009030000}"/>
    <cellStyle name="Comma 5 4 7" xfId="2226" xr:uid="{00000000-0005-0000-0000-00000A030000}"/>
    <cellStyle name="Comma 5 5" xfId="568" xr:uid="{00000000-0005-0000-0000-00000B030000}"/>
    <cellStyle name="Comma 5 5 2" xfId="680" xr:uid="{00000000-0005-0000-0000-00000C030000}"/>
    <cellStyle name="Comma 5 5 2 2" xfId="907" xr:uid="{00000000-0005-0000-0000-00000D030000}"/>
    <cellStyle name="Comma 5 5 2 2 2" xfId="1957" xr:uid="{00000000-0005-0000-0000-00000E030000}"/>
    <cellStyle name="Comma 5 5 2 2 2 2" xfId="2761" xr:uid="{00000000-0005-0000-0000-00000F030000}"/>
    <cellStyle name="Comma 5 5 2 2 3" xfId="2358" xr:uid="{00000000-0005-0000-0000-000010030000}"/>
    <cellStyle name="Comma 5 5 2 3" xfId="1890" xr:uid="{00000000-0005-0000-0000-000011030000}"/>
    <cellStyle name="Comma 5 5 2 3 2" xfId="2694" xr:uid="{00000000-0005-0000-0000-000012030000}"/>
    <cellStyle name="Comma 5 5 2 4" xfId="2274" xr:uid="{00000000-0005-0000-0000-000013030000}"/>
    <cellStyle name="Comma 5 5 3" xfId="794" xr:uid="{00000000-0005-0000-0000-000014030000}"/>
    <cellStyle name="Comma 5 5 3 2" xfId="1923" xr:uid="{00000000-0005-0000-0000-000015030000}"/>
    <cellStyle name="Comma 5 5 3 2 2" xfId="2727" xr:uid="{00000000-0005-0000-0000-000016030000}"/>
    <cellStyle name="Comma 5 5 3 3" xfId="2316" xr:uid="{00000000-0005-0000-0000-000017030000}"/>
    <cellStyle name="Comma 5 5 4" xfId="1857" xr:uid="{00000000-0005-0000-0000-000018030000}"/>
    <cellStyle name="Comma 5 5 4 2" xfId="2661" xr:uid="{00000000-0005-0000-0000-000019030000}"/>
    <cellStyle name="Comma 5 5 5" xfId="2232" xr:uid="{00000000-0005-0000-0000-00001A030000}"/>
    <cellStyle name="Comma 5 6" xfId="605" xr:uid="{00000000-0005-0000-0000-00001B030000}"/>
    <cellStyle name="Comma 5 6 2" xfId="717" xr:uid="{00000000-0005-0000-0000-00001C030000}"/>
    <cellStyle name="Comma 5 6 2 2" xfId="944" xr:uid="{00000000-0005-0000-0000-00001D030000}"/>
    <cellStyle name="Comma 5 6 2 2 2" xfId="1968" xr:uid="{00000000-0005-0000-0000-00001E030000}"/>
    <cellStyle name="Comma 5 6 2 2 2 2" xfId="2772" xr:uid="{00000000-0005-0000-0000-00001F030000}"/>
    <cellStyle name="Comma 5 6 2 2 3" xfId="2372" xr:uid="{00000000-0005-0000-0000-000020030000}"/>
    <cellStyle name="Comma 5 6 2 3" xfId="1901" xr:uid="{00000000-0005-0000-0000-000021030000}"/>
    <cellStyle name="Comma 5 6 2 3 2" xfId="2705" xr:uid="{00000000-0005-0000-0000-000022030000}"/>
    <cellStyle name="Comma 5 6 2 4" xfId="2288" xr:uid="{00000000-0005-0000-0000-000023030000}"/>
    <cellStyle name="Comma 5 6 3" xfId="831" xr:uid="{00000000-0005-0000-0000-000024030000}"/>
    <cellStyle name="Comma 5 6 3 2" xfId="1934" xr:uid="{00000000-0005-0000-0000-000025030000}"/>
    <cellStyle name="Comma 5 6 3 2 2" xfId="2738" xr:uid="{00000000-0005-0000-0000-000026030000}"/>
    <cellStyle name="Comma 5 6 3 3" xfId="2330" xr:uid="{00000000-0005-0000-0000-000027030000}"/>
    <cellStyle name="Comma 5 6 4" xfId="1868" xr:uid="{00000000-0005-0000-0000-000028030000}"/>
    <cellStyle name="Comma 5 6 4 2" xfId="2672" xr:uid="{00000000-0005-0000-0000-000029030000}"/>
    <cellStyle name="Comma 5 6 5" xfId="2246" xr:uid="{00000000-0005-0000-0000-00002A030000}"/>
    <cellStyle name="Comma 5 7" xfId="644" xr:uid="{00000000-0005-0000-0000-00002B030000}"/>
    <cellStyle name="Comma 5 7 2" xfId="870" xr:uid="{00000000-0005-0000-0000-00002C030000}"/>
    <cellStyle name="Comma 5 7 2 2" xfId="1945" xr:uid="{00000000-0005-0000-0000-00002D030000}"/>
    <cellStyle name="Comma 5 7 2 2 2" xfId="2749" xr:uid="{00000000-0005-0000-0000-00002E030000}"/>
    <cellStyle name="Comma 5 7 2 3" xfId="2344" xr:uid="{00000000-0005-0000-0000-00002F030000}"/>
    <cellStyle name="Comma 5 7 3" xfId="1879" xr:uid="{00000000-0005-0000-0000-000030030000}"/>
    <cellStyle name="Comma 5 7 3 2" xfId="2683" xr:uid="{00000000-0005-0000-0000-000031030000}"/>
    <cellStyle name="Comma 5 7 4" xfId="2260" xr:uid="{00000000-0005-0000-0000-000032030000}"/>
    <cellStyle name="Comma 5 8" xfId="757" xr:uid="{00000000-0005-0000-0000-000033030000}"/>
    <cellStyle name="Comma 5 8 2" xfId="1912" xr:uid="{00000000-0005-0000-0000-000034030000}"/>
    <cellStyle name="Comma 5 8 2 2" xfId="2716" xr:uid="{00000000-0005-0000-0000-000035030000}"/>
    <cellStyle name="Comma 5 8 3" xfId="2302" xr:uid="{00000000-0005-0000-0000-000036030000}"/>
    <cellStyle name="Comma 5 9" xfId="363" xr:uid="{00000000-0005-0000-0000-000037030000}"/>
    <cellStyle name="Comma 5 9 2" xfId="1843" xr:uid="{00000000-0005-0000-0000-000038030000}"/>
    <cellStyle name="Comma 5 9 2 2" xfId="2647" xr:uid="{00000000-0005-0000-0000-000039030000}"/>
    <cellStyle name="Comma 5 9 3" xfId="2199" xr:uid="{00000000-0005-0000-0000-00003A030000}"/>
    <cellStyle name="Comma 6" xfId="191" xr:uid="{00000000-0005-0000-0000-00003B030000}"/>
    <cellStyle name="Comma 6 10" xfId="1826" xr:uid="{00000000-0005-0000-0000-00003C030000}"/>
    <cellStyle name="Comma 6 10 2" xfId="2630" xr:uid="{00000000-0005-0000-0000-00003D030000}"/>
    <cellStyle name="Comma 6 11" xfId="2177" xr:uid="{00000000-0005-0000-0000-00003E030000}"/>
    <cellStyle name="Comma 6 2" xfId="366" xr:uid="{00000000-0005-0000-0000-00003F030000}"/>
    <cellStyle name="Comma 6 2 2" xfId="1222" xr:uid="{00000000-0005-0000-0000-000040030000}"/>
    <cellStyle name="Comma 6 2 2 2" xfId="1784" xr:uid="{00000000-0005-0000-0000-000041030000}"/>
    <cellStyle name="Comma 6 2 2 2 2" xfId="2612" xr:uid="{00000000-0005-0000-0000-000042030000}"/>
    <cellStyle name="Comma 6 2 2 3" xfId="1989" xr:uid="{00000000-0005-0000-0000-000043030000}"/>
    <cellStyle name="Comma 6 2 2 3 2" xfId="2791" xr:uid="{00000000-0005-0000-0000-000044030000}"/>
    <cellStyle name="Comma 6 2 2 4" xfId="1602" xr:uid="{00000000-0005-0000-0000-000045030000}"/>
    <cellStyle name="Comma 6 2 2 4 2" xfId="2597" xr:uid="{00000000-0005-0000-0000-000046030000}"/>
    <cellStyle name="Comma 6 2 2 5" xfId="2555" xr:uid="{00000000-0005-0000-0000-000047030000}"/>
    <cellStyle name="Comma 6 2 3" xfId="2202" xr:uid="{00000000-0005-0000-0000-000048030000}"/>
    <cellStyle name="Comma 6 3" xfId="525" xr:uid="{00000000-0005-0000-0000-000049030000}"/>
    <cellStyle name="Comma 6 3 2" xfId="577" xr:uid="{00000000-0005-0000-0000-00004A030000}"/>
    <cellStyle name="Comma 6 3 2 2" xfId="689" xr:uid="{00000000-0005-0000-0000-00004B030000}"/>
    <cellStyle name="Comma 6 3 2 2 2" xfId="916" xr:uid="{00000000-0005-0000-0000-00004C030000}"/>
    <cellStyle name="Comma 6 3 2 2 2 2" xfId="1961" xr:uid="{00000000-0005-0000-0000-00004D030000}"/>
    <cellStyle name="Comma 6 3 2 2 2 2 2" xfId="2765" xr:uid="{00000000-0005-0000-0000-00004E030000}"/>
    <cellStyle name="Comma 6 3 2 2 2 3" xfId="2362" xr:uid="{00000000-0005-0000-0000-00004F030000}"/>
    <cellStyle name="Comma 6 3 2 2 3" xfId="1894" xr:uid="{00000000-0005-0000-0000-000050030000}"/>
    <cellStyle name="Comma 6 3 2 2 3 2" xfId="2698" xr:uid="{00000000-0005-0000-0000-000051030000}"/>
    <cellStyle name="Comma 6 3 2 2 4" xfId="2278" xr:uid="{00000000-0005-0000-0000-000052030000}"/>
    <cellStyle name="Comma 6 3 2 3" xfId="803" xr:uid="{00000000-0005-0000-0000-000053030000}"/>
    <cellStyle name="Comma 6 3 2 3 2" xfId="1927" xr:uid="{00000000-0005-0000-0000-000054030000}"/>
    <cellStyle name="Comma 6 3 2 3 2 2" xfId="2731" xr:uid="{00000000-0005-0000-0000-000055030000}"/>
    <cellStyle name="Comma 6 3 2 3 3" xfId="2320" xr:uid="{00000000-0005-0000-0000-000056030000}"/>
    <cellStyle name="Comma 6 3 2 4" xfId="1861" xr:uid="{00000000-0005-0000-0000-000057030000}"/>
    <cellStyle name="Comma 6 3 2 4 2" xfId="2665" xr:uid="{00000000-0005-0000-0000-000058030000}"/>
    <cellStyle name="Comma 6 3 2 5" xfId="2236" xr:uid="{00000000-0005-0000-0000-000059030000}"/>
    <cellStyle name="Comma 6 3 3" xfId="614" xr:uid="{00000000-0005-0000-0000-00005A030000}"/>
    <cellStyle name="Comma 6 3 3 2" xfId="726" xr:uid="{00000000-0005-0000-0000-00005B030000}"/>
    <cellStyle name="Comma 6 3 3 2 2" xfId="953" xr:uid="{00000000-0005-0000-0000-00005C030000}"/>
    <cellStyle name="Comma 6 3 3 2 2 2" xfId="1972" xr:uid="{00000000-0005-0000-0000-00005D030000}"/>
    <cellStyle name="Comma 6 3 3 2 2 2 2" xfId="2776" xr:uid="{00000000-0005-0000-0000-00005E030000}"/>
    <cellStyle name="Comma 6 3 3 2 2 3" xfId="2376" xr:uid="{00000000-0005-0000-0000-00005F030000}"/>
    <cellStyle name="Comma 6 3 3 2 3" xfId="1905" xr:uid="{00000000-0005-0000-0000-000060030000}"/>
    <cellStyle name="Comma 6 3 3 2 3 2" xfId="2709" xr:uid="{00000000-0005-0000-0000-000061030000}"/>
    <cellStyle name="Comma 6 3 3 2 4" xfId="2292" xr:uid="{00000000-0005-0000-0000-000062030000}"/>
    <cellStyle name="Comma 6 3 3 3" xfId="840" xr:uid="{00000000-0005-0000-0000-000063030000}"/>
    <cellStyle name="Comma 6 3 3 3 2" xfId="1938" xr:uid="{00000000-0005-0000-0000-000064030000}"/>
    <cellStyle name="Comma 6 3 3 3 2 2" xfId="2742" xr:uid="{00000000-0005-0000-0000-000065030000}"/>
    <cellStyle name="Comma 6 3 3 3 3" xfId="2334" xr:uid="{00000000-0005-0000-0000-000066030000}"/>
    <cellStyle name="Comma 6 3 3 4" xfId="1872" xr:uid="{00000000-0005-0000-0000-000067030000}"/>
    <cellStyle name="Comma 6 3 3 4 2" xfId="2676" xr:uid="{00000000-0005-0000-0000-000068030000}"/>
    <cellStyle name="Comma 6 3 3 5" xfId="2250" xr:uid="{00000000-0005-0000-0000-000069030000}"/>
    <cellStyle name="Comma 6 3 4" xfId="653" xr:uid="{00000000-0005-0000-0000-00006A030000}"/>
    <cellStyle name="Comma 6 3 4 2" xfId="879" xr:uid="{00000000-0005-0000-0000-00006B030000}"/>
    <cellStyle name="Comma 6 3 4 2 2" xfId="1949" xr:uid="{00000000-0005-0000-0000-00006C030000}"/>
    <cellStyle name="Comma 6 3 4 2 2 2" xfId="2753" xr:uid="{00000000-0005-0000-0000-00006D030000}"/>
    <cellStyle name="Comma 6 3 4 2 3" xfId="2348" xr:uid="{00000000-0005-0000-0000-00006E030000}"/>
    <cellStyle name="Comma 6 3 4 3" xfId="1883" xr:uid="{00000000-0005-0000-0000-00006F030000}"/>
    <cellStyle name="Comma 6 3 4 3 2" xfId="2687" xr:uid="{00000000-0005-0000-0000-000070030000}"/>
    <cellStyle name="Comma 6 3 4 4" xfId="2264" xr:uid="{00000000-0005-0000-0000-000071030000}"/>
    <cellStyle name="Comma 6 3 5" xfId="766" xr:uid="{00000000-0005-0000-0000-000072030000}"/>
    <cellStyle name="Comma 6 3 5 2" xfId="1916" xr:uid="{00000000-0005-0000-0000-000073030000}"/>
    <cellStyle name="Comma 6 3 5 2 2" xfId="2720" xr:uid="{00000000-0005-0000-0000-000074030000}"/>
    <cellStyle name="Comma 6 3 5 3" xfId="2306" xr:uid="{00000000-0005-0000-0000-000075030000}"/>
    <cellStyle name="Comma 6 3 6" xfId="1709" xr:uid="{00000000-0005-0000-0000-000076030000}"/>
    <cellStyle name="Comma 6 3 6 2" xfId="2045" xr:uid="{00000000-0005-0000-0000-000077030000}"/>
    <cellStyle name="Comma 6 3 6 2 2" xfId="2801" xr:uid="{00000000-0005-0000-0000-000078030000}"/>
    <cellStyle name="Comma 6 3 6 3" xfId="1848" xr:uid="{00000000-0005-0000-0000-000079030000}"/>
    <cellStyle name="Comma 6 3 6 3 2" xfId="2652" xr:uid="{00000000-0005-0000-0000-00007A030000}"/>
    <cellStyle name="Comma 6 3 6 4" xfId="2607" xr:uid="{00000000-0005-0000-0000-00007B030000}"/>
    <cellStyle name="Comma 6 3 7" xfId="2219" xr:uid="{00000000-0005-0000-0000-00007C030000}"/>
    <cellStyle name="Comma 6 4" xfId="539" xr:uid="{00000000-0005-0000-0000-00007D030000}"/>
    <cellStyle name="Comma 6 4 2" xfId="588" xr:uid="{00000000-0005-0000-0000-00007E030000}"/>
    <cellStyle name="Comma 6 4 2 2" xfId="700" xr:uid="{00000000-0005-0000-0000-00007F030000}"/>
    <cellStyle name="Comma 6 4 2 2 2" xfId="927" xr:uid="{00000000-0005-0000-0000-000080030000}"/>
    <cellStyle name="Comma 6 4 2 2 2 2" xfId="2368" xr:uid="{00000000-0005-0000-0000-000081030000}"/>
    <cellStyle name="Comma 6 4 2 2 3" xfId="2284" xr:uid="{00000000-0005-0000-0000-000082030000}"/>
    <cellStyle name="Comma 6 4 2 3" xfId="814" xr:uid="{00000000-0005-0000-0000-000083030000}"/>
    <cellStyle name="Comma 6 4 2 3 2" xfId="2326" xr:uid="{00000000-0005-0000-0000-000084030000}"/>
    <cellStyle name="Comma 6 4 2 4" xfId="2242" xr:uid="{00000000-0005-0000-0000-000085030000}"/>
    <cellStyle name="Comma 6 4 3" xfId="625" xr:uid="{00000000-0005-0000-0000-000086030000}"/>
    <cellStyle name="Comma 6 4 3 2" xfId="737" xr:uid="{00000000-0005-0000-0000-000087030000}"/>
    <cellStyle name="Comma 6 4 3 2 2" xfId="964" xr:uid="{00000000-0005-0000-0000-000088030000}"/>
    <cellStyle name="Comma 6 4 3 2 2 2" xfId="2382" xr:uid="{00000000-0005-0000-0000-000089030000}"/>
    <cellStyle name="Comma 6 4 3 2 3" xfId="2298" xr:uid="{00000000-0005-0000-0000-00008A030000}"/>
    <cellStyle name="Comma 6 4 3 3" xfId="851" xr:uid="{00000000-0005-0000-0000-00008B030000}"/>
    <cellStyle name="Comma 6 4 3 3 2" xfId="2340" xr:uid="{00000000-0005-0000-0000-00008C030000}"/>
    <cellStyle name="Comma 6 4 3 4" xfId="2256" xr:uid="{00000000-0005-0000-0000-00008D030000}"/>
    <cellStyle name="Comma 6 4 4" xfId="664" xr:uid="{00000000-0005-0000-0000-00008E030000}"/>
    <cellStyle name="Comma 6 4 4 2" xfId="890" xr:uid="{00000000-0005-0000-0000-00008F030000}"/>
    <cellStyle name="Comma 6 4 4 2 2" xfId="2354" xr:uid="{00000000-0005-0000-0000-000090030000}"/>
    <cellStyle name="Comma 6 4 4 3" xfId="2270" xr:uid="{00000000-0005-0000-0000-000091030000}"/>
    <cellStyle name="Comma 6 4 5" xfId="777" xr:uid="{00000000-0005-0000-0000-000092030000}"/>
    <cellStyle name="Comma 6 4 5 2" xfId="2312" xr:uid="{00000000-0005-0000-0000-000093030000}"/>
    <cellStyle name="Comma 6 4 6" xfId="2227" xr:uid="{00000000-0005-0000-0000-000094030000}"/>
    <cellStyle name="Comma 6 5" xfId="569" xr:uid="{00000000-0005-0000-0000-000095030000}"/>
    <cellStyle name="Comma 6 5 2" xfId="681" xr:uid="{00000000-0005-0000-0000-000096030000}"/>
    <cellStyle name="Comma 6 5 2 2" xfId="908" xr:uid="{00000000-0005-0000-0000-000097030000}"/>
    <cellStyle name="Comma 6 5 2 2 2" xfId="1958" xr:uid="{00000000-0005-0000-0000-000098030000}"/>
    <cellStyle name="Comma 6 5 2 2 2 2" xfId="2762" xr:uid="{00000000-0005-0000-0000-000099030000}"/>
    <cellStyle name="Comma 6 5 2 2 3" xfId="2359" xr:uid="{00000000-0005-0000-0000-00009A030000}"/>
    <cellStyle name="Comma 6 5 2 3" xfId="1891" xr:uid="{00000000-0005-0000-0000-00009B030000}"/>
    <cellStyle name="Comma 6 5 2 3 2" xfId="2695" xr:uid="{00000000-0005-0000-0000-00009C030000}"/>
    <cellStyle name="Comma 6 5 2 4" xfId="2275" xr:uid="{00000000-0005-0000-0000-00009D030000}"/>
    <cellStyle name="Comma 6 5 3" xfId="795" xr:uid="{00000000-0005-0000-0000-00009E030000}"/>
    <cellStyle name="Comma 6 5 3 2" xfId="1924" xr:uid="{00000000-0005-0000-0000-00009F030000}"/>
    <cellStyle name="Comma 6 5 3 2 2" xfId="2728" xr:uid="{00000000-0005-0000-0000-0000A0030000}"/>
    <cellStyle name="Comma 6 5 3 3" xfId="2317" xr:uid="{00000000-0005-0000-0000-0000A1030000}"/>
    <cellStyle name="Comma 6 5 4" xfId="1858" xr:uid="{00000000-0005-0000-0000-0000A2030000}"/>
    <cellStyle name="Comma 6 5 4 2" xfId="2662" xr:uid="{00000000-0005-0000-0000-0000A3030000}"/>
    <cellStyle name="Comma 6 5 5" xfId="2233" xr:uid="{00000000-0005-0000-0000-0000A4030000}"/>
    <cellStyle name="Comma 6 6" xfId="606" xr:uid="{00000000-0005-0000-0000-0000A5030000}"/>
    <cellStyle name="Comma 6 6 2" xfId="718" xr:uid="{00000000-0005-0000-0000-0000A6030000}"/>
    <cellStyle name="Comma 6 6 2 2" xfId="945" xr:uid="{00000000-0005-0000-0000-0000A7030000}"/>
    <cellStyle name="Comma 6 6 2 2 2" xfId="1969" xr:uid="{00000000-0005-0000-0000-0000A8030000}"/>
    <cellStyle name="Comma 6 6 2 2 2 2" xfId="2773" xr:uid="{00000000-0005-0000-0000-0000A9030000}"/>
    <cellStyle name="Comma 6 6 2 2 3" xfId="2373" xr:uid="{00000000-0005-0000-0000-0000AA030000}"/>
    <cellStyle name="Comma 6 6 2 3" xfId="1902" xr:uid="{00000000-0005-0000-0000-0000AB030000}"/>
    <cellStyle name="Comma 6 6 2 3 2" xfId="2706" xr:uid="{00000000-0005-0000-0000-0000AC030000}"/>
    <cellStyle name="Comma 6 6 2 4" xfId="2289" xr:uid="{00000000-0005-0000-0000-0000AD030000}"/>
    <cellStyle name="Comma 6 6 3" xfId="832" xr:uid="{00000000-0005-0000-0000-0000AE030000}"/>
    <cellStyle name="Comma 6 6 3 2" xfId="1935" xr:uid="{00000000-0005-0000-0000-0000AF030000}"/>
    <cellStyle name="Comma 6 6 3 2 2" xfId="2739" xr:uid="{00000000-0005-0000-0000-0000B0030000}"/>
    <cellStyle name="Comma 6 6 3 3" xfId="2331" xr:uid="{00000000-0005-0000-0000-0000B1030000}"/>
    <cellStyle name="Comma 6 6 4" xfId="1869" xr:uid="{00000000-0005-0000-0000-0000B2030000}"/>
    <cellStyle name="Comma 6 6 4 2" xfId="2673" xr:uid="{00000000-0005-0000-0000-0000B3030000}"/>
    <cellStyle name="Comma 6 6 5" xfId="2247" xr:uid="{00000000-0005-0000-0000-0000B4030000}"/>
    <cellStyle name="Comma 6 7" xfId="645" xr:uid="{00000000-0005-0000-0000-0000B5030000}"/>
    <cellStyle name="Comma 6 7 2" xfId="871" xr:uid="{00000000-0005-0000-0000-0000B6030000}"/>
    <cellStyle name="Comma 6 7 2 2" xfId="1946" xr:uid="{00000000-0005-0000-0000-0000B7030000}"/>
    <cellStyle name="Comma 6 7 2 2 2" xfId="2750" xr:uid="{00000000-0005-0000-0000-0000B8030000}"/>
    <cellStyle name="Comma 6 7 2 3" xfId="2345" xr:uid="{00000000-0005-0000-0000-0000B9030000}"/>
    <cellStyle name="Comma 6 7 3" xfId="1880" xr:uid="{00000000-0005-0000-0000-0000BA030000}"/>
    <cellStyle name="Comma 6 7 3 2" xfId="2684" xr:uid="{00000000-0005-0000-0000-0000BB030000}"/>
    <cellStyle name="Comma 6 7 4" xfId="2261" xr:uid="{00000000-0005-0000-0000-0000BC030000}"/>
    <cellStyle name="Comma 6 8" xfId="758" xr:uid="{00000000-0005-0000-0000-0000BD030000}"/>
    <cellStyle name="Comma 6 8 2" xfId="1913" xr:uid="{00000000-0005-0000-0000-0000BE030000}"/>
    <cellStyle name="Comma 6 8 2 2" xfId="2717" xr:uid="{00000000-0005-0000-0000-0000BF030000}"/>
    <cellStyle name="Comma 6 8 3" xfId="2303" xr:uid="{00000000-0005-0000-0000-0000C0030000}"/>
    <cellStyle name="Comma 6 9" xfId="365" xr:uid="{00000000-0005-0000-0000-0000C1030000}"/>
    <cellStyle name="Comma 6 9 2" xfId="1844" xr:uid="{00000000-0005-0000-0000-0000C2030000}"/>
    <cellStyle name="Comma 6 9 2 2" xfId="2648" xr:uid="{00000000-0005-0000-0000-0000C3030000}"/>
    <cellStyle name="Comma 6 9 3" xfId="2201" xr:uid="{00000000-0005-0000-0000-0000C4030000}"/>
    <cellStyle name="Comma 7" xfId="192" xr:uid="{00000000-0005-0000-0000-0000C5030000}"/>
    <cellStyle name="Comma 7 2" xfId="367" xr:uid="{00000000-0005-0000-0000-0000C6030000}"/>
    <cellStyle name="Comma 7 2 2" xfId="1478" xr:uid="{00000000-0005-0000-0000-0000C7030000}"/>
    <cellStyle name="Comma 7 2 2 2" xfId="2024" xr:uid="{00000000-0005-0000-0000-0000C8030000}"/>
    <cellStyle name="Comma 7 2 2 2 2" xfId="2086" xr:uid="{00000000-0005-0000-0000-0000C9030000}"/>
    <cellStyle name="Comma 7 2 2 2 2 2" xfId="2810" xr:uid="{00000000-0005-0000-0000-0000CA030000}"/>
    <cellStyle name="Comma 7 2 2 3" xfId="2570" xr:uid="{00000000-0005-0000-0000-0000CB030000}"/>
    <cellStyle name="Comma 7 2 3" xfId="2203" xr:uid="{00000000-0005-0000-0000-0000CC030000}"/>
    <cellStyle name="Comma 7 3" xfId="1223" xr:uid="{00000000-0005-0000-0000-0000CD030000}"/>
    <cellStyle name="Comma 7 3 2" xfId="1990" xr:uid="{00000000-0005-0000-0000-0000CE030000}"/>
    <cellStyle name="Comma 7 3 2 2" xfId="2065" xr:uid="{00000000-0005-0000-0000-0000CF030000}"/>
    <cellStyle name="Comma 7 3 2 2 2" xfId="2807" xr:uid="{00000000-0005-0000-0000-0000D0030000}"/>
    <cellStyle name="Comma 7 3 3" xfId="2556" xr:uid="{00000000-0005-0000-0000-0000D1030000}"/>
    <cellStyle name="Comma 7 4" xfId="1569" xr:uid="{00000000-0005-0000-0000-0000D2030000}"/>
    <cellStyle name="Comma 7 4 2" xfId="2592" xr:uid="{00000000-0005-0000-0000-0000D3030000}"/>
    <cellStyle name="Comma 7 5" xfId="1827" xr:uid="{00000000-0005-0000-0000-0000D4030000}"/>
    <cellStyle name="Comma 7 5 2" xfId="2631" xr:uid="{00000000-0005-0000-0000-0000D5030000}"/>
    <cellStyle name="Comma 7 6" xfId="2178" xr:uid="{00000000-0005-0000-0000-0000D6030000}"/>
    <cellStyle name="Comma 8" xfId="186" xr:uid="{00000000-0005-0000-0000-0000D7030000}"/>
    <cellStyle name="Comma 8 2" xfId="368" xr:uid="{00000000-0005-0000-0000-0000D8030000}"/>
    <cellStyle name="Comma 8 2 2" xfId="2204" xr:uid="{00000000-0005-0000-0000-0000D9030000}"/>
    <cellStyle name="Comma 8 3" xfId="1224" xr:uid="{00000000-0005-0000-0000-0000DA030000}"/>
    <cellStyle name="Comma 8 3 2" xfId="1991" xr:uid="{00000000-0005-0000-0000-0000DB030000}"/>
    <cellStyle name="Comma 8 3 2 2" xfId="2792" xr:uid="{00000000-0005-0000-0000-0000DC030000}"/>
    <cellStyle name="Comma 8 3 3" xfId="2557" xr:uid="{00000000-0005-0000-0000-0000DD030000}"/>
    <cellStyle name="Comma 8 4" xfId="1631" xr:uid="{00000000-0005-0000-0000-0000DE030000}"/>
    <cellStyle name="Comma 8 4 2" xfId="2605" xr:uid="{00000000-0005-0000-0000-0000DF030000}"/>
    <cellStyle name="Comma 8 5" xfId="1822" xr:uid="{00000000-0005-0000-0000-0000E0030000}"/>
    <cellStyle name="Comma 8 5 2" xfId="2626" xr:uid="{00000000-0005-0000-0000-0000E1030000}"/>
    <cellStyle name="Comma 8 6" xfId="2172" xr:uid="{00000000-0005-0000-0000-0000E2030000}"/>
    <cellStyle name="Comma 9" xfId="523" xr:uid="{00000000-0005-0000-0000-0000E3030000}"/>
    <cellStyle name="Comma 9 2" xfId="540" xr:uid="{00000000-0005-0000-0000-0000E4030000}"/>
    <cellStyle name="Comma 9 2 2" xfId="2228" xr:uid="{00000000-0005-0000-0000-0000E5030000}"/>
    <cellStyle name="Comma 9 3" xfId="1225" xr:uid="{00000000-0005-0000-0000-0000E6030000}"/>
    <cellStyle name="Comma 9 3 2" xfId="1785" xr:uid="{00000000-0005-0000-0000-0000E7030000}"/>
    <cellStyle name="Comma 9 3 2 2" xfId="2613" xr:uid="{00000000-0005-0000-0000-0000E8030000}"/>
    <cellStyle name="Comma 9 3 3" xfId="1510" xr:uid="{00000000-0005-0000-0000-0000E9030000}"/>
    <cellStyle name="Comma 9 3 3 2" xfId="2578" xr:uid="{00000000-0005-0000-0000-0000EA030000}"/>
    <cellStyle name="Comma 9 3 4" xfId="2558" xr:uid="{00000000-0005-0000-0000-0000EB030000}"/>
    <cellStyle name="Comma 9 4" xfId="1846" xr:uid="{00000000-0005-0000-0000-0000EC030000}"/>
    <cellStyle name="Comma 9 4 2" xfId="2650" xr:uid="{00000000-0005-0000-0000-0000ED030000}"/>
    <cellStyle name="Comma 9 5" xfId="2217" xr:uid="{00000000-0005-0000-0000-0000EE030000}"/>
    <cellStyle name="Currency 10" xfId="2159" xr:uid="{00000000-0005-0000-0000-0000EF030000}"/>
    <cellStyle name="Currency 2" xfId="167" xr:uid="{00000000-0005-0000-0000-0000F0030000}"/>
    <cellStyle name="Currency 2 10" xfId="1226" xr:uid="{00000000-0005-0000-0000-0000F1030000}"/>
    <cellStyle name="Currency 2 10 2" xfId="2559" xr:uid="{00000000-0005-0000-0000-0000F2030000}"/>
    <cellStyle name="Currency 2 11" xfId="2165" xr:uid="{00000000-0005-0000-0000-0000F3030000}"/>
    <cellStyle name="Currency 2 2" xfId="185" xr:uid="{00000000-0005-0000-0000-0000F4030000}"/>
    <cellStyle name="Currency 2 2 2" xfId="268" xr:uid="{00000000-0005-0000-0000-0000F5030000}"/>
    <cellStyle name="Currency 2 2 2 2" xfId="690" xr:uid="{00000000-0005-0000-0000-0000F6030000}"/>
    <cellStyle name="Currency 2 2 2 2 2" xfId="917" xr:uid="{00000000-0005-0000-0000-0000F7030000}"/>
    <cellStyle name="Currency 2 2 2 2 2 2" xfId="1962" xr:uid="{00000000-0005-0000-0000-0000F8030000}"/>
    <cellStyle name="Currency 2 2 2 2 2 2 2" xfId="2766" xr:uid="{00000000-0005-0000-0000-0000F9030000}"/>
    <cellStyle name="Currency 2 2 2 2 2 3" xfId="2363" xr:uid="{00000000-0005-0000-0000-0000FA030000}"/>
    <cellStyle name="Currency 2 2 2 2 3" xfId="1895" xr:uid="{00000000-0005-0000-0000-0000FB030000}"/>
    <cellStyle name="Currency 2 2 2 2 3 2" xfId="2699" xr:uid="{00000000-0005-0000-0000-0000FC030000}"/>
    <cellStyle name="Currency 2 2 2 2 4" xfId="2279" xr:uid="{00000000-0005-0000-0000-0000FD030000}"/>
    <cellStyle name="Currency 2 2 2 3" xfId="804" xr:uid="{00000000-0005-0000-0000-0000FE030000}"/>
    <cellStyle name="Currency 2 2 2 3 2" xfId="1928" xr:uid="{00000000-0005-0000-0000-0000FF030000}"/>
    <cellStyle name="Currency 2 2 2 3 2 2" xfId="2732" xr:uid="{00000000-0005-0000-0000-000000040000}"/>
    <cellStyle name="Currency 2 2 2 3 3" xfId="2321" xr:uid="{00000000-0005-0000-0000-000001040000}"/>
    <cellStyle name="Currency 2 2 2 4" xfId="578" xr:uid="{00000000-0005-0000-0000-000002040000}"/>
    <cellStyle name="Currency 2 2 2 4 2" xfId="1862" xr:uid="{00000000-0005-0000-0000-000003040000}"/>
    <cellStyle name="Currency 2 2 2 4 2 2" xfId="2666" xr:uid="{00000000-0005-0000-0000-000004040000}"/>
    <cellStyle name="Currency 2 2 2 4 3" xfId="2237" xr:uid="{00000000-0005-0000-0000-000005040000}"/>
    <cellStyle name="Currency 2 2 2 5" xfId="1563" xr:uid="{00000000-0005-0000-0000-000006040000}"/>
    <cellStyle name="Currency 2 2 2 5 2" xfId="2590" xr:uid="{00000000-0005-0000-0000-000007040000}"/>
    <cellStyle name="Currency 2 2 2 6" xfId="1837" xr:uid="{00000000-0005-0000-0000-000008040000}"/>
    <cellStyle name="Currency 2 2 2 6 2" xfId="2641" xr:uid="{00000000-0005-0000-0000-000009040000}"/>
    <cellStyle name="Currency 2 2 2 7" xfId="2191" xr:uid="{00000000-0005-0000-0000-00000A040000}"/>
    <cellStyle name="Currency 2 2 3" xfId="615" xr:uid="{00000000-0005-0000-0000-00000B040000}"/>
    <cellStyle name="Currency 2 2 3 2" xfId="727" xr:uid="{00000000-0005-0000-0000-00000C040000}"/>
    <cellStyle name="Currency 2 2 3 2 2" xfId="954" xr:uid="{00000000-0005-0000-0000-00000D040000}"/>
    <cellStyle name="Currency 2 2 3 2 2 2" xfId="1973" xr:uid="{00000000-0005-0000-0000-00000E040000}"/>
    <cellStyle name="Currency 2 2 3 2 2 2 2" xfId="2777" xr:uid="{00000000-0005-0000-0000-00000F040000}"/>
    <cellStyle name="Currency 2 2 3 2 2 3" xfId="2377" xr:uid="{00000000-0005-0000-0000-000010040000}"/>
    <cellStyle name="Currency 2 2 3 2 3" xfId="1906" xr:uid="{00000000-0005-0000-0000-000011040000}"/>
    <cellStyle name="Currency 2 2 3 2 3 2" xfId="2710" xr:uid="{00000000-0005-0000-0000-000012040000}"/>
    <cellStyle name="Currency 2 2 3 2 4" xfId="2293" xr:uid="{00000000-0005-0000-0000-000013040000}"/>
    <cellStyle name="Currency 2 2 3 3" xfId="841" xr:uid="{00000000-0005-0000-0000-000014040000}"/>
    <cellStyle name="Currency 2 2 3 3 2" xfId="1939" xr:uid="{00000000-0005-0000-0000-000015040000}"/>
    <cellStyle name="Currency 2 2 3 3 2 2" xfId="2743" xr:uid="{00000000-0005-0000-0000-000016040000}"/>
    <cellStyle name="Currency 2 2 3 3 3" xfId="2335" xr:uid="{00000000-0005-0000-0000-000017040000}"/>
    <cellStyle name="Currency 2 2 3 4" xfId="1873" xr:uid="{00000000-0005-0000-0000-000018040000}"/>
    <cellStyle name="Currency 2 2 3 4 2" xfId="2677" xr:uid="{00000000-0005-0000-0000-000019040000}"/>
    <cellStyle name="Currency 2 2 3 5" xfId="2251" xr:uid="{00000000-0005-0000-0000-00001A040000}"/>
    <cellStyle name="Currency 2 2 4" xfId="654" xr:uid="{00000000-0005-0000-0000-00001B040000}"/>
    <cellStyle name="Currency 2 2 4 2" xfId="880" xr:uid="{00000000-0005-0000-0000-00001C040000}"/>
    <cellStyle name="Currency 2 2 4 2 2" xfId="1950" xr:uid="{00000000-0005-0000-0000-00001D040000}"/>
    <cellStyle name="Currency 2 2 4 2 2 2" xfId="2754" xr:uid="{00000000-0005-0000-0000-00001E040000}"/>
    <cellStyle name="Currency 2 2 4 2 3" xfId="2349" xr:uid="{00000000-0005-0000-0000-00001F040000}"/>
    <cellStyle name="Currency 2 2 4 3" xfId="1884" xr:uid="{00000000-0005-0000-0000-000020040000}"/>
    <cellStyle name="Currency 2 2 4 3 2" xfId="2688" xr:uid="{00000000-0005-0000-0000-000021040000}"/>
    <cellStyle name="Currency 2 2 4 4" xfId="2265" xr:uid="{00000000-0005-0000-0000-000022040000}"/>
    <cellStyle name="Currency 2 2 5" xfId="767" xr:uid="{00000000-0005-0000-0000-000023040000}"/>
    <cellStyle name="Currency 2 2 5 2" xfId="1917" xr:uid="{00000000-0005-0000-0000-000024040000}"/>
    <cellStyle name="Currency 2 2 5 2 2" xfId="2721" xr:uid="{00000000-0005-0000-0000-000025040000}"/>
    <cellStyle name="Currency 2 2 5 3" xfId="2307" xr:uid="{00000000-0005-0000-0000-000026040000}"/>
    <cellStyle name="Currency 2 2 6" xfId="526" xr:uid="{00000000-0005-0000-0000-000027040000}"/>
    <cellStyle name="Currency 2 2 6 2" xfId="1849" xr:uid="{00000000-0005-0000-0000-000028040000}"/>
    <cellStyle name="Currency 2 2 6 2 2" xfId="2653" xr:uid="{00000000-0005-0000-0000-000029040000}"/>
    <cellStyle name="Currency 2 2 6 3" xfId="2220" xr:uid="{00000000-0005-0000-0000-00002A040000}"/>
    <cellStyle name="Currency 2 2 7" xfId="2171" xr:uid="{00000000-0005-0000-0000-00002B040000}"/>
    <cellStyle name="Currency 2 3" xfId="173" xr:uid="{00000000-0005-0000-0000-00002C040000}"/>
    <cellStyle name="Currency 2 3 2" xfId="589" xr:uid="{00000000-0005-0000-0000-00002D040000}"/>
    <cellStyle name="Currency 2 3 2 2" xfId="701" xr:uid="{00000000-0005-0000-0000-00002E040000}"/>
    <cellStyle name="Currency 2 3 2 2 2" xfId="928" xr:uid="{00000000-0005-0000-0000-00002F040000}"/>
    <cellStyle name="Currency 2 3 2 2 2 2" xfId="1965" xr:uid="{00000000-0005-0000-0000-000030040000}"/>
    <cellStyle name="Currency 2 3 2 2 2 2 2" xfId="2769" xr:uid="{00000000-0005-0000-0000-000031040000}"/>
    <cellStyle name="Currency 2 3 2 2 2 3" xfId="2369" xr:uid="{00000000-0005-0000-0000-000032040000}"/>
    <cellStyle name="Currency 2 3 2 2 3" xfId="1898" xr:uid="{00000000-0005-0000-0000-000033040000}"/>
    <cellStyle name="Currency 2 3 2 2 3 2" xfId="2702" xr:uid="{00000000-0005-0000-0000-000034040000}"/>
    <cellStyle name="Currency 2 3 2 2 4" xfId="2285" xr:uid="{00000000-0005-0000-0000-000035040000}"/>
    <cellStyle name="Currency 2 3 2 3" xfId="815" xr:uid="{00000000-0005-0000-0000-000036040000}"/>
    <cellStyle name="Currency 2 3 2 3 2" xfId="1931" xr:uid="{00000000-0005-0000-0000-000037040000}"/>
    <cellStyle name="Currency 2 3 2 3 2 2" xfId="2735" xr:uid="{00000000-0005-0000-0000-000038040000}"/>
    <cellStyle name="Currency 2 3 2 3 3" xfId="2327" xr:uid="{00000000-0005-0000-0000-000039040000}"/>
    <cellStyle name="Currency 2 3 2 4" xfId="1865" xr:uid="{00000000-0005-0000-0000-00003A040000}"/>
    <cellStyle name="Currency 2 3 2 4 2" xfId="2669" xr:uid="{00000000-0005-0000-0000-00003B040000}"/>
    <cellStyle name="Currency 2 3 2 5" xfId="2243" xr:uid="{00000000-0005-0000-0000-00003C040000}"/>
    <cellStyle name="Currency 2 3 3" xfId="626" xr:uid="{00000000-0005-0000-0000-00003D040000}"/>
    <cellStyle name="Currency 2 3 3 2" xfId="738" xr:uid="{00000000-0005-0000-0000-00003E040000}"/>
    <cellStyle name="Currency 2 3 3 2 2" xfId="965" xr:uid="{00000000-0005-0000-0000-00003F040000}"/>
    <cellStyle name="Currency 2 3 3 2 2 2" xfId="1976" xr:uid="{00000000-0005-0000-0000-000040040000}"/>
    <cellStyle name="Currency 2 3 3 2 2 2 2" xfId="2780" xr:uid="{00000000-0005-0000-0000-000041040000}"/>
    <cellStyle name="Currency 2 3 3 2 2 3" xfId="2383" xr:uid="{00000000-0005-0000-0000-000042040000}"/>
    <cellStyle name="Currency 2 3 3 2 3" xfId="1909" xr:uid="{00000000-0005-0000-0000-000043040000}"/>
    <cellStyle name="Currency 2 3 3 2 3 2" xfId="2713" xr:uid="{00000000-0005-0000-0000-000044040000}"/>
    <cellStyle name="Currency 2 3 3 2 4" xfId="2299" xr:uid="{00000000-0005-0000-0000-000045040000}"/>
    <cellStyle name="Currency 2 3 3 3" xfId="852" xr:uid="{00000000-0005-0000-0000-000046040000}"/>
    <cellStyle name="Currency 2 3 3 3 2" xfId="1942" xr:uid="{00000000-0005-0000-0000-000047040000}"/>
    <cellStyle name="Currency 2 3 3 3 2 2" xfId="2746" xr:uid="{00000000-0005-0000-0000-000048040000}"/>
    <cellStyle name="Currency 2 3 3 3 3" xfId="2341" xr:uid="{00000000-0005-0000-0000-000049040000}"/>
    <cellStyle name="Currency 2 3 3 4" xfId="1876" xr:uid="{00000000-0005-0000-0000-00004A040000}"/>
    <cellStyle name="Currency 2 3 3 4 2" xfId="2680" xr:uid="{00000000-0005-0000-0000-00004B040000}"/>
    <cellStyle name="Currency 2 3 3 5" xfId="2257" xr:uid="{00000000-0005-0000-0000-00004C040000}"/>
    <cellStyle name="Currency 2 3 4" xfId="665" xr:uid="{00000000-0005-0000-0000-00004D040000}"/>
    <cellStyle name="Currency 2 3 4 2" xfId="891" xr:uid="{00000000-0005-0000-0000-00004E040000}"/>
    <cellStyle name="Currency 2 3 4 2 2" xfId="1953" xr:uid="{00000000-0005-0000-0000-00004F040000}"/>
    <cellStyle name="Currency 2 3 4 2 2 2" xfId="2757" xr:uid="{00000000-0005-0000-0000-000050040000}"/>
    <cellStyle name="Currency 2 3 4 2 3" xfId="2355" xr:uid="{00000000-0005-0000-0000-000051040000}"/>
    <cellStyle name="Currency 2 3 4 3" xfId="1887" xr:uid="{00000000-0005-0000-0000-000052040000}"/>
    <cellStyle name="Currency 2 3 4 3 2" xfId="2691" xr:uid="{00000000-0005-0000-0000-000053040000}"/>
    <cellStyle name="Currency 2 3 4 4" xfId="2271" xr:uid="{00000000-0005-0000-0000-000054040000}"/>
    <cellStyle name="Currency 2 3 5" xfId="778" xr:uid="{00000000-0005-0000-0000-000055040000}"/>
    <cellStyle name="Currency 2 3 5 2" xfId="1920" xr:uid="{00000000-0005-0000-0000-000056040000}"/>
    <cellStyle name="Currency 2 3 5 2 2" xfId="2724" xr:uid="{00000000-0005-0000-0000-000057040000}"/>
    <cellStyle name="Currency 2 3 5 3" xfId="2313" xr:uid="{00000000-0005-0000-0000-000058040000}"/>
    <cellStyle name="Currency 2 3 6" xfId="541" xr:uid="{00000000-0005-0000-0000-000059040000}"/>
    <cellStyle name="Currency 2 3 6 2" xfId="1853" xr:uid="{00000000-0005-0000-0000-00005A040000}"/>
    <cellStyle name="Currency 2 3 6 2 2" xfId="2657" xr:uid="{00000000-0005-0000-0000-00005B040000}"/>
    <cellStyle name="Currency 2 3 6 3" xfId="2229" xr:uid="{00000000-0005-0000-0000-00005C040000}"/>
    <cellStyle name="Currency 2 3 7" xfId="1820" xr:uid="{00000000-0005-0000-0000-00005D040000}"/>
    <cellStyle name="Currency 2 3 7 2" xfId="2624" xr:uid="{00000000-0005-0000-0000-00005E040000}"/>
    <cellStyle name="Currency 2 3 8" xfId="2167" xr:uid="{00000000-0005-0000-0000-00005F040000}"/>
    <cellStyle name="Currency 2 4" xfId="253" xr:uid="{00000000-0005-0000-0000-000060040000}"/>
    <cellStyle name="Currency 2 4 2" xfId="682" xr:uid="{00000000-0005-0000-0000-000061040000}"/>
    <cellStyle name="Currency 2 4 2 2" xfId="909" xr:uid="{00000000-0005-0000-0000-000062040000}"/>
    <cellStyle name="Currency 2 4 2 2 2" xfId="1959" xr:uid="{00000000-0005-0000-0000-000063040000}"/>
    <cellStyle name="Currency 2 4 2 2 2 2" xfId="2763" xr:uid="{00000000-0005-0000-0000-000064040000}"/>
    <cellStyle name="Currency 2 4 2 2 3" xfId="2360" xr:uid="{00000000-0005-0000-0000-000065040000}"/>
    <cellStyle name="Currency 2 4 2 3" xfId="1892" xr:uid="{00000000-0005-0000-0000-000066040000}"/>
    <cellStyle name="Currency 2 4 2 3 2" xfId="2696" xr:uid="{00000000-0005-0000-0000-000067040000}"/>
    <cellStyle name="Currency 2 4 2 4" xfId="2276" xr:uid="{00000000-0005-0000-0000-000068040000}"/>
    <cellStyle name="Currency 2 4 3" xfId="796" xr:uid="{00000000-0005-0000-0000-000069040000}"/>
    <cellStyle name="Currency 2 4 3 2" xfId="1925" xr:uid="{00000000-0005-0000-0000-00006A040000}"/>
    <cellStyle name="Currency 2 4 3 2 2" xfId="2729" xr:uid="{00000000-0005-0000-0000-00006B040000}"/>
    <cellStyle name="Currency 2 4 3 3" xfId="2318" xr:uid="{00000000-0005-0000-0000-00006C040000}"/>
    <cellStyle name="Currency 2 4 4" xfId="570" xr:uid="{00000000-0005-0000-0000-00006D040000}"/>
    <cellStyle name="Currency 2 4 4 2" xfId="1859" xr:uid="{00000000-0005-0000-0000-00006E040000}"/>
    <cellStyle name="Currency 2 4 4 2 2" xfId="2663" xr:uid="{00000000-0005-0000-0000-00006F040000}"/>
    <cellStyle name="Currency 2 4 4 3" xfId="2234" xr:uid="{00000000-0005-0000-0000-000070040000}"/>
    <cellStyle name="Currency 2 4 5" xfId="1710" xr:uid="{00000000-0005-0000-0000-000071040000}"/>
    <cellStyle name="Currency 2 4 5 2" xfId="2046" xr:uid="{00000000-0005-0000-0000-000072040000}"/>
    <cellStyle name="Currency 2 4 5 2 2" xfId="2802" xr:uid="{00000000-0005-0000-0000-000073040000}"/>
    <cellStyle name="Currency 2 4 5 3" xfId="1530" xr:uid="{00000000-0005-0000-0000-000074040000}"/>
    <cellStyle name="Currency 2 4 5 3 2" xfId="2583" xr:uid="{00000000-0005-0000-0000-000075040000}"/>
    <cellStyle name="Currency 2 4 5 4" xfId="2608" xr:uid="{00000000-0005-0000-0000-000076040000}"/>
    <cellStyle name="Currency 2 4 6" xfId="1832" xr:uid="{00000000-0005-0000-0000-000077040000}"/>
    <cellStyle name="Currency 2 4 6 2" xfId="2636" xr:uid="{00000000-0005-0000-0000-000078040000}"/>
    <cellStyle name="Currency 2 4 7" xfId="2185" xr:uid="{00000000-0005-0000-0000-000079040000}"/>
    <cellStyle name="Currency 2 5" xfId="607" xr:uid="{00000000-0005-0000-0000-00007A040000}"/>
    <cellStyle name="Currency 2 5 2" xfId="719" xr:uid="{00000000-0005-0000-0000-00007B040000}"/>
    <cellStyle name="Currency 2 5 2 2" xfId="946" xr:uid="{00000000-0005-0000-0000-00007C040000}"/>
    <cellStyle name="Currency 2 5 2 2 2" xfId="1970" xr:uid="{00000000-0005-0000-0000-00007D040000}"/>
    <cellStyle name="Currency 2 5 2 2 2 2" xfId="2774" xr:uid="{00000000-0005-0000-0000-00007E040000}"/>
    <cellStyle name="Currency 2 5 2 2 3" xfId="2374" xr:uid="{00000000-0005-0000-0000-00007F040000}"/>
    <cellStyle name="Currency 2 5 2 3" xfId="1903" xr:uid="{00000000-0005-0000-0000-000080040000}"/>
    <cellStyle name="Currency 2 5 2 3 2" xfId="2707" xr:uid="{00000000-0005-0000-0000-000081040000}"/>
    <cellStyle name="Currency 2 5 2 4" xfId="2290" xr:uid="{00000000-0005-0000-0000-000082040000}"/>
    <cellStyle name="Currency 2 5 3" xfId="833" xr:uid="{00000000-0005-0000-0000-000083040000}"/>
    <cellStyle name="Currency 2 5 3 2" xfId="1936" xr:uid="{00000000-0005-0000-0000-000084040000}"/>
    <cellStyle name="Currency 2 5 3 2 2" xfId="2740" xr:uid="{00000000-0005-0000-0000-000085040000}"/>
    <cellStyle name="Currency 2 5 3 3" xfId="2332" xr:uid="{00000000-0005-0000-0000-000086040000}"/>
    <cellStyle name="Currency 2 5 4" xfId="1870" xr:uid="{00000000-0005-0000-0000-000087040000}"/>
    <cellStyle name="Currency 2 5 4 2" xfId="2674" xr:uid="{00000000-0005-0000-0000-000088040000}"/>
    <cellStyle name="Currency 2 5 5" xfId="2248" xr:uid="{00000000-0005-0000-0000-000089040000}"/>
    <cellStyle name="Currency 2 6" xfId="646" xr:uid="{00000000-0005-0000-0000-00008A040000}"/>
    <cellStyle name="Currency 2 6 2" xfId="872" xr:uid="{00000000-0005-0000-0000-00008B040000}"/>
    <cellStyle name="Currency 2 6 2 2" xfId="1947" xr:uid="{00000000-0005-0000-0000-00008C040000}"/>
    <cellStyle name="Currency 2 6 2 2 2" xfId="2751" xr:uid="{00000000-0005-0000-0000-00008D040000}"/>
    <cellStyle name="Currency 2 6 2 3" xfId="2346" xr:uid="{00000000-0005-0000-0000-00008E040000}"/>
    <cellStyle name="Currency 2 6 3" xfId="1881" xr:uid="{00000000-0005-0000-0000-00008F040000}"/>
    <cellStyle name="Currency 2 6 3 2" xfId="2685" xr:uid="{00000000-0005-0000-0000-000090040000}"/>
    <cellStyle name="Currency 2 6 4" xfId="2262" xr:uid="{00000000-0005-0000-0000-000091040000}"/>
    <cellStyle name="Currency 2 7" xfId="759" xr:uid="{00000000-0005-0000-0000-000092040000}"/>
    <cellStyle name="Currency 2 7 2" xfId="1914" xr:uid="{00000000-0005-0000-0000-000093040000}"/>
    <cellStyle name="Currency 2 7 2 2" xfId="2718" xr:uid="{00000000-0005-0000-0000-000094040000}"/>
    <cellStyle name="Currency 2 7 3" xfId="2304" xr:uid="{00000000-0005-0000-0000-000095040000}"/>
    <cellStyle name="Currency 2 8" xfId="369" xr:uid="{00000000-0005-0000-0000-000096040000}"/>
    <cellStyle name="Currency 2 8 2" xfId="1845" xr:uid="{00000000-0005-0000-0000-000097040000}"/>
    <cellStyle name="Currency 2 8 2 2" xfId="2649" xr:uid="{00000000-0005-0000-0000-000098040000}"/>
    <cellStyle name="Currency 2 8 3" xfId="2205" xr:uid="{00000000-0005-0000-0000-000099040000}"/>
    <cellStyle name="Currency 2 9" xfId="1165" xr:uid="{00000000-0005-0000-0000-00009A040000}"/>
    <cellStyle name="Currency 2 9 2" xfId="2546" xr:uid="{00000000-0005-0000-0000-00009B040000}"/>
    <cellStyle name="Currency 3" xfId="183" xr:uid="{00000000-0005-0000-0000-00009C040000}"/>
    <cellStyle name="Currency 3 2" xfId="261" xr:uid="{00000000-0005-0000-0000-00009D040000}"/>
    <cellStyle name="Currency 3 2 2" xfId="269" xr:uid="{00000000-0005-0000-0000-00009E040000}"/>
    <cellStyle name="Currency 3 2 2 2" xfId="929" xr:uid="{00000000-0005-0000-0000-00009F040000}"/>
    <cellStyle name="Currency 3 2 2 2 2" xfId="1966" xr:uid="{00000000-0005-0000-0000-0000A0040000}"/>
    <cellStyle name="Currency 3 2 2 2 2 2" xfId="2770" xr:uid="{00000000-0005-0000-0000-0000A1040000}"/>
    <cellStyle name="Currency 3 2 2 2 3" xfId="2370" xr:uid="{00000000-0005-0000-0000-0000A2040000}"/>
    <cellStyle name="Currency 3 2 2 3" xfId="702" xr:uid="{00000000-0005-0000-0000-0000A3040000}"/>
    <cellStyle name="Currency 3 2 2 3 2" xfId="1899" xr:uid="{00000000-0005-0000-0000-0000A4040000}"/>
    <cellStyle name="Currency 3 2 2 3 2 2" xfId="2703" xr:uid="{00000000-0005-0000-0000-0000A5040000}"/>
    <cellStyle name="Currency 3 2 2 3 3" xfId="2286" xr:uid="{00000000-0005-0000-0000-0000A6040000}"/>
    <cellStyle name="Currency 3 2 2 4" xfId="1744" xr:uid="{00000000-0005-0000-0000-0000A7040000}"/>
    <cellStyle name="Currency 3 2 2 4 2" xfId="2611" xr:uid="{00000000-0005-0000-0000-0000A8040000}"/>
    <cellStyle name="Currency 3 2 2 5" xfId="1838" xr:uid="{00000000-0005-0000-0000-0000A9040000}"/>
    <cellStyle name="Currency 3 2 2 5 2" xfId="2642" xr:uid="{00000000-0005-0000-0000-0000AA040000}"/>
    <cellStyle name="Currency 3 2 2 6" xfId="2192" xr:uid="{00000000-0005-0000-0000-0000AB040000}"/>
    <cellStyle name="Currency 3 2 3" xfId="816" xr:uid="{00000000-0005-0000-0000-0000AC040000}"/>
    <cellStyle name="Currency 3 2 3 2" xfId="1932" xr:uid="{00000000-0005-0000-0000-0000AD040000}"/>
    <cellStyle name="Currency 3 2 3 2 2" xfId="2736" xr:uid="{00000000-0005-0000-0000-0000AE040000}"/>
    <cellStyle name="Currency 3 2 3 3" xfId="2328" xr:uid="{00000000-0005-0000-0000-0000AF040000}"/>
    <cellStyle name="Currency 3 2 4" xfId="590" xr:uid="{00000000-0005-0000-0000-0000B0040000}"/>
    <cellStyle name="Currency 3 2 4 2" xfId="1866" xr:uid="{00000000-0005-0000-0000-0000B1040000}"/>
    <cellStyle name="Currency 3 2 4 2 2" xfId="2670" xr:uid="{00000000-0005-0000-0000-0000B2040000}"/>
    <cellStyle name="Currency 3 2 4 3" xfId="2244" xr:uid="{00000000-0005-0000-0000-0000B3040000}"/>
    <cellStyle name="Currency 3 2 5" xfId="1711" xr:uid="{00000000-0005-0000-0000-0000B4040000}"/>
    <cellStyle name="Currency 3 2 5 2" xfId="2047" xr:uid="{00000000-0005-0000-0000-0000B5040000}"/>
    <cellStyle name="Currency 3 2 5 2 2" xfId="2803" xr:uid="{00000000-0005-0000-0000-0000B6040000}"/>
    <cellStyle name="Currency 3 2 5 3" xfId="1580" xr:uid="{00000000-0005-0000-0000-0000B7040000}"/>
    <cellStyle name="Currency 3 2 5 3 2" xfId="2594" xr:uid="{00000000-0005-0000-0000-0000B8040000}"/>
    <cellStyle name="Currency 3 2 5 4" xfId="2609" xr:uid="{00000000-0005-0000-0000-0000B9040000}"/>
    <cellStyle name="Currency 3 2 6" xfId="1834" xr:uid="{00000000-0005-0000-0000-0000BA040000}"/>
    <cellStyle name="Currency 3 2 6 2" xfId="2638" xr:uid="{00000000-0005-0000-0000-0000BB040000}"/>
    <cellStyle name="Currency 3 2 7" xfId="2188" xr:uid="{00000000-0005-0000-0000-0000BC040000}"/>
    <cellStyle name="Currency 3 3" xfId="270" xr:uid="{00000000-0005-0000-0000-0000BD040000}"/>
    <cellStyle name="Currency 3 3 2" xfId="739" xr:uid="{00000000-0005-0000-0000-0000BE040000}"/>
    <cellStyle name="Currency 3 3 2 2" xfId="966" xr:uid="{00000000-0005-0000-0000-0000BF040000}"/>
    <cellStyle name="Currency 3 3 2 2 2" xfId="1977" xr:uid="{00000000-0005-0000-0000-0000C0040000}"/>
    <cellStyle name="Currency 3 3 2 2 2 2" xfId="2781" xr:uid="{00000000-0005-0000-0000-0000C1040000}"/>
    <cellStyle name="Currency 3 3 2 2 3" xfId="2384" xr:uid="{00000000-0005-0000-0000-0000C2040000}"/>
    <cellStyle name="Currency 3 3 2 3" xfId="1910" xr:uid="{00000000-0005-0000-0000-0000C3040000}"/>
    <cellStyle name="Currency 3 3 2 3 2" xfId="2714" xr:uid="{00000000-0005-0000-0000-0000C4040000}"/>
    <cellStyle name="Currency 3 3 2 4" xfId="2300" xr:uid="{00000000-0005-0000-0000-0000C5040000}"/>
    <cellStyle name="Currency 3 3 3" xfId="853" xr:uid="{00000000-0005-0000-0000-0000C6040000}"/>
    <cellStyle name="Currency 3 3 3 2" xfId="1943" xr:uid="{00000000-0005-0000-0000-0000C7040000}"/>
    <cellStyle name="Currency 3 3 3 2 2" xfId="2747" xr:uid="{00000000-0005-0000-0000-0000C8040000}"/>
    <cellStyle name="Currency 3 3 3 3" xfId="2342" xr:uid="{00000000-0005-0000-0000-0000C9040000}"/>
    <cellStyle name="Currency 3 3 4" xfId="627" xr:uid="{00000000-0005-0000-0000-0000CA040000}"/>
    <cellStyle name="Currency 3 3 4 2" xfId="1877" xr:uid="{00000000-0005-0000-0000-0000CB040000}"/>
    <cellStyle name="Currency 3 3 4 2 2" xfId="2681" xr:uid="{00000000-0005-0000-0000-0000CC040000}"/>
    <cellStyle name="Currency 3 3 4 3" xfId="2258" xr:uid="{00000000-0005-0000-0000-0000CD040000}"/>
    <cellStyle name="Currency 3 3 5" xfId="1565" xr:uid="{00000000-0005-0000-0000-0000CE040000}"/>
    <cellStyle name="Currency 3 3 5 2" xfId="2591" xr:uid="{00000000-0005-0000-0000-0000CF040000}"/>
    <cellStyle name="Currency 3 3 6" xfId="1839" xr:uid="{00000000-0005-0000-0000-0000D0040000}"/>
    <cellStyle name="Currency 3 3 6 2" xfId="2643" xr:uid="{00000000-0005-0000-0000-0000D1040000}"/>
    <cellStyle name="Currency 3 3 7" xfId="2193" xr:uid="{00000000-0005-0000-0000-0000D2040000}"/>
    <cellStyle name="Currency 3 4" xfId="260" xr:uid="{00000000-0005-0000-0000-0000D3040000}"/>
    <cellStyle name="Currency 3 4 2" xfId="892" xr:uid="{00000000-0005-0000-0000-0000D4040000}"/>
    <cellStyle name="Currency 3 4 2 2" xfId="1954" xr:uid="{00000000-0005-0000-0000-0000D5040000}"/>
    <cellStyle name="Currency 3 4 2 2 2" xfId="2758" xr:uid="{00000000-0005-0000-0000-0000D6040000}"/>
    <cellStyle name="Currency 3 4 2 3" xfId="2356" xr:uid="{00000000-0005-0000-0000-0000D7040000}"/>
    <cellStyle name="Currency 3 4 3" xfId="666" xr:uid="{00000000-0005-0000-0000-0000D8040000}"/>
    <cellStyle name="Currency 3 4 3 2" xfId="1888" xr:uid="{00000000-0005-0000-0000-0000D9040000}"/>
    <cellStyle name="Currency 3 4 3 2 2" xfId="2692" xr:uid="{00000000-0005-0000-0000-0000DA040000}"/>
    <cellStyle name="Currency 3 4 3 3" xfId="2272" xr:uid="{00000000-0005-0000-0000-0000DB040000}"/>
    <cellStyle name="Currency 3 4 4" xfId="1601" xr:uid="{00000000-0005-0000-0000-0000DC040000}"/>
    <cellStyle name="Currency 3 4 4 2" xfId="2596" xr:uid="{00000000-0005-0000-0000-0000DD040000}"/>
    <cellStyle name="Currency 3 4 5" xfId="1833" xr:uid="{00000000-0005-0000-0000-0000DE040000}"/>
    <cellStyle name="Currency 3 4 5 2" xfId="2637" xr:uid="{00000000-0005-0000-0000-0000DF040000}"/>
    <cellStyle name="Currency 3 4 6" xfId="2187" xr:uid="{00000000-0005-0000-0000-0000E0040000}"/>
    <cellStyle name="Currency 3 5" xfId="779" xr:uid="{00000000-0005-0000-0000-0000E1040000}"/>
    <cellStyle name="Currency 3 5 2" xfId="1921" xr:uid="{00000000-0005-0000-0000-0000E2040000}"/>
    <cellStyle name="Currency 3 5 2 2" xfId="2725" xr:uid="{00000000-0005-0000-0000-0000E3040000}"/>
    <cellStyle name="Currency 3 5 3" xfId="2314" xr:uid="{00000000-0005-0000-0000-0000E4040000}"/>
    <cellStyle name="Currency 3 6" xfId="542" xr:uid="{00000000-0005-0000-0000-0000E5040000}"/>
    <cellStyle name="Currency 3 6 2" xfId="1854" xr:uid="{00000000-0005-0000-0000-0000E6040000}"/>
    <cellStyle name="Currency 3 6 2 2" xfId="2658" xr:uid="{00000000-0005-0000-0000-0000E7040000}"/>
    <cellStyle name="Currency 3 6 3" xfId="2230" xr:uid="{00000000-0005-0000-0000-0000E8040000}"/>
    <cellStyle name="Currency 3 7" xfId="2170" xr:uid="{00000000-0005-0000-0000-0000E9040000}"/>
    <cellStyle name="Currency 4" xfId="196" xr:uid="{00000000-0005-0000-0000-0000EA040000}"/>
    <cellStyle name="Currency 4 2" xfId="272" xr:uid="{00000000-0005-0000-0000-0000EB040000}"/>
    <cellStyle name="Currency 4 2 2" xfId="703" xr:uid="{00000000-0005-0000-0000-0000EC040000}"/>
    <cellStyle name="Currency 4 2 2 2" xfId="930" xr:uid="{00000000-0005-0000-0000-0000ED040000}"/>
    <cellStyle name="Currency 4 2 2 2 2" xfId="1967" xr:uid="{00000000-0005-0000-0000-0000EE040000}"/>
    <cellStyle name="Currency 4 2 2 2 2 2" xfId="2771" xr:uid="{00000000-0005-0000-0000-0000EF040000}"/>
    <cellStyle name="Currency 4 2 2 2 3" xfId="2371" xr:uid="{00000000-0005-0000-0000-0000F0040000}"/>
    <cellStyle name="Currency 4 2 2 3" xfId="1900" xr:uid="{00000000-0005-0000-0000-0000F1040000}"/>
    <cellStyle name="Currency 4 2 2 3 2" xfId="2704" xr:uid="{00000000-0005-0000-0000-0000F2040000}"/>
    <cellStyle name="Currency 4 2 2 4" xfId="2287" xr:uid="{00000000-0005-0000-0000-0000F3040000}"/>
    <cellStyle name="Currency 4 2 3" xfId="817" xr:uid="{00000000-0005-0000-0000-0000F4040000}"/>
    <cellStyle name="Currency 4 2 3 2" xfId="1933" xr:uid="{00000000-0005-0000-0000-0000F5040000}"/>
    <cellStyle name="Currency 4 2 3 2 2" xfId="2737" xr:uid="{00000000-0005-0000-0000-0000F6040000}"/>
    <cellStyle name="Currency 4 2 3 3" xfId="2329" xr:uid="{00000000-0005-0000-0000-0000F7040000}"/>
    <cellStyle name="Currency 4 2 4" xfId="591" xr:uid="{00000000-0005-0000-0000-0000F8040000}"/>
    <cellStyle name="Currency 4 2 4 2" xfId="1867" xr:uid="{00000000-0005-0000-0000-0000F9040000}"/>
    <cellStyle name="Currency 4 2 4 2 2" xfId="2671" xr:uid="{00000000-0005-0000-0000-0000FA040000}"/>
    <cellStyle name="Currency 4 2 4 3" xfId="2245" xr:uid="{00000000-0005-0000-0000-0000FB040000}"/>
    <cellStyle name="Currency 4 2 5" xfId="1551" xr:uid="{00000000-0005-0000-0000-0000FC040000}"/>
    <cellStyle name="Currency 4 2 5 2" xfId="2587" xr:uid="{00000000-0005-0000-0000-0000FD040000}"/>
    <cellStyle name="Currency 4 2 6" xfId="1841" xr:uid="{00000000-0005-0000-0000-0000FE040000}"/>
    <cellStyle name="Currency 4 2 6 2" xfId="2645" xr:uid="{00000000-0005-0000-0000-0000FF040000}"/>
    <cellStyle name="Currency 4 2 7" xfId="2195" xr:uid="{00000000-0005-0000-0000-000000050000}"/>
    <cellStyle name="Currency 4 3" xfId="271" xr:uid="{00000000-0005-0000-0000-000001050000}"/>
    <cellStyle name="Currency 4 3 2" xfId="740" xr:uid="{00000000-0005-0000-0000-000002050000}"/>
    <cellStyle name="Currency 4 3 2 2" xfId="967" xr:uid="{00000000-0005-0000-0000-000003050000}"/>
    <cellStyle name="Currency 4 3 2 2 2" xfId="1978" xr:uid="{00000000-0005-0000-0000-000004050000}"/>
    <cellStyle name="Currency 4 3 2 2 2 2" xfId="2782" xr:uid="{00000000-0005-0000-0000-000005050000}"/>
    <cellStyle name="Currency 4 3 2 2 3" xfId="2385" xr:uid="{00000000-0005-0000-0000-000006050000}"/>
    <cellStyle name="Currency 4 3 2 3" xfId="1911" xr:uid="{00000000-0005-0000-0000-000007050000}"/>
    <cellStyle name="Currency 4 3 2 3 2" xfId="2715" xr:uid="{00000000-0005-0000-0000-000008050000}"/>
    <cellStyle name="Currency 4 3 2 4" xfId="2301" xr:uid="{00000000-0005-0000-0000-000009050000}"/>
    <cellStyle name="Currency 4 3 3" xfId="854" xr:uid="{00000000-0005-0000-0000-00000A050000}"/>
    <cellStyle name="Currency 4 3 3 2" xfId="1944" xr:uid="{00000000-0005-0000-0000-00000B050000}"/>
    <cellStyle name="Currency 4 3 3 2 2" xfId="2748" xr:uid="{00000000-0005-0000-0000-00000C050000}"/>
    <cellStyle name="Currency 4 3 3 3" xfId="2343" xr:uid="{00000000-0005-0000-0000-00000D050000}"/>
    <cellStyle name="Currency 4 3 4" xfId="628" xr:uid="{00000000-0005-0000-0000-00000E050000}"/>
    <cellStyle name="Currency 4 3 4 2" xfId="1878" xr:uid="{00000000-0005-0000-0000-00000F050000}"/>
    <cellStyle name="Currency 4 3 4 2 2" xfId="2682" xr:uid="{00000000-0005-0000-0000-000010050000}"/>
    <cellStyle name="Currency 4 3 4 3" xfId="2259" xr:uid="{00000000-0005-0000-0000-000011050000}"/>
    <cellStyle name="Currency 4 3 5" xfId="1536" xr:uid="{00000000-0005-0000-0000-000012050000}"/>
    <cellStyle name="Currency 4 3 5 2" xfId="2585" xr:uid="{00000000-0005-0000-0000-000013050000}"/>
    <cellStyle name="Currency 4 3 6" xfId="1840" xr:uid="{00000000-0005-0000-0000-000014050000}"/>
    <cellStyle name="Currency 4 3 6 2" xfId="2644" xr:uid="{00000000-0005-0000-0000-000015050000}"/>
    <cellStyle name="Currency 4 3 7" xfId="2194" xr:uid="{00000000-0005-0000-0000-000016050000}"/>
    <cellStyle name="Currency 4 4" xfId="667" xr:uid="{00000000-0005-0000-0000-000017050000}"/>
    <cellStyle name="Currency 4 4 2" xfId="893" xr:uid="{00000000-0005-0000-0000-000018050000}"/>
    <cellStyle name="Currency 4 4 2 2" xfId="1955" xr:uid="{00000000-0005-0000-0000-000019050000}"/>
    <cellStyle name="Currency 4 4 2 2 2" xfId="2759" xr:uid="{00000000-0005-0000-0000-00001A050000}"/>
    <cellStyle name="Currency 4 4 2 3" xfId="2357" xr:uid="{00000000-0005-0000-0000-00001B050000}"/>
    <cellStyle name="Currency 4 4 3" xfId="1889" xr:uid="{00000000-0005-0000-0000-00001C050000}"/>
    <cellStyle name="Currency 4 4 3 2" xfId="2693" xr:uid="{00000000-0005-0000-0000-00001D050000}"/>
    <cellStyle name="Currency 4 4 4" xfId="2273" xr:uid="{00000000-0005-0000-0000-00001E050000}"/>
    <cellStyle name="Currency 4 5" xfId="780" xr:uid="{00000000-0005-0000-0000-00001F050000}"/>
    <cellStyle name="Currency 4 5 2" xfId="1922" xr:uid="{00000000-0005-0000-0000-000020050000}"/>
    <cellStyle name="Currency 4 5 2 2" xfId="2726" xr:uid="{00000000-0005-0000-0000-000021050000}"/>
    <cellStyle name="Currency 4 5 3" xfId="2315" xr:uid="{00000000-0005-0000-0000-000022050000}"/>
    <cellStyle name="Currency 4 6" xfId="543" xr:uid="{00000000-0005-0000-0000-000023050000}"/>
    <cellStyle name="Currency 4 6 2" xfId="1855" xr:uid="{00000000-0005-0000-0000-000024050000}"/>
    <cellStyle name="Currency 4 6 2 2" xfId="2659" xr:uid="{00000000-0005-0000-0000-000025050000}"/>
    <cellStyle name="Currency 4 6 3" xfId="2231" xr:uid="{00000000-0005-0000-0000-000026050000}"/>
    <cellStyle name="Currency 5" xfId="1171" xr:uid="{00000000-0005-0000-0000-000027050000}"/>
    <cellStyle name="Currency 5 2" xfId="1984" xr:uid="{00000000-0005-0000-0000-000028050000}"/>
    <cellStyle name="Currency 5 2 2" xfId="2787" xr:uid="{00000000-0005-0000-0000-000029050000}"/>
    <cellStyle name="Currency 5 3" xfId="2549" xr:uid="{00000000-0005-0000-0000-00002A050000}"/>
    <cellStyle name="Currency 6" xfId="1227" xr:uid="{00000000-0005-0000-0000-00002B050000}"/>
    <cellStyle name="Currency 6 2" xfId="1992" xr:uid="{00000000-0005-0000-0000-00002C050000}"/>
    <cellStyle name="Currency 6 2 2" xfId="2793" xr:uid="{00000000-0005-0000-0000-00002D050000}"/>
    <cellStyle name="Currency 6 3" xfId="2560" xr:uid="{00000000-0005-0000-0000-00002E050000}"/>
    <cellStyle name="Currency 7" xfId="1228" xr:uid="{00000000-0005-0000-0000-00002F050000}"/>
    <cellStyle name="Currency 7 2" xfId="1479" xr:uid="{00000000-0005-0000-0000-000030050000}"/>
    <cellStyle name="Currency 7 2 2" xfId="2025" xr:uid="{00000000-0005-0000-0000-000031050000}"/>
    <cellStyle name="Currency 7 2 2 2" xfId="2087" xr:uid="{00000000-0005-0000-0000-000032050000}"/>
    <cellStyle name="Currency 7 2 2 2 2" xfId="2811" xr:uid="{00000000-0005-0000-0000-000033050000}"/>
    <cellStyle name="Currency 7 2 3" xfId="2571" xr:uid="{00000000-0005-0000-0000-000034050000}"/>
    <cellStyle name="Currency 7 3" xfId="1993" xr:uid="{00000000-0005-0000-0000-000035050000}"/>
    <cellStyle name="Currency 7 3 2" xfId="2066" xr:uid="{00000000-0005-0000-0000-000036050000}"/>
    <cellStyle name="Currency 7 3 2 2" xfId="2808" xr:uid="{00000000-0005-0000-0000-000037050000}"/>
    <cellStyle name="Currency 7 4" xfId="2561" xr:uid="{00000000-0005-0000-0000-000038050000}"/>
    <cellStyle name="Currency 8" xfId="1229" xr:uid="{00000000-0005-0000-0000-000039050000}"/>
    <cellStyle name="Currency 8 2" xfId="1994" xr:uid="{00000000-0005-0000-0000-00003A050000}"/>
    <cellStyle name="Currency 8 2 2" xfId="2794" xr:uid="{00000000-0005-0000-0000-00003B050000}"/>
    <cellStyle name="Currency 8 3" xfId="2562" xr:uid="{00000000-0005-0000-0000-00003C050000}"/>
    <cellStyle name="Currency 9" xfId="1230" xr:uid="{00000000-0005-0000-0000-00003D050000}"/>
    <cellStyle name="Currency 9 2" xfId="2563" xr:uid="{00000000-0005-0000-0000-00003E050000}"/>
    <cellStyle name="Date" xfId="1315" xr:uid="{00000000-0005-0000-0000-00003F050000}"/>
    <cellStyle name="Date [ham]" xfId="1316" xr:uid="{00000000-0005-0000-0000-000040050000}"/>
    <cellStyle name="Date [ham] 2" xfId="1351" xr:uid="{00000000-0005-0000-0000-000041050000}"/>
    <cellStyle name="Date 2" xfId="1350" xr:uid="{00000000-0005-0000-0000-000042050000}"/>
    <cellStyle name="Date 3" xfId="1381" xr:uid="{00000000-0005-0000-0000-000043050000}"/>
    <cellStyle name="Date 4" xfId="1408" xr:uid="{00000000-0005-0000-0000-000044050000}"/>
    <cellStyle name="Date 5" xfId="1435" xr:uid="{00000000-0005-0000-0000-000045050000}"/>
    <cellStyle name="Date 6" xfId="1645" xr:uid="{00000000-0005-0000-0000-000046050000}"/>
    <cellStyle name="Date 7" xfId="1646" xr:uid="{00000000-0005-0000-0000-000047050000}"/>
    <cellStyle name="Date 8" xfId="1647" xr:uid="{00000000-0005-0000-0000-000048050000}"/>
    <cellStyle name="Date 9" xfId="1651" xr:uid="{00000000-0005-0000-0000-000049050000}"/>
    <cellStyle name="days" xfId="1317" xr:uid="{00000000-0005-0000-0000-00004A050000}"/>
    <cellStyle name="days 2" xfId="1352" xr:uid="{00000000-0005-0000-0000-00004B050000}"/>
    <cellStyle name="days 3" xfId="1382" xr:uid="{00000000-0005-0000-0000-00004C050000}"/>
    <cellStyle name="days 4" xfId="1409" xr:uid="{00000000-0005-0000-0000-00004D050000}"/>
    <cellStyle name="days 5" xfId="1436" xr:uid="{00000000-0005-0000-0000-00004E050000}"/>
    <cellStyle name="days 6" xfId="1652" xr:uid="{00000000-0005-0000-0000-00004F050000}"/>
    <cellStyle name="days 6 2" xfId="1685" xr:uid="{00000000-0005-0000-0000-000050050000}"/>
    <cellStyle name="Explanatory Text" xfId="16" builtinId="53" customBuiltin="1"/>
    <cellStyle name="Explanatory Text 2" xfId="370" xr:uid="{00000000-0005-0000-0000-000052050000}"/>
    <cellStyle name="Explanatory Text 2 2" xfId="371" xr:uid="{00000000-0005-0000-0000-000053050000}"/>
    <cellStyle name="Explanatory Text 2 3" xfId="1231" xr:uid="{00000000-0005-0000-0000-000054050000}"/>
    <cellStyle name="Explanatory Text 2 3 2" xfId="1786" xr:uid="{00000000-0005-0000-0000-000055050000}"/>
    <cellStyle name="Explanatory Text 2 3 3" xfId="1578" xr:uid="{00000000-0005-0000-0000-000056050000}"/>
    <cellStyle name="Explanatory Text 3" xfId="372" xr:uid="{00000000-0005-0000-0000-000057050000}"/>
    <cellStyle name="Explanatory Text 4" xfId="2124" xr:uid="{00000000-0005-0000-0000-000058050000}"/>
    <cellStyle name="GL" xfId="1318" xr:uid="{00000000-0005-0000-0000-000059050000}"/>
    <cellStyle name="GL 2" xfId="1353" xr:uid="{00000000-0005-0000-0000-00005A050000}"/>
    <cellStyle name="GL 3" xfId="1383" xr:uid="{00000000-0005-0000-0000-00005B050000}"/>
    <cellStyle name="GL 4" xfId="1410" xr:uid="{00000000-0005-0000-0000-00005C050000}"/>
    <cellStyle name="GL 5" xfId="1437" xr:uid="{00000000-0005-0000-0000-00005D050000}"/>
    <cellStyle name="GL 6" xfId="1653" xr:uid="{00000000-0005-0000-0000-00005E050000}"/>
    <cellStyle name="GL 6 2" xfId="1686" xr:uid="{00000000-0005-0000-0000-00005F050000}"/>
    <cellStyle name="GL/y" xfId="1319" xr:uid="{00000000-0005-0000-0000-000060050000}"/>
    <cellStyle name="GL/y 2" xfId="1354" xr:uid="{00000000-0005-0000-0000-000061050000}"/>
    <cellStyle name="GL/y 3" xfId="1384" xr:uid="{00000000-0005-0000-0000-000062050000}"/>
    <cellStyle name="GL/y 4" xfId="1411" xr:uid="{00000000-0005-0000-0000-000063050000}"/>
    <cellStyle name="GL/y 5" xfId="1438" xr:uid="{00000000-0005-0000-0000-000064050000}"/>
    <cellStyle name="GL/y 6" xfId="1654" xr:uid="{00000000-0005-0000-0000-000065050000}"/>
    <cellStyle name="GL/y 6 2" xfId="1687" xr:uid="{00000000-0005-0000-0000-000066050000}"/>
    <cellStyle name="Good" xfId="6" builtinId="26" customBuiltin="1"/>
    <cellStyle name="Good 2" xfId="221" xr:uid="{00000000-0005-0000-0000-000068050000}"/>
    <cellStyle name="Good 2 2" xfId="374" xr:uid="{00000000-0005-0000-0000-000069050000}"/>
    <cellStyle name="Good 2 2 2" xfId="1232" xr:uid="{00000000-0005-0000-0000-00006A050000}"/>
    <cellStyle name="Good 2 2 2 2" xfId="1787" xr:uid="{00000000-0005-0000-0000-00006B050000}"/>
    <cellStyle name="Good 2 2 2 3" xfId="1582" xr:uid="{00000000-0005-0000-0000-00006C050000}"/>
    <cellStyle name="Good 2 3" xfId="373" xr:uid="{00000000-0005-0000-0000-00006D050000}"/>
    <cellStyle name="Good 3" xfId="375" xr:uid="{00000000-0005-0000-0000-00006E050000}"/>
    <cellStyle name="Good 4" xfId="2114" xr:uid="{00000000-0005-0000-0000-00006F050000}"/>
    <cellStyle name="Heading" xfId="1233" xr:uid="{00000000-0005-0000-0000-000070050000}"/>
    <cellStyle name="Heading 1" xfId="2" builtinId="16" customBuiltin="1"/>
    <cellStyle name="Heading 1 2" xfId="222" xr:uid="{00000000-0005-0000-0000-000072050000}"/>
    <cellStyle name="Heading 1 2 2" xfId="377" xr:uid="{00000000-0005-0000-0000-000073050000}"/>
    <cellStyle name="Heading 1 2 2 2" xfId="1320" xr:uid="{00000000-0005-0000-0000-000074050000}"/>
    <cellStyle name="Heading 1 2 2 2 2" xfId="2011" xr:uid="{00000000-0005-0000-0000-000075050000}"/>
    <cellStyle name="Heading 1 2 2 2 3" xfId="1590" xr:uid="{00000000-0005-0000-0000-000076050000}"/>
    <cellStyle name="Heading 1 2 3" xfId="376" xr:uid="{00000000-0005-0000-0000-000077050000}"/>
    <cellStyle name="Heading 1 2 3 2" xfId="1712" xr:uid="{00000000-0005-0000-0000-000078050000}"/>
    <cellStyle name="Heading 1 2 4" xfId="1294" xr:uid="{00000000-0005-0000-0000-000079050000}"/>
    <cellStyle name="Heading 1 3" xfId="378" xr:uid="{00000000-0005-0000-0000-00007A050000}"/>
    <cellStyle name="Heading 1 4" xfId="2110" xr:uid="{00000000-0005-0000-0000-00007B050000}"/>
    <cellStyle name="Heading 2" xfId="3" builtinId="17" customBuiltin="1"/>
    <cellStyle name="Heading 2 2" xfId="223" xr:uid="{00000000-0005-0000-0000-00007D050000}"/>
    <cellStyle name="Heading 2 2 2" xfId="380" xr:uid="{00000000-0005-0000-0000-00007E050000}"/>
    <cellStyle name="Heading 2 2 2 2" xfId="1321" xr:uid="{00000000-0005-0000-0000-00007F050000}"/>
    <cellStyle name="Heading 2 2 2 2 2" xfId="2012" xr:uid="{00000000-0005-0000-0000-000080050000}"/>
    <cellStyle name="Heading 2 2 2 2 3" xfId="1594" xr:uid="{00000000-0005-0000-0000-000081050000}"/>
    <cellStyle name="Heading 2 2 3" xfId="379" xr:uid="{00000000-0005-0000-0000-000082050000}"/>
    <cellStyle name="Heading 2 2 3 2" xfId="1713" xr:uid="{00000000-0005-0000-0000-000083050000}"/>
    <cellStyle name="Heading 2 2 4" xfId="1293" xr:uid="{00000000-0005-0000-0000-000084050000}"/>
    <cellStyle name="Heading 2 3" xfId="381" xr:uid="{00000000-0005-0000-0000-000085050000}"/>
    <cellStyle name="Heading 2 4" xfId="2111" xr:uid="{00000000-0005-0000-0000-000086050000}"/>
    <cellStyle name="Heading 3" xfId="4" builtinId="18" customBuiltin="1"/>
    <cellStyle name="Heading 3 2" xfId="382" xr:uid="{00000000-0005-0000-0000-000088050000}"/>
    <cellStyle name="Heading 3 2 2" xfId="383" xr:uid="{00000000-0005-0000-0000-000089050000}"/>
    <cellStyle name="Heading 3 2 2 2" xfId="1322" xr:uid="{00000000-0005-0000-0000-00008A050000}"/>
    <cellStyle name="Heading 3 2 2 2 2" xfId="2013" xr:uid="{00000000-0005-0000-0000-00008B050000}"/>
    <cellStyle name="Heading 3 2 2 2 3" xfId="1523" xr:uid="{00000000-0005-0000-0000-00008C050000}"/>
    <cellStyle name="Heading 3 2 3" xfId="1234" xr:uid="{00000000-0005-0000-0000-00008D050000}"/>
    <cellStyle name="Heading 3 2 3 2" xfId="1788" xr:uid="{00000000-0005-0000-0000-00008E050000}"/>
    <cellStyle name="Heading 3 2 3 3" xfId="1623" xr:uid="{00000000-0005-0000-0000-00008F050000}"/>
    <cellStyle name="Heading 3 3" xfId="384" xr:uid="{00000000-0005-0000-0000-000090050000}"/>
    <cellStyle name="Heading 3 3 2" xfId="1291" xr:uid="{00000000-0005-0000-0000-000091050000}"/>
    <cellStyle name="Heading 3 4" xfId="2112" xr:uid="{00000000-0005-0000-0000-000092050000}"/>
    <cellStyle name="Heading 4" xfId="5" builtinId="19" customBuiltin="1"/>
    <cellStyle name="Heading 4 2" xfId="385" xr:uid="{00000000-0005-0000-0000-000094050000}"/>
    <cellStyle name="Heading 4 2 2" xfId="386" xr:uid="{00000000-0005-0000-0000-000095050000}"/>
    <cellStyle name="Heading 4 2 3" xfId="1292" xr:uid="{00000000-0005-0000-0000-000096050000}"/>
    <cellStyle name="Heading 4 3" xfId="387" xr:uid="{00000000-0005-0000-0000-000097050000}"/>
    <cellStyle name="Heading 4 4" xfId="2113" xr:uid="{00000000-0005-0000-0000-000098050000}"/>
    <cellStyle name="hrs" xfId="1323" xr:uid="{00000000-0005-0000-0000-000099050000}"/>
    <cellStyle name="hrs 2" xfId="1355" xr:uid="{00000000-0005-0000-0000-00009A050000}"/>
    <cellStyle name="hrs 3" xfId="1385" xr:uid="{00000000-0005-0000-0000-00009B050000}"/>
    <cellStyle name="hrs 4" xfId="1412" xr:uid="{00000000-0005-0000-0000-00009C050000}"/>
    <cellStyle name="hrs 5" xfId="1439" xr:uid="{00000000-0005-0000-0000-00009D050000}"/>
    <cellStyle name="hrs 6" xfId="1655" xr:uid="{00000000-0005-0000-0000-00009E050000}"/>
    <cellStyle name="hrs 6 2" xfId="1688" xr:uid="{00000000-0005-0000-0000-00009F050000}"/>
    <cellStyle name="Hyperlink" xfId="2157" builtinId="8"/>
    <cellStyle name="Hyperlink 2" xfId="50" xr:uid="{00000000-0005-0000-0000-0000A1050000}"/>
    <cellStyle name="Hyperlink 2 2" xfId="203" xr:uid="{00000000-0005-0000-0000-0000A2050000}"/>
    <cellStyle name="Hyperlink 2 2 2" xfId="224" xr:uid="{00000000-0005-0000-0000-0000A3050000}"/>
    <cellStyle name="Hyperlink 2 2 3" xfId="1272" xr:uid="{00000000-0005-0000-0000-0000A4050000}"/>
    <cellStyle name="Hyperlink 2 3" xfId="177" xr:uid="{00000000-0005-0000-0000-0000A5050000}"/>
    <cellStyle name="Hyperlink 2 4" xfId="1256" xr:uid="{00000000-0005-0000-0000-0000A6050000}"/>
    <cellStyle name="Hyperlink 2 5" xfId="1808" xr:uid="{00000000-0005-0000-0000-0000A7050000}"/>
    <cellStyle name="Hyperlink 3" xfId="51" xr:uid="{00000000-0005-0000-0000-0000A8050000}"/>
    <cellStyle name="Hyperlink 3 2" xfId="205" xr:uid="{00000000-0005-0000-0000-0000A9050000}"/>
    <cellStyle name="Hyperlink 3 2 2" xfId="225" xr:uid="{00000000-0005-0000-0000-0000AA050000}"/>
    <cellStyle name="Hyperlink 3 2 3" xfId="1274" xr:uid="{00000000-0005-0000-0000-0000AB050000}"/>
    <cellStyle name="Hyperlink 3 3" xfId="178" xr:uid="{00000000-0005-0000-0000-0000AC050000}"/>
    <cellStyle name="Hyperlink 3 4" xfId="1257" xr:uid="{00000000-0005-0000-0000-0000AD050000}"/>
    <cellStyle name="Hyperlink 4" xfId="204" xr:uid="{00000000-0005-0000-0000-0000AE050000}"/>
    <cellStyle name="Hyperlink 4 2" xfId="226" xr:uid="{00000000-0005-0000-0000-0000AF050000}"/>
    <cellStyle name="Hyperlink 4 3" xfId="1273" xr:uid="{00000000-0005-0000-0000-0000B0050000}"/>
    <cellStyle name="Hyperlink 5" xfId="164" xr:uid="{00000000-0005-0000-0000-0000B1050000}"/>
    <cellStyle name="Hyperlink 5 2" xfId="227" xr:uid="{00000000-0005-0000-0000-0000B2050000}"/>
    <cellStyle name="Hyperlink 5 3" xfId="1271" xr:uid="{00000000-0005-0000-0000-0000B3050000}"/>
    <cellStyle name="Hyperlink 5 4" xfId="1644" xr:uid="{00000000-0005-0000-0000-0000B4050000}"/>
    <cellStyle name="Hyperlink 6" xfId="228" xr:uid="{00000000-0005-0000-0000-0000B5050000}"/>
    <cellStyle name="Hyperlink 7" xfId="229" xr:uid="{00000000-0005-0000-0000-0000B6050000}"/>
    <cellStyle name="Hyperlink 8" xfId="49" xr:uid="{00000000-0005-0000-0000-0000B7050000}"/>
    <cellStyle name="Input" xfId="9" builtinId="20" customBuiltin="1"/>
    <cellStyle name="Input 2" xfId="388" xr:uid="{00000000-0005-0000-0000-0000B9050000}"/>
    <cellStyle name="Input 2 10" xfId="2206" xr:uid="{00000000-0005-0000-0000-0000BA050000}"/>
    <cellStyle name="Input 2 2" xfId="389" xr:uid="{00000000-0005-0000-0000-0000BB050000}"/>
    <cellStyle name="Input 2 2 2" xfId="995" xr:uid="{00000000-0005-0000-0000-0000BC050000}"/>
    <cellStyle name="Input 2 2 2 2" xfId="1092" xr:uid="{00000000-0005-0000-0000-0000BD050000}"/>
    <cellStyle name="Input 2 2 2 2 2" xfId="2473" xr:uid="{00000000-0005-0000-0000-0000BE050000}"/>
    <cellStyle name="Input 2 2 2 3" xfId="2397" xr:uid="{00000000-0005-0000-0000-0000BF050000}"/>
    <cellStyle name="Input 2 2 3" xfId="997" xr:uid="{00000000-0005-0000-0000-0000C0050000}"/>
    <cellStyle name="Input 2 2 3 2" xfId="1090" xr:uid="{00000000-0005-0000-0000-0000C1050000}"/>
    <cellStyle name="Input 2 2 3 2 2" xfId="2471" xr:uid="{00000000-0005-0000-0000-0000C2050000}"/>
    <cellStyle name="Input 2 2 3 3" xfId="2399" xr:uid="{00000000-0005-0000-0000-0000C3050000}"/>
    <cellStyle name="Input 2 2 4" xfId="984" xr:uid="{00000000-0005-0000-0000-0000C4050000}"/>
    <cellStyle name="Input 2 2 4 2" xfId="1100" xr:uid="{00000000-0005-0000-0000-0000C5050000}"/>
    <cellStyle name="Input 2 2 4 2 2" xfId="2481" xr:uid="{00000000-0005-0000-0000-0000C6050000}"/>
    <cellStyle name="Input 2 2 4 3" xfId="2388" xr:uid="{00000000-0005-0000-0000-0000C7050000}"/>
    <cellStyle name="Input 2 2 5" xfId="998" xr:uid="{00000000-0005-0000-0000-0000C8050000}"/>
    <cellStyle name="Input 2 2 5 2" xfId="1089" xr:uid="{00000000-0005-0000-0000-0000C9050000}"/>
    <cellStyle name="Input 2 2 5 2 2" xfId="2470" xr:uid="{00000000-0005-0000-0000-0000CA050000}"/>
    <cellStyle name="Input 2 2 5 3" xfId="2400" xr:uid="{00000000-0005-0000-0000-0000CB050000}"/>
    <cellStyle name="Input 2 2 6" xfId="990" xr:uid="{00000000-0005-0000-0000-0000CC050000}"/>
    <cellStyle name="Input 2 2 6 2" xfId="1095" xr:uid="{00000000-0005-0000-0000-0000CD050000}"/>
    <cellStyle name="Input 2 2 6 2 2" xfId="2476" xr:uid="{00000000-0005-0000-0000-0000CE050000}"/>
    <cellStyle name="Input 2 2 6 3" xfId="2394" xr:uid="{00000000-0005-0000-0000-0000CF050000}"/>
    <cellStyle name="Input 2 2 7" xfId="1111" xr:uid="{00000000-0005-0000-0000-0000D0050000}"/>
    <cellStyle name="Input 2 2 7 2" xfId="2492" xr:uid="{00000000-0005-0000-0000-0000D1050000}"/>
    <cellStyle name="Input 2 2 8" xfId="2207" xr:uid="{00000000-0005-0000-0000-0000D2050000}"/>
    <cellStyle name="Input 2 3" xfId="994" xr:uid="{00000000-0005-0000-0000-0000D3050000}"/>
    <cellStyle name="Input 2 3 2" xfId="1093" xr:uid="{00000000-0005-0000-0000-0000D4050000}"/>
    <cellStyle name="Input 2 3 2 2" xfId="2474" xr:uid="{00000000-0005-0000-0000-0000D5050000}"/>
    <cellStyle name="Input 2 3 3" xfId="2396" xr:uid="{00000000-0005-0000-0000-0000D6050000}"/>
    <cellStyle name="Input 2 4" xfId="1055" xr:uid="{00000000-0005-0000-0000-0000D7050000}"/>
    <cellStyle name="Input 2 4 2" xfId="1161" xr:uid="{00000000-0005-0000-0000-0000D8050000}"/>
    <cellStyle name="Input 2 4 2 2" xfId="2542" xr:uid="{00000000-0005-0000-0000-0000D9050000}"/>
    <cellStyle name="Input 2 4 3" xfId="2450" xr:uid="{00000000-0005-0000-0000-0000DA050000}"/>
    <cellStyle name="Input 2 5" xfId="1013" xr:uid="{00000000-0005-0000-0000-0000DB050000}"/>
    <cellStyle name="Input 2 5 2" xfId="1083" xr:uid="{00000000-0005-0000-0000-0000DC050000}"/>
    <cellStyle name="Input 2 5 2 2" xfId="2464" xr:uid="{00000000-0005-0000-0000-0000DD050000}"/>
    <cellStyle name="Input 2 5 3" xfId="2413" xr:uid="{00000000-0005-0000-0000-0000DE050000}"/>
    <cellStyle name="Input 2 6" xfId="1002" xr:uid="{00000000-0005-0000-0000-0000DF050000}"/>
    <cellStyle name="Input 2 6 2" xfId="1086" xr:uid="{00000000-0005-0000-0000-0000E0050000}"/>
    <cellStyle name="Input 2 6 2 2" xfId="2467" xr:uid="{00000000-0005-0000-0000-0000E1050000}"/>
    <cellStyle name="Input 2 6 3" xfId="2403" xr:uid="{00000000-0005-0000-0000-0000E2050000}"/>
    <cellStyle name="Input 2 7" xfId="1049" xr:uid="{00000000-0005-0000-0000-0000E3050000}"/>
    <cellStyle name="Input 2 7 2" xfId="1159" xr:uid="{00000000-0005-0000-0000-0000E4050000}"/>
    <cellStyle name="Input 2 7 2 2" xfId="2540" xr:uid="{00000000-0005-0000-0000-0000E5050000}"/>
    <cellStyle name="Input 2 7 3" xfId="2444" xr:uid="{00000000-0005-0000-0000-0000E6050000}"/>
    <cellStyle name="Input 2 8" xfId="1113" xr:uid="{00000000-0005-0000-0000-0000E7050000}"/>
    <cellStyle name="Input 2 8 2" xfId="2494" xr:uid="{00000000-0005-0000-0000-0000E8050000}"/>
    <cellStyle name="Input 2 9" xfId="1235" xr:uid="{00000000-0005-0000-0000-0000E9050000}"/>
    <cellStyle name="Input 2 9 2" xfId="1789" xr:uid="{00000000-0005-0000-0000-0000EA050000}"/>
    <cellStyle name="Input 2 9 3" xfId="1553" xr:uid="{00000000-0005-0000-0000-0000EB050000}"/>
    <cellStyle name="Input 2 9 3 2" xfId="2588" xr:uid="{00000000-0005-0000-0000-0000EC050000}"/>
    <cellStyle name="Input 3" xfId="390" xr:uid="{00000000-0005-0000-0000-0000ED050000}"/>
    <cellStyle name="Input 3 2" xfId="996" xr:uid="{00000000-0005-0000-0000-0000EE050000}"/>
    <cellStyle name="Input 3 2 2" xfId="1091" xr:uid="{00000000-0005-0000-0000-0000EF050000}"/>
    <cellStyle name="Input 3 2 2 2" xfId="2472" xr:uid="{00000000-0005-0000-0000-0000F0050000}"/>
    <cellStyle name="Input 3 2 3" xfId="2398" xr:uid="{00000000-0005-0000-0000-0000F1050000}"/>
    <cellStyle name="Input 3 3" xfId="1029" xr:uid="{00000000-0005-0000-0000-0000F2050000}"/>
    <cellStyle name="Input 3 3 2" xfId="1080" xr:uid="{00000000-0005-0000-0000-0000F3050000}"/>
    <cellStyle name="Input 3 3 2 2" xfId="2461" xr:uid="{00000000-0005-0000-0000-0000F4050000}"/>
    <cellStyle name="Input 3 3 3" xfId="2427" xr:uid="{00000000-0005-0000-0000-0000F5050000}"/>
    <cellStyle name="Input 3 4" xfId="1010" xr:uid="{00000000-0005-0000-0000-0000F6050000}"/>
    <cellStyle name="Input 3 4 2" xfId="1084" xr:uid="{00000000-0005-0000-0000-0000F7050000}"/>
    <cellStyle name="Input 3 4 2 2" xfId="2465" xr:uid="{00000000-0005-0000-0000-0000F8050000}"/>
    <cellStyle name="Input 3 4 3" xfId="2410" xr:uid="{00000000-0005-0000-0000-0000F9050000}"/>
    <cellStyle name="Input 3 5" xfId="1050" xr:uid="{00000000-0005-0000-0000-0000FA050000}"/>
    <cellStyle name="Input 3 5 2" xfId="1160" xr:uid="{00000000-0005-0000-0000-0000FB050000}"/>
    <cellStyle name="Input 3 5 2 2" xfId="2541" xr:uid="{00000000-0005-0000-0000-0000FC050000}"/>
    <cellStyle name="Input 3 5 3" xfId="2445" xr:uid="{00000000-0005-0000-0000-0000FD050000}"/>
    <cellStyle name="Input 3 6" xfId="1025" xr:uid="{00000000-0005-0000-0000-0000FE050000}"/>
    <cellStyle name="Input 3 6 2" xfId="1082" xr:uid="{00000000-0005-0000-0000-0000FF050000}"/>
    <cellStyle name="Input 3 6 2 2" xfId="2463" xr:uid="{00000000-0005-0000-0000-000000060000}"/>
    <cellStyle name="Input 3 6 3" xfId="2424" xr:uid="{00000000-0005-0000-0000-000001060000}"/>
    <cellStyle name="Input 3 7" xfId="1109" xr:uid="{00000000-0005-0000-0000-000002060000}"/>
    <cellStyle name="Input 3 7 2" xfId="2490" xr:uid="{00000000-0005-0000-0000-000003060000}"/>
    <cellStyle name="Input 3 8" xfId="2208" xr:uid="{00000000-0005-0000-0000-000004060000}"/>
    <cellStyle name="Input 4" xfId="2117" xr:uid="{00000000-0005-0000-0000-000005060000}"/>
    <cellStyle name="kg" xfId="1324" xr:uid="{00000000-0005-0000-0000-000006060000}"/>
    <cellStyle name="kg 2" xfId="1356" xr:uid="{00000000-0005-0000-0000-000007060000}"/>
    <cellStyle name="kg 3" xfId="1386" xr:uid="{00000000-0005-0000-0000-000008060000}"/>
    <cellStyle name="kg 4" xfId="1413" xr:uid="{00000000-0005-0000-0000-000009060000}"/>
    <cellStyle name="kg 5" xfId="1440" xr:uid="{00000000-0005-0000-0000-00000A060000}"/>
    <cellStyle name="kg 6" xfId="1656" xr:uid="{00000000-0005-0000-0000-00000B060000}"/>
    <cellStyle name="kg 6 2" xfId="1689" xr:uid="{00000000-0005-0000-0000-00000C060000}"/>
    <cellStyle name="kL" xfId="1325" xr:uid="{00000000-0005-0000-0000-00000D060000}"/>
    <cellStyle name="kL 2" xfId="1357" xr:uid="{00000000-0005-0000-0000-00000E060000}"/>
    <cellStyle name="kL 3" xfId="1387" xr:uid="{00000000-0005-0000-0000-00000F060000}"/>
    <cellStyle name="kL 4" xfId="1414" xr:uid="{00000000-0005-0000-0000-000010060000}"/>
    <cellStyle name="kL 5" xfId="1441" xr:uid="{00000000-0005-0000-0000-000011060000}"/>
    <cellStyle name="kL 6" xfId="1657" xr:uid="{00000000-0005-0000-0000-000012060000}"/>
    <cellStyle name="kL 6 2" xfId="1690" xr:uid="{00000000-0005-0000-0000-000013060000}"/>
    <cellStyle name="kL/h" xfId="1326" xr:uid="{00000000-0005-0000-0000-000014060000}"/>
    <cellStyle name="kL/h 2" xfId="1358" xr:uid="{00000000-0005-0000-0000-000015060000}"/>
    <cellStyle name="kL/ser/d" xfId="1327" xr:uid="{00000000-0005-0000-0000-000016060000}"/>
    <cellStyle name="kL/ser/d 2" xfId="1359" xr:uid="{00000000-0005-0000-0000-000017060000}"/>
    <cellStyle name="kL/ser/d 3" xfId="1388" xr:uid="{00000000-0005-0000-0000-000018060000}"/>
    <cellStyle name="kL/ser/d 4" xfId="1415" xr:uid="{00000000-0005-0000-0000-000019060000}"/>
    <cellStyle name="kL/ser/d 5" xfId="1442" xr:uid="{00000000-0005-0000-0000-00001A060000}"/>
    <cellStyle name="kL/ser/d 6" xfId="1658" xr:uid="{00000000-0005-0000-0000-00001B060000}"/>
    <cellStyle name="kL/ser/d 6 2" xfId="1691" xr:uid="{00000000-0005-0000-0000-00001C060000}"/>
    <cellStyle name="km" xfId="1328" xr:uid="{00000000-0005-0000-0000-00001D060000}"/>
    <cellStyle name="km 2" xfId="1360" xr:uid="{00000000-0005-0000-0000-00001E060000}"/>
    <cellStyle name="km 3" xfId="1389" xr:uid="{00000000-0005-0000-0000-00001F060000}"/>
    <cellStyle name="km 4" xfId="1416" xr:uid="{00000000-0005-0000-0000-000020060000}"/>
    <cellStyle name="km 5" xfId="1443" xr:uid="{00000000-0005-0000-0000-000021060000}"/>
    <cellStyle name="km 6" xfId="1659" xr:uid="{00000000-0005-0000-0000-000022060000}"/>
    <cellStyle name="km 6 2" xfId="1692" xr:uid="{00000000-0005-0000-0000-000023060000}"/>
    <cellStyle name="kPa" xfId="1329" xr:uid="{00000000-0005-0000-0000-000024060000}"/>
    <cellStyle name="kPa 2" xfId="1361" xr:uid="{00000000-0005-0000-0000-000025060000}"/>
    <cellStyle name="kPa 3" xfId="1390" xr:uid="{00000000-0005-0000-0000-000026060000}"/>
    <cellStyle name="kPa 4" xfId="1417" xr:uid="{00000000-0005-0000-0000-000027060000}"/>
    <cellStyle name="kPa 5" xfId="1444" xr:uid="{00000000-0005-0000-0000-000028060000}"/>
    <cellStyle name="kPa 6" xfId="1660" xr:uid="{00000000-0005-0000-0000-000029060000}"/>
    <cellStyle name="kPa 6 2" xfId="1693" xr:uid="{00000000-0005-0000-0000-00002A060000}"/>
    <cellStyle name="kW" xfId="1330" xr:uid="{00000000-0005-0000-0000-00002B060000}"/>
    <cellStyle name="kW 2" xfId="1362" xr:uid="{00000000-0005-0000-0000-00002C060000}"/>
    <cellStyle name="kW 3" xfId="1391" xr:uid="{00000000-0005-0000-0000-00002D060000}"/>
    <cellStyle name="kW 4" xfId="1418" xr:uid="{00000000-0005-0000-0000-00002E060000}"/>
    <cellStyle name="kW 5" xfId="1445" xr:uid="{00000000-0005-0000-0000-00002F060000}"/>
    <cellStyle name="kW 6" xfId="1661" xr:uid="{00000000-0005-0000-0000-000030060000}"/>
    <cellStyle name="kW 6 2" xfId="1694" xr:uid="{00000000-0005-0000-0000-000031060000}"/>
    <cellStyle name="kWh" xfId="1331" xr:uid="{00000000-0005-0000-0000-000032060000}"/>
    <cellStyle name="kWh 2" xfId="1363" xr:uid="{00000000-0005-0000-0000-000033060000}"/>
    <cellStyle name="kWh 3" xfId="1392" xr:uid="{00000000-0005-0000-0000-000034060000}"/>
    <cellStyle name="kWh 4" xfId="1419" xr:uid="{00000000-0005-0000-0000-000035060000}"/>
    <cellStyle name="kWh 5" xfId="1446" xr:uid="{00000000-0005-0000-0000-000036060000}"/>
    <cellStyle name="kWh 6" xfId="1662" xr:uid="{00000000-0005-0000-0000-000037060000}"/>
    <cellStyle name="kWh 6 2" xfId="1695" xr:uid="{00000000-0005-0000-0000-000038060000}"/>
    <cellStyle name="L" xfId="1332" xr:uid="{00000000-0005-0000-0000-000039060000}"/>
    <cellStyle name="L 2" xfId="1364" xr:uid="{00000000-0005-0000-0000-00003A060000}"/>
    <cellStyle name="L 3" xfId="1393" xr:uid="{00000000-0005-0000-0000-00003B060000}"/>
    <cellStyle name="L 4" xfId="1420" xr:uid="{00000000-0005-0000-0000-00003C060000}"/>
    <cellStyle name="L 5" xfId="1447" xr:uid="{00000000-0005-0000-0000-00003D060000}"/>
    <cellStyle name="L 6" xfId="1663" xr:uid="{00000000-0005-0000-0000-00003E060000}"/>
    <cellStyle name="L 6 2" xfId="1696" xr:uid="{00000000-0005-0000-0000-00003F060000}"/>
    <cellStyle name="L/min" xfId="1333" xr:uid="{00000000-0005-0000-0000-000040060000}"/>
    <cellStyle name="L/min 2" xfId="1365" xr:uid="{00000000-0005-0000-0000-000041060000}"/>
    <cellStyle name="L/s" xfId="1334" xr:uid="{00000000-0005-0000-0000-000042060000}"/>
    <cellStyle name="L/s 2" xfId="1366" xr:uid="{00000000-0005-0000-0000-000043060000}"/>
    <cellStyle name="L/s 3" xfId="1394" xr:uid="{00000000-0005-0000-0000-000044060000}"/>
    <cellStyle name="L/s 4" xfId="1421" xr:uid="{00000000-0005-0000-0000-000045060000}"/>
    <cellStyle name="L/s 5" xfId="1448" xr:uid="{00000000-0005-0000-0000-000046060000}"/>
    <cellStyle name="L/s 6" xfId="1664" xr:uid="{00000000-0005-0000-0000-000047060000}"/>
    <cellStyle name="L/s 6 2" xfId="1697" xr:uid="{00000000-0005-0000-0000-000048060000}"/>
    <cellStyle name="Linked Cell" xfId="12" builtinId="24" customBuiltin="1"/>
    <cellStyle name="Linked Cell 2" xfId="391" xr:uid="{00000000-0005-0000-0000-00004A060000}"/>
    <cellStyle name="Linked Cell 2 2" xfId="392" xr:uid="{00000000-0005-0000-0000-00004B060000}"/>
    <cellStyle name="Linked Cell 2 3" xfId="1236" xr:uid="{00000000-0005-0000-0000-00004C060000}"/>
    <cellStyle name="Linked Cell 2 3 2" xfId="1790" xr:uid="{00000000-0005-0000-0000-00004D060000}"/>
    <cellStyle name="Linked Cell 2 3 3" xfId="1611" xr:uid="{00000000-0005-0000-0000-00004E060000}"/>
    <cellStyle name="Linked Cell 3" xfId="393" xr:uid="{00000000-0005-0000-0000-00004F060000}"/>
    <cellStyle name="Linked Cell 4" xfId="2120" xr:uid="{00000000-0005-0000-0000-000050060000}"/>
    <cellStyle name="m" xfId="1335" xr:uid="{00000000-0005-0000-0000-000051060000}"/>
    <cellStyle name="m 2" xfId="1367" xr:uid="{00000000-0005-0000-0000-000052060000}"/>
    <cellStyle name="m 3" xfId="1395" xr:uid="{00000000-0005-0000-0000-000053060000}"/>
    <cellStyle name="m 4" xfId="1422" xr:uid="{00000000-0005-0000-0000-000054060000}"/>
    <cellStyle name="m 5" xfId="1449" xr:uid="{00000000-0005-0000-0000-000055060000}"/>
    <cellStyle name="m 6" xfId="1665" xr:uid="{00000000-0005-0000-0000-000056060000}"/>
    <cellStyle name="m 6 2" xfId="1698" xr:uid="{00000000-0005-0000-0000-000057060000}"/>
    <cellStyle name="m/km" xfId="1336" xr:uid="{00000000-0005-0000-0000-000058060000}"/>
    <cellStyle name="m/km 2" xfId="1368" xr:uid="{00000000-0005-0000-0000-000059060000}"/>
    <cellStyle name="m/km 3" xfId="1396" xr:uid="{00000000-0005-0000-0000-00005A060000}"/>
    <cellStyle name="m/km 4" xfId="1423" xr:uid="{00000000-0005-0000-0000-00005B060000}"/>
    <cellStyle name="m/km 5" xfId="1450" xr:uid="{00000000-0005-0000-0000-00005C060000}"/>
    <cellStyle name="m/km 6" xfId="1666" xr:uid="{00000000-0005-0000-0000-00005D060000}"/>
    <cellStyle name="m/km 6 2" xfId="1699" xr:uid="{00000000-0005-0000-0000-00005E060000}"/>
    <cellStyle name="m/s" xfId="1337" xr:uid="{00000000-0005-0000-0000-00005F060000}"/>
    <cellStyle name="m/s 2" xfId="1369" xr:uid="{00000000-0005-0000-0000-000060060000}"/>
    <cellStyle name="m/s 3" xfId="1397" xr:uid="{00000000-0005-0000-0000-000061060000}"/>
    <cellStyle name="m/s 4" xfId="1424" xr:uid="{00000000-0005-0000-0000-000062060000}"/>
    <cellStyle name="m/s 5" xfId="1451" xr:uid="{00000000-0005-0000-0000-000063060000}"/>
    <cellStyle name="m/s 6" xfId="1667" xr:uid="{00000000-0005-0000-0000-000064060000}"/>
    <cellStyle name="m/s 6 2" xfId="1700" xr:uid="{00000000-0005-0000-0000-000065060000}"/>
    <cellStyle name="mAHD" xfId="1338" xr:uid="{00000000-0005-0000-0000-000066060000}"/>
    <cellStyle name="mAHD 2" xfId="1370" xr:uid="{00000000-0005-0000-0000-000067060000}"/>
    <cellStyle name="mAHD 3" xfId="1398" xr:uid="{00000000-0005-0000-0000-000068060000}"/>
    <cellStyle name="mAHD 4" xfId="1425" xr:uid="{00000000-0005-0000-0000-000069060000}"/>
    <cellStyle name="mAHD 5" xfId="1452" xr:uid="{00000000-0005-0000-0000-00006A060000}"/>
    <cellStyle name="mAHD 6" xfId="1668" xr:uid="{00000000-0005-0000-0000-00006B060000}"/>
    <cellStyle name="mAHD 6 2" xfId="1701" xr:uid="{00000000-0005-0000-0000-00006C060000}"/>
    <cellStyle name="MJ" xfId="1339" xr:uid="{00000000-0005-0000-0000-00006D060000}"/>
    <cellStyle name="MJ 2" xfId="1371" xr:uid="{00000000-0005-0000-0000-00006E060000}"/>
    <cellStyle name="MJ 3" xfId="1399" xr:uid="{00000000-0005-0000-0000-00006F060000}"/>
    <cellStyle name="MJ 4" xfId="1426" xr:uid="{00000000-0005-0000-0000-000070060000}"/>
    <cellStyle name="MJ 5" xfId="1453" xr:uid="{00000000-0005-0000-0000-000071060000}"/>
    <cellStyle name="MJ 6" xfId="1669" xr:uid="{00000000-0005-0000-0000-000072060000}"/>
    <cellStyle name="MJ 6 2" xfId="1702" xr:uid="{00000000-0005-0000-0000-000073060000}"/>
    <cellStyle name="ML" xfId="1340" xr:uid="{00000000-0005-0000-0000-000074060000}"/>
    <cellStyle name="ML 2" xfId="1372" xr:uid="{00000000-0005-0000-0000-000075060000}"/>
    <cellStyle name="ML 3" xfId="1400" xr:uid="{00000000-0005-0000-0000-000076060000}"/>
    <cellStyle name="ML 4" xfId="1427" xr:uid="{00000000-0005-0000-0000-000077060000}"/>
    <cellStyle name="ML 5" xfId="1454" xr:uid="{00000000-0005-0000-0000-000078060000}"/>
    <cellStyle name="ML 6" xfId="1670" xr:uid="{00000000-0005-0000-0000-000079060000}"/>
    <cellStyle name="ML 6 2" xfId="1703" xr:uid="{00000000-0005-0000-0000-00007A060000}"/>
    <cellStyle name="ML/d" xfId="1341" xr:uid="{00000000-0005-0000-0000-00007B060000}"/>
    <cellStyle name="ML/d 2" xfId="1373" xr:uid="{00000000-0005-0000-0000-00007C060000}"/>
    <cellStyle name="ML/d 3" xfId="1401" xr:uid="{00000000-0005-0000-0000-00007D060000}"/>
    <cellStyle name="ML/d 4" xfId="1428" xr:uid="{00000000-0005-0000-0000-00007E060000}"/>
    <cellStyle name="ML/d 5" xfId="1455" xr:uid="{00000000-0005-0000-0000-00007F060000}"/>
    <cellStyle name="ML/d 6" xfId="1671" xr:uid="{00000000-0005-0000-0000-000080060000}"/>
    <cellStyle name="ML/d 6 2" xfId="1704" xr:uid="{00000000-0005-0000-0000-000081060000}"/>
    <cellStyle name="mm" xfId="1342" xr:uid="{00000000-0005-0000-0000-000082060000}"/>
    <cellStyle name="mm 2" xfId="1374" xr:uid="{00000000-0005-0000-0000-000083060000}"/>
    <cellStyle name="mm 3" xfId="1402" xr:uid="{00000000-0005-0000-0000-000084060000}"/>
    <cellStyle name="mm 4" xfId="1429" xr:uid="{00000000-0005-0000-0000-000085060000}"/>
    <cellStyle name="mm 5" xfId="1456" xr:uid="{00000000-0005-0000-0000-000086060000}"/>
    <cellStyle name="mm 6" xfId="1672" xr:uid="{00000000-0005-0000-0000-000087060000}"/>
    <cellStyle name="mm 6 2" xfId="1705" xr:uid="{00000000-0005-0000-0000-000088060000}"/>
    <cellStyle name="mNCD" xfId="1343" xr:uid="{00000000-0005-0000-0000-000089060000}"/>
    <cellStyle name="mNCD 2" xfId="1375" xr:uid="{00000000-0005-0000-0000-00008A060000}"/>
    <cellStyle name="Neutral" xfId="8" builtinId="28" customBuiltin="1"/>
    <cellStyle name="Neutral 2" xfId="394" xr:uid="{00000000-0005-0000-0000-00008C060000}"/>
    <cellStyle name="Neutral 2 2" xfId="395" xr:uid="{00000000-0005-0000-0000-00008D060000}"/>
    <cellStyle name="Neutral 2 3" xfId="1237" xr:uid="{00000000-0005-0000-0000-00008E060000}"/>
    <cellStyle name="Neutral 2 3 2" xfId="1791" xr:uid="{00000000-0005-0000-0000-00008F060000}"/>
    <cellStyle name="Neutral 2 3 3" xfId="1746" xr:uid="{00000000-0005-0000-0000-000090060000}"/>
    <cellStyle name="Neutral 3" xfId="396" xr:uid="{00000000-0005-0000-0000-000091060000}"/>
    <cellStyle name="Neutral 4" xfId="2116" xr:uid="{00000000-0005-0000-0000-000092060000}"/>
    <cellStyle name="Normal" xfId="0" builtinId="0"/>
    <cellStyle name="Normal 10" xfId="397" xr:uid="{00000000-0005-0000-0000-000094060000}"/>
    <cellStyle name="Normal 10 10" xfId="1637" xr:uid="{00000000-0005-0000-0000-000095060000}"/>
    <cellStyle name="Normal 10 2" xfId="52" xr:uid="{00000000-0005-0000-0000-000096060000}"/>
    <cellStyle name="Normal 10 2 2" xfId="399" xr:uid="{00000000-0005-0000-0000-000097060000}"/>
    <cellStyle name="Normal 10 2 2 2" xfId="400" xr:uid="{00000000-0005-0000-0000-000098060000}"/>
    <cellStyle name="Normal 10 2 3" xfId="401" xr:uid="{00000000-0005-0000-0000-000099060000}"/>
    <cellStyle name="Normal 10 2 4" xfId="398" xr:uid="{00000000-0005-0000-0000-00009A060000}"/>
    <cellStyle name="Normal 10 2 5" xfId="1477" xr:uid="{00000000-0005-0000-0000-00009B060000}"/>
    <cellStyle name="Normal 10 2 5 2" xfId="2085" xr:uid="{00000000-0005-0000-0000-00009C060000}"/>
    <cellStyle name="Normal 10 3" xfId="53" xr:uid="{00000000-0005-0000-0000-00009D060000}"/>
    <cellStyle name="Normal 10 3 2" xfId="403" xr:uid="{00000000-0005-0000-0000-00009E060000}"/>
    <cellStyle name="Normal 10 3 3" xfId="402" xr:uid="{00000000-0005-0000-0000-00009F060000}"/>
    <cellStyle name="Normal 10 4" xfId="54" xr:uid="{00000000-0005-0000-0000-0000A0060000}"/>
    <cellStyle name="Normal 10 4 2" xfId="404" xr:uid="{00000000-0005-0000-0000-0000A1060000}"/>
    <cellStyle name="Normal 10 5" xfId="55" xr:uid="{00000000-0005-0000-0000-0000A2060000}"/>
    <cellStyle name="Normal 10 5 2" xfId="544" xr:uid="{00000000-0005-0000-0000-0000A3060000}"/>
    <cellStyle name="Normal 10 6" xfId="56" xr:uid="{00000000-0005-0000-0000-0000A4060000}"/>
    <cellStyle name="Normal 10 6 2" xfId="545" xr:uid="{00000000-0005-0000-0000-0000A5060000}"/>
    <cellStyle name="Normal 10 7" xfId="57" xr:uid="{00000000-0005-0000-0000-0000A6060000}"/>
    <cellStyle name="Normal 10 8" xfId="1238" xr:uid="{00000000-0005-0000-0000-0000A7060000}"/>
    <cellStyle name="Normal 10 8 2" xfId="1295" xr:uid="{00000000-0005-0000-0000-0000A8060000}"/>
    <cellStyle name="Normal 10 8 2 2" xfId="1734" xr:uid="{00000000-0005-0000-0000-0000A9060000}"/>
    <cellStyle name="Normal 10 8 2 3" xfId="1792" xr:uid="{00000000-0005-0000-0000-0000AA060000}"/>
    <cellStyle name="Normal 10 8 2 3 2" xfId="2151" xr:uid="{00000000-0005-0000-0000-0000AB060000}"/>
    <cellStyle name="Normal 10 8 3" xfId="1676" xr:uid="{00000000-0005-0000-0000-0000AC060000}"/>
    <cellStyle name="Normal 10 8 3 2" xfId="2067" xr:uid="{00000000-0005-0000-0000-0000AD060000}"/>
    <cellStyle name="Normal 10 9" xfId="1714" xr:uid="{00000000-0005-0000-0000-0000AE060000}"/>
    <cellStyle name="Normal 10 9 2" xfId="2048" xr:uid="{00000000-0005-0000-0000-0000AF060000}"/>
    <cellStyle name="Normal 10 9 3" xfId="1571" xr:uid="{00000000-0005-0000-0000-0000B0060000}"/>
    <cellStyle name="Normal 11" xfId="405" xr:uid="{00000000-0005-0000-0000-0000B1060000}"/>
    <cellStyle name="Normal 11 2" xfId="58" xr:uid="{00000000-0005-0000-0000-0000B2060000}"/>
    <cellStyle name="Normal 11 2 2" xfId="407" xr:uid="{00000000-0005-0000-0000-0000B3060000}"/>
    <cellStyle name="Normal 11 2 2 2" xfId="408" xr:uid="{00000000-0005-0000-0000-0000B4060000}"/>
    <cellStyle name="Normal 11 2 3" xfId="409" xr:uid="{00000000-0005-0000-0000-0000B5060000}"/>
    <cellStyle name="Normal 11 2 4" xfId="406" xr:uid="{00000000-0005-0000-0000-0000B6060000}"/>
    <cellStyle name="Normal 11 2 5" xfId="1499" xr:uid="{00000000-0005-0000-0000-0000B7060000}"/>
    <cellStyle name="Normal 11 2 5 2" xfId="2105" xr:uid="{00000000-0005-0000-0000-0000B8060000}"/>
    <cellStyle name="Normal 11 3" xfId="59" xr:uid="{00000000-0005-0000-0000-0000B9060000}"/>
    <cellStyle name="Normal 11 3 2" xfId="411" xr:uid="{00000000-0005-0000-0000-0000BA060000}"/>
    <cellStyle name="Normal 11 3 3" xfId="410" xr:uid="{00000000-0005-0000-0000-0000BB060000}"/>
    <cellStyle name="Normal 11 4" xfId="60" xr:uid="{00000000-0005-0000-0000-0000BC060000}"/>
    <cellStyle name="Normal 11 4 2" xfId="412" xr:uid="{00000000-0005-0000-0000-0000BD060000}"/>
    <cellStyle name="Normal 11 5" xfId="1239" xr:uid="{00000000-0005-0000-0000-0000BE060000}"/>
    <cellStyle name="Normal 11 5 2" xfId="1460" xr:uid="{00000000-0005-0000-0000-0000BF060000}"/>
    <cellStyle name="Normal 11 5 2 2" xfId="1735" xr:uid="{00000000-0005-0000-0000-0000C0060000}"/>
    <cellStyle name="Normal 11 5 2 3" xfId="1793" xr:uid="{00000000-0005-0000-0000-0000C1060000}"/>
    <cellStyle name="Normal 11 5 2 3 2" xfId="2152" xr:uid="{00000000-0005-0000-0000-0000C2060000}"/>
    <cellStyle name="Normal 11 5 3" xfId="1677" xr:uid="{00000000-0005-0000-0000-0000C3060000}"/>
    <cellStyle name="Normal 11 5 3 2" xfId="2068" xr:uid="{00000000-0005-0000-0000-0000C4060000}"/>
    <cellStyle name="Normal 11 6" xfId="1715" xr:uid="{00000000-0005-0000-0000-0000C5060000}"/>
    <cellStyle name="Normal 11 6 2" xfId="2049" xr:uid="{00000000-0005-0000-0000-0000C6060000}"/>
    <cellStyle name="Normal 11 6 3" xfId="1545" xr:uid="{00000000-0005-0000-0000-0000C7060000}"/>
    <cellStyle name="Normal 11 7" xfId="1638" xr:uid="{00000000-0005-0000-0000-0000C8060000}"/>
    <cellStyle name="Normal 12" xfId="413" xr:uid="{00000000-0005-0000-0000-0000C9060000}"/>
    <cellStyle name="Normal 12 2" xfId="414" xr:uid="{00000000-0005-0000-0000-0000CA060000}"/>
    <cellStyle name="Normal 12 2 2" xfId="415" xr:uid="{00000000-0005-0000-0000-0000CB060000}"/>
    <cellStyle name="Normal 12 2 2 2" xfId="416" xr:uid="{00000000-0005-0000-0000-0000CC060000}"/>
    <cellStyle name="Normal 12 2 3" xfId="417" xr:uid="{00000000-0005-0000-0000-0000CD060000}"/>
    <cellStyle name="Normal 12 2 4" xfId="1679" xr:uid="{00000000-0005-0000-0000-0000CE060000}"/>
    <cellStyle name="Normal 12 3" xfId="418" xr:uid="{00000000-0005-0000-0000-0000CF060000}"/>
    <cellStyle name="Normal 12 3 2" xfId="419" xr:uid="{00000000-0005-0000-0000-0000D0060000}"/>
    <cellStyle name="Normal 12 4" xfId="420" xr:uid="{00000000-0005-0000-0000-0000D1060000}"/>
    <cellStyle name="Normal 12 5" xfId="1467" xr:uid="{00000000-0005-0000-0000-0000D2060000}"/>
    <cellStyle name="Normal 12 5 2" xfId="2020" xr:uid="{00000000-0005-0000-0000-0000D3060000}"/>
    <cellStyle name="Normal 12 5 3" xfId="1579" xr:uid="{00000000-0005-0000-0000-0000D4060000}"/>
    <cellStyle name="Normal 12 6" xfId="1806" xr:uid="{00000000-0005-0000-0000-0000D5060000}"/>
    <cellStyle name="Normal 13" xfId="421" xr:uid="{00000000-0005-0000-0000-0000D6060000}"/>
    <cellStyle name="Normal 13 2" xfId="422" xr:uid="{00000000-0005-0000-0000-0000D7060000}"/>
    <cellStyle name="Normal 13 2 2" xfId="423" xr:uid="{00000000-0005-0000-0000-0000D8060000}"/>
    <cellStyle name="Normal 13 2 2 2" xfId="424" xr:uid="{00000000-0005-0000-0000-0000D9060000}"/>
    <cellStyle name="Normal 13 2 3" xfId="425" xr:uid="{00000000-0005-0000-0000-0000DA060000}"/>
    <cellStyle name="Normal 13 2 4" xfId="1680" xr:uid="{00000000-0005-0000-0000-0000DB060000}"/>
    <cellStyle name="Normal 13 3" xfId="426" xr:uid="{00000000-0005-0000-0000-0000DC060000}"/>
    <cellStyle name="Normal 13 3 2" xfId="427" xr:uid="{00000000-0005-0000-0000-0000DD060000}"/>
    <cellStyle name="Normal 13 3 3" xfId="1737" xr:uid="{00000000-0005-0000-0000-0000DE060000}"/>
    <cellStyle name="Normal 13 4" xfId="428" xr:uid="{00000000-0005-0000-0000-0000DF060000}"/>
    <cellStyle name="Normal 13 5" xfId="1469" xr:uid="{00000000-0005-0000-0000-0000E0060000}"/>
    <cellStyle name="Normal 13 5 2" xfId="2022" xr:uid="{00000000-0005-0000-0000-0000E1060000}"/>
    <cellStyle name="Normal 13 5 3" xfId="1507" xr:uid="{00000000-0005-0000-0000-0000E2060000}"/>
    <cellStyle name="Normal 13 5 3 2" xfId="2154" xr:uid="{00000000-0005-0000-0000-0000E3060000}"/>
    <cellStyle name="Normal 13 6" xfId="1640" xr:uid="{00000000-0005-0000-0000-0000E4060000}"/>
    <cellStyle name="Normal 14" xfId="429" xr:uid="{00000000-0005-0000-0000-0000E5060000}"/>
    <cellStyle name="Normal 14 2" xfId="430" xr:uid="{00000000-0005-0000-0000-0000E6060000}"/>
    <cellStyle name="Normal 14 2 2" xfId="431" xr:uid="{00000000-0005-0000-0000-0000E7060000}"/>
    <cellStyle name="Normal 14 2 2 2" xfId="432" xr:uid="{00000000-0005-0000-0000-0000E8060000}"/>
    <cellStyle name="Normal 14 2 3" xfId="433" xr:uid="{00000000-0005-0000-0000-0000E9060000}"/>
    <cellStyle name="Normal 14 2 4" xfId="1681" xr:uid="{00000000-0005-0000-0000-0000EA060000}"/>
    <cellStyle name="Normal 14 3" xfId="434" xr:uid="{00000000-0005-0000-0000-0000EB060000}"/>
    <cellStyle name="Normal 14 3 2" xfId="435" xr:uid="{00000000-0005-0000-0000-0000EC060000}"/>
    <cellStyle name="Normal 14 4" xfId="436" xr:uid="{00000000-0005-0000-0000-0000ED060000}"/>
    <cellStyle name="Normal 14 5" xfId="1641" xr:uid="{00000000-0005-0000-0000-0000EE060000}"/>
    <cellStyle name="Normal 15" xfId="437" xr:uid="{00000000-0005-0000-0000-0000EF060000}"/>
    <cellStyle name="Normal 15 2" xfId="438" xr:uid="{00000000-0005-0000-0000-0000F0060000}"/>
    <cellStyle name="Normal 15 2 2" xfId="439" xr:uid="{00000000-0005-0000-0000-0000F1060000}"/>
    <cellStyle name="Normal 15 2 2 2" xfId="440" xr:uid="{00000000-0005-0000-0000-0000F2060000}"/>
    <cellStyle name="Normal 15 2 3" xfId="441" xr:uid="{00000000-0005-0000-0000-0000F3060000}"/>
    <cellStyle name="Normal 15 3" xfId="442" xr:uid="{00000000-0005-0000-0000-0000F4060000}"/>
    <cellStyle name="Normal 15 3 2" xfId="443" xr:uid="{00000000-0005-0000-0000-0000F5060000}"/>
    <cellStyle name="Normal 15 4" xfId="444" xr:uid="{00000000-0005-0000-0000-0000F6060000}"/>
    <cellStyle name="Normal 15 5" xfId="1643" xr:uid="{00000000-0005-0000-0000-0000F7060000}"/>
    <cellStyle name="Normal 16" xfId="445" xr:uid="{00000000-0005-0000-0000-0000F8060000}"/>
    <cellStyle name="Normal 16 2" xfId="446" xr:uid="{00000000-0005-0000-0000-0000F9060000}"/>
    <cellStyle name="Normal 16 2 2" xfId="447" xr:uid="{00000000-0005-0000-0000-0000FA060000}"/>
    <cellStyle name="Normal 16 2 2 2" xfId="448" xr:uid="{00000000-0005-0000-0000-0000FB060000}"/>
    <cellStyle name="Normal 16 2 3" xfId="449" xr:uid="{00000000-0005-0000-0000-0000FC060000}"/>
    <cellStyle name="Normal 16 3" xfId="450" xr:uid="{00000000-0005-0000-0000-0000FD060000}"/>
    <cellStyle name="Normal 16 3 2" xfId="451" xr:uid="{00000000-0005-0000-0000-0000FE060000}"/>
    <cellStyle name="Normal 16 4" xfId="452" xr:uid="{00000000-0005-0000-0000-0000FF060000}"/>
    <cellStyle name="Normal 16 5" xfId="1675" xr:uid="{00000000-0005-0000-0000-000000070000}"/>
    <cellStyle name="Normal 17" xfId="453" xr:uid="{00000000-0005-0000-0000-000001070000}"/>
    <cellStyle name="Normal 17 2" xfId="454" xr:uid="{00000000-0005-0000-0000-000002070000}"/>
    <cellStyle name="Normal 17 2 2" xfId="455" xr:uid="{00000000-0005-0000-0000-000003070000}"/>
    <cellStyle name="Normal 17 2 2 2" xfId="456" xr:uid="{00000000-0005-0000-0000-000004070000}"/>
    <cellStyle name="Normal 17 2 3" xfId="457" xr:uid="{00000000-0005-0000-0000-000005070000}"/>
    <cellStyle name="Normal 17 3" xfId="458" xr:uid="{00000000-0005-0000-0000-000006070000}"/>
    <cellStyle name="Normal 17 3 2" xfId="459" xr:uid="{00000000-0005-0000-0000-000007070000}"/>
    <cellStyle name="Normal 17 4" xfId="460" xr:uid="{00000000-0005-0000-0000-000008070000}"/>
    <cellStyle name="Normal 18" xfId="461" xr:uid="{00000000-0005-0000-0000-000009070000}"/>
    <cellStyle name="Normal 18 2" xfId="462" xr:uid="{00000000-0005-0000-0000-00000A070000}"/>
    <cellStyle name="Normal 19" xfId="463" xr:uid="{00000000-0005-0000-0000-00000B070000}"/>
    <cellStyle name="Normal 2" xfId="42" xr:uid="{00000000-0005-0000-0000-00000C070000}"/>
    <cellStyle name="Normal 2 10" xfId="62" xr:uid="{00000000-0005-0000-0000-00000D070000}"/>
    <cellStyle name="Normal 2 11" xfId="63" xr:uid="{00000000-0005-0000-0000-00000E070000}"/>
    <cellStyle name="Normal 2 12" xfId="207" xr:uid="{00000000-0005-0000-0000-00000F070000}"/>
    <cellStyle name="Normal 2 12 2" xfId="1463" xr:uid="{00000000-0005-0000-0000-000010070000}"/>
    <cellStyle name="Normal 2 12 2 2" xfId="2017" xr:uid="{00000000-0005-0000-0000-000011070000}"/>
    <cellStyle name="Normal 2 12 2 3" xfId="1620" xr:uid="{00000000-0005-0000-0000-000012070000}"/>
    <cellStyle name="Normal 2 13" xfId="165" xr:uid="{00000000-0005-0000-0000-000013070000}"/>
    <cellStyle name="Normal 2 13 2" xfId="1299" xr:uid="{00000000-0005-0000-0000-000014070000}"/>
    <cellStyle name="Normal 2 13 2 2" xfId="1999" xr:uid="{00000000-0005-0000-0000-000015070000}"/>
    <cellStyle name="Normal 2 13 2 3" xfId="1633" xr:uid="{00000000-0005-0000-0000-000016070000}"/>
    <cellStyle name="Normal 2 14" xfId="61" xr:uid="{00000000-0005-0000-0000-000017070000}"/>
    <cellStyle name="Normal 2 2" xfId="64" xr:uid="{00000000-0005-0000-0000-000018070000}"/>
    <cellStyle name="Normal 2 2 10" xfId="1812" xr:uid="{00000000-0005-0000-0000-000019070000}"/>
    <cellStyle name="Normal 2 2 2" xfId="65" xr:uid="{00000000-0005-0000-0000-00001A070000}"/>
    <cellStyle name="Normal 2 2 2 2" xfId="66" xr:uid="{00000000-0005-0000-0000-00001B070000}"/>
    <cellStyle name="Normal 2 2 2 2 2" xfId="67" xr:uid="{00000000-0005-0000-0000-00001C070000}"/>
    <cellStyle name="Normal 2 2 2 2 3" xfId="68" xr:uid="{00000000-0005-0000-0000-00001D070000}"/>
    <cellStyle name="Normal 2 2 2 2 4" xfId="69" xr:uid="{00000000-0005-0000-0000-00001E070000}"/>
    <cellStyle name="Normal 2 2 2 3" xfId="70" xr:uid="{00000000-0005-0000-0000-00001F070000}"/>
    <cellStyle name="Normal 2 2 2 4" xfId="71" xr:uid="{00000000-0005-0000-0000-000020070000}"/>
    <cellStyle name="Normal 2 2 2 5" xfId="1240" xr:uid="{00000000-0005-0000-0000-000021070000}"/>
    <cellStyle name="Normal 2 2 2 5 2" xfId="1301" xr:uid="{00000000-0005-0000-0000-000022070000}"/>
    <cellStyle name="Normal 2 2 2 5 2 2" xfId="2001" xr:uid="{00000000-0005-0000-0000-000023070000}"/>
    <cellStyle name="Normal 2 2 2 5 2 3" xfId="1794" xr:uid="{00000000-0005-0000-0000-000024070000}"/>
    <cellStyle name="Normal 2 2 2 6" xfId="1717" xr:uid="{00000000-0005-0000-0000-000025070000}"/>
    <cellStyle name="Normal 2 2 3" xfId="72" xr:uid="{00000000-0005-0000-0000-000026070000}"/>
    <cellStyle name="Normal 2 2 3 2" xfId="208" xr:uid="{00000000-0005-0000-0000-000027070000}"/>
    <cellStyle name="Normal 2 2 3 3" xfId="200" xr:uid="{00000000-0005-0000-0000-000028070000}"/>
    <cellStyle name="Normal 2 2 3 4" xfId="1258" xr:uid="{00000000-0005-0000-0000-000029070000}"/>
    <cellStyle name="Normal 2 2 4" xfId="73" xr:uid="{00000000-0005-0000-0000-00002A070000}"/>
    <cellStyle name="Normal 2 2 4 2" xfId="209" xr:uid="{00000000-0005-0000-0000-00002B070000}"/>
    <cellStyle name="Normal 2 2 4 2 2" xfId="230" xr:uid="{00000000-0005-0000-0000-00002C070000}"/>
    <cellStyle name="Normal 2 2 4 2 3" xfId="1275" xr:uid="{00000000-0005-0000-0000-00002D070000}"/>
    <cellStyle name="Normal 2 2 4 3" xfId="171" xr:uid="{00000000-0005-0000-0000-00002E070000}"/>
    <cellStyle name="Normal 2 2 4 4" xfId="1259" xr:uid="{00000000-0005-0000-0000-00002F070000}"/>
    <cellStyle name="Normal 2 2 4 5" xfId="1279" xr:uid="{00000000-0005-0000-0000-000030070000}"/>
    <cellStyle name="Normal 2 2 5" xfId="74" xr:uid="{00000000-0005-0000-0000-000031070000}"/>
    <cellStyle name="Normal 2 2 6" xfId="75" xr:uid="{00000000-0005-0000-0000-000032070000}"/>
    <cellStyle name="Normal 2 2 7" xfId="76" xr:uid="{00000000-0005-0000-0000-000033070000}"/>
    <cellStyle name="Normal 2 2 8" xfId="259" xr:uid="{00000000-0005-0000-0000-000034070000}"/>
    <cellStyle name="Normal 2 2 8 2" xfId="1300" xr:uid="{00000000-0005-0000-0000-000035070000}"/>
    <cellStyle name="Normal 2 2 8 2 2" xfId="2000" xr:uid="{00000000-0005-0000-0000-000036070000}"/>
    <cellStyle name="Normal 2 2 8 2 3" xfId="1526" xr:uid="{00000000-0005-0000-0000-000037070000}"/>
    <cellStyle name="Normal 2 2 9" xfId="1716" xr:uid="{00000000-0005-0000-0000-000038070000}"/>
    <cellStyle name="Normal 2 2 9 2" xfId="2050" xr:uid="{00000000-0005-0000-0000-000039070000}"/>
    <cellStyle name="Normal 2 2 9 3" xfId="1546" xr:uid="{00000000-0005-0000-0000-00003A070000}"/>
    <cellStyle name="Normal 2 3" xfId="77" xr:uid="{00000000-0005-0000-0000-00003B070000}"/>
    <cellStyle name="Normal 2 3 2" xfId="210" xr:uid="{00000000-0005-0000-0000-00003C070000}"/>
    <cellStyle name="Normal 2 3 2 2" xfId="231" xr:uid="{00000000-0005-0000-0000-00003D070000}"/>
    <cellStyle name="Normal 2 3 2 2 2" xfId="1634" xr:uid="{00000000-0005-0000-0000-00003E070000}"/>
    <cellStyle name="Normal 2 3 2 2 3" xfId="1566" xr:uid="{00000000-0005-0000-0000-00003F070000}"/>
    <cellStyle name="Normal 2 3 2 3" xfId="546" xr:uid="{00000000-0005-0000-0000-000040070000}"/>
    <cellStyle name="Normal 2 3 2 3 2" xfId="1276" xr:uid="{00000000-0005-0000-0000-000041070000}"/>
    <cellStyle name="Normal 2 3 2 3 3" xfId="1284" xr:uid="{00000000-0005-0000-0000-000042070000}"/>
    <cellStyle name="Normal 2 3 3" xfId="202" xr:uid="{00000000-0005-0000-0000-000043070000}"/>
    <cellStyle name="Normal 2 3 3 2" xfId="1718" xr:uid="{00000000-0005-0000-0000-000044070000}"/>
    <cellStyle name="Normal 2 3 3 2 2" xfId="2057" xr:uid="{00000000-0005-0000-0000-000045070000}"/>
    <cellStyle name="Normal 2 3 4" xfId="1260" xr:uid="{00000000-0005-0000-0000-000046070000}"/>
    <cellStyle name="Normal 2 4" xfId="78" xr:uid="{00000000-0005-0000-0000-000047070000}"/>
    <cellStyle name="Normal 2 4 2" xfId="233" xr:uid="{00000000-0005-0000-0000-000048070000}"/>
    <cellStyle name="Normal 2 4 2 2" xfId="465" xr:uid="{00000000-0005-0000-0000-000049070000}"/>
    <cellStyle name="Normal 2 4 2 3" xfId="1302" xr:uid="{00000000-0005-0000-0000-00004A070000}"/>
    <cellStyle name="Normal 2 4 2 3 2" xfId="2002" xr:uid="{00000000-0005-0000-0000-00004B070000}"/>
    <cellStyle name="Normal 2 4 2 3 3" xfId="1573" xr:uid="{00000000-0005-0000-0000-00004C070000}"/>
    <cellStyle name="Normal 2 4 2 4" xfId="1473" xr:uid="{00000000-0005-0000-0000-00004D070000}"/>
    <cellStyle name="Normal 2 4 2 4 2" xfId="2081" xr:uid="{00000000-0005-0000-0000-00004E070000}"/>
    <cellStyle name="Normal 2 4 3" xfId="232" xr:uid="{00000000-0005-0000-0000-00004F070000}"/>
    <cellStyle name="Normal 2 4 3 2" xfId="1719" xr:uid="{00000000-0005-0000-0000-000050070000}"/>
    <cellStyle name="Normal 2 4 3 2 2" xfId="2051" xr:uid="{00000000-0005-0000-0000-000051070000}"/>
    <cellStyle name="Normal 2 4 3 2 3" xfId="1625" xr:uid="{00000000-0005-0000-0000-000052070000}"/>
    <cellStyle name="Normal 2 4 3 3" xfId="1558" xr:uid="{00000000-0005-0000-0000-000053070000}"/>
    <cellStyle name="Normal 2 4 4" xfId="464" xr:uid="{00000000-0005-0000-0000-000054070000}"/>
    <cellStyle name="Normal 2 4 4 2" xfId="1261" xr:uid="{00000000-0005-0000-0000-000055070000}"/>
    <cellStyle name="Normal 2 4 4 3" xfId="1282" xr:uid="{00000000-0005-0000-0000-000056070000}"/>
    <cellStyle name="Normal 2 4 5" xfId="1169" xr:uid="{00000000-0005-0000-0000-000057070000}"/>
    <cellStyle name="Normal 2 4 5 2" xfId="2059" xr:uid="{00000000-0005-0000-0000-000058070000}"/>
    <cellStyle name="Normal 2 5" xfId="79" xr:uid="{00000000-0005-0000-0000-000059070000}"/>
    <cellStyle name="Normal 2 5 2" xfId="235" xr:uid="{00000000-0005-0000-0000-00005A070000}"/>
    <cellStyle name="Normal 2 5 2 2" xfId="1065" xr:uid="{00000000-0005-0000-0000-00005B070000}"/>
    <cellStyle name="Normal 2 5 2 3" xfId="1495" xr:uid="{00000000-0005-0000-0000-00005C070000}"/>
    <cellStyle name="Normal 2 5 2 3 2" xfId="2026" xr:uid="{00000000-0005-0000-0000-00005D070000}"/>
    <cellStyle name="Normal 2 5 2 3 3" xfId="1519" xr:uid="{00000000-0005-0000-0000-00005E070000}"/>
    <cellStyle name="Normal 2 5 2 4" xfId="1802" xr:uid="{00000000-0005-0000-0000-00005F070000}"/>
    <cellStyle name="Normal 2 5 3" xfId="234" xr:uid="{00000000-0005-0000-0000-000060070000}"/>
    <cellStyle name="Normal 2 5 3 2" xfId="1066" xr:uid="{00000000-0005-0000-0000-000061070000}"/>
    <cellStyle name="Normal 2 5 3 3" xfId="1720" xr:uid="{00000000-0005-0000-0000-000062070000}"/>
    <cellStyle name="Normal 2 5 3 3 2" xfId="2052" xr:uid="{00000000-0005-0000-0000-000063070000}"/>
    <cellStyle name="Normal 2 5 3 3 3" xfId="1604" xr:uid="{00000000-0005-0000-0000-000064070000}"/>
    <cellStyle name="Normal 2 5 4" xfId="1241" xr:uid="{00000000-0005-0000-0000-000065070000}"/>
    <cellStyle name="Normal 2 5 4 2" xfId="1262" xr:uid="{00000000-0005-0000-0000-000066070000}"/>
    <cellStyle name="Normal 2 5 4 3" xfId="1290" xr:uid="{00000000-0005-0000-0000-000067070000}"/>
    <cellStyle name="Normal 2 5 4 3 2" xfId="2077" xr:uid="{00000000-0005-0000-0000-000068070000}"/>
    <cellStyle name="Normal 2 5 4 4" xfId="2069" xr:uid="{00000000-0005-0000-0000-000069070000}"/>
    <cellStyle name="Normal 2 6" xfId="80" xr:uid="{00000000-0005-0000-0000-00006A070000}"/>
    <cellStyle name="Normal 2 6 2" xfId="237" xr:uid="{00000000-0005-0000-0000-00006B070000}"/>
    <cellStyle name="Normal 2 6 2 2" xfId="1500" xr:uid="{00000000-0005-0000-0000-00006C070000}"/>
    <cellStyle name="Normal 2 6 2 2 2" xfId="2106" xr:uid="{00000000-0005-0000-0000-00006D070000}"/>
    <cellStyle name="Normal 2 6 3" xfId="236" xr:uid="{00000000-0005-0000-0000-00006E070000}"/>
    <cellStyle name="Normal 2 6 3 2" xfId="1721" xr:uid="{00000000-0005-0000-0000-00006F070000}"/>
    <cellStyle name="Normal 2 6 4" xfId="1242" xr:uid="{00000000-0005-0000-0000-000070070000}"/>
    <cellStyle name="Normal 2 6 4 2" xfId="2070" xr:uid="{00000000-0005-0000-0000-000071070000}"/>
    <cellStyle name="Normal 2 7" xfId="81" xr:uid="{00000000-0005-0000-0000-000072070000}"/>
    <cellStyle name="Normal 2 7 2" xfId="82" xr:uid="{00000000-0005-0000-0000-000073070000}"/>
    <cellStyle name="Normal 2 7 2 2" xfId="83" xr:uid="{00000000-0005-0000-0000-000074070000}"/>
    <cellStyle name="Normal 2 7 2 3" xfId="84" xr:uid="{00000000-0005-0000-0000-000075070000}"/>
    <cellStyle name="Normal 2 7 2 4" xfId="85" xr:uid="{00000000-0005-0000-0000-000076070000}"/>
    <cellStyle name="Normal 2 7 3" xfId="86" xr:uid="{00000000-0005-0000-0000-000077070000}"/>
    <cellStyle name="Normal 2 7 4" xfId="87" xr:uid="{00000000-0005-0000-0000-000078070000}"/>
    <cellStyle name="Normal 2 8" xfId="88" xr:uid="{00000000-0005-0000-0000-000079070000}"/>
    <cellStyle name="Normal 2 9" xfId="89" xr:uid="{00000000-0005-0000-0000-00007A070000}"/>
    <cellStyle name="Normal 2_Capital Exp Received for 2013_2014" xfId="466" xr:uid="{00000000-0005-0000-0000-00007B070000}"/>
    <cellStyle name="Normal 20" xfId="532" xr:uid="{00000000-0005-0000-0000-00007C070000}"/>
    <cellStyle name="Normal 21" xfId="547" xr:uid="{00000000-0005-0000-0000-00007D070000}"/>
    <cellStyle name="Normal 21 2" xfId="592" xr:uid="{00000000-0005-0000-0000-00007E070000}"/>
    <cellStyle name="Normal 21 2 2" xfId="704" xr:uid="{00000000-0005-0000-0000-00007F070000}"/>
    <cellStyle name="Normal 21 2 2 2" xfId="931" xr:uid="{00000000-0005-0000-0000-000080070000}"/>
    <cellStyle name="Normal 21 2 3" xfId="818" xr:uid="{00000000-0005-0000-0000-000081070000}"/>
    <cellStyle name="Normal 21 3" xfId="629" xr:uid="{00000000-0005-0000-0000-000082070000}"/>
    <cellStyle name="Normal 21 3 2" xfId="741" xr:uid="{00000000-0005-0000-0000-000083070000}"/>
    <cellStyle name="Normal 21 3 2 2" xfId="968" xr:uid="{00000000-0005-0000-0000-000084070000}"/>
    <cellStyle name="Normal 21 3 3" xfId="855" xr:uid="{00000000-0005-0000-0000-000085070000}"/>
    <cellStyle name="Normal 21 4" xfId="668" xr:uid="{00000000-0005-0000-0000-000086070000}"/>
    <cellStyle name="Normal 21 4 2" xfId="894" xr:uid="{00000000-0005-0000-0000-000087070000}"/>
    <cellStyle name="Normal 21 5" xfId="781" xr:uid="{00000000-0005-0000-0000-000088070000}"/>
    <cellStyle name="Normal 22" xfId="548" xr:uid="{00000000-0005-0000-0000-000089070000}"/>
    <cellStyle name="Normal 22 2" xfId="593" xr:uid="{00000000-0005-0000-0000-00008A070000}"/>
    <cellStyle name="Normal 22 2 2" xfId="705" xr:uid="{00000000-0005-0000-0000-00008B070000}"/>
    <cellStyle name="Normal 22 2 2 2" xfId="932" xr:uid="{00000000-0005-0000-0000-00008C070000}"/>
    <cellStyle name="Normal 22 2 3" xfId="819" xr:uid="{00000000-0005-0000-0000-00008D070000}"/>
    <cellStyle name="Normal 22 3" xfId="630" xr:uid="{00000000-0005-0000-0000-00008E070000}"/>
    <cellStyle name="Normal 22 3 2" xfId="742" xr:uid="{00000000-0005-0000-0000-00008F070000}"/>
    <cellStyle name="Normal 22 3 2 2" xfId="969" xr:uid="{00000000-0005-0000-0000-000090070000}"/>
    <cellStyle name="Normal 22 3 3" xfId="856" xr:uid="{00000000-0005-0000-0000-000091070000}"/>
    <cellStyle name="Normal 22 4" xfId="669" xr:uid="{00000000-0005-0000-0000-000092070000}"/>
    <cellStyle name="Normal 22 4 2" xfId="895" xr:uid="{00000000-0005-0000-0000-000093070000}"/>
    <cellStyle name="Normal 22 5" xfId="782" xr:uid="{00000000-0005-0000-0000-000094070000}"/>
    <cellStyle name="Normal 23" xfId="549" xr:uid="{00000000-0005-0000-0000-000095070000}"/>
    <cellStyle name="Normal 23 2" xfId="594" xr:uid="{00000000-0005-0000-0000-000096070000}"/>
    <cellStyle name="Normal 23 2 2" xfId="706" xr:uid="{00000000-0005-0000-0000-000097070000}"/>
    <cellStyle name="Normal 23 2 2 2" xfId="933" xr:uid="{00000000-0005-0000-0000-000098070000}"/>
    <cellStyle name="Normal 23 2 3" xfId="820" xr:uid="{00000000-0005-0000-0000-000099070000}"/>
    <cellStyle name="Normal 23 3" xfId="631" xr:uid="{00000000-0005-0000-0000-00009A070000}"/>
    <cellStyle name="Normal 23 3 2" xfId="743" xr:uid="{00000000-0005-0000-0000-00009B070000}"/>
    <cellStyle name="Normal 23 3 2 2" xfId="970" xr:uid="{00000000-0005-0000-0000-00009C070000}"/>
    <cellStyle name="Normal 23 3 3" xfId="857" xr:uid="{00000000-0005-0000-0000-00009D070000}"/>
    <cellStyle name="Normal 23 4" xfId="670" xr:uid="{00000000-0005-0000-0000-00009E070000}"/>
    <cellStyle name="Normal 23 4 2" xfId="896" xr:uid="{00000000-0005-0000-0000-00009F070000}"/>
    <cellStyle name="Normal 23 5" xfId="783" xr:uid="{00000000-0005-0000-0000-0000A0070000}"/>
    <cellStyle name="Normal 24" xfId="550" xr:uid="{00000000-0005-0000-0000-0000A1070000}"/>
    <cellStyle name="Normal 24 2" xfId="595" xr:uid="{00000000-0005-0000-0000-0000A2070000}"/>
    <cellStyle name="Normal 24 2 2" xfId="707" xr:uid="{00000000-0005-0000-0000-0000A3070000}"/>
    <cellStyle name="Normal 24 2 2 2" xfId="934" xr:uid="{00000000-0005-0000-0000-0000A4070000}"/>
    <cellStyle name="Normal 24 2 3" xfId="821" xr:uid="{00000000-0005-0000-0000-0000A5070000}"/>
    <cellStyle name="Normal 24 3" xfId="632" xr:uid="{00000000-0005-0000-0000-0000A6070000}"/>
    <cellStyle name="Normal 24 3 2" xfId="744" xr:uid="{00000000-0005-0000-0000-0000A7070000}"/>
    <cellStyle name="Normal 24 3 2 2" xfId="971" xr:uid="{00000000-0005-0000-0000-0000A8070000}"/>
    <cellStyle name="Normal 24 3 3" xfId="858" xr:uid="{00000000-0005-0000-0000-0000A9070000}"/>
    <cellStyle name="Normal 24 4" xfId="671" xr:uid="{00000000-0005-0000-0000-0000AA070000}"/>
    <cellStyle name="Normal 24 4 2" xfId="897" xr:uid="{00000000-0005-0000-0000-0000AB070000}"/>
    <cellStyle name="Normal 24 5" xfId="784" xr:uid="{00000000-0005-0000-0000-0000AC070000}"/>
    <cellStyle name="Normal 25" xfId="551" xr:uid="{00000000-0005-0000-0000-0000AD070000}"/>
    <cellStyle name="Normal 26" xfId="552" xr:uid="{00000000-0005-0000-0000-0000AE070000}"/>
    <cellStyle name="Normal 26 2" xfId="596" xr:uid="{00000000-0005-0000-0000-0000AF070000}"/>
    <cellStyle name="Normal 26 2 2" xfId="708" xr:uid="{00000000-0005-0000-0000-0000B0070000}"/>
    <cellStyle name="Normal 26 2 2 2" xfId="935" xr:uid="{00000000-0005-0000-0000-0000B1070000}"/>
    <cellStyle name="Normal 26 2 3" xfId="822" xr:uid="{00000000-0005-0000-0000-0000B2070000}"/>
    <cellStyle name="Normal 26 3" xfId="633" xr:uid="{00000000-0005-0000-0000-0000B3070000}"/>
    <cellStyle name="Normal 26 3 2" xfId="745" xr:uid="{00000000-0005-0000-0000-0000B4070000}"/>
    <cellStyle name="Normal 26 3 2 2" xfId="972" xr:uid="{00000000-0005-0000-0000-0000B5070000}"/>
    <cellStyle name="Normal 26 3 3" xfId="859" xr:uid="{00000000-0005-0000-0000-0000B6070000}"/>
    <cellStyle name="Normal 26 4" xfId="672" xr:uid="{00000000-0005-0000-0000-0000B7070000}"/>
    <cellStyle name="Normal 26 4 2" xfId="898" xr:uid="{00000000-0005-0000-0000-0000B8070000}"/>
    <cellStyle name="Normal 26 5" xfId="785" xr:uid="{00000000-0005-0000-0000-0000B9070000}"/>
    <cellStyle name="Normal 27" xfId="642" xr:uid="{00000000-0005-0000-0000-0000BA070000}"/>
    <cellStyle name="Normal 27 2" xfId="868" xr:uid="{00000000-0005-0000-0000-0000BB070000}"/>
    <cellStyle name="Normal 27 3" xfId="1067" xr:uid="{00000000-0005-0000-0000-0000BC070000}"/>
    <cellStyle name="Normal 27 3 2" xfId="1076" xr:uid="{00000000-0005-0000-0000-0000BD070000}"/>
    <cellStyle name="Normal 28" xfId="753" xr:uid="{00000000-0005-0000-0000-0000BE070000}"/>
    <cellStyle name="Normal 28 2" xfId="980" xr:uid="{00000000-0005-0000-0000-0000BF070000}"/>
    <cellStyle name="Normal 29" xfId="641" xr:uid="{00000000-0005-0000-0000-0000C0070000}"/>
    <cellStyle name="Normal 29 2" xfId="867" xr:uid="{00000000-0005-0000-0000-0000C1070000}"/>
    <cellStyle name="Normal 3" xfId="43" xr:uid="{00000000-0005-0000-0000-0000C2070000}"/>
    <cellStyle name="Normal 3 10" xfId="90" xr:uid="{00000000-0005-0000-0000-0000C3070000}"/>
    <cellStyle name="Normal 3 10 2" xfId="1461" xr:uid="{00000000-0005-0000-0000-0000C4070000}"/>
    <cellStyle name="Normal 3 10 2 2" xfId="2015" xr:uid="{00000000-0005-0000-0000-0000C5070000}"/>
    <cellStyle name="Normal 3 10 2 3" xfId="1531" xr:uid="{00000000-0005-0000-0000-0000C6070000}"/>
    <cellStyle name="Normal 3 11" xfId="1303" xr:uid="{00000000-0005-0000-0000-0000C7070000}"/>
    <cellStyle name="Normal 3 12" xfId="1708" xr:uid="{00000000-0005-0000-0000-0000C8070000}"/>
    <cellStyle name="Normal 3 2" xfId="91" xr:uid="{00000000-0005-0000-0000-0000C9070000}"/>
    <cellStyle name="Normal 3 2 2" xfId="238" xr:uid="{00000000-0005-0000-0000-0000CA070000}"/>
    <cellStyle name="Normal 3 2 2 2" xfId="239" xr:uid="{00000000-0005-0000-0000-0000CB070000}"/>
    <cellStyle name="Normal 3 3" xfId="92" xr:uid="{00000000-0005-0000-0000-0000CC070000}"/>
    <cellStyle name="Normal 3 3 2" xfId="212" xr:uid="{00000000-0005-0000-0000-0000CD070000}"/>
    <cellStyle name="Normal 3 3 2 2" xfId="240" xr:uid="{00000000-0005-0000-0000-0000CE070000}"/>
    <cellStyle name="Normal 3 3 2 2 2" xfId="1739" xr:uid="{00000000-0005-0000-0000-0000CF070000}"/>
    <cellStyle name="Normal 3 3 2 2 3" xfId="1585" xr:uid="{00000000-0005-0000-0000-0000D0070000}"/>
    <cellStyle name="Normal 3 3 2 3" xfId="553" xr:uid="{00000000-0005-0000-0000-0000D1070000}"/>
    <cellStyle name="Normal 3 3 2 3 2" xfId="1277" xr:uid="{00000000-0005-0000-0000-0000D2070000}"/>
    <cellStyle name="Normal 3 3 2 3 3" xfId="1285" xr:uid="{00000000-0005-0000-0000-0000D3070000}"/>
    <cellStyle name="Normal 3 3 2 4" xfId="1472" xr:uid="{00000000-0005-0000-0000-0000D4070000}"/>
    <cellStyle name="Normal 3 3 2 4 2" xfId="2080" xr:uid="{00000000-0005-0000-0000-0000D5070000}"/>
    <cellStyle name="Normal 3 3 3" xfId="198" xr:uid="{00000000-0005-0000-0000-0000D6070000}"/>
    <cellStyle name="Normal 3 3 3 2" xfId="687" xr:uid="{00000000-0005-0000-0000-0000D7070000}"/>
    <cellStyle name="Normal 3 3 3 2 2" xfId="914" xr:uid="{00000000-0005-0000-0000-0000D8070000}"/>
    <cellStyle name="Normal 3 3 3 3" xfId="801" xr:uid="{00000000-0005-0000-0000-0000D9070000}"/>
    <cellStyle name="Normal 3 3 3 4" xfId="575" xr:uid="{00000000-0005-0000-0000-0000DA070000}"/>
    <cellStyle name="Normal 3 3 3 5" xfId="1521" xr:uid="{00000000-0005-0000-0000-0000DB070000}"/>
    <cellStyle name="Normal 3 3 4" xfId="612" xr:uid="{00000000-0005-0000-0000-0000DC070000}"/>
    <cellStyle name="Normal 3 3 4 2" xfId="724" xr:uid="{00000000-0005-0000-0000-0000DD070000}"/>
    <cellStyle name="Normal 3 3 4 2 2" xfId="951" xr:uid="{00000000-0005-0000-0000-0000DE070000}"/>
    <cellStyle name="Normal 3 3 4 3" xfId="838" xr:uid="{00000000-0005-0000-0000-0000DF070000}"/>
    <cellStyle name="Normal 3 3 4 4" xfId="1263" xr:uid="{00000000-0005-0000-0000-0000E0070000}"/>
    <cellStyle name="Normal 3 3 4 5" xfId="1286" xr:uid="{00000000-0005-0000-0000-0000E1070000}"/>
    <cellStyle name="Normal 3 3 5" xfId="651" xr:uid="{00000000-0005-0000-0000-0000E2070000}"/>
    <cellStyle name="Normal 3 3 5 2" xfId="877" xr:uid="{00000000-0005-0000-0000-0000E3070000}"/>
    <cellStyle name="Normal 3 3 6" xfId="764" xr:uid="{00000000-0005-0000-0000-0000E4070000}"/>
    <cellStyle name="Normal 3 3 7" xfId="521" xr:uid="{00000000-0005-0000-0000-0000E5070000}"/>
    <cellStyle name="Normal 3 4" xfId="93" xr:uid="{00000000-0005-0000-0000-0000E6070000}"/>
    <cellStyle name="Normal 3 4 2" xfId="241" xr:uid="{00000000-0005-0000-0000-0000E7070000}"/>
    <cellStyle name="Normal 3 4 2 2" xfId="906" xr:uid="{00000000-0005-0000-0000-0000E8070000}"/>
    <cellStyle name="Normal 3 4 2 3" xfId="1304" xr:uid="{00000000-0005-0000-0000-0000E9070000}"/>
    <cellStyle name="Normal 3 4 2 3 2" xfId="2003" xr:uid="{00000000-0005-0000-0000-0000EA070000}"/>
    <cellStyle name="Normal 3 4 2 3 3" xfId="1564" xr:uid="{00000000-0005-0000-0000-0000EB070000}"/>
    <cellStyle name="Normal 3 4 2 4" xfId="1494" xr:uid="{00000000-0005-0000-0000-0000EC070000}"/>
    <cellStyle name="Normal 3 4 2 4 2" xfId="2102" xr:uid="{00000000-0005-0000-0000-0000ED070000}"/>
    <cellStyle name="Normal 3 4 3" xfId="793" xr:uid="{00000000-0005-0000-0000-0000EE070000}"/>
    <cellStyle name="Normal 3 4 3 2" xfId="1264" xr:uid="{00000000-0005-0000-0000-0000EF070000}"/>
    <cellStyle name="Normal 3 4 3 3" xfId="1287" xr:uid="{00000000-0005-0000-0000-0000F0070000}"/>
    <cellStyle name="Normal 3 4 3 4" xfId="1722" xr:uid="{00000000-0005-0000-0000-0000F1070000}"/>
    <cellStyle name="Normal 3 4 4" xfId="1172" xr:uid="{00000000-0005-0000-0000-0000F2070000}"/>
    <cellStyle name="Normal 3 4 4 2" xfId="1751" xr:uid="{00000000-0005-0000-0000-0000F3070000}"/>
    <cellStyle name="Normal 3 4 4 3" xfId="1740" xr:uid="{00000000-0005-0000-0000-0000F4070000}"/>
    <cellStyle name="Normal 3 5" xfId="94" xr:uid="{00000000-0005-0000-0000-0000F5070000}"/>
    <cellStyle name="Normal 3 5 2" xfId="716" xr:uid="{00000000-0005-0000-0000-0000F6070000}"/>
    <cellStyle name="Normal 3 5 2 2" xfId="943" xr:uid="{00000000-0005-0000-0000-0000F7070000}"/>
    <cellStyle name="Normal 3 5 2 3" xfId="1305" xr:uid="{00000000-0005-0000-0000-0000F8070000}"/>
    <cellStyle name="Normal 3 5 2 3 2" xfId="2004" xr:uid="{00000000-0005-0000-0000-0000F9070000}"/>
    <cellStyle name="Normal 3 5 2 3 3" xfId="1607" xr:uid="{00000000-0005-0000-0000-0000FA070000}"/>
    <cellStyle name="Normal 3 5 2 4" xfId="1501" xr:uid="{00000000-0005-0000-0000-0000FB070000}"/>
    <cellStyle name="Normal 3 5 2 4 2" xfId="2107" xr:uid="{00000000-0005-0000-0000-0000FC070000}"/>
    <cellStyle name="Normal 3 5 3" xfId="830" xr:uid="{00000000-0005-0000-0000-0000FD070000}"/>
    <cellStyle name="Normal 3 5 3 2" xfId="1723" xr:uid="{00000000-0005-0000-0000-0000FE070000}"/>
    <cellStyle name="Normal 3 5 4" xfId="604" xr:uid="{00000000-0005-0000-0000-0000FF070000}"/>
    <cellStyle name="Normal 3 5 5" xfId="1243" xr:uid="{00000000-0005-0000-0000-000000080000}"/>
    <cellStyle name="Normal 3 5 5 2" xfId="2071" xr:uid="{00000000-0005-0000-0000-000001080000}"/>
    <cellStyle name="Normal 3 6" xfId="95" xr:uid="{00000000-0005-0000-0000-000002080000}"/>
    <cellStyle name="Normal 3 6 2" xfId="869" xr:uid="{00000000-0005-0000-0000-000003080000}"/>
    <cellStyle name="Normal 3 6 3" xfId="643" xr:uid="{00000000-0005-0000-0000-000004080000}"/>
    <cellStyle name="Normal 3 7" xfId="96" xr:uid="{00000000-0005-0000-0000-000005080000}"/>
    <cellStyle name="Normal 3 7 2" xfId="756" xr:uid="{00000000-0005-0000-0000-000006080000}"/>
    <cellStyle name="Normal 3 8" xfId="97" xr:uid="{00000000-0005-0000-0000-000007080000}"/>
    <cellStyle name="Normal 3 9" xfId="211" xr:uid="{00000000-0005-0000-0000-000008080000}"/>
    <cellStyle name="Normal 3 9 2" xfId="1459" xr:uid="{00000000-0005-0000-0000-000009080000}"/>
    <cellStyle name="Normal 3 9 2 2" xfId="2014" xr:uid="{00000000-0005-0000-0000-00000A080000}"/>
    <cellStyle name="Normal 3 9 2 3" xfId="1598" xr:uid="{00000000-0005-0000-0000-00000B080000}"/>
    <cellStyle name="Normal 3_Capital Exp Received for 2013_2014" xfId="467" xr:uid="{00000000-0005-0000-0000-00000C080000}"/>
    <cellStyle name="Normal 30" xfId="755" xr:uid="{00000000-0005-0000-0000-00000D080000}"/>
    <cellStyle name="Normal 31" xfId="981" xr:uid="{00000000-0005-0000-0000-00000E080000}"/>
    <cellStyle name="Normal 32" xfId="1022" xr:uid="{00000000-0005-0000-0000-00000F080000}"/>
    <cellStyle name="Normal 33" xfId="1001" xr:uid="{00000000-0005-0000-0000-000010080000}"/>
    <cellStyle name="Normal 34" xfId="1044" xr:uid="{00000000-0005-0000-0000-000011080000}"/>
    <cellStyle name="Normal 35" xfId="991" xr:uid="{00000000-0005-0000-0000-000012080000}"/>
    <cellStyle name="Normal 36" xfId="1043" xr:uid="{00000000-0005-0000-0000-000013080000}"/>
    <cellStyle name="Normal 37" xfId="992" xr:uid="{00000000-0005-0000-0000-000014080000}"/>
    <cellStyle name="Normal 38" xfId="1026" xr:uid="{00000000-0005-0000-0000-000015080000}"/>
    <cellStyle name="Normal 39" xfId="1004" xr:uid="{00000000-0005-0000-0000-000016080000}"/>
    <cellStyle name="Normal 4" xfId="98" xr:uid="{00000000-0005-0000-0000-000017080000}"/>
    <cellStyle name="Normal 4 10" xfId="99" xr:uid="{00000000-0005-0000-0000-000018080000}"/>
    <cellStyle name="Normal 4 11" xfId="100" xr:uid="{00000000-0005-0000-0000-000019080000}"/>
    <cellStyle name="Normal 4 12" xfId="101" xr:uid="{00000000-0005-0000-0000-00001A080000}"/>
    <cellStyle name="Normal 4 13" xfId="213" xr:uid="{00000000-0005-0000-0000-00001B080000}"/>
    <cellStyle name="Normal 4 13 2" xfId="1465" xr:uid="{00000000-0005-0000-0000-00001C080000}"/>
    <cellStyle name="Normal 4 13 2 2" xfId="1678" xr:uid="{00000000-0005-0000-0000-00001D080000}"/>
    <cellStyle name="Normal 4 13 2 3" xfId="1583" xr:uid="{00000000-0005-0000-0000-00001E080000}"/>
    <cellStyle name="Normal 4 13 2 3 2" xfId="2153" xr:uid="{00000000-0005-0000-0000-00001F080000}"/>
    <cellStyle name="Normal 4 13 3" xfId="1736" xr:uid="{00000000-0005-0000-0000-000020080000}"/>
    <cellStyle name="Normal 4 13 4" xfId="1639" xr:uid="{00000000-0005-0000-0000-000021080000}"/>
    <cellStyle name="Normal 4 14" xfId="193" xr:uid="{00000000-0005-0000-0000-000022080000}"/>
    <cellStyle name="Normal 4 15" xfId="258" xr:uid="{00000000-0005-0000-0000-000023080000}"/>
    <cellStyle name="Normal 4 15 2" xfId="1265" xr:uid="{00000000-0005-0000-0000-000024080000}"/>
    <cellStyle name="Normal 4 15 3" xfId="1281" xr:uid="{00000000-0005-0000-0000-000025080000}"/>
    <cellStyle name="Normal 4 16" xfId="1642" xr:uid="{00000000-0005-0000-0000-000026080000}"/>
    <cellStyle name="Normal 4 16 2" xfId="2030" xr:uid="{00000000-0005-0000-0000-000027080000}"/>
    <cellStyle name="Normal 4 16 3" xfId="2044" xr:uid="{00000000-0005-0000-0000-000028080000}"/>
    <cellStyle name="Normal 4 16 4" xfId="1586" xr:uid="{00000000-0005-0000-0000-000029080000}"/>
    <cellStyle name="Normal 4 17" xfId="1724" xr:uid="{00000000-0005-0000-0000-00002A080000}"/>
    <cellStyle name="Normal 4 17 2" xfId="2053" xr:uid="{00000000-0005-0000-0000-00002B080000}"/>
    <cellStyle name="Normal 4 17 3" xfId="1814" xr:uid="{00000000-0005-0000-0000-00002C080000}"/>
    <cellStyle name="Normal 4 2" xfId="102" xr:uid="{00000000-0005-0000-0000-00002D080000}"/>
    <cellStyle name="Normal 4 2 2" xfId="103" xr:uid="{00000000-0005-0000-0000-00002E080000}"/>
    <cellStyle name="Normal 4 2 2 2" xfId="104" xr:uid="{00000000-0005-0000-0000-00002F080000}"/>
    <cellStyle name="Normal 4 2 2 2 2" xfId="105" xr:uid="{00000000-0005-0000-0000-000030080000}"/>
    <cellStyle name="Normal 4 2 2 2 3" xfId="106" xr:uid="{00000000-0005-0000-0000-000031080000}"/>
    <cellStyle name="Normal 4 2 2 2 4" xfId="107" xr:uid="{00000000-0005-0000-0000-000032080000}"/>
    <cellStyle name="Normal 4 2 2 3" xfId="108" xr:uid="{00000000-0005-0000-0000-000033080000}"/>
    <cellStyle name="Normal 4 2 2 4" xfId="109" xr:uid="{00000000-0005-0000-0000-000034080000}"/>
    <cellStyle name="Normal 4 2 2 5" xfId="243" xr:uid="{00000000-0005-0000-0000-000035080000}"/>
    <cellStyle name="Normal 4 2 2 6" xfId="1267" xr:uid="{00000000-0005-0000-0000-000036080000}"/>
    <cellStyle name="Normal 4 2 3" xfId="110" xr:uid="{00000000-0005-0000-0000-000037080000}"/>
    <cellStyle name="Normal 4 2 4" xfId="111" xr:uid="{00000000-0005-0000-0000-000038080000}"/>
    <cellStyle name="Normal 4 2 5" xfId="112" xr:uid="{00000000-0005-0000-0000-000039080000}"/>
    <cellStyle name="Normal 4 2 6" xfId="113" xr:uid="{00000000-0005-0000-0000-00003A080000}"/>
    <cellStyle name="Normal 4 2 7" xfId="114" xr:uid="{00000000-0005-0000-0000-00003B080000}"/>
    <cellStyle name="Normal 4 2 8" xfId="242" xr:uid="{00000000-0005-0000-0000-00003C080000}"/>
    <cellStyle name="Normal 4 2 8 2" xfId="1306" xr:uid="{00000000-0005-0000-0000-00003D080000}"/>
    <cellStyle name="Normal 4 2 8 2 2" xfId="2005" xr:uid="{00000000-0005-0000-0000-00003E080000}"/>
    <cellStyle name="Normal 4 2 8 2 3" xfId="1593" xr:uid="{00000000-0005-0000-0000-00003F080000}"/>
    <cellStyle name="Normal 4 2 9" xfId="1175" xr:uid="{00000000-0005-0000-0000-000040080000}"/>
    <cellStyle name="Normal 4 2 9 2" xfId="1266" xr:uid="{00000000-0005-0000-0000-000041080000}"/>
    <cellStyle name="Normal 4 2 9 3" xfId="1288" xr:uid="{00000000-0005-0000-0000-000042080000}"/>
    <cellStyle name="Normal 4 2 9 3 2" xfId="2075" xr:uid="{00000000-0005-0000-0000-000043080000}"/>
    <cellStyle name="Normal 4 2 9 4" xfId="1725" xr:uid="{00000000-0005-0000-0000-000044080000}"/>
    <cellStyle name="Normal 4 2 9 4 2" xfId="2061" xr:uid="{00000000-0005-0000-0000-000045080000}"/>
    <cellStyle name="Normal 4 3" xfId="115" xr:uid="{00000000-0005-0000-0000-000046080000}"/>
    <cellStyle name="Normal 4 3 2" xfId="554" xr:uid="{00000000-0005-0000-0000-000047080000}"/>
    <cellStyle name="Normal 4 4" xfId="116" xr:uid="{00000000-0005-0000-0000-000048080000}"/>
    <cellStyle name="Normal 4 4 2" xfId="555" xr:uid="{00000000-0005-0000-0000-000049080000}"/>
    <cellStyle name="Normal 4 5" xfId="117" xr:uid="{00000000-0005-0000-0000-00004A080000}"/>
    <cellStyle name="Normal 4 6" xfId="118" xr:uid="{00000000-0005-0000-0000-00004B080000}"/>
    <cellStyle name="Normal 4 7" xfId="119" xr:uid="{00000000-0005-0000-0000-00004C080000}"/>
    <cellStyle name="Normal 4 7 2" xfId="120" xr:uid="{00000000-0005-0000-0000-00004D080000}"/>
    <cellStyle name="Normal 4 7 2 2" xfId="121" xr:uid="{00000000-0005-0000-0000-00004E080000}"/>
    <cellStyle name="Normal 4 7 2 3" xfId="122" xr:uid="{00000000-0005-0000-0000-00004F080000}"/>
    <cellStyle name="Normal 4 7 2 4" xfId="123" xr:uid="{00000000-0005-0000-0000-000050080000}"/>
    <cellStyle name="Normal 4 7 3" xfId="124" xr:uid="{00000000-0005-0000-0000-000051080000}"/>
    <cellStyle name="Normal 4 7 4" xfId="125" xr:uid="{00000000-0005-0000-0000-000052080000}"/>
    <cellStyle name="Normal 4 8" xfId="126" xr:uid="{00000000-0005-0000-0000-000053080000}"/>
    <cellStyle name="Normal 4 9" xfId="127" xr:uid="{00000000-0005-0000-0000-000054080000}"/>
    <cellStyle name="Normal 40" xfId="1032" xr:uid="{00000000-0005-0000-0000-000055080000}"/>
    <cellStyle name="Normal 41" xfId="754" xr:uid="{00000000-0005-0000-0000-000056080000}"/>
    <cellStyle name="Normal 42" xfId="1064" xr:uid="{00000000-0005-0000-0000-000057080000}"/>
    <cellStyle name="Normal 43" xfId="1063" xr:uid="{00000000-0005-0000-0000-000058080000}"/>
    <cellStyle name="Normal 44" xfId="1078" xr:uid="{00000000-0005-0000-0000-000059080000}"/>
    <cellStyle name="Normal 45" xfId="2031" xr:uid="{00000000-0005-0000-0000-00005A080000}"/>
    <cellStyle name="Normal 45 2" xfId="2109" xr:uid="{00000000-0005-0000-0000-00005B080000}"/>
    <cellStyle name="Normal 46" xfId="2032" xr:uid="{00000000-0005-0000-0000-00005C080000}"/>
    <cellStyle name="Normal 46 2" xfId="2108" xr:uid="{00000000-0005-0000-0000-00005D080000}"/>
    <cellStyle name="Normal 47" xfId="2034" xr:uid="{00000000-0005-0000-0000-00005E080000}"/>
    <cellStyle name="Normal 47 2" xfId="2150" xr:uid="{00000000-0005-0000-0000-00005F080000}"/>
    <cellStyle name="Normal 48" xfId="2035" xr:uid="{00000000-0005-0000-0000-000060080000}"/>
    <cellStyle name="Normal 49" xfId="2038" xr:uid="{00000000-0005-0000-0000-000061080000}"/>
    <cellStyle name="Normal 5" xfId="128" xr:uid="{00000000-0005-0000-0000-000062080000}"/>
    <cellStyle name="Normal 5 10" xfId="1268" xr:uid="{00000000-0005-0000-0000-000063080000}"/>
    <cellStyle name="Normal 5 10 2" xfId="1726" xr:uid="{00000000-0005-0000-0000-000064080000}"/>
    <cellStyle name="Normal 5 10 2 2" xfId="2054" xr:uid="{00000000-0005-0000-0000-000065080000}"/>
    <cellStyle name="Normal 5 10 2 3" xfId="1800" xr:uid="{00000000-0005-0000-0000-000066080000}"/>
    <cellStyle name="Normal 5 10 3" xfId="1614" xr:uid="{00000000-0005-0000-0000-000067080000}"/>
    <cellStyle name="Normal 5 11" xfId="1810" xr:uid="{00000000-0005-0000-0000-000068080000}"/>
    <cellStyle name="Normal 5 2" xfId="129" xr:uid="{00000000-0005-0000-0000-000069080000}"/>
    <cellStyle name="Normal 5 2 2" xfId="215" xr:uid="{00000000-0005-0000-0000-00006A080000}"/>
    <cellStyle name="Normal 5 2 2 2" xfId="1581" xr:uid="{00000000-0005-0000-0000-00006B080000}"/>
    <cellStyle name="Normal 5 2 2 3" xfId="1552" xr:uid="{00000000-0005-0000-0000-00006C080000}"/>
    <cellStyle name="Normal 5 2 3" xfId="195" xr:uid="{00000000-0005-0000-0000-00006D080000}"/>
    <cellStyle name="Normal 5 2 3 2" xfId="1570" xr:uid="{00000000-0005-0000-0000-00006E080000}"/>
    <cellStyle name="Normal 5 2 3 3" xfId="1574" xr:uid="{00000000-0005-0000-0000-00006F080000}"/>
    <cellStyle name="Normal 5 2 4" xfId="1176" xr:uid="{00000000-0005-0000-0000-000070080000}"/>
    <cellStyle name="Normal 5 2 4 2" xfId="1269" xr:uid="{00000000-0005-0000-0000-000071080000}"/>
    <cellStyle name="Normal 5 2 4 3" xfId="1289" xr:uid="{00000000-0005-0000-0000-000072080000}"/>
    <cellStyle name="Normal 5 2 4 3 2" xfId="2076" xr:uid="{00000000-0005-0000-0000-000073080000}"/>
    <cellStyle name="Normal 5 2 4 4" xfId="2062" xr:uid="{00000000-0005-0000-0000-000074080000}"/>
    <cellStyle name="Normal 5 3" xfId="130" xr:uid="{00000000-0005-0000-0000-000075080000}"/>
    <cellStyle name="Normal 5 3 2" xfId="216" xr:uid="{00000000-0005-0000-0000-000076080000}"/>
    <cellStyle name="Normal 5 3 2 2" xfId="1550" xr:uid="{00000000-0005-0000-0000-000077080000}"/>
    <cellStyle name="Normal 5 3 2 3" xfId="1619" xr:uid="{00000000-0005-0000-0000-000078080000}"/>
    <cellStyle name="Normal 5 3 3" xfId="199" xr:uid="{00000000-0005-0000-0000-000079080000}"/>
    <cellStyle name="Normal 5 3 4" xfId="468" xr:uid="{00000000-0005-0000-0000-00007A080000}"/>
    <cellStyle name="Normal 5 3 4 2" xfId="1270" xr:uid="{00000000-0005-0000-0000-00007B080000}"/>
    <cellStyle name="Normal 5 3 4 3" xfId="1283" xr:uid="{00000000-0005-0000-0000-00007C080000}"/>
    <cellStyle name="Normal 5 4" xfId="131" xr:uid="{00000000-0005-0000-0000-00007D080000}"/>
    <cellStyle name="Normal 5 4 2" xfId="556" xr:uid="{00000000-0005-0000-0000-00007E080000}"/>
    <cellStyle name="Normal 5 4 2 2" xfId="597" xr:uid="{00000000-0005-0000-0000-00007F080000}"/>
    <cellStyle name="Normal 5 4 2 2 2" xfId="709" xr:uid="{00000000-0005-0000-0000-000080080000}"/>
    <cellStyle name="Normal 5 4 2 2 2 2" xfId="936" xr:uid="{00000000-0005-0000-0000-000081080000}"/>
    <cellStyle name="Normal 5 4 2 2 3" xfId="823" xr:uid="{00000000-0005-0000-0000-000082080000}"/>
    <cellStyle name="Normal 5 4 2 3" xfId="634" xr:uid="{00000000-0005-0000-0000-000083080000}"/>
    <cellStyle name="Normal 5 4 2 3 2" xfId="746" xr:uid="{00000000-0005-0000-0000-000084080000}"/>
    <cellStyle name="Normal 5 4 2 3 2 2" xfId="973" xr:uid="{00000000-0005-0000-0000-000085080000}"/>
    <cellStyle name="Normal 5 4 2 3 3" xfId="860" xr:uid="{00000000-0005-0000-0000-000086080000}"/>
    <cellStyle name="Normal 5 4 2 4" xfId="673" xr:uid="{00000000-0005-0000-0000-000087080000}"/>
    <cellStyle name="Normal 5 4 2 4 2" xfId="899" xr:uid="{00000000-0005-0000-0000-000088080000}"/>
    <cellStyle name="Normal 5 4 2 5" xfId="786" xr:uid="{00000000-0005-0000-0000-000089080000}"/>
    <cellStyle name="Normal 5 4 3" xfId="469" xr:uid="{00000000-0005-0000-0000-00008A080000}"/>
    <cellStyle name="Normal 5 5" xfId="132" xr:uid="{00000000-0005-0000-0000-00008B080000}"/>
    <cellStyle name="Normal 5 6" xfId="133" xr:uid="{00000000-0005-0000-0000-00008C080000}"/>
    <cellStyle name="Normal 5 7" xfId="134" xr:uid="{00000000-0005-0000-0000-00008D080000}"/>
    <cellStyle name="Normal 5 8" xfId="214" xr:uid="{00000000-0005-0000-0000-00008E080000}"/>
    <cellStyle name="Normal 5 8 2" xfId="1464" xr:uid="{00000000-0005-0000-0000-00008F080000}"/>
    <cellStyle name="Normal 5 8 2 2" xfId="2018" xr:uid="{00000000-0005-0000-0000-000090080000}"/>
    <cellStyle name="Normal 5 8 2 3" xfId="1591" xr:uid="{00000000-0005-0000-0000-000091080000}"/>
    <cellStyle name="Normal 5 9" xfId="194" xr:uid="{00000000-0005-0000-0000-000092080000}"/>
    <cellStyle name="Normal 5 9 2" xfId="1307" xr:uid="{00000000-0005-0000-0000-000093080000}"/>
    <cellStyle name="Normal 5 9 2 2" xfId="2006" xr:uid="{00000000-0005-0000-0000-000094080000}"/>
    <cellStyle name="Normal 5 9 2 3" xfId="1567" xr:uid="{00000000-0005-0000-0000-000095080000}"/>
    <cellStyle name="Normal 5_Capital Exp Received for 2013_2014" xfId="470" xr:uid="{00000000-0005-0000-0000-000096080000}"/>
    <cellStyle name="Normal 50" xfId="2039" xr:uid="{00000000-0005-0000-0000-000097080000}"/>
    <cellStyle name="Normal 51" xfId="2040" xr:uid="{00000000-0005-0000-0000-000098080000}"/>
    <cellStyle name="Normal 52" xfId="2041" xr:uid="{00000000-0005-0000-0000-000099080000}"/>
    <cellStyle name="Normal 53" xfId="2042" xr:uid="{00000000-0005-0000-0000-00009A080000}"/>
    <cellStyle name="Normal 54" xfId="2043" xr:uid="{00000000-0005-0000-0000-00009B080000}"/>
    <cellStyle name="Normal 55" xfId="135" xr:uid="{00000000-0005-0000-0000-00009C080000}"/>
    <cellStyle name="Normal 56" xfId="136" xr:uid="{00000000-0005-0000-0000-00009D080000}"/>
    <cellStyle name="Normal 57" xfId="2813" xr:uid="{00000000-0005-0000-0000-00009E080000}"/>
    <cellStyle name="Normal 6" xfId="137" xr:uid="{00000000-0005-0000-0000-00009F080000}"/>
    <cellStyle name="Normal 6 10" xfId="1522" xr:uid="{00000000-0005-0000-0000-0000A0080000}"/>
    <cellStyle name="Normal 6 2" xfId="138" xr:uid="{00000000-0005-0000-0000-0000A1080000}"/>
    <cellStyle name="Normal 6 2 2" xfId="472" xr:uid="{00000000-0005-0000-0000-0000A2080000}"/>
    <cellStyle name="Normal 6 2 2 2" xfId="473" xr:uid="{00000000-0005-0000-0000-0000A3080000}"/>
    <cellStyle name="Normal 6 2 2 3" xfId="1309" xr:uid="{00000000-0005-0000-0000-0000A4080000}"/>
    <cellStyle name="Normal 6 2 2 3 2" xfId="2008" xr:uid="{00000000-0005-0000-0000-0000A5080000}"/>
    <cellStyle name="Normal 6 2 2 3 3" xfId="1622" xr:uid="{00000000-0005-0000-0000-0000A6080000}"/>
    <cellStyle name="Normal 6 2 3" xfId="474" xr:uid="{00000000-0005-0000-0000-0000A7080000}"/>
    <cellStyle name="Normal 6 2 3 2" xfId="1727" xr:uid="{00000000-0005-0000-0000-0000A8080000}"/>
    <cellStyle name="Normal 6 2 4" xfId="557" xr:uid="{00000000-0005-0000-0000-0000A9080000}"/>
    <cellStyle name="Normal 6 2 5" xfId="471" xr:uid="{00000000-0005-0000-0000-0000AA080000}"/>
    <cellStyle name="Normal 6 2 6" xfId="1177" xr:uid="{00000000-0005-0000-0000-0000AB080000}"/>
    <cellStyle name="Normal 6 2 6 2" xfId="2063" xr:uid="{00000000-0005-0000-0000-0000AC080000}"/>
    <cellStyle name="Normal 6 2 7" xfId="1244" xr:uid="{00000000-0005-0000-0000-0000AD080000}"/>
    <cellStyle name="Normal 6 2_Capital Exp Received for 2013_2014" xfId="475" xr:uid="{00000000-0005-0000-0000-0000AE080000}"/>
    <cellStyle name="Normal 6 3" xfId="139" xr:uid="{00000000-0005-0000-0000-0000AF080000}"/>
    <cellStyle name="Normal 6 3 2" xfId="477" xr:uid="{00000000-0005-0000-0000-0000B0080000}"/>
    <cellStyle name="Normal 6 3 3" xfId="558" xr:uid="{00000000-0005-0000-0000-0000B1080000}"/>
    <cellStyle name="Normal 6 3 3 2" xfId="598" xr:uid="{00000000-0005-0000-0000-0000B2080000}"/>
    <cellStyle name="Normal 6 3 3 2 2" xfId="710" xr:uid="{00000000-0005-0000-0000-0000B3080000}"/>
    <cellStyle name="Normal 6 3 3 2 2 2" xfId="937" xr:uid="{00000000-0005-0000-0000-0000B4080000}"/>
    <cellStyle name="Normal 6 3 3 2 3" xfId="824" xr:uid="{00000000-0005-0000-0000-0000B5080000}"/>
    <cellStyle name="Normal 6 3 3 3" xfId="635" xr:uid="{00000000-0005-0000-0000-0000B6080000}"/>
    <cellStyle name="Normal 6 3 3 3 2" xfId="747" xr:uid="{00000000-0005-0000-0000-0000B7080000}"/>
    <cellStyle name="Normal 6 3 3 3 2 2" xfId="974" xr:uid="{00000000-0005-0000-0000-0000B8080000}"/>
    <cellStyle name="Normal 6 3 3 3 3" xfId="861" xr:uid="{00000000-0005-0000-0000-0000B9080000}"/>
    <cellStyle name="Normal 6 3 3 4" xfId="674" xr:uid="{00000000-0005-0000-0000-0000BA080000}"/>
    <cellStyle name="Normal 6 3 3 4 2" xfId="900" xr:uid="{00000000-0005-0000-0000-0000BB080000}"/>
    <cellStyle name="Normal 6 3 3 5" xfId="787" xr:uid="{00000000-0005-0000-0000-0000BC080000}"/>
    <cellStyle name="Normal 6 3 4" xfId="476" xr:uid="{00000000-0005-0000-0000-0000BD080000}"/>
    <cellStyle name="Normal 6 4" xfId="140" xr:uid="{00000000-0005-0000-0000-0000BE080000}"/>
    <cellStyle name="Normal 6 4 2" xfId="478" xr:uid="{00000000-0005-0000-0000-0000BF080000}"/>
    <cellStyle name="Normal 6 5" xfId="141" xr:uid="{00000000-0005-0000-0000-0000C0080000}"/>
    <cellStyle name="Normal 6 6" xfId="142" xr:uid="{00000000-0005-0000-0000-0000C1080000}"/>
    <cellStyle name="Normal 6 7" xfId="143" xr:uid="{00000000-0005-0000-0000-0000C2080000}"/>
    <cellStyle name="Normal 6 8" xfId="281" xr:uid="{00000000-0005-0000-0000-0000C3080000}"/>
    <cellStyle name="Normal 6 8 2" xfId="1308" xr:uid="{00000000-0005-0000-0000-0000C4080000}"/>
    <cellStyle name="Normal 6 8 2 2" xfId="2007" xr:uid="{00000000-0005-0000-0000-0000C5080000}"/>
    <cellStyle name="Normal 6 8 2 3" xfId="1509" xr:uid="{00000000-0005-0000-0000-0000C6080000}"/>
    <cellStyle name="Normal 6 9" xfId="1167" xr:uid="{00000000-0005-0000-0000-0000C7080000}"/>
    <cellStyle name="Normal 6 9 2" xfId="1561" xr:uid="{00000000-0005-0000-0000-0000C8080000}"/>
    <cellStyle name="Normal 6 9 3" xfId="1752" xr:uid="{00000000-0005-0000-0000-0000C9080000}"/>
    <cellStyle name="Normal 6_Capital Exp Received for 2013_2014" xfId="479" xr:uid="{00000000-0005-0000-0000-0000CA080000}"/>
    <cellStyle name="Normal 7" xfId="144" xr:uid="{00000000-0005-0000-0000-0000CB080000}"/>
    <cellStyle name="Normal 7 10" xfId="760" xr:uid="{00000000-0005-0000-0000-0000CC080000}"/>
    <cellStyle name="Normal 7 11" xfId="1069" xr:uid="{00000000-0005-0000-0000-0000CD080000}"/>
    <cellStyle name="Normal 7 12" xfId="1070" xr:uid="{00000000-0005-0000-0000-0000CE080000}"/>
    <cellStyle name="Normal 7 13" xfId="1071" xr:uid="{00000000-0005-0000-0000-0000CF080000}"/>
    <cellStyle name="Normal 7 13 2" xfId="1072" xr:uid="{00000000-0005-0000-0000-0000D0080000}"/>
    <cellStyle name="Normal 7 14" xfId="1073" xr:uid="{00000000-0005-0000-0000-0000D1080000}"/>
    <cellStyle name="Normal 7 15" xfId="1074" xr:uid="{00000000-0005-0000-0000-0000D2080000}"/>
    <cellStyle name="Normal 7 16" xfId="1075" xr:uid="{00000000-0005-0000-0000-0000D3080000}"/>
    <cellStyle name="Normal 7 2" xfId="145" xr:uid="{00000000-0005-0000-0000-0000D4080000}"/>
    <cellStyle name="Normal 7 2 2" xfId="481" xr:uid="{00000000-0005-0000-0000-0000D5080000}"/>
    <cellStyle name="Normal 7 2 2 2" xfId="482" xr:uid="{00000000-0005-0000-0000-0000D6080000}"/>
    <cellStyle name="Normal 7 2 3" xfId="483" xr:uid="{00000000-0005-0000-0000-0000D7080000}"/>
    <cellStyle name="Normal 7 2 4" xfId="559" xr:uid="{00000000-0005-0000-0000-0000D8080000}"/>
    <cellStyle name="Normal 7 2 5" xfId="480" xr:uid="{00000000-0005-0000-0000-0000D9080000}"/>
    <cellStyle name="Normal 7 3" xfId="146" xr:uid="{00000000-0005-0000-0000-0000DA080000}"/>
    <cellStyle name="Normal 7 3 2" xfId="485" xr:uid="{00000000-0005-0000-0000-0000DB080000}"/>
    <cellStyle name="Normal 7 3 3" xfId="560" xr:uid="{00000000-0005-0000-0000-0000DC080000}"/>
    <cellStyle name="Normal 7 3 4" xfId="484" xr:uid="{00000000-0005-0000-0000-0000DD080000}"/>
    <cellStyle name="Normal 7 4" xfId="147" xr:uid="{00000000-0005-0000-0000-0000DE080000}"/>
    <cellStyle name="Normal 7 4 2" xfId="561" xr:uid="{00000000-0005-0000-0000-0000DF080000}"/>
    <cellStyle name="Normal 7 4 2 2" xfId="599" xr:uid="{00000000-0005-0000-0000-0000E0080000}"/>
    <cellStyle name="Normal 7 4 2 2 2" xfId="711" xr:uid="{00000000-0005-0000-0000-0000E1080000}"/>
    <cellStyle name="Normal 7 4 2 2 2 2" xfId="938" xr:uid="{00000000-0005-0000-0000-0000E2080000}"/>
    <cellStyle name="Normal 7 4 2 2 3" xfId="825" xr:uid="{00000000-0005-0000-0000-0000E3080000}"/>
    <cellStyle name="Normal 7 4 2 3" xfId="636" xr:uid="{00000000-0005-0000-0000-0000E4080000}"/>
    <cellStyle name="Normal 7 4 2 3 2" xfId="748" xr:uid="{00000000-0005-0000-0000-0000E5080000}"/>
    <cellStyle name="Normal 7 4 2 3 2 2" xfId="975" xr:uid="{00000000-0005-0000-0000-0000E6080000}"/>
    <cellStyle name="Normal 7 4 2 3 3" xfId="862" xr:uid="{00000000-0005-0000-0000-0000E7080000}"/>
    <cellStyle name="Normal 7 4 2 4" xfId="675" xr:uid="{00000000-0005-0000-0000-0000E8080000}"/>
    <cellStyle name="Normal 7 4 2 4 2" xfId="901" xr:uid="{00000000-0005-0000-0000-0000E9080000}"/>
    <cellStyle name="Normal 7 4 2 5" xfId="788" xr:uid="{00000000-0005-0000-0000-0000EA080000}"/>
    <cellStyle name="Normal 7 4 3" xfId="486" xr:uid="{00000000-0005-0000-0000-0000EB080000}"/>
    <cellStyle name="Normal 7 5" xfId="148" xr:uid="{00000000-0005-0000-0000-0000EC080000}"/>
    <cellStyle name="Normal 7 5 2" xfId="579" xr:uid="{00000000-0005-0000-0000-0000ED080000}"/>
    <cellStyle name="Normal 7 5 2 2" xfId="691" xr:uid="{00000000-0005-0000-0000-0000EE080000}"/>
    <cellStyle name="Normal 7 5 2 2 2" xfId="918" xr:uid="{00000000-0005-0000-0000-0000EF080000}"/>
    <cellStyle name="Normal 7 5 2 3" xfId="805" xr:uid="{00000000-0005-0000-0000-0000F0080000}"/>
    <cellStyle name="Normal 7 5 3" xfId="616" xr:uid="{00000000-0005-0000-0000-0000F1080000}"/>
    <cellStyle name="Normal 7 5 3 2" xfId="728" xr:uid="{00000000-0005-0000-0000-0000F2080000}"/>
    <cellStyle name="Normal 7 5 3 2 2" xfId="955" xr:uid="{00000000-0005-0000-0000-0000F3080000}"/>
    <cellStyle name="Normal 7 5 3 3" xfId="842" xr:uid="{00000000-0005-0000-0000-0000F4080000}"/>
    <cellStyle name="Normal 7 5 4" xfId="655" xr:uid="{00000000-0005-0000-0000-0000F5080000}"/>
    <cellStyle name="Normal 7 5 4 2" xfId="881" xr:uid="{00000000-0005-0000-0000-0000F6080000}"/>
    <cellStyle name="Normal 7 5 5" xfId="768" xr:uid="{00000000-0005-0000-0000-0000F7080000}"/>
    <cellStyle name="Normal 7 5 6" xfId="527" xr:uid="{00000000-0005-0000-0000-0000F8080000}"/>
    <cellStyle name="Normal 7 6" xfId="149" xr:uid="{00000000-0005-0000-0000-0000F9080000}"/>
    <cellStyle name="Normal 7 6 2" xfId="583" xr:uid="{00000000-0005-0000-0000-0000FA080000}"/>
    <cellStyle name="Normal 7 6 2 2" xfId="695" xr:uid="{00000000-0005-0000-0000-0000FB080000}"/>
    <cellStyle name="Normal 7 6 2 2 2" xfId="922" xr:uid="{00000000-0005-0000-0000-0000FC080000}"/>
    <cellStyle name="Normal 7 6 2 3" xfId="809" xr:uid="{00000000-0005-0000-0000-0000FD080000}"/>
    <cellStyle name="Normal 7 6 3" xfId="620" xr:uid="{00000000-0005-0000-0000-0000FE080000}"/>
    <cellStyle name="Normal 7 6 3 2" xfId="732" xr:uid="{00000000-0005-0000-0000-0000FF080000}"/>
    <cellStyle name="Normal 7 6 3 2 2" xfId="959" xr:uid="{00000000-0005-0000-0000-000000090000}"/>
    <cellStyle name="Normal 7 6 3 3" xfId="846" xr:uid="{00000000-0005-0000-0000-000001090000}"/>
    <cellStyle name="Normal 7 6 4" xfId="659" xr:uid="{00000000-0005-0000-0000-000002090000}"/>
    <cellStyle name="Normal 7 6 4 2" xfId="885" xr:uid="{00000000-0005-0000-0000-000003090000}"/>
    <cellStyle name="Normal 7 6 5" xfId="772" xr:uid="{00000000-0005-0000-0000-000004090000}"/>
    <cellStyle name="Normal 7 6 6" xfId="531" xr:uid="{00000000-0005-0000-0000-000005090000}"/>
    <cellStyle name="Normal 7 7" xfId="150" xr:uid="{00000000-0005-0000-0000-000006090000}"/>
    <cellStyle name="Normal 7 7 2" xfId="683" xr:uid="{00000000-0005-0000-0000-000007090000}"/>
    <cellStyle name="Normal 7 7 2 2" xfId="910" xr:uid="{00000000-0005-0000-0000-000008090000}"/>
    <cellStyle name="Normal 7 7 3" xfId="797" xr:uid="{00000000-0005-0000-0000-000009090000}"/>
    <cellStyle name="Normal 7 7 4" xfId="571" xr:uid="{00000000-0005-0000-0000-00000A090000}"/>
    <cellStyle name="Normal 7 8" xfId="249" xr:uid="{00000000-0005-0000-0000-00000B090000}"/>
    <cellStyle name="Normal 7 8 2" xfId="720" xr:uid="{00000000-0005-0000-0000-00000C090000}"/>
    <cellStyle name="Normal 7 8 2 2" xfId="947" xr:uid="{00000000-0005-0000-0000-00000D090000}"/>
    <cellStyle name="Normal 7 8 3" xfId="834" xr:uid="{00000000-0005-0000-0000-00000E090000}"/>
    <cellStyle name="Normal 7 8 4" xfId="608" xr:uid="{00000000-0005-0000-0000-00000F090000}"/>
    <cellStyle name="Normal 7 8 5" xfId="1618" xr:uid="{00000000-0005-0000-0000-000010090000}"/>
    <cellStyle name="Normal 7 9" xfId="647" xr:uid="{00000000-0005-0000-0000-000011090000}"/>
    <cellStyle name="Normal 7 9 2" xfId="873" xr:uid="{00000000-0005-0000-0000-000012090000}"/>
    <cellStyle name="Normal 7_Capital Exp Received for 2013_2014" xfId="487" xr:uid="{00000000-0005-0000-0000-000013090000}"/>
    <cellStyle name="Normal 8" xfId="151" xr:uid="{00000000-0005-0000-0000-000014090000}"/>
    <cellStyle name="Normal 8 10" xfId="761" xr:uid="{00000000-0005-0000-0000-000015090000}"/>
    <cellStyle name="Normal 8 11" xfId="488" xr:uid="{00000000-0005-0000-0000-000016090000}"/>
    <cellStyle name="Normal 8 12" xfId="1245" xr:uid="{00000000-0005-0000-0000-000017090000}"/>
    <cellStyle name="Normal 8 2" xfId="152" xr:uid="{00000000-0005-0000-0000-000018090000}"/>
    <cellStyle name="Normal 8 2 2" xfId="490" xr:uid="{00000000-0005-0000-0000-000019090000}"/>
    <cellStyle name="Normal 8 2 2 2" xfId="491" xr:uid="{00000000-0005-0000-0000-00001A090000}"/>
    <cellStyle name="Normal 8 2 2 3" xfId="1311" xr:uid="{00000000-0005-0000-0000-00001B090000}"/>
    <cellStyle name="Normal 8 2 2 3 2" xfId="2010" xr:uid="{00000000-0005-0000-0000-00001C090000}"/>
    <cellStyle name="Normal 8 2 2 3 3" xfId="1511" xr:uid="{00000000-0005-0000-0000-00001D090000}"/>
    <cellStyle name="Normal 8 2 3" xfId="492" xr:uid="{00000000-0005-0000-0000-00001E090000}"/>
    <cellStyle name="Normal 8 2 3 2" xfId="1729" xr:uid="{00000000-0005-0000-0000-00001F090000}"/>
    <cellStyle name="Normal 8 2 4" xfId="489" xr:uid="{00000000-0005-0000-0000-000020090000}"/>
    <cellStyle name="Normal 8 2 5" xfId="1246" xr:uid="{00000000-0005-0000-0000-000021090000}"/>
    <cellStyle name="Normal 8 3" xfId="153" xr:uid="{00000000-0005-0000-0000-000022090000}"/>
    <cellStyle name="Normal 8 3 2" xfId="494" xr:uid="{00000000-0005-0000-0000-000023090000}"/>
    <cellStyle name="Normal 8 3 3" xfId="493" xr:uid="{00000000-0005-0000-0000-000024090000}"/>
    <cellStyle name="Normal 8 4" xfId="154" xr:uid="{00000000-0005-0000-0000-000025090000}"/>
    <cellStyle name="Normal 8 4 2" xfId="495" xr:uid="{00000000-0005-0000-0000-000026090000}"/>
    <cellStyle name="Normal 8 5" xfId="155" xr:uid="{00000000-0005-0000-0000-000027090000}"/>
    <cellStyle name="Normal 8 5 2" xfId="580" xr:uid="{00000000-0005-0000-0000-000028090000}"/>
    <cellStyle name="Normal 8 5 2 2" xfId="692" xr:uid="{00000000-0005-0000-0000-000029090000}"/>
    <cellStyle name="Normal 8 5 2 2 2" xfId="919" xr:uid="{00000000-0005-0000-0000-00002A090000}"/>
    <cellStyle name="Normal 8 5 2 3" xfId="806" xr:uid="{00000000-0005-0000-0000-00002B090000}"/>
    <cellStyle name="Normal 8 5 3" xfId="617" xr:uid="{00000000-0005-0000-0000-00002C090000}"/>
    <cellStyle name="Normal 8 5 3 2" xfId="729" xr:uid="{00000000-0005-0000-0000-00002D090000}"/>
    <cellStyle name="Normal 8 5 3 2 2" xfId="956" xr:uid="{00000000-0005-0000-0000-00002E090000}"/>
    <cellStyle name="Normal 8 5 3 3" xfId="843" xr:uid="{00000000-0005-0000-0000-00002F090000}"/>
    <cellStyle name="Normal 8 5 4" xfId="656" xr:uid="{00000000-0005-0000-0000-000030090000}"/>
    <cellStyle name="Normal 8 5 4 2" xfId="882" xr:uid="{00000000-0005-0000-0000-000031090000}"/>
    <cellStyle name="Normal 8 5 5" xfId="769" xr:uid="{00000000-0005-0000-0000-000032090000}"/>
    <cellStyle name="Normal 8 5 6" xfId="528" xr:uid="{00000000-0005-0000-0000-000033090000}"/>
    <cellStyle name="Normal 8 6" xfId="156" xr:uid="{00000000-0005-0000-0000-000034090000}"/>
    <cellStyle name="Normal 8 6 2" xfId="600" xr:uid="{00000000-0005-0000-0000-000035090000}"/>
    <cellStyle name="Normal 8 6 2 2" xfId="712" xr:uid="{00000000-0005-0000-0000-000036090000}"/>
    <cellStyle name="Normal 8 6 2 2 2" xfId="939" xr:uid="{00000000-0005-0000-0000-000037090000}"/>
    <cellStyle name="Normal 8 6 2 3" xfId="826" xr:uid="{00000000-0005-0000-0000-000038090000}"/>
    <cellStyle name="Normal 8 6 3" xfId="637" xr:uid="{00000000-0005-0000-0000-000039090000}"/>
    <cellStyle name="Normal 8 6 3 2" xfId="749" xr:uid="{00000000-0005-0000-0000-00003A090000}"/>
    <cellStyle name="Normal 8 6 3 2 2" xfId="976" xr:uid="{00000000-0005-0000-0000-00003B090000}"/>
    <cellStyle name="Normal 8 6 3 3" xfId="863" xr:uid="{00000000-0005-0000-0000-00003C090000}"/>
    <cellStyle name="Normal 8 6 4" xfId="676" xr:uid="{00000000-0005-0000-0000-00003D090000}"/>
    <cellStyle name="Normal 8 6 4 2" xfId="902" xr:uid="{00000000-0005-0000-0000-00003E090000}"/>
    <cellStyle name="Normal 8 6 5" xfId="789" xr:uid="{00000000-0005-0000-0000-00003F090000}"/>
    <cellStyle name="Normal 8 6 6" xfId="562" xr:uid="{00000000-0005-0000-0000-000040090000}"/>
    <cellStyle name="Normal 8 7" xfId="157" xr:uid="{00000000-0005-0000-0000-000041090000}"/>
    <cellStyle name="Normal 8 7 2" xfId="684" xr:uid="{00000000-0005-0000-0000-000042090000}"/>
    <cellStyle name="Normal 8 7 2 2" xfId="911" xr:uid="{00000000-0005-0000-0000-000043090000}"/>
    <cellStyle name="Normal 8 7 3" xfId="798" xr:uid="{00000000-0005-0000-0000-000044090000}"/>
    <cellStyle name="Normal 8 7 4" xfId="572" xr:uid="{00000000-0005-0000-0000-000045090000}"/>
    <cellStyle name="Normal 8 8" xfId="609" xr:uid="{00000000-0005-0000-0000-000046090000}"/>
    <cellStyle name="Normal 8 8 2" xfId="721" xr:uid="{00000000-0005-0000-0000-000047090000}"/>
    <cellStyle name="Normal 8 8 2 2" xfId="948" xr:uid="{00000000-0005-0000-0000-000048090000}"/>
    <cellStyle name="Normal 8 8 3" xfId="835" xr:uid="{00000000-0005-0000-0000-000049090000}"/>
    <cellStyle name="Normal 8 8 4" xfId="1310" xr:uid="{00000000-0005-0000-0000-00004A090000}"/>
    <cellStyle name="Normal 8 8 4 2" xfId="2009" xr:uid="{00000000-0005-0000-0000-00004B090000}"/>
    <cellStyle name="Normal 8 8 4 3" xfId="1741" xr:uid="{00000000-0005-0000-0000-00004C090000}"/>
    <cellStyle name="Normal 8 9" xfId="648" xr:uid="{00000000-0005-0000-0000-00004D090000}"/>
    <cellStyle name="Normal 8 9 2" xfId="874" xr:uid="{00000000-0005-0000-0000-00004E090000}"/>
    <cellStyle name="Normal 8 9 3" xfId="1728" xr:uid="{00000000-0005-0000-0000-00004F090000}"/>
    <cellStyle name="Normal 8_Capital Exp Received for 2013_2014" xfId="496" xr:uid="{00000000-0005-0000-0000-000050090000}"/>
    <cellStyle name="Normal 9" xfId="45" xr:uid="{00000000-0005-0000-0000-000051090000}"/>
    <cellStyle name="Normal 9 10" xfId="762" xr:uid="{00000000-0005-0000-0000-000052090000}"/>
    <cellStyle name="Normal 9 11" xfId="497" xr:uid="{00000000-0005-0000-0000-000053090000}"/>
    <cellStyle name="Normal 9 12" xfId="1166" xr:uid="{00000000-0005-0000-0000-000054090000}"/>
    <cellStyle name="Normal 9 12 2" xfId="2058" xr:uid="{00000000-0005-0000-0000-000055090000}"/>
    <cellStyle name="Normal 9 2" xfId="158" xr:uid="{00000000-0005-0000-0000-000056090000}"/>
    <cellStyle name="Normal 9 2 2" xfId="499" xr:uid="{00000000-0005-0000-0000-000057090000}"/>
    <cellStyle name="Normal 9 2 2 2" xfId="500" xr:uid="{00000000-0005-0000-0000-000058090000}"/>
    <cellStyle name="Normal 9 2 3" xfId="501" xr:uid="{00000000-0005-0000-0000-000059090000}"/>
    <cellStyle name="Normal 9 2 4" xfId="563" xr:uid="{00000000-0005-0000-0000-00005A090000}"/>
    <cellStyle name="Normal 9 2 5" xfId="498" xr:uid="{00000000-0005-0000-0000-00005B090000}"/>
    <cellStyle name="Normal 9 2 6" xfId="1470" xr:uid="{00000000-0005-0000-0000-00005C090000}"/>
    <cellStyle name="Normal 9 2 6 2" xfId="2078" xr:uid="{00000000-0005-0000-0000-00005D090000}"/>
    <cellStyle name="Normal 9 3" xfId="159" xr:uid="{00000000-0005-0000-0000-00005E090000}"/>
    <cellStyle name="Normal 9 3 2" xfId="503" xr:uid="{00000000-0005-0000-0000-00005F090000}"/>
    <cellStyle name="Normal 9 3 3" xfId="502" xr:uid="{00000000-0005-0000-0000-000060090000}"/>
    <cellStyle name="Normal 9 4" xfId="160" xr:uid="{00000000-0005-0000-0000-000061090000}"/>
    <cellStyle name="Normal 9 4 2" xfId="504" xr:uid="{00000000-0005-0000-0000-000062090000}"/>
    <cellStyle name="Normal 9 5" xfId="161" xr:uid="{00000000-0005-0000-0000-000063090000}"/>
    <cellStyle name="Normal 9 5 2" xfId="581" xr:uid="{00000000-0005-0000-0000-000064090000}"/>
    <cellStyle name="Normal 9 5 2 2" xfId="693" xr:uid="{00000000-0005-0000-0000-000065090000}"/>
    <cellStyle name="Normal 9 5 2 2 2" xfId="920" xr:uid="{00000000-0005-0000-0000-000066090000}"/>
    <cellStyle name="Normal 9 5 2 3" xfId="807" xr:uid="{00000000-0005-0000-0000-000067090000}"/>
    <cellStyle name="Normal 9 5 3" xfId="618" xr:uid="{00000000-0005-0000-0000-000068090000}"/>
    <cellStyle name="Normal 9 5 3 2" xfId="730" xr:uid="{00000000-0005-0000-0000-000069090000}"/>
    <cellStyle name="Normal 9 5 3 2 2" xfId="957" xr:uid="{00000000-0005-0000-0000-00006A090000}"/>
    <cellStyle name="Normal 9 5 3 3" xfId="844" xr:uid="{00000000-0005-0000-0000-00006B090000}"/>
    <cellStyle name="Normal 9 5 4" xfId="657" xr:uid="{00000000-0005-0000-0000-00006C090000}"/>
    <cellStyle name="Normal 9 5 4 2" xfId="883" xr:uid="{00000000-0005-0000-0000-00006D090000}"/>
    <cellStyle name="Normal 9 5 5" xfId="770" xr:uid="{00000000-0005-0000-0000-00006E090000}"/>
    <cellStyle name="Normal 9 5 6" xfId="529" xr:uid="{00000000-0005-0000-0000-00006F090000}"/>
    <cellStyle name="Normal 9 6" xfId="162" xr:uid="{00000000-0005-0000-0000-000070090000}"/>
    <cellStyle name="Normal 9 6 2" xfId="564" xr:uid="{00000000-0005-0000-0000-000071090000}"/>
    <cellStyle name="Normal 9 7" xfId="163" xr:uid="{00000000-0005-0000-0000-000072090000}"/>
    <cellStyle name="Normal 9 7 2" xfId="685" xr:uid="{00000000-0005-0000-0000-000073090000}"/>
    <cellStyle name="Normal 9 7 2 2" xfId="912" xr:uid="{00000000-0005-0000-0000-000074090000}"/>
    <cellStyle name="Normal 9 7 3" xfId="799" xr:uid="{00000000-0005-0000-0000-000075090000}"/>
    <cellStyle name="Normal 9 7 4" xfId="573" xr:uid="{00000000-0005-0000-0000-000076090000}"/>
    <cellStyle name="Normal 9 8" xfId="610" xr:uid="{00000000-0005-0000-0000-000077090000}"/>
    <cellStyle name="Normal 9 8 2" xfId="722" xr:uid="{00000000-0005-0000-0000-000078090000}"/>
    <cellStyle name="Normal 9 8 2 2" xfId="949" xr:uid="{00000000-0005-0000-0000-000079090000}"/>
    <cellStyle name="Normal 9 8 3" xfId="836" xr:uid="{00000000-0005-0000-0000-00007A090000}"/>
    <cellStyle name="Normal 9 8 4" xfId="1296" xr:uid="{00000000-0005-0000-0000-00007B090000}"/>
    <cellStyle name="Normal 9 8 4 2" xfId="1996" xr:uid="{00000000-0005-0000-0000-00007C090000}"/>
    <cellStyle name="Normal 9 8 4 3" xfId="1584" xr:uid="{00000000-0005-0000-0000-00007D090000}"/>
    <cellStyle name="Normal 9 9" xfId="649" xr:uid="{00000000-0005-0000-0000-00007E090000}"/>
    <cellStyle name="Normal 9 9 2" xfId="875" xr:uid="{00000000-0005-0000-0000-00007F090000}"/>
    <cellStyle name="Normal 9 9 3" xfId="1730" xr:uid="{00000000-0005-0000-0000-000080090000}"/>
    <cellStyle name="Normal 9_Capital Exp Received for 2013_2014" xfId="505" xr:uid="{00000000-0005-0000-0000-000081090000}"/>
    <cellStyle name="Note" xfId="15" builtinId="10" customBuiltin="1"/>
    <cellStyle name="Note 2" xfId="506" xr:uid="{00000000-0005-0000-0000-000083090000}"/>
    <cellStyle name="Note 2 10" xfId="1247" xr:uid="{00000000-0005-0000-0000-000084090000}"/>
    <cellStyle name="Note 2 10 2" xfId="1795" xr:uid="{00000000-0005-0000-0000-000085090000}"/>
    <cellStyle name="Note 2 10 3" xfId="1542" xr:uid="{00000000-0005-0000-0000-000086090000}"/>
    <cellStyle name="Note 2 11" xfId="2209" xr:uid="{00000000-0005-0000-0000-000087090000}"/>
    <cellStyle name="Note 2 2" xfId="1014" xr:uid="{00000000-0005-0000-0000-000088090000}"/>
    <cellStyle name="Note 2 2 2" xfId="1124" xr:uid="{00000000-0005-0000-0000-000089090000}"/>
    <cellStyle name="Note 2 2 2 2" xfId="2505" xr:uid="{00000000-0005-0000-0000-00008A090000}"/>
    <cellStyle name="Note 2 2 3" xfId="1471" xr:uid="{00000000-0005-0000-0000-00008B090000}"/>
    <cellStyle name="Note 2 2 3 2" xfId="2079" xr:uid="{00000000-0005-0000-0000-00008C090000}"/>
    <cellStyle name="Note 2 2 4" xfId="2414" xr:uid="{00000000-0005-0000-0000-00008D090000}"/>
    <cellStyle name="Note 2 3" xfId="1056" xr:uid="{00000000-0005-0000-0000-00008E090000}"/>
    <cellStyle name="Note 2 3 2" xfId="1152" xr:uid="{00000000-0005-0000-0000-00008F090000}"/>
    <cellStyle name="Note 2 3 2 2" xfId="2533" xr:uid="{00000000-0005-0000-0000-000090090000}"/>
    <cellStyle name="Note 2 3 3" xfId="2451" xr:uid="{00000000-0005-0000-0000-000091090000}"/>
    <cellStyle name="Note 2 4" xfId="1048" xr:uid="{00000000-0005-0000-0000-000092090000}"/>
    <cellStyle name="Note 2 4 2" xfId="1147" xr:uid="{00000000-0005-0000-0000-000093090000}"/>
    <cellStyle name="Note 2 4 2 2" xfId="2528" xr:uid="{00000000-0005-0000-0000-000094090000}"/>
    <cellStyle name="Note 2 4 3" xfId="2443" xr:uid="{00000000-0005-0000-0000-000095090000}"/>
    <cellStyle name="Note 2 5" xfId="1011" xr:uid="{00000000-0005-0000-0000-000096090000}"/>
    <cellStyle name="Note 2 5 2" xfId="1122" xr:uid="{00000000-0005-0000-0000-000097090000}"/>
    <cellStyle name="Note 2 5 2 2" xfId="2503" xr:uid="{00000000-0005-0000-0000-000098090000}"/>
    <cellStyle name="Note 2 5 3" xfId="2411" xr:uid="{00000000-0005-0000-0000-000099090000}"/>
    <cellStyle name="Note 2 6" xfId="1051" xr:uid="{00000000-0005-0000-0000-00009A090000}"/>
    <cellStyle name="Note 2 6 2" xfId="1148" xr:uid="{00000000-0005-0000-0000-00009B090000}"/>
    <cellStyle name="Note 2 6 2 2" xfId="2529" xr:uid="{00000000-0005-0000-0000-00009C090000}"/>
    <cellStyle name="Note 2 6 3" xfId="2446" xr:uid="{00000000-0005-0000-0000-00009D090000}"/>
    <cellStyle name="Note 2 7" xfId="1036" xr:uid="{00000000-0005-0000-0000-00009E090000}"/>
    <cellStyle name="Note 2 7 2" xfId="1139" xr:uid="{00000000-0005-0000-0000-00009F090000}"/>
    <cellStyle name="Note 2 7 2 2" xfId="2520" xr:uid="{00000000-0005-0000-0000-0000A0090000}"/>
    <cellStyle name="Note 2 7 3" xfId="2433" xr:uid="{00000000-0005-0000-0000-0000A1090000}"/>
    <cellStyle name="Note 2 8" xfId="1101" xr:uid="{00000000-0005-0000-0000-0000A2090000}"/>
    <cellStyle name="Note 2 8 2" xfId="2482" xr:uid="{00000000-0005-0000-0000-0000A3090000}"/>
    <cellStyle name="Note 2 9" xfId="1174" xr:uid="{00000000-0005-0000-0000-0000A4090000}"/>
    <cellStyle name="Note 2 9 2" xfId="1587" xr:uid="{00000000-0005-0000-0000-0000A5090000}"/>
    <cellStyle name="Note 2 9 3" xfId="1621" xr:uid="{00000000-0005-0000-0000-0000A6090000}"/>
    <cellStyle name="Note 2 9 3 2" xfId="2602" xr:uid="{00000000-0005-0000-0000-0000A7090000}"/>
    <cellStyle name="Note 3" xfId="1248" xr:uid="{00000000-0005-0000-0000-0000A8090000}"/>
    <cellStyle name="Note 3 2" xfId="1481" xr:uid="{00000000-0005-0000-0000-0000A9090000}"/>
    <cellStyle name="Note 3 2 2" xfId="2089" xr:uid="{00000000-0005-0000-0000-0000AA090000}"/>
    <cellStyle name="Note 3 3" xfId="2072" xr:uid="{00000000-0005-0000-0000-0000AB090000}"/>
    <cellStyle name="Note 4" xfId="2123" xr:uid="{00000000-0005-0000-0000-0000AC090000}"/>
    <cellStyle name="OrigenAccount" xfId="280" xr:uid="{00000000-0005-0000-0000-0000AD090000}"/>
    <cellStyle name="OrigenActivity" xfId="264" xr:uid="{00000000-0005-0000-0000-0000AE090000}"/>
    <cellStyle name="OrigenColumnHdg" xfId="265" xr:uid="{00000000-0005-0000-0000-0000AF090000}"/>
    <cellStyle name="OrigenCostCentre" xfId="279" xr:uid="{00000000-0005-0000-0000-0000B0090000}"/>
    <cellStyle name="OrigenEntity" xfId="255" xr:uid="{00000000-0005-0000-0000-0000B1090000}"/>
    <cellStyle name="OrigenGroup" xfId="273" xr:uid="{00000000-0005-0000-0000-0000B2090000}"/>
    <cellStyle name="OrigenJob" xfId="278" xr:uid="{00000000-0005-0000-0000-0000B3090000}"/>
    <cellStyle name="OrigenLevel" xfId="277" xr:uid="{00000000-0005-0000-0000-0000B4090000}"/>
    <cellStyle name="OrigenPeriod" xfId="254" xr:uid="{00000000-0005-0000-0000-0000B5090000}"/>
    <cellStyle name="OrigenPostingCode" xfId="256" xr:uid="{00000000-0005-0000-0000-0000B6090000}"/>
    <cellStyle name="OrigenPostingCode 2" xfId="252" xr:uid="{00000000-0005-0000-0000-0000B7090000}"/>
    <cellStyle name="OrigenPostingCode_Capital Exp Received for 2013_2014" xfId="507" xr:uid="{00000000-0005-0000-0000-0000B8090000}"/>
    <cellStyle name="OrigenSubJob" xfId="262" xr:uid="{00000000-0005-0000-0000-0000B9090000}"/>
    <cellStyle name="OrigenTitle" xfId="263" xr:uid="{00000000-0005-0000-0000-0000BA090000}"/>
    <cellStyle name="OrigenTotals" xfId="251" xr:uid="{00000000-0005-0000-0000-0000BB090000}"/>
    <cellStyle name="Output" xfId="10" builtinId="21" customBuiltin="1"/>
    <cellStyle name="Output 2" xfId="508" xr:uid="{00000000-0005-0000-0000-0000BD090000}"/>
    <cellStyle name="Output 2 10" xfId="1249" xr:uid="{00000000-0005-0000-0000-0000BE090000}"/>
    <cellStyle name="Output 2 10 2" xfId="1796" xr:uid="{00000000-0005-0000-0000-0000BF090000}"/>
    <cellStyle name="Output 2 10 3" xfId="1524" xr:uid="{00000000-0005-0000-0000-0000C0090000}"/>
    <cellStyle name="Output 2 10 3 2" xfId="2581" xr:uid="{00000000-0005-0000-0000-0000C1090000}"/>
    <cellStyle name="Output 2 11" xfId="2210" xr:uid="{00000000-0005-0000-0000-0000C2090000}"/>
    <cellStyle name="Output 2 2" xfId="509" xr:uid="{00000000-0005-0000-0000-0000C3090000}"/>
    <cellStyle name="Output 2 2 2" xfId="1016" xr:uid="{00000000-0005-0000-0000-0000C4090000}"/>
    <cellStyle name="Output 2 2 2 2" xfId="1126" xr:uid="{00000000-0005-0000-0000-0000C5090000}"/>
    <cellStyle name="Output 2 2 2 2 2" xfId="2507" xr:uid="{00000000-0005-0000-0000-0000C6090000}"/>
    <cellStyle name="Output 2 2 2 3" xfId="2416" xr:uid="{00000000-0005-0000-0000-0000C7090000}"/>
    <cellStyle name="Output 2 2 3" xfId="1057" xr:uid="{00000000-0005-0000-0000-0000C8090000}"/>
    <cellStyle name="Output 2 2 3 2" xfId="1153" xr:uid="{00000000-0005-0000-0000-0000C9090000}"/>
    <cellStyle name="Output 2 2 3 2 2" xfId="2534" xr:uid="{00000000-0005-0000-0000-0000CA090000}"/>
    <cellStyle name="Output 2 2 3 3" xfId="2452" xr:uid="{00000000-0005-0000-0000-0000CB090000}"/>
    <cellStyle name="Output 2 2 4" xfId="982" xr:uid="{00000000-0005-0000-0000-0000CC090000}"/>
    <cellStyle name="Output 2 2 4 2" xfId="1114" xr:uid="{00000000-0005-0000-0000-0000CD090000}"/>
    <cellStyle name="Output 2 2 4 2 2" xfId="2495" xr:uid="{00000000-0005-0000-0000-0000CE090000}"/>
    <cellStyle name="Output 2 2 4 3" xfId="2386" xr:uid="{00000000-0005-0000-0000-0000CF090000}"/>
    <cellStyle name="Output 2 2 5" xfId="1012" xr:uid="{00000000-0005-0000-0000-0000D0090000}"/>
    <cellStyle name="Output 2 2 5 2" xfId="1123" xr:uid="{00000000-0005-0000-0000-0000D1090000}"/>
    <cellStyle name="Output 2 2 5 2 2" xfId="2504" xr:uid="{00000000-0005-0000-0000-0000D2090000}"/>
    <cellStyle name="Output 2 2 5 3" xfId="2412" xr:uid="{00000000-0005-0000-0000-0000D3090000}"/>
    <cellStyle name="Output 2 2 6" xfId="1018" xr:uid="{00000000-0005-0000-0000-0000D4090000}"/>
    <cellStyle name="Output 2 2 6 2" xfId="1128" xr:uid="{00000000-0005-0000-0000-0000D5090000}"/>
    <cellStyle name="Output 2 2 6 2 2" xfId="2509" xr:uid="{00000000-0005-0000-0000-0000D6090000}"/>
    <cellStyle name="Output 2 2 6 3" xfId="2418" xr:uid="{00000000-0005-0000-0000-0000D7090000}"/>
    <cellStyle name="Output 2 2 7" xfId="1003" xr:uid="{00000000-0005-0000-0000-0000D8090000}"/>
    <cellStyle name="Output 2 2 7 2" xfId="1117" xr:uid="{00000000-0005-0000-0000-0000D9090000}"/>
    <cellStyle name="Output 2 2 7 2 2" xfId="2498" xr:uid="{00000000-0005-0000-0000-0000DA090000}"/>
    <cellStyle name="Output 2 2 7 3" xfId="2404" xr:uid="{00000000-0005-0000-0000-0000DB090000}"/>
    <cellStyle name="Output 2 2 8" xfId="1103" xr:uid="{00000000-0005-0000-0000-0000DC090000}"/>
    <cellStyle name="Output 2 2 8 2" xfId="2484" xr:uid="{00000000-0005-0000-0000-0000DD090000}"/>
    <cellStyle name="Output 2 2 9" xfId="2211" xr:uid="{00000000-0005-0000-0000-0000DE090000}"/>
    <cellStyle name="Output 2 3" xfId="1015" xr:uid="{00000000-0005-0000-0000-0000DF090000}"/>
    <cellStyle name="Output 2 3 2" xfId="1125" xr:uid="{00000000-0005-0000-0000-0000E0090000}"/>
    <cellStyle name="Output 2 3 2 2" xfId="2506" xr:uid="{00000000-0005-0000-0000-0000E1090000}"/>
    <cellStyle name="Output 2 3 3" xfId="2415" xr:uid="{00000000-0005-0000-0000-0000E2090000}"/>
    <cellStyle name="Output 2 4" xfId="1040" xr:uid="{00000000-0005-0000-0000-0000E3090000}"/>
    <cellStyle name="Output 2 4 2" xfId="1142" xr:uid="{00000000-0005-0000-0000-0000E4090000}"/>
    <cellStyle name="Output 2 4 2 2" xfId="2523" xr:uid="{00000000-0005-0000-0000-0000E5090000}"/>
    <cellStyle name="Output 2 4 3" xfId="2437" xr:uid="{00000000-0005-0000-0000-0000E6090000}"/>
    <cellStyle name="Output 2 5" xfId="1054" xr:uid="{00000000-0005-0000-0000-0000E7090000}"/>
    <cellStyle name="Output 2 5 2" xfId="1151" xr:uid="{00000000-0005-0000-0000-0000E8090000}"/>
    <cellStyle name="Output 2 5 2 2" xfId="2532" xr:uid="{00000000-0005-0000-0000-0000E9090000}"/>
    <cellStyle name="Output 2 5 3" xfId="2449" xr:uid="{00000000-0005-0000-0000-0000EA090000}"/>
    <cellStyle name="Output 2 6" xfId="1005" xr:uid="{00000000-0005-0000-0000-0000EB090000}"/>
    <cellStyle name="Output 2 6 2" xfId="1118" xr:uid="{00000000-0005-0000-0000-0000EC090000}"/>
    <cellStyle name="Output 2 6 2 2" xfId="2499" xr:uid="{00000000-0005-0000-0000-0000ED090000}"/>
    <cellStyle name="Output 2 6 3" xfId="2405" xr:uid="{00000000-0005-0000-0000-0000EE090000}"/>
    <cellStyle name="Output 2 7" xfId="989" xr:uid="{00000000-0005-0000-0000-0000EF090000}"/>
    <cellStyle name="Output 2 7 2" xfId="1116" xr:uid="{00000000-0005-0000-0000-0000F0090000}"/>
    <cellStyle name="Output 2 7 2 2" xfId="2497" xr:uid="{00000000-0005-0000-0000-0000F1090000}"/>
    <cellStyle name="Output 2 7 3" xfId="2393" xr:uid="{00000000-0005-0000-0000-0000F2090000}"/>
    <cellStyle name="Output 2 8" xfId="1053" xr:uid="{00000000-0005-0000-0000-0000F3090000}"/>
    <cellStyle name="Output 2 8 2" xfId="1150" xr:uid="{00000000-0005-0000-0000-0000F4090000}"/>
    <cellStyle name="Output 2 8 2 2" xfId="2531" xr:uid="{00000000-0005-0000-0000-0000F5090000}"/>
    <cellStyle name="Output 2 8 3" xfId="2448" xr:uid="{00000000-0005-0000-0000-0000F6090000}"/>
    <cellStyle name="Output 2 9" xfId="1102" xr:uid="{00000000-0005-0000-0000-0000F7090000}"/>
    <cellStyle name="Output 2 9 2" xfId="2483" xr:uid="{00000000-0005-0000-0000-0000F8090000}"/>
    <cellStyle name="Output 3" xfId="510" xr:uid="{00000000-0005-0000-0000-0000F9090000}"/>
    <cellStyle name="Output 3 2" xfId="1017" xr:uid="{00000000-0005-0000-0000-0000FA090000}"/>
    <cellStyle name="Output 3 2 2" xfId="1127" xr:uid="{00000000-0005-0000-0000-0000FB090000}"/>
    <cellStyle name="Output 3 2 2 2" xfId="2508" xr:uid="{00000000-0005-0000-0000-0000FC090000}"/>
    <cellStyle name="Output 3 2 3" xfId="2417" xr:uid="{00000000-0005-0000-0000-0000FD090000}"/>
    <cellStyle name="Output 3 3" xfId="1039" xr:uid="{00000000-0005-0000-0000-0000FE090000}"/>
    <cellStyle name="Output 3 3 2" xfId="1141" xr:uid="{00000000-0005-0000-0000-0000FF090000}"/>
    <cellStyle name="Output 3 3 2 2" xfId="2522" xr:uid="{00000000-0005-0000-0000-0000000A0000}"/>
    <cellStyle name="Output 3 3 3" xfId="2436" xr:uid="{00000000-0005-0000-0000-0000010A0000}"/>
    <cellStyle name="Output 3 4" xfId="1041" xr:uid="{00000000-0005-0000-0000-0000020A0000}"/>
    <cellStyle name="Output 3 4 2" xfId="1143" xr:uid="{00000000-0005-0000-0000-0000030A0000}"/>
    <cellStyle name="Output 3 4 2 2" xfId="2524" xr:uid="{00000000-0005-0000-0000-0000040A0000}"/>
    <cellStyle name="Output 3 4 3" xfId="2438" xr:uid="{00000000-0005-0000-0000-0000050A0000}"/>
    <cellStyle name="Output 3 5" xfId="1023" xr:uid="{00000000-0005-0000-0000-0000060A0000}"/>
    <cellStyle name="Output 3 5 2" xfId="1132" xr:uid="{00000000-0005-0000-0000-0000070A0000}"/>
    <cellStyle name="Output 3 5 2 2" xfId="2513" xr:uid="{00000000-0005-0000-0000-0000080A0000}"/>
    <cellStyle name="Output 3 5 3" xfId="2422" xr:uid="{00000000-0005-0000-0000-0000090A0000}"/>
    <cellStyle name="Output 3 6" xfId="1007" xr:uid="{00000000-0005-0000-0000-00000A0A0000}"/>
    <cellStyle name="Output 3 6 2" xfId="1119" xr:uid="{00000000-0005-0000-0000-00000B0A0000}"/>
    <cellStyle name="Output 3 6 2 2" xfId="2500" xr:uid="{00000000-0005-0000-0000-00000C0A0000}"/>
    <cellStyle name="Output 3 6 3" xfId="2407" xr:uid="{00000000-0005-0000-0000-00000D0A0000}"/>
    <cellStyle name="Output 3 7" xfId="983" xr:uid="{00000000-0005-0000-0000-00000E0A0000}"/>
    <cellStyle name="Output 3 7 2" xfId="1115" xr:uid="{00000000-0005-0000-0000-00000F0A0000}"/>
    <cellStyle name="Output 3 7 2 2" xfId="2496" xr:uid="{00000000-0005-0000-0000-0000100A0000}"/>
    <cellStyle name="Output 3 7 3" xfId="2387" xr:uid="{00000000-0005-0000-0000-0000110A0000}"/>
    <cellStyle name="Output 3 8" xfId="1104" xr:uid="{00000000-0005-0000-0000-0000120A0000}"/>
    <cellStyle name="Output 3 8 2" xfId="2485" xr:uid="{00000000-0005-0000-0000-0000130A0000}"/>
    <cellStyle name="Output 3 9" xfId="2212" xr:uid="{00000000-0005-0000-0000-0000140A0000}"/>
    <cellStyle name="Output 4" xfId="2118" xr:uid="{00000000-0005-0000-0000-0000150A0000}"/>
    <cellStyle name="Percent" xfId="2158" builtinId="5"/>
    <cellStyle name="Percent 2" xfId="168" xr:uid="{00000000-0005-0000-0000-0000170A0000}"/>
    <cellStyle name="Percent 2 2" xfId="182" xr:uid="{00000000-0005-0000-0000-0000180A0000}"/>
    <cellStyle name="Percent 2 2 2" xfId="274" xr:uid="{00000000-0005-0000-0000-0000190A0000}"/>
    <cellStyle name="Percent 2 2 2 2" xfId="1462" xr:uid="{00000000-0005-0000-0000-00001A0A0000}"/>
    <cellStyle name="Percent 2 2 2 2 2" xfId="2016" xr:uid="{00000000-0005-0000-0000-00001B0A0000}"/>
    <cellStyle name="Percent 2 2 2 2 3" xfId="1636" xr:uid="{00000000-0005-0000-0000-00001C0A0000}"/>
    <cellStyle name="Percent 2 2 2 3" xfId="1497" xr:uid="{00000000-0005-0000-0000-00001D0A0000}"/>
    <cellStyle name="Percent 2 2 2 3 2" xfId="2104" xr:uid="{00000000-0005-0000-0000-00001E0A0000}"/>
    <cellStyle name="Percent 2 2 3" xfId="1732" xr:uid="{00000000-0005-0000-0000-00001F0A0000}"/>
    <cellStyle name="Percent 2 3" xfId="174" xr:uid="{00000000-0005-0000-0000-0000200A0000}"/>
    <cellStyle name="Percent 2 3 2" xfId="1250" xr:uid="{00000000-0005-0000-0000-0000210A0000}"/>
    <cellStyle name="Percent 2 3 2 2" xfId="2073" xr:uid="{00000000-0005-0000-0000-0000220A0000}"/>
    <cellStyle name="Percent 2 3 3" xfId="1606" xr:uid="{00000000-0005-0000-0000-0000230A0000}"/>
    <cellStyle name="Percent 2 4" xfId="1344" xr:uid="{00000000-0005-0000-0000-0000240A0000}"/>
    <cellStyle name="Percent 2 4 2" xfId="1475" xr:uid="{00000000-0005-0000-0000-0000250A0000}"/>
    <cellStyle name="Percent 2 4 2 2" xfId="2083" xr:uid="{00000000-0005-0000-0000-0000260A0000}"/>
    <cellStyle name="Percent 2 5" xfId="1731" xr:uid="{00000000-0005-0000-0000-0000270A0000}"/>
    <cellStyle name="Percent 3" xfId="181" xr:uid="{00000000-0005-0000-0000-0000280A0000}"/>
    <cellStyle name="Percent 3 2" xfId="184" xr:uid="{00000000-0005-0000-0000-0000290A0000}"/>
    <cellStyle name="Percent 3 2 2" xfId="275" xr:uid="{00000000-0005-0000-0000-00002A0A0000}"/>
    <cellStyle name="Percent 3 2 2 2" xfId="694" xr:uid="{00000000-0005-0000-0000-00002B0A0000}"/>
    <cellStyle name="Percent 3 2 2 2 2" xfId="921" xr:uid="{00000000-0005-0000-0000-00002C0A0000}"/>
    <cellStyle name="Percent 3 2 2 3" xfId="808" xr:uid="{00000000-0005-0000-0000-00002D0A0000}"/>
    <cellStyle name="Percent 3 2 2 4" xfId="582" xr:uid="{00000000-0005-0000-0000-00002E0A0000}"/>
    <cellStyle name="Percent 3 2 2 5" xfId="1498" xr:uid="{00000000-0005-0000-0000-00002F0A0000}"/>
    <cellStyle name="Percent 3 2 2 5 2" xfId="2028" xr:uid="{00000000-0005-0000-0000-0000300A0000}"/>
    <cellStyle name="Percent 3 2 2 5 3" xfId="1535" xr:uid="{00000000-0005-0000-0000-0000310A0000}"/>
    <cellStyle name="Percent 3 2 2 6" xfId="1804" xr:uid="{00000000-0005-0000-0000-0000320A0000}"/>
    <cellStyle name="Percent 3 2 3" xfId="619" xr:uid="{00000000-0005-0000-0000-0000330A0000}"/>
    <cellStyle name="Percent 3 2 3 2" xfId="731" xr:uid="{00000000-0005-0000-0000-0000340A0000}"/>
    <cellStyle name="Percent 3 2 3 2 2" xfId="958" xr:uid="{00000000-0005-0000-0000-0000350A0000}"/>
    <cellStyle name="Percent 3 2 3 3" xfId="845" xr:uid="{00000000-0005-0000-0000-0000360A0000}"/>
    <cellStyle name="Percent 3 2 4" xfId="658" xr:uid="{00000000-0005-0000-0000-0000370A0000}"/>
    <cellStyle name="Percent 3 2 4 2" xfId="884" xr:uid="{00000000-0005-0000-0000-0000380A0000}"/>
    <cellStyle name="Percent 3 2 5" xfId="771" xr:uid="{00000000-0005-0000-0000-0000390A0000}"/>
    <cellStyle name="Percent 3 2 6" xfId="530" xr:uid="{00000000-0005-0000-0000-00003A0A0000}"/>
    <cellStyle name="Percent 3 2 7" xfId="1251" xr:uid="{00000000-0005-0000-0000-00003B0A0000}"/>
    <cellStyle name="Percent 3 2 7 2" xfId="2074" xr:uid="{00000000-0005-0000-0000-00003C0A0000}"/>
    <cellStyle name="Percent 3 2 8" xfId="1533" xr:uid="{00000000-0005-0000-0000-00003D0A0000}"/>
    <cellStyle name="Percent 3 3" xfId="197" xr:uid="{00000000-0005-0000-0000-00003E0A0000}"/>
    <cellStyle name="Percent 3 3 2" xfId="276" xr:uid="{00000000-0005-0000-0000-00003F0A0000}"/>
    <cellStyle name="Percent 3 3 2 2" xfId="713" xr:uid="{00000000-0005-0000-0000-0000400A0000}"/>
    <cellStyle name="Percent 3 3 2 2 2" xfId="940" xr:uid="{00000000-0005-0000-0000-0000410A0000}"/>
    <cellStyle name="Percent 3 3 2 3" xfId="827" xr:uid="{00000000-0005-0000-0000-0000420A0000}"/>
    <cellStyle name="Percent 3 3 2 4" xfId="601" xr:uid="{00000000-0005-0000-0000-0000430A0000}"/>
    <cellStyle name="Percent 3 3 2 5" xfId="1502" xr:uid="{00000000-0005-0000-0000-0000440A0000}"/>
    <cellStyle name="Percent 3 3 2 5 2" xfId="2029" xr:uid="{00000000-0005-0000-0000-0000450A0000}"/>
    <cellStyle name="Percent 3 3 2 5 3" xfId="1747" xr:uid="{00000000-0005-0000-0000-0000460A0000}"/>
    <cellStyle name="Percent 3 3 2 6" xfId="1805" xr:uid="{00000000-0005-0000-0000-0000470A0000}"/>
    <cellStyle name="Percent 3 3 3" xfId="638" xr:uid="{00000000-0005-0000-0000-0000480A0000}"/>
    <cellStyle name="Percent 3 3 3 2" xfId="750" xr:uid="{00000000-0005-0000-0000-0000490A0000}"/>
    <cellStyle name="Percent 3 3 3 2 2" xfId="977" xr:uid="{00000000-0005-0000-0000-00004A0A0000}"/>
    <cellStyle name="Percent 3 3 3 3" xfId="864" xr:uid="{00000000-0005-0000-0000-00004B0A0000}"/>
    <cellStyle name="Percent 3 3 4" xfId="677" xr:uid="{00000000-0005-0000-0000-00004C0A0000}"/>
    <cellStyle name="Percent 3 3 4 2" xfId="903" xr:uid="{00000000-0005-0000-0000-00004D0A0000}"/>
    <cellStyle name="Percent 3 3 5" xfId="790" xr:uid="{00000000-0005-0000-0000-00004E0A0000}"/>
    <cellStyle name="Percent 3 3 6" xfId="565" xr:uid="{00000000-0005-0000-0000-00004F0A0000}"/>
    <cellStyle name="Percent 3 3 7" xfId="2055" xr:uid="{00000000-0005-0000-0000-0000500A0000}"/>
    <cellStyle name="Percent 3 4" xfId="574" xr:uid="{00000000-0005-0000-0000-0000510A0000}"/>
    <cellStyle name="Percent 3 4 2" xfId="686" xr:uid="{00000000-0005-0000-0000-0000520A0000}"/>
    <cellStyle name="Percent 3 4 2 2" xfId="913" xr:uid="{00000000-0005-0000-0000-0000530A0000}"/>
    <cellStyle name="Percent 3 4 3" xfId="800" xr:uid="{00000000-0005-0000-0000-0000540A0000}"/>
    <cellStyle name="Percent 3 4 4" xfId="1466" xr:uid="{00000000-0005-0000-0000-0000550A0000}"/>
    <cellStyle name="Percent 3 4 4 2" xfId="2019" xr:uid="{00000000-0005-0000-0000-0000560A0000}"/>
    <cellStyle name="Percent 3 4 4 3" xfId="1630" xr:uid="{00000000-0005-0000-0000-0000570A0000}"/>
    <cellStyle name="Percent 3 4 5" xfId="1476" xr:uid="{00000000-0005-0000-0000-0000580A0000}"/>
    <cellStyle name="Percent 3 4 5 2" xfId="2084" xr:uid="{00000000-0005-0000-0000-0000590A0000}"/>
    <cellStyle name="Percent 3 5" xfId="611" xr:uid="{00000000-0005-0000-0000-00005A0A0000}"/>
    <cellStyle name="Percent 3 5 2" xfId="723" xr:uid="{00000000-0005-0000-0000-00005B0A0000}"/>
    <cellStyle name="Percent 3 5 2 2" xfId="950" xr:uid="{00000000-0005-0000-0000-00005C0A0000}"/>
    <cellStyle name="Percent 3 5 3" xfId="837" xr:uid="{00000000-0005-0000-0000-00005D0A0000}"/>
    <cellStyle name="Percent 3 5 4" xfId="1733" xr:uid="{00000000-0005-0000-0000-00005E0A0000}"/>
    <cellStyle name="Percent 3 6" xfId="650" xr:uid="{00000000-0005-0000-0000-00005F0A0000}"/>
    <cellStyle name="Percent 3 6 2" xfId="876" xr:uid="{00000000-0005-0000-0000-0000600A0000}"/>
    <cellStyle name="Percent 3 7" xfId="763" xr:uid="{00000000-0005-0000-0000-0000610A0000}"/>
    <cellStyle name="Percent 3 8" xfId="511" xr:uid="{00000000-0005-0000-0000-0000620A0000}"/>
    <cellStyle name="Percent 3 9" xfId="1539" xr:uid="{00000000-0005-0000-0000-0000630A0000}"/>
    <cellStyle name="Percent 4" xfId="566" xr:uid="{00000000-0005-0000-0000-0000640A0000}"/>
    <cellStyle name="Percent 4 2" xfId="602" xr:uid="{00000000-0005-0000-0000-0000650A0000}"/>
    <cellStyle name="Percent 4 2 2" xfId="714" xr:uid="{00000000-0005-0000-0000-0000660A0000}"/>
    <cellStyle name="Percent 4 2 2 2" xfId="941" xr:uid="{00000000-0005-0000-0000-0000670A0000}"/>
    <cellStyle name="Percent 4 2 3" xfId="828" xr:uid="{00000000-0005-0000-0000-0000680A0000}"/>
    <cellStyle name="Percent 4 3" xfId="639" xr:uid="{00000000-0005-0000-0000-0000690A0000}"/>
    <cellStyle name="Percent 4 3 2" xfId="751" xr:uid="{00000000-0005-0000-0000-00006A0A0000}"/>
    <cellStyle name="Percent 4 3 2 2" xfId="978" xr:uid="{00000000-0005-0000-0000-00006B0A0000}"/>
    <cellStyle name="Percent 4 3 3" xfId="865" xr:uid="{00000000-0005-0000-0000-00006C0A0000}"/>
    <cellStyle name="Percent 4 4" xfId="678" xr:uid="{00000000-0005-0000-0000-00006D0A0000}"/>
    <cellStyle name="Percent 4 4 2" xfId="904" xr:uid="{00000000-0005-0000-0000-00006E0A0000}"/>
    <cellStyle name="Percent 4 5" xfId="791" xr:uid="{00000000-0005-0000-0000-00006F0A0000}"/>
    <cellStyle name="Percent 5" xfId="567" xr:uid="{00000000-0005-0000-0000-0000700A0000}"/>
    <cellStyle name="Percent 5 2" xfId="603" xr:uid="{00000000-0005-0000-0000-0000710A0000}"/>
    <cellStyle name="Percent 5 2 2" xfId="715" xr:uid="{00000000-0005-0000-0000-0000720A0000}"/>
    <cellStyle name="Percent 5 2 2 2" xfId="942" xr:uid="{00000000-0005-0000-0000-0000730A0000}"/>
    <cellStyle name="Percent 5 2 3" xfId="829" xr:uid="{00000000-0005-0000-0000-0000740A0000}"/>
    <cellStyle name="Percent 5 2 4" xfId="1480" xr:uid="{00000000-0005-0000-0000-0000750A0000}"/>
    <cellStyle name="Percent 5 2 4 2" xfId="2088" xr:uid="{00000000-0005-0000-0000-0000760A0000}"/>
    <cellStyle name="Percent 5 3" xfId="640" xr:uid="{00000000-0005-0000-0000-0000770A0000}"/>
    <cellStyle name="Percent 5 3 2" xfId="752" xr:uid="{00000000-0005-0000-0000-0000780A0000}"/>
    <cellStyle name="Percent 5 3 2 2" xfId="979" xr:uid="{00000000-0005-0000-0000-0000790A0000}"/>
    <cellStyle name="Percent 5 3 3" xfId="866" xr:uid="{00000000-0005-0000-0000-00007A0A0000}"/>
    <cellStyle name="Percent 5 4" xfId="679" xr:uid="{00000000-0005-0000-0000-00007B0A0000}"/>
    <cellStyle name="Percent 5 4 2" xfId="905" xr:uid="{00000000-0005-0000-0000-00007C0A0000}"/>
    <cellStyle name="Percent 5 5" xfId="792" xr:uid="{00000000-0005-0000-0000-00007D0A0000}"/>
    <cellStyle name="Percent 5 6" xfId="1252" xr:uid="{00000000-0005-0000-0000-00007E0A0000}"/>
    <cellStyle name="Percent 5 6 2" xfId="1797" xr:uid="{00000000-0005-0000-0000-00007F0A0000}"/>
    <cellStyle name="Percent 5 6 3" xfId="1556" xr:uid="{00000000-0005-0000-0000-0000800A0000}"/>
    <cellStyle name="Percent 6" xfId="2033" xr:uid="{00000000-0005-0000-0000-0000810A0000}"/>
    <cellStyle name="Percent 7" xfId="2155" xr:uid="{00000000-0005-0000-0000-0000820A0000}"/>
    <cellStyle name="Referenced" xfId="1345" xr:uid="{00000000-0005-0000-0000-0000830A0000}"/>
    <cellStyle name="Referenced 2" xfId="1376" xr:uid="{00000000-0005-0000-0000-0000840A0000}"/>
    <cellStyle name="Referenced 3" xfId="1403" xr:uid="{00000000-0005-0000-0000-0000850A0000}"/>
    <cellStyle name="Referenced 4" xfId="1430" xr:uid="{00000000-0005-0000-0000-0000860A0000}"/>
    <cellStyle name="Referenced 5" xfId="1457" xr:uid="{00000000-0005-0000-0000-0000870A0000}"/>
    <cellStyle name="Referenced 6" xfId="1673" xr:uid="{00000000-0005-0000-0000-0000880A0000}"/>
    <cellStyle name="Referenced 6 2" xfId="1706" xr:uid="{00000000-0005-0000-0000-0000890A0000}"/>
    <cellStyle name="rpm" xfId="1346" xr:uid="{00000000-0005-0000-0000-00008A0A0000}"/>
    <cellStyle name="rpm 2" xfId="1377" xr:uid="{00000000-0005-0000-0000-00008B0A0000}"/>
    <cellStyle name="rpm 3" xfId="1404" xr:uid="{00000000-0005-0000-0000-00008C0A0000}"/>
    <cellStyle name="rpm 4" xfId="1431" xr:uid="{00000000-0005-0000-0000-00008D0A0000}"/>
    <cellStyle name="rpm 5" xfId="1458" xr:uid="{00000000-0005-0000-0000-00008E0A0000}"/>
    <cellStyle name="rpm 6" xfId="1674" xr:uid="{00000000-0005-0000-0000-00008F0A0000}"/>
    <cellStyle name="rpm 6 2" xfId="1707" xr:uid="{00000000-0005-0000-0000-0000900A0000}"/>
    <cellStyle name="RWDTA_DESCR" xfId="2156" xr:uid="{00000000-0005-0000-0000-0000910A0000}"/>
    <cellStyle name="Style1" xfId="244" xr:uid="{00000000-0005-0000-0000-0000920A0000}"/>
    <cellStyle name="Style3" xfId="245" xr:uid="{00000000-0005-0000-0000-0000930A0000}"/>
    <cellStyle name="Style5" xfId="246" xr:uid="{00000000-0005-0000-0000-0000940A0000}"/>
    <cellStyle name="Style7" xfId="247" xr:uid="{00000000-0005-0000-0000-0000950A0000}"/>
    <cellStyle name="Style7 2" xfId="1253" xr:uid="{00000000-0005-0000-0000-0000960A0000}"/>
    <cellStyle name="Style7 3" xfId="1738" xr:uid="{00000000-0005-0000-0000-0000970A0000}"/>
    <cellStyle name="Title" xfId="1" builtinId="15" customBuiltin="1"/>
    <cellStyle name="Title 2" xfId="512" xr:uid="{00000000-0005-0000-0000-0000990A0000}"/>
    <cellStyle name="Title 2 2" xfId="513" xr:uid="{00000000-0005-0000-0000-00009A0A0000}"/>
    <cellStyle name="Title 3" xfId="514" xr:uid="{00000000-0005-0000-0000-00009B0A0000}"/>
    <cellStyle name="Total" xfId="17" builtinId="25" customBuiltin="1"/>
    <cellStyle name="Total 2" xfId="515" xr:uid="{00000000-0005-0000-0000-00009D0A0000}"/>
    <cellStyle name="Total 2 10" xfId="1254" xr:uid="{00000000-0005-0000-0000-00009E0A0000}"/>
    <cellStyle name="Total 2 10 2" xfId="1798" xr:uid="{00000000-0005-0000-0000-00009F0A0000}"/>
    <cellStyle name="Total 2 10 3" xfId="1608" xr:uid="{00000000-0005-0000-0000-0000A00A0000}"/>
    <cellStyle name="Total 2 10 3 2" xfId="2599" xr:uid="{00000000-0005-0000-0000-0000A10A0000}"/>
    <cellStyle name="Total 2 11" xfId="2213" xr:uid="{00000000-0005-0000-0000-0000A20A0000}"/>
    <cellStyle name="Total 2 2" xfId="516" xr:uid="{00000000-0005-0000-0000-0000A30A0000}"/>
    <cellStyle name="Total 2 2 2" xfId="1020" xr:uid="{00000000-0005-0000-0000-0000A40A0000}"/>
    <cellStyle name="Total 2 2 2 2" xfId="1130" xr:uid="{00000000-0005-0000-0000-0000A50A0000}"/>
    <cellStyle name="Total 2 2 2 2 2" xfId="2511" xr:uid="{00000000-0005-0000-0000-0000A60A0000}"/>
    <cellStyle name="Total 2 2 2 3" xfId="2420" xr:uid="{00000000-0005-0000-0000-0000A70A0000}"/>
    <cellStyle name="Total 2 2 3" xfId="1033" xr:uid="{00000000-0005-0000-0000-0000A80A0000}"/>
    <cellStyle name="Total 2 2 3 2" xfId="1137" xr:uid="{00000000-0005-0000-0000-0000A90A0000}"/>
    <cellStyle name="Total 2 2 3 2 2" xfId="2518" xr:uid="{00000000-0005-0000-0000-0000AA0A0000}"/>
    <cellStyle name="Total 2 2 3 3" xfId="2430" xr:uid="{00000000-0005-0000-0000-0000AB0A0000}"/>
    <cellStyle name="Total 2 2 4" xfId="1028" xr:uid="{00000000-0005-0000-0000-0000AC0A0000}"/>
    <cellStyle name="Total 2 2 4 2" xfId="1134" xr:uid="{00000000-0005-0000-0000-0000AD0A0000}"/>
    <cellStyle name="Total 2 2 4 2 2" xfId="2515" xr:uid="{00000000-0005-0000-0000-0000AE0A0000}"/>
    <cellStyle name="Total 2 2 4 3" xfId="2426" xr:uid="{00000000-0005-0000-0000-0000AF0A0000}"/>
    <cellStyle name="Total 2 2 5" xfId="1037" xr:uid="{00000000-0005-0000-0000-0000B00A0000}"/>
    <cellStyle name="Total 2 2 5 2" xfId="1140" xr:uid="{00000000-0005-0000-0000-0000B10A0000}"/>
    <cellStyle name="Total 2 2 5 2 2" xfId="2521" xr:uid="{00000000-0005-0000-0000-0000B20A0000}"/>
    <cellStyle name="Total 2 2 5 3" xfId="2434" xr:uid="{00000000-0005-0000-0000-0000B30A0000}"/>
    <cellStyle name="Total 2 2 6" xfId="1030" xr:uid="{00000000-0005-0000-0000-0000B40A0000}"/>
    <cellStyle name="Total 2 2 6 2" xfId="1135" xr:uid="{00000000-0005-0000-0000-0000B50A0000}"/>
    <cellStyle name="Total 2 2 6 2 2" xfId="2516" xr:uid="{00000000-0005-0000-0000-0000B60A0000}"/>
    <cellStyle name="Total 2 2 6 3" xfId="2428" xr:uid="{00000000-0005-0000-0000-0000B70A0000}"/>
    <cellStyle name="Total 2 2 7" xfId="1060" xr:uid="{00000000-0005-0000-0000-0000B80A0000}"/>
    <cellStyle name="Total 2 2 7 2" xfId="1154" xr:uid="{00000000-0005-0000-0000-0000B90A0000}"/>
    <cellStyle name="Total 2 2 7 2 2" xfId="2535" xr:uid="{00000000-0005-0000-0000-0000BA0A0000}"/>
    <cellStyle name="Total 2 2 7 3" xfId="2455" xr:uid="{00000000-0005-0000-0000-0000BB0A0000}"/>
    <cellStyle name="Total 2 2 8" xfId="1106" xr:uid="{00000000-0005-0000-0000-0000BC0A0000}"/>
    <cellStyle name="Total 2 2 8 2" xfId="2487" xr:uid="{00000000-0005-0000-0000-0000BD0A0000}"/>
    <cellStyle name="Total 2 2 9" xfId="2214" xr:uid="{00000000-0005-0000-0000-0000BE0A0000}"/>
    <cellStyle name="Total 2 3" xfId="1019" xr:uid="{00000000-0005-0000-0000-0000BF0A0000}"/>
    <cellStyle name="Total 2 3 2" xfId="1129" xr:uid="{00000000-0005-0000-0000-0000C00A0000}"/>
    <cellStyle name="Total 2 3 2 2" xfId="2510" xr:uid="{00000000-0005-0000-0000-0000C10A0000}"/>
    <cellStyle name="Total 2 3 3" xfId="2419" xr:uid="{00000000-0005-0000-0000-0000C20A0000}"/>
    <cellStyle name="Total 2 4" xfId="1046" xr:uid="{00000000-0005-0000-0000-0000C30A0000}"/>
    <cellStyle name="Total 2 4 2" xfId="1146" xr:uid="{00000000-0005-0000-0000-0000C40A0000}"/>
    <cellStyle name="Total 2 4 2 2" xfId="2527" xr:uid="{00000000-0005-0000-0000-0000C50A0000}"/>
    <cellStyle name="Total 2 4 3" xfId="2441" xr:uid="{00000000-0005-0000-0000-0000C60A0000}"/>
    <cellStyle name="Total 2 5" xfId="1031" xr:uid="{00000000-0005-0000-0000-0000C70A0000}"/>
    <cellStyle name="Total 2 5 2" xfId="1136" xr:uid="{00000000-0005-0000-0000-0000C80A0000}"/>
    <cellStyle name="Total 2 5 2 2" xfId="2517" xr:uid="{00000000-0005-0000-0000-0000C90A0000}"/>
    <cellStyle name="Total 2 5 3" xfId="2429" xr:uid="{00000000-0005-0000-0000-0000CA0A0000}"/>
    <cellStyle name="Total 2 6" xfId="1035" xr:uid="{00000000-0005-0000-0000-0000CB0A0000}"/>
    <cellStyle name="Total 2 6 2" xfId="1138" xr:uid="{00000000-0005-0000-0000-0000CC0A0000}"/>
    <cellStyle name="Total 2 6 2 2" xfId="2519" xr:uid="{00000000-0005-0000-0000-0000CD0A0000}"/>
    <cellStyle name="Total 2 6 3" xfId="2432" xr:uid="{00000000-0005-0000-0000-0000CE0A0000}"/>
    <cellStyle name="Total 2 7" xfId="1024" xr:uid="{00000000-0005-0000-0000-0000CF0A0000}"/>
    <cellStyle name="Total 2 7 2" xfId="1133" xr:uid="{00000000-0005-0000-0000-0000D00A0000}"/>
    <cellStyle name="Total 2 7 2 2" xfId="2514" xr:uid="{00000000-0005-0000-0000-0000D10A0000}"/>
    <cellStyle name="Total 2 7 3" xfId="2423" xr:uid="{00000000-0005-0000-0000-0000D20A0000}"/>
    <cellStyle name="Total 2 8" xfId="1042" xr:uid="{00000000-0005-0000-0000-0000D30A0000}"/>
    <cellStyle name="Total 2 8 2" xfId="1144" xr:uid="{00000000-0005-0000-0000-0000D40A0000}"/>
    <cellStyle name="Total 2 8 2 2" xfId="2525" xr:uid="{00000000-0005-0000-0000-0000D50A0000}"/>
    <cellStyle name="Total 2 8 3" xfId="2439" xr:uid="{00000000-0005-0000-0000-0000D60A0000}"/>
    <cellStyle name="Total 2 9" xfId="1105" xr:uid="{00000000-0005-0000-0000-0000D70A0000}"/>
    <cellStyle name="Total 2 9 2" xfId="2486" xr:uid="{00000000-0005-0000-0000-0000D80A0000}"/>
    <cellStyle name="Total 3" xfId="517" xr:uid="{00000000-0005-0000-0000-0000D90A0000}"/>
    <cellStyle name="Total 3 2" xfId="1021" xr:uid="{00000000-0005-0000-0000-0000DA0A0000}"/>
    <cellStyle name="Total 3 2 2" xfId="1131" xr:uid="{00000000-0005-0000-0000-0000DB0A0000}"/>
    <cellStyle name="Total 3 2 2 2" xfId="2512" xr:uid="{00000000-0005-0000-0000-0000DC0A0000}"/>
    <cellStyle name="Total 3 2 3" xfId="2421" xr:uid="{00000000-0005-0000-0000-0000DD0A0000}"/>
    <cellStyle name="Total 3 3" xfId="1052" xr:uid="{00000000-0005-0000-0000-0000DE0A0000}"/>
    <cellStyle name="Total 3 3 2" xfId="1149" xr:uid="{00000000-0005-0000-0000-0000DF0A0000}"/>
    <cellStyle name="Total 3 3 2 2" xfId="2530" xr:uid="{00000000-0005-0000-0000-0000E00A0000}"/>
    <cellStyle name="Total 3 3 3" xfId="2447" xr:uid="{00000000-0005-0000-0000-0000E10A0000}"/>
    <cellStyle name="Total 3 4" xfId="1008" xr:uid="{00000000-0005-0000-0000-0000E20A0000}"/>
    <cellStyle name="Total 3 4 2" xfId="1120" xr:uid="{00000000-0005-0000-0000-0000E30A0000}"/>
    <cellStyle name="Total 3 4 2 2" xfId="2501" xr:uid="{00000000-0005-0000-0000-0000E40A0000}"/>
    <cellStyle name="Total 3 4 3" xfId="2408" xr:uid="{00000000-0005-0000-0000-0000E50A0000}"/>
    <cellStyle name="Total 3 5" xfId="1009" xr:uid="{00000000-0005-0000-0000-0000E60A0000}"/>
    <cellStyle name="Total 3 5 2" xfId="1121" xr:uid="{00000000-0005-0000-0000-0000E70A0000}"/>
    <cellStyle name="Total 3 5 2 2" xfId="2502" xr:uid="{00000000-0005-0000-0000-0000E80A0000}"/>
    <cellStyle name="Total 3 5 3" xfId="2409" xr:uid="{00000000-0005-0000-0000-0000E90A0000}"/>
    <cellStyle name="Total 3 6" xfId="1045" xr:uid="{00000000-0005-0000-0000-0000EA0A0000}"/>
    <cellStyle name="Total 3 6 2" xfId="1145" xr:uid="{00000000-0005-0000-0000-0000EB0A0000}"/>
    <cellStyle name="Total 3 6 2 2" xfId="2526" xr:uid="{00000000-0005-0000-0000-0000EC0A0000}"/>
    <cellStyle name="Total 3 6 3" xfId="2440" xr:uid="{00000000-0005-0000-0000-0000ED0A0000}"/>
    <cellStyle name="Total 3 7" xfId="1062" xr:uid="{00000000-0005-0000-0000-0000EE0A0000}"/>
    <cellStyle name="Total 3 7 2" xfId="1155" xr:uid="{00000000-0005-0000-0000-0000EF0A0000}"/>
    <cellStyle name="Total 3 7 2 2" xfId="2536" xr:uid="{00000000-0005-0000-0000-0000F00A0000}"/>
    <cellStyle name="Total 3 7 3" xfId="2457" xr:uid="{00000000-0005-0000-0000-0000F10A0000}"/>
    <cellStyle name="Total 3 8" xfId="1107" xr:uid="{00000000-0005-0000-0000-0000F20A0000}"/>
    <cellStyle name="Total 3 8 2" xfId="2488" xr:uid="{00000000-0005-0000-0000-0000F30A0000}"/>
    <cellStyle name="Total 3 9" xfId="2215" xr:uid="{00000000-0005-0000-0000-0000F40A0000}"/>
    <cellStyle name="Total 4" xfId="2125" xr:uid="{00000000-0005-0000-0000-0000F50A0000}"/>
    <cellStyle name="Warning Text" xfId="14" builtinId="11" customBuiltin="1"/>
    <cellStyle name="Warning Text 2" xfId="518" xr:uid="{00000000-0005-0000-0000-0000F70A0000}"/>
    <cellStyle name="Warning Text 2 2" xfId="519" xr:uid="{00000000-0005-0000-0000-0000F80A0000}"/>
    <cellStyle name="Warning Text 2 3" xfId="1255" xr:uid="{00000000-0005-0000-0000-0000F90A0000}"/>
    <cellStyle name="Warning Text 2 3 2" xfId="1799" xr:uid="{00000000-0005-0000-0000-0000FA0A0000}"/>
    <cellStyle name="Warning Text 2 3 3" xfId="1527" xr:uid="{00000000-0005-0000-0000-0000FB0A0000}"/>
    <cellStyle name="Warning Text 3" xfId="520" xr:uid="{00000000-0005-0000-0000-0000FC0A0000}"/>
    <cellStyle name="Warning Text 4" xfId="2122" xr:uid="{00000000-0005-0000-0000-0000FD0A0000}"/>
  </cellStyles>
  <dxfs count="1">
    <dxf>
      <numFmt numFmtId="205"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37</xdr:col>
      <xdr:colOff>130969</xdr:colOff>
      <xdr:row>0</xdr:row>
      <xdr:rowOff>130970</xdr:rowOff>
    </xdr:from>
    <xdr:to>
      <xdr:col>45</xdr:col>
      <xdr:colOff>101790</xdr:colOff>
      <xdr:row>25</xdr:row>
      <xdr:rowOff>242100</xdr:rowOff>
    </xdr:to>
    <xdr:pic>
      <xdr:nvPicPr>
        <xdr:cNvPr id="3" name="Picture 2">
          <a:extLst>
            <a:ext uri="{FF2B5EF4-FFF2-40B4-BE49-F238E27FC236}">
              <a16:creationId xmlns:a16="http://schemas.microsoft.com/office/drawing/2014/main" id="{E0E2721A-3D9E-C7F0-9C9F-031255AAE409}"/>
            </a:ext>
          </a:extLst>
        </xdr:cNvPr>
        <xdr:cNvPicPr>
          <a:picLocks noChangeAspect="1"/>
        </xdr:cNvPicPr>
      </xdr:nvPicPr>
      <xdr:blipFill>
        <a:blip xmlns:r="http://schemas.openxmlformats.org/officeDocument/2006/relationships" r:embed="rId1"/>
        <a:stretch>
          <a:fillRect/>
        </a:stretch>
      </xdr:blipFill>
      <xdr:spPr>
        <a:xfrm>
          <a:off x="18573750" y="130970"/>
          <a:ext cx="4828571" cy="631428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127000</xdr:colOff>
      <xdr:row>45</xdr:row>
      <xdr:rowOff>-1</xdr:rowOff>
    </xdr:from>
    <xdr:to>
      <xdr:col>20</xdr:col>
      <xdr:colOff>1883508</xdr:colOff>
      <xdr:row>58</xdr:row>
      <xdr:rowOff>139830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3844636" y="8809181"/>
          <a:ext cx="8649145" cy="2552831"/>
        </a:xfrm>
        <a:prstGeom prst="rect">
          <a:avLst/>
        </a:prstGeom>
      </xdr:spPr>
    </xdr:pic>
    <xdr:clientData/>
  </xdr:twoCellAnchor>
  <xdr:twoCellAnchor editAs="oneCell">
    <xdr:from>
      <xdr:col>4</xdr:col>
      <xdr:colOff>415637</xdr:colOff>
      <xdr:row>60</xdr:row>
      <xdr:rowOff>69274</xdr:rowOff>
    </xdr:from>
    <xdr:to>
      <xdr:col>25</xdr:col>
      <xdr:colOff>45484</xdr:colOff>
      <xdr:row>75</xdr:row>
      <xdr:rowOff>86158</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4133273" y="11660910"/>
          <a:ext cx="8877756" cy="278779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10</xdr:col>
      <xdr:colOff>425754</xdr:colOff>
      <xdr:row>14</xdr:row>
      <xdr:rowOff>50897</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609600" y="736600"/>
          <a:ext cx="5912154" cy="1892397"/>
        </a:xfrm>
        <a:prstGeom prst="rect">
          <a:avLst/>
        </a:prstGeom>
      </xdr:spPr>
    </xdr:pic>
    <xdr:clientData/>
  </xdr:twoCellAnchor>
  <xdr:twoCellAnchor editAs="oneCell">
    <xdr:from>
      <xdr:col>1</xdr:col>
      <xdr:colOff>45357</xdr:colOff>
      <xdr:row>18</xdr:row>
      <xdr:rowOff>163286</xdr:rowOff>
    </xdr:from>
    <xdr:to>
      <xdr:col>9</xdr:col>
      <xdr:colOff>482055</xdr:colOff>
      <xdr:row>33</xdr:row>
      <xdr:rowOff>164039</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653143" y="3429000"/>
          <a:ext cx="5298983" cy="2722182"/>
        </a:xfrm>
        <a:prstGeom prst="rect">
          <a:avLst/>
        </a:prstGeom>
      </xdr:spPr>
    </xdr:pic>
    <xdr:clientData/>
  </xdr:twoCellAnchor>
  <xdr:twoCellAnchor editAs="oneCell">
    <xdr:from>
      <xdr:col>1</xdr:col>
      <xdr:colOff>90714</xdr:colOff>
      <xdr:row>37</xdr:row>
      <xdr:rowOff>145144</xdr:rowOff>
    </xdr:from>
    <xdr:to>
      <xdr:col>12</xdr:col>
      <xdr:colOff>168169</xdr:colOff>
      <xdr:row>44</xdr:row>
      <xdr:rowOff>145209</xdr:rowOff>
    </xdr:to>
    <xdr:pic>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3"/>
        <a:stretch>
          <a:fillRect/>
        </a:stretch>
      </xdr:blipFill>
      <xdr:spPr>
        <a:xfrm>
          <a:off x="698500" y="6858001"/>
          <a:ext cx="6763098" cy="127006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QLDCTCS01\T1\Fin1\Rel119\Ci\software\custom\rts\Excel\Projects%20&amp;%20Contracts%20Report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sset%20Planning/4_Management/Benchmarking/Water%20NZ/2021/wsMains.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Asset%20Planning/4_Management/Benchmarking/Water%20NZ/2021/wwMains_Renewal.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Asset%20Planning/4_Management/Benchmarking/Water%20NZ/2021/swMains_Renew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act_Summary_"/>
      <sheetName val="Project_Financial_Summary"/>
      <sheetName val="Proj_Finc_Summary Incl Inactive"/>
      <sheetName val="Project_Financial_Summary_Dashb"/>
      <sheetName val="Project_Costing"/>
      <sheetName val="Project_Costing_incl_inactive"/>
      <sheetName val="Project_Costing_Consolidated"/>
      <sheetName val="3Waters_WorkorderActuals"/>
      <sheetName val="Sheet1"/>
      <sheetName val="Consult_Costing"/>
      <sheetName val="Consult_Costing (2)"/>
      <sheetName val="Project_Asset_Capitalisation"/>
      <sheetName val="Project_Asset_Cap_YEAREND"/>
      <sheetName val="Project-Task WIP Bal"/>
      <sheetName val="Roading_DirectCosts"/>
      <sheetName val="Contract_Claims"/>
      <sheetName val="NZTA_OP"/>
      <sheetName val="NZTA_CAP"/>
      <sheetName val="Project_to_P&amp;L_GL_Ledger"/>
      <sheetName val="Design OP 200 Trans INF"/>
      <sheetName val="TownCtrMP"/>
      <sheetName val="Proj_Finc_Summary INF KPIs"/>
      <sheetName val="Project_Financial_Summary All"/>
      <sheetName val="Project_Financial_Summary_All_Y"/>
      <sheetName val="Project_Costing incl inactive"/>
      <sheetName val="Projects_Financial_Summary_"/>
      <sheetName val="P_Speedy_CAP"/>
      <sheetName val="Projects_Asset_Capitalisation"/>
      <sheetName val="Proj_Finc_Summary INF KPI's"/>
      <sheetName val="Proj_Finc_Summary_INF_KPIs"/>
      <sheetName val="Detailed_OPEX_200_Trans"/>
      <sheetName val="Project_Costing (2)"/>
      <sheetName val="Project_Financial_Summary All Y"/>
      <sheetName val="Project_Financial_Summary All2"/>
      <sheetName val="000526"/>
      <sheetName val="Project_Costing (incl inactive)"/>
      <sheetName val="Errors"/>
      <sheetName val="3Waters_ WorkorderActuals"/>
      <sheetName val="Char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wsMains"/>
    </sheetNames>
    <sheetDataSet>
      <sheetData sheetId="0">
        <row r="8">
          <cell r="B8">
            <v>38.31</v>
          </cell>
        </row>
        <row r="13">
          <cell r="B13">
            <v>263.8</v>
          </cell>
        </row>
      </sheetData>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wwMains"/>
    </sheetNames>
    <sheetDataSet>
      <sheetData sheetId="0">
        <row r="18">
          <cell r="B18">
            <v>3133.1398999999956</v>
          </cell>
        </row>
      </sheetData>
      <sheetData sheetId="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WMains"/>
      <sheetName val="wwMains"/>
    </sheetNames>
    <sheetDataSet>
      <sheetData sheetId="0">
        <row r="6">
          <cell r="B6">
            <v>169.4399999999988</v>
          </cell>
        </row>
      </sheetData>
      <sheetData sheetId="1"/>
      <sheetData sheetId="2"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support.office.com/en-us/article/enable-or-disable-macros-in-office-files-12b036fd-d140-4e74-b45e-16fed1a7e5c6" TargetMode="External"/><Relationship Id="rId2" Type="http://schemas.openxmlformats.org/officeDocument/2006/relationships/hyperlink" Target="https://www.waternz.org.nz/NationalPerformanceReview/DefinitionsGuide" TargetMode="External"/><Relationship Id="rId1" Type="http://schemas.openxmlformats.org/officeDocument/2006/relationships/hyperlink" Target="mailto:Lesley.smith@waternz.org.nz" TargetMode="External"/><Relationship Id="rId5" Type="http://schemas.openxmlformats.org/officeDocument/2006/relationships/printerSettings" Target="../printerSettings/printerSettings1.bin"/><Relationship Id="rId4" Type="http://schemas.openxmlformats.org/officeDocument/2006/relationships/hyperlink" Target="https://support.microsoft.com/en-us/office/enable-or-disable-macros-in-office-files-12b036fd-d140-4e74-b45e-16fed1a7e5c6?ui=en-us&amp;rs=en-us&amp;ad=u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B2:J19"/>
  <sheetViews>
    <sheetView showGridLines="0" zoomScale="85" zoomScaleNormal="85" workbookViewId="0">
      <selection activeCell="B7" sqref="B7:J7"/>
    </sheetView>
  </sheetViews>
  <sheetFormatPr defaultRowHeight="15"/>
  <cols>
    <col min="1" max="1" width="5.42578125" customWidth="1"/>
    <col min="2" max="2" width="13.5703125" customWidth="1"/>
    <col min="3" max="3" width="17" customWidth="1"/>
    <col min="4" max="4" width="18.42578125" customWidth="1"/>
    <col min="5" max="11" width="18.7109375" customWidth="1"/>
  </cols>
  <sheetData>
    <row r="2" spans="2:10" ht="19.5">
      <c r="B2" s="5" t="s">
        <v>0</v>
      </c>
      <c r="C2" s="5"/>
    </row>
    <row r="3" spans="2:10" ht="24" thickBot="1">
      <c r="B3" s="14" t="s">
        <v>1</v>
      </c>
      <c r="C3" s="14"/>
      <c r="D3" s="14"/>
      <c r="E3" s="14"/>
      <c r="F3" s="14"/>
      <c r="G3" s="14"/>
      <c r="H3" s="14"/>
      <c r="I3" s="14"/>
      <c r="J3" s="14"/>
    </row>
    <row r="4" spans="2:10" ht="20.25" thickTop="1">
      <c r="B4" s="5"/>
      <c r="C4" s="5"/>
      <c r="D4" s="5"/>
      <c r="E4" s="5"/>
      <c r="F4" s="5"/>
      <c r="G4" s="5"/>
      <c r="H4" s="5"/>
    </row>
    <row r="5" spans="2:10" ht="66" customHeight="1">
      <c r="B5" s="816" t="s">
        <v>2</v>
      </c>
      <c r="C5" s="816"/>
      <c r="D5" s="816"/>
      <c r="E5" s="816"/>
      <c r="F5" s="816"/>
      <c r="G5" s="816"/>
      <c r="H5" s="816"/>
      <c r="I5" s="816"/>
      <c r="J5" s="816"/>
    </row>
    <row r="6" spans="2:10" ht="120.75" customHeight="1">
      <c r="B6" s="817" t="s">
        <v>3</v>
      </c>
      <c r="C6" s="817"/>
      <c r="D6" s="817"/>
      <c r="E6" s="817"/>
      <c r="F6" s="817"/>
      <c r="G6" s="817"/>
      <c r="H6" s="817"/>
      <c r="I6" s="817"/>
      <c r="J6" s="817"/>
    </row>
    <row r="7" spans="2:10" ht="171" customHeight="1">
      <c r="B7" s="817" t="s">
        <v>4</v>
      </c>
      <c r="C7" s="817"/>
      <c r="D7" s="817"/>
      <c r="E7" s="817"/>
      <c r="F7" s="817"/>
      <c r="G7" s="817"/>
      <c r="H7" s="817"/>
      <c r="I7" s="817"/>
      <c r="J7" s="817"/>
    </row>
    <row r="8" spans="2:10" ht="19.5" customHeight="1">
      <c r="B8" s="193"/>
      <c r="C8" s="193"/>
      <c r="D8" s="193"/>
      <c r="E8" s="193"/>
      <c r="F8" s="193"/>
      <c r="G8" s="193"/>
      <c r="H8" s="193"/>
      <c r="I8" s="193"/>
      <c r="J8" s="193"/>
    </row>
    <row r="9" spans="2:10">
      <c r="B9" s="818" t="s">
        <v>5</v>
      </c>
      <c r="C9" s="818"/>
      <c r="D9" s="818"/>
      <c r="E9" s="818"/>
      <c r="F9" s="818"/>
      <c r="G9" s="818"/>
      <c r="H9" s="818"/>
      <c r="I9" s="818"/>
      <c r="J9" s="818"/>
    </row>
    <row r="10" spans="2:10" ht="15.75">
      <c r="B10" s="168"/>
    </row>
    <row r="11" spans="2:10">
      <c r="B11" s="15" t="s">
        <v>6</v>
      </c>
      <c r="C11" s="15" t="s">
        <v>7</v>
      </c>
      <c r="D11" s="15" t="s">
        <v>8</v>
      </c>
      <c r="E11" s="16" t="s">
        <v>9</v>
      </c>
      <c r="F11" s="16" t="s">
        <v>10</v>
      </c>
      <c r="G11" s="16" t="s">
        <v>11</v>
      </c>
      <c r="H11" s="16" t="s">
        <v>12</v>
      </c>
      <c r="I11" s="16" t="s">
        <v>13</v>
      </c>
      <c r="J11" s="16" t="s">
        <v>14</v>
      </c>
    </row>
    <row r="12" spans="2:10" ht="196.5" customHeight="1">
      <c r="B12" s="175" t="s">
        <v>15</v>
      </c>
      <c r="C12" s="175" t="s">
        <v>16</v>
      </c>
      <c r="D12" s="175" t="s">
        <v>17</v>
      </c>
      <c r="E12" s="175" t="s">
        <v>18</v>
      </c>
      <c r="F12" s="207" t="s">
        <v>19</v>
      </c>
      <c r="G12" s="177" t="s">
        <v>20</v>
      </c>
      <c r="H12" s="177" t="s">
        <v>21</v>
      </c>
      <c r="I12" s="177" t="s">
        <v>22</v>
      </c>
      <c r="J12" s="177" t="s">
        <v>23</v>
      </c>
    </row>
    <row r="13" spans="2:10">
      <c r="B13" s="161"/>
      <c r="C13" s="161"/>
      <c r="D13" s="161"/>
      <c r="E13" s="161"/>
      <c r="F13" s="161"/>
      <c r="G13" s="171"/>
      <c r="H13" s="171"/>
      <c r="I13" s="171"/>
      <c r="J13" s="171"/>
    </row>
    <row r="14" spans="2:10" ht="24.75" customHeight="1">
      <c r="B14" s="816" t="s">
        <v>20</v>
      </c>
      <c r="C14" s="816"/>
      <c r="D14" s="816"/>
      <c r="E14" s="816"/>
      <c r="F14" s="816"/>
      <c r="G14" s="816"/>
      <c r="H14" s="816"/>
      <c r="I14" s="816"/>
      <c r="J14" s="816"/>
    </row>
    <row r="15" spans="2:10" ht="32.25" customHeight="1">
      <c r="B15" s="176"/>
      <c r="C15" s="174" t="s">
        <v>24</v>
      </c>
      <c r="D15" s="174" t="s">
        <v>25</v>
      </c>
      <c r="E15" s="174" t="s">
        <v>26</v>
      </c>
      <c r="F15" s="174" t="s">
        <v>27</v>
      </c>
      <c r="G15" s="174" t="s">
        <v>28</v>
      </c>
      <c r="H15" s="172"/>
      <c r="I15" s="169"/>
    </row>
    <row r="16" spans="2:10" ht="78" customHeight="1">
      <c r="B16" s="176" t="s">
        <v>29</v>
      </c>
      <c r="C16" s="173" t="s">
        <v>30</v>
      </c>
      <c r="D16" s="173" t="s">
        <v>31</v>
      </c>
      <c r="E16" s="173" t="s">
        <v>32</v>
      </c>
      <c r="F16" s="173" t="s">
        <v>33</v>
      </c>
      <c r="G16" s="173" t="s">
        <v>34</v>
      </c>
      <c r="H16" s="172"/>
      <c r="I16" s="169"/>
    </row>
    <row r="17" spans="2:10" ht="124.5" customHeight="1">
      <c r="B17" s="176" t="s">
        <v>35</v>
      </c>
      <c r="C17" s="173" t="s">
        <v>36</v>
      </c>
      <c r="D17" s="173" t="s">
        <v>37</v>
      </c>
      <c r="E17" s="173" t="s">
        <v>38</v>
      </c>
      <c r="F17" s="173" t="s">
        <v>39</v>
      </c>
      <c r="G17" s="173" t="s">
        <v>40</v>
      </c>
      <c r="H17" s="172"/>
      <c r="I17" s="169"/>
    </row>
    <row r="18" spans="2:10" ht="15.75">
      <c r="B18" s="169"/>
      <c r="C18" s="170"/>
      <c r="D18" s="170"/>
      <c r="E18" s="170"/>
      <c r="F18" s="170"/>
      <c r="G18" s="170"/>
      <c r="H18" s="170"/>
      <c r="I18" s="170"/>
      <c r="J18" s="170"/>
    </row>
    <row r="19" spans="2:10" ht="124.5" customHeight="1">
      <c r="B19" s="817" t="s">
        <v>41</v>
      </c>
      <c r="C19" s="817"/>
      <c r="D19" s="817"/>
      <c r="E19" s="817"/>
      <c r="F19" s="817"/>
      <c r="G19" s="817"/>
      <c r="H19" s="817"/>
      <c r="I19" s="817"/>
      <c r="J19" s="817"/>
    </row>
  </sheetData>
  <mergeCells count="6">
    <mergeCell ref="B5:J5"/>
    <mergeCell ref="B7:J7"/>
    <mergeCell ref="B14:J14"/>
    <mergeCell ref="B19:J19"/>
    <mergeCell ref="B9:J9"/>
    <mergeCell ref="B6:J6"/>
  </mergeCells>
  <dataValidations count="2">
    <dataValidation allowBlank="1" showInputMessage="1" showErrorMessage="1" prompt="Near misses reported by staff and contractors working on drinking, waste and stormwater networks. Further detail is included in defintioins guidelines." sqref="F12:F13" xr:uid="{00000000-0002-0000-0000-000000000000}"/>
    <dataValidation type="list" allowBlank="1" showInputMessage="1" showErrorMessage="1" sqref="G12:G13" xr:uid="{00000000-0002-0000-0000-000001000000}">
      <formula1>Data_confidence</formula1>
    </dataValidation>
  </dataValidations>
  <hyperlinks>
    <hyperlink ref="B5" r:id="rId1" display="mailto:Lesley.smith@waternz.org.nz" xr:uid="{00000000-0004-0000-0000-000000000000}"/>
    <hyperlink ref="B7:J7" r:id="rId2" display="https://www.waternz.org.nz/NationalPerformanceReview/DefinitionsGuide" xr:uid="{00000000-0004-0000-0000-000001000000}"/>
    <hyperlink ref="B19:J19" r:id="rId3" display="https://support.office.com/en-us/article/enable-or-disable-macros-in-office-files-12b036fd-d140-4e74-b45e-16fed1a7e5c6" xr:uid="{00000000-0004-0000-0000-000002000000}"/>
    <hyperlink ref="B6:J6" r:id="rId4" display="https://support.microsoft.com/en-us/office/enable-or-disable-macros-in-office-files-12b036fd-d140-4e74-b45e-16fed1a7e5c6?ui=en-us&amp;rs=en-us&amp;ad=us" xr:uid="{00000000-0004-0000-0000-000003000000}"/>
  </hyperlinks>
  <pageMargins left="0.25" right="0.25" top="0.75" bottom="0.75" header="0.3" footer="0.3"/>
  <pageSetup paperSize="9" orientation="portrait" verticalDpi="0"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5"/>
  </sheetPr>
  <dimension ref="B1:N31"/>
  <sheetViews>
    <sheetView showGridLines="0" zoomScale="70" zoomScaleNormal="70" workbookViewId="0">
      <pane ySplit="5" topLeftCell="A6" activePane="bottomLeft" state="frozen"/>
      <selection pane="bottomLeft" activeCell="K19" sqref="K19"/>
      <selection activeCell="O6" sqref="O6"/>
    </sheetView>
  </sheetViews>
  <sheetFormatPr defaultRowHeight="15"/>
  <cols>
    <col min="2" max="2" width="55.5703125" style="60" hidden="1" customWidth="1"/>
    <col min="3" max="3" width="14.140625" customWidth="1"/>
    <col min="4" max="4" width="15.7109375" customWidth="1"/>
    <col min="5" max="5" width="53.42578125" customWidth="1"/>
    <col min="6" max="6" width="15.7109375" customWidth="1"/>
    <col min="7" max="7" width="15.7109375" style="1" customWidth="1"/>
    <col min="8" max="9" width="15.7109375" customWidth="1"/>
    <col min="10" max="10" width="17.5703125" customWidth="1"/>
    <col min="11" max="11" width="30.7109375" customWidth="1"/>
    <col min="12" max="12" width="43.42578125" customWidth="1"/>
    <col min="13" max="14" width="30.7109375" hidden="1" customWidth="1"/>
  </cols>
  <sheetData>
    <row r="1" spans="2:14">
      <c r="C1" s="4"/>
      <c r="D1" s="2"/>
      <c r="E1" s="2"/>
      <c r="F1" s="2"/>
      <c r="H1" s="1"/>
      <c r="I1" s="1"/>
      <c r="J1" s="1"/>
      <c r="K1" s="1"/>
      <c r="L1" s="1"/>
      <c r="M1" s="1"/>
      <c r="N1" s="1"/>
    </row>
    <row r="2" spans="2:14" ht="19.5">
      <c r="B2" s="60" t="s">
        <v>0</v>
      </c>
      <c r="C2" s="5" t="s">
        <v>0</v>
      </c>
      <c r="D2" s="2"/>
      <c r="E2" s="2"/>
      <c r="F2" s="2"/>
      <c r="H2" s="1"/>
      <c r="I2" s="1"/>
      <c r="J2" s="1"/>
      <c r="K2" s="1"/>
      <c r="L2" s="1"/>
      <c r="M2" s="1"/>
      <c r="N2" s="1"/>
    </row>
    <row r="3" spans="2:14" ht="24" thickBot="1">
      <c r="C3" s="14" t="s">
        <v>42</v>
      </c>
      <c r="D3" s="13"/>
      <c r="E3" s="14" t="s">
        <v>43</v>
      </c>
      <c r="H3" s="1"/>
      <c r="I3" s="1"/>
      <c r="J3" s="1"/>
      <c r="K3" s="1"/>
      <c r="L3" s="1"/>
      <c r="M3" s="1"/>
      <c r="N3" s="1"/>
    </row>
    <row r="4" spans="2:14" ht="15.75" thickTop="1">
      <c r="C4" s="4"/>
      <c r="D4" s="2"/>
      <c r="E4" s="2"/>
      <c r="F4" s="2"/>
      <c r="H4" s="1"/>
      <c r="I4" s="1"/>
      <c r="J4" s="1"/>
      <c r="K4" s="1"/>
      <c r="L4" s="1"/>
      <c r="M4" s="1"/>
      <c r="N4" s="1"/>
    </row>
    <row r="5" spans="2:14" s="2" customFormat="1" ht="20.100000000000001" customHeight="1">
      <c r="B5" s="244"/>
      <c r="C5" s="61" t="s">
        <v>44</v>
      </c>
      <c r="D5" s="15" t="s">
        <v>6</v>
      </c>
      <c r="E5" s="15" t="s">
        <v>7</v>
      </c>
      <c r="F5" s="15" t="s">
        <v>8</v>
      </c>
      <c r="G5" s="16" t="s">
        <v>9</v>
      </c>
      <c r="H5" s="16" t="s">
        <v>10</v>
      </c>
      <c r="I5" s="16" t="s">
        <v>11</v>
      </c>
      <c r="J5" s="16" t="s">
        <v>12</v>
      </c>
      <c r="K5" s="16" t="s">
        <v>13</v>
      </c>
      <c r="L5" s="16" t="s">
        <v>14</v>
      </c>
      <c r="M5" s="16" t="s">
        <v>45</v>
      </c>
      <c r="N5" s="16" t="s">
        <v>46</v>
      </c>
    </row>
    <row r="6" spans="2:14" ht="20.100000000000001" customHeight="1">
      <c r="B6" s="163" t="str">
        <f>E6&amp;" ["&amp;D6&amp;"]"</f>
        <v>Total Area [CB1]</v>
      </c>
      <c r="C6" s="29" t="s">
        <v>47</v>
      </c>
      <c r="D6" s="21" t="s">
        <v>48</v>
      </c>
      <c r="E6" s="21" t="s">
        <v>49</v>
      </c>
      <c r="F6" s="135" t="s">
        <v>50</v>
      </c>
      <c r="G6" s="206">
        <f>IF(ISBLANK('Previous years'!B4),"",'Previous years'!B4)</f>
        <v>9375.1977179000005</v>
      </c>
      <c r="H6" s="178">
        <f>'Previous years'!C4</f>
        <v>9375.1977179000005</v>
      </c>
      <c r="I6" s="23"/>
      <c r="J6" s="25" t="s">
        <v>51</v>
      </c>
      <c r="K6" s="23"/>
      <c r="L6" s="28"/>
      <c r="M6" s="23"/>
      <c r="N6" s="28"/>
    </row>
    <row r="7" spans="2:14" ht="20.100000000000001" customHeight="1" thickBot="1">
      <c r="B7" s="163" t="str">
        <f t="shared" ref="B7:B31" si="0">E7&amp;" ["&amp;D7&amp;"]"</f>
        <v>Total Population [CB2]</v>
      </c>
      <c r="C7" s="30" t="s">
        <v>47</v>
      </c>
      <c r="D7" s="275" t="s">
        <v>52</v>
      </c>
      <c r="E7" s="275" t="s">
        <v>53</v>
      </c>
      <c r="F7" s="275" t="s">
        <v>54</v>
      </c>
      <c r="G7" s="276">
        <f>IF(ISBLANK('Previous years'!B5),"",'Previous years'!B5)</f>
        <v>63795</v>
      </c>
      <c r="H7" s="277">
        <f>'Previous years'!C5</f>
        <v>47400</v>
      </c>
      <c r="I7" s="24"/>
      <c r="J7" s="25" t="s">
        <v>51</v>
      </c>
      <c r="K7" s="24"/>
      <c r="L7" s="25"/>
      <c r="M7" s="24"/>
      <c r="N7" s="25"/>
    </row>
    <row r="8" spans="2:14" ht="20.100000000000001" customHeight="1">
      <c r="B8" s="163" t="str">
        <f t="shared" si="0"/>
        <v>Residential properties [CB3]</v>
      </c>
      <c r="C8" s="274" t="s">
        <v>47</v>
      </c>
      <c r="D8" s="293" t="s">
        <v>55</v>
      </c>
      <c r="E8" s="283" t="s">
        <v>56</v>
      </c>
      <c r="F8" s="283" t="s">
        <v>54</v>
      </c>
      <c r="G8" s="294">
        <f>IF(ISBLANK('Previous years'!B6),"",'Previous years'!B6)</f>
        <v>28538</v>
      </c>
      <c r="H8" s="295">
        <f>31063-H9</f>
        <v>28124</v>
      </c>
      <c r="I8" s="11" t="s">
        <v>57</v>
      </c>
      <c r="J8" s="12" t="s">
        <v>58</v>
      </c>
      <c r="K8" s="12" t="s">
        <v>59</v>
      </c>
      <c r="L8" s="11" t="s">
        <v>60</v>
      </c>
      <c r="M8" s="24"/>
      <c r="N8" s="25"/>
    </row>
    <row r="9" spans="2:14" ht="20.100000000000001" customHeight="1" thickBot="1">
      <c r="B9" s="163" t="str">
        <f t="shared" si="0"/>
        <v>Non-residential properties [CB4]</v>
      </c>
      <c r="C9" s="274" t="s">
        <v>47</v>
      </c>
      <c r="D9" s="286" t="s">
        <v>61</v>
      </c>
      <c r="E9" s="287" t="s">
        <v>62</v>
      </c>
      <c r="F9" s="287" t="s">
        <v>54</v>
      </c>
      <c r="G9" s="296">
        <f>IF(ISBLANK('Previous years'!B7),"",'Previous years'!B7)</f>
        <v>2927</v>
      </c>
      <c r="H9" s="297">
        <v>2939</v>
      </c>
      <c r="I9" s="11" t="s">
        <v>57</v>
      </c>
      <c r="J9" s="12" t="s">
        <v>58</v>
      </c>
      <c r="K9" s="12" t="s">
        <v>59</v>
      </c>
      <c r="L9" s="11" t="s">
        <v>63</v>
      </c>
      <c r="M9" s="12"/>
      <c r="N9" s="11"/>
    </row>
    <row r="10" spans="2:14" ht="20.100000000000001" customHeight="1">
      <c r="B10" s="163" t="str">
        <f t="shared" si="0"/>
        <v>Total  Properties [CB5]</v>
      </c>
      <c r="C10" s="30" t="s">
        <v>47</v>
      </c>
      <c r="D10" s="21" t="s">
        <v>64</v>
      </c>
      <c r="E10" s="21" t="s">
        <v>65</v>
      </c>
      <c r="F10" s="21" t="s">
        <v>54</v>
      </c>
      <c r="G10" s="265">
        <f>IF(ISBLANK('Previous years'!B8),"",'Previous years'!B8)</f>
        <v>31465</v>
      </c>
      <c r="H10" s="23">
        <f>H8+H9</f>
        <v>31063</v>
      </c>
      <c r="I10" s="24"/>
      <c r="J10" s="25" t="s">
        <v>66</v>
      </c>
      <c r="K10" s="24"/>
      <c r="L10" s="25"/>
      <c r="M10" s="24"/>
      <c r="N10" s="25"/>
    </row>
    <row r="11" spans="2:14" ht="20.100000000000001" customHeight="1" thickBot="1">
      <c r="B11" s="163" t="str">
        <f t="shared" si="0"/>
        <v>Household Occupancy  [CB6]</v>
      </c>
      <c r="C11" s="90" t="s">
        <v>47</v>
      </c>
      <c r="D11" s="275" t="s">
        <v>67</v>
      </c>
      <c r="E11" s="275" t="s">
        <v>68</v>
      </c>
      <c r="F11" s="275" t="s">
        <v>54</v>
      </c>
      <c r="G11" s="279">
        <f>IF(ISBLANK('Previous years'!B9),"",'Previous years'!B9)</f>
        <v>2.2354404653444528</v>
      </c>
      <c r="H11" s="280">
        <f>IFERROR(H7/H8,"")</f>
        <v>1.6853932584269662</v>
      </c>
      <c r="I11" s="91"/>
      <c r="J11" s="263" t="s">
        <v>66</v>
      </c>
      <c r="K11" s="91"/>
      <c r="L11" s="91"/>
      <c r="M11" s="24"/>
      <c r="N11" s="25"/>
    </row>
    <row r="12" spans="2:14" ht="20.100000000000001" customHeight="1">
      <c r="B12" s="163" t="str">
        <f t="shared" si="0"/>
        <v>Internal staff [CB10]</v>
      </c>
      <c r="C12" s="278" t="s">
        <v>69</v>
      </c>
      <c r="D12" s="282" t="s">
        <v>70</v>
      </c>
      <c r="E12" s="283" t="s">
        <v>71</v>
      </c>
      <c r="F12" s="283" t="s">
        <v>72</v>
      </c>
      <c r="G12" s="284">
        <f>IF(ISBLANK('Previous years'!B10),"",'Previous years'!B10)</f>
        <v>14.67</v>
      </c>
      <c r="H12" s="285">
        <v>19.5</v>
      </c>
      <c r="I12" s="28"/>
      <c r="J12" s="10"/>
      <c r="K12" s="10" t="s">
        <v>59</v>
      </c>
      <c r="L12" s="9" t="s">
        <v>73</v>
      </c>
      <c r="M12" s="10"/>
      <c r="N12" s="9"/>
    </row>
    <row r="13" spans="2:14" ht="20.100000000000001" customHeight="1">
      <c r="B13" s="163" t="str">
        <f t="shared" si="0"/>
        <v>Staff vacancies [CB10a]</v>
      </c>
      <c r="C13" s="274" t="s">
        <v>69</v>
      </c>
      <c r="D13" s="290" t="s">
        <v>74</v>
      </c>
      <c r="E13" s="22" t="s">
        <v>75</v>
      </c>
      <c r="F13" s="22" t="s">
        <v>72</v>
      </c>
      <c r="G13" s="206">
        <f>IF(ISBLANK('Previous years'!B11),"",'Previous years'!B11)</f>
        <v>2</v>
      </c>
      <c r="H13" s="291">
        <v>2</v>
      </c>
      <c r="I13" s="25"/>
      <c r="J13" s="12"/>
      <c r="K13" s="12" t="s">
        <v>59</v>
      </c>
      <c r="L13" s="11" t="s">
        <v>76</v>
      </c>
      <c r="M13" s="12"/>
      <c r="N13" s="11"/>
    </row>
    <row r="14" spans="2:14" ht="20.100000000000001" customHeight="1" thickBot="1">
      <c r="B14" s="163" t="str">
        <f t="shared" si="0"/>
        <v>Contracted staff [CB11]</v>
      </c>
      <c r="C14" s="274" t="s">
        <v>69</v>
      </c>
      <c r="D14" s="286" t="s">
        <v>77</v>
      </c>
      <c r="E14" s="292" t="s">
        <v>78</v>
      </c>
      <c r="F14" s="292" t="s">
        <v>72</v>
      </c>
      <c r="G14" s="288">
        <f>IF(ISBLANK('Previous years'!B12),"",'Previous years'!B12)</f>
        <v>58</v>
      </c>
      <c r="H14" s="289">
        <f>26+7+4</f>
        <v>37</v>
      </c>
      <c r="I14" s="160"/>
      <c r="J14" s="159"/>
      <c r="K14" s="796" t="s">
        <v>79</v>
      </c>
      <c r="L14" s="160" t="s">
        <v>80</v>
      </c>
      <c r="M14" s="159"/>
      <c r="N14" s="160"/>
    </row>
    <row r="15" spans="2:14" ht="20.100000000000001" customHeight="1">
      <c r="B15" s="163" t="str">
        <f t="shared" si="0"/>
        <v>Near miss reports [CB12]</v>
      </c>
      <c r="C15" s="30" t="s">
        <v>69</v>
      </c>
      <c r="D15" s="21" t="s">
        <v>81</v>
      </c>
      <c r="E15" s="21" t="s">
        <v>82</v>
      </c>
      <c r="F15" s="21" t="s">
        <v>54</v>
      </c>
      <c r="G15" s="206">
        <f>IF(ISBLANK('Previous years'!B13),"",'Previous years'!B13)</f>
        <v>278</v>
      </c>
      <c r="H15" s="281"/>
      <c r="I15" s="159"/>
      <c r="J15" s="159"/>
      <c r="K15" s="159" t="s">
        <v>79</v>
      </c>
      <c r="L15" s="160"/>
      <c r="M15" s="159"/>
      <c r="N15" s="160"/>
    </row>
    <row r="16" spans="2:14" ht="20.100000000000001" customHeight="1">
      <c r="B16" s="163" t="str">
        <f t="shared" si="0"/>
        <v>Lost time injuries [CB13]</v>
      </c>
      <c r="C16" s="30" t="s">
        <v>69</v>
      </c>
      <c r="D16" s="22" t="s">
        <v>83</v>
      </c>
      <c r="E16" s="22" t="s">
        <v>84</v>
      </c>
      <c r="F16" s="22" t="s">
        <v>85</v>
      </c>
      <c r="G16" s="206">
        <f>IF(ISBLANK('Previous years'!B14),"",'Previous years'!B14)</f>
        <v>0</v>
      </c>
      <c r="H16" s="158"/>
      <c r="I16" s="159"/>
      <c r="J16" s="159"/>
      <c r="K16" s="159" t="s">
        <v>79</v>
      </c>
      <c r="L16" s="160"/>
      <c r="M16" s="159"/>
      <c r="N16" s="160"/>
    </row>
    <row r="17" spans="2:14" ht="20.100000000000001" customHeight="1">
      <c r="B17" s="163" t="str">
        <f t="shared" si="0"/>
        <v>Staff training hours allocated [CB14a-1]</v>
      </c>
      <c r="C17" s="30" t="s">
        <v>69</v>
      </c>
      <c r="D17" s="260" t="s">
        <v>86</v>
      </c>
      <c r="E17" s="208" t="s">
        <v>87</v>
      </c>
      <c r="F17" s="208" t="s">
        <v>88</v>
      </c>
      <c r="G17" s="206" t="str">
        <f>IF(ISBLANK('Previous years'!B15),"",'Previous years'!B15)</f>
        <v/>
      </c>
      <c r="H17" s="158"/>
      <c r="I17" s="159"/>
      <c r="J17" s="159"/>
      <c r="K17" s="159" t="s">
        <v>89</v>
      </c>
      <c r="L17" s="160"/>
      <c r="M17" s="159"/>
      <c r="N17" s="160"/>
    </row>
    <row r="18" spans="2:14" ht="20.100000000000001" customHeight="1">
      <c r="B18" s="163" t="str">
        <f t="shared" si="0"/>
        <v>Staff training hours undertaken [CB14a-2]</v>
      </c>
      <c r="C18" s="30"/>
      <c r="D18" s="260" t="s">
        <v>90</v>
      </c>
      <c r="E18" s="208" t="s">
        <v>91</v>
      </c>
      <c r="F18" s="208" t="s">
        <v>88</v>
      </c>
      <c r="G18" s="206" t="str">
        <f>IF(ISBLANK('Previous years'!B16),"",'Previous years'!B16)</f>
        <v/>
      </c>
      <c r="H18" s="158"/>
      <c r="I18" s="159"/>
      <c r="J18" s="159"/>
      <c r="K18" s="159" t="s">
        <v>89</v>
      </c>
      <c r="L18" s="160"/>
      <c r="M18" s="159"/>
      <c r="N18" s="160"/>
    </row>
    <row r="19" spans="2:14" ht="20.100000000000001" customHeight="1">
      <c r="B19" s="163" t="str">
        <f t="shared" si="0"/>
        <v>Staff training enrolments [CB14b]</v>
      </c>
      <c r="C19" s="30"/>
      <c r="D19" s="260" t="s">
        <v>92</v>
      </c>
      <c r="E19" s="260" t="s">
        <v>93</v>
      </c>
      <c r="F19" s="260" t="s">
        <v>54</v>
      </c>
      <c r="G19" s="265" t="str">
        <f>IF(ISBLANK('Previous years'!B17),"",'Previous years'!B17)</f>
        <v/>
      </c>
      <c r="H19" s="158"/>
      <c r="I19" s="159"/>
      <c r="J19" s="159"/>
      <c r="K19" s="159" t="s">
        <v>89</v>
      </c>
      <c r="L19" s="160"/>
      <c r="M19" s="159"/>
      <c r="N19" s="160"/>
    </row>
    <row r="20" spans="2:14" ht="20.100000000000001" customHeight="1">
      <c r="B20" s="163" t="str">
        <f t="shared" si="0"/>
        <v>Staff with an engineering degree [CB15a-1]</v>
      </c>
      <c r="C20" s="30" t="s">
        <v>69</v>
      </c>
      <c r="D20" s="260" t="s">
        <v>94</v>
      </c>
      <c r="E20" s="260" t="s">
        <v>95</v>
      </c>
      <c r="F20" s="260" t="s">
        <v>54</v>
      </c>
      <c r="G20" s="265" t="str">
        <f>IF(ISBLANK('Previous years'!B18),"",'Previous years'!B18)</f>
        <v/>
      </c>
      <c r="H20" s="158"/>
      <c r="I20" s="24"/>
      <c r="J20" s="159"/>
      <c r="K20" s="159" t="s">
        <v>89</v>
      </c>
      <c r="L20" s="160"/>
      <c r="M20" s="159"/>
      <c r="N20" s="160"/>
    </row>
    <row r="21" spans="2:14" ht="20.100000000000001" customHeight="1">
      <c r="B21" s="163" t="str">
        <f t="shared" si="0"/>
        <v>Staff with an science degree [CB15a-2]</v>
      </c>
      <c r="C21" s="30"/>
      <c r="D21" s="260" t="s">
        <v>96</v>
      </c>
      <c r="E21" s="260" t="s">
        <v>97</v>
      </c>
      <c r="F21" s="260" t="s">
        <v>54</v>
      </c>
      <c r="G21" s="265" t="str">
        <f>IF(ISBLANK('Previous years'!B19),"",'Previous years'!B19)</f>
        <v/>
      </c>
      <c r="H21" s="158"/>
      <c r="I21" s="24"/>
      <c r="J21" s="159"/>
      <c r="K21" s="159" t="s">
        <v>89</v>
      </c>
      <c r="L21" s="160"/>
      <c r="M21" s="159"/>
      <c r="N21" s="160"/>
    </row>
    <row r="22" spans="2:14" ht="20.100000000000001" customHeight="1">
      <c r="B22" s="163" t="str">
        <f t="shared" si="0"/>
        <v>Staff with another applicable degree [CB15a-3]</v>
      </c>
      <c r="C22" s="30"/>
      <c r="D22" s="260" t="s">
        <v>98</v>
      </c>
      <c r="E22" s="260" t="s">
        <v>99</v>
      </c>
      <c r="F22" s="260" t="s">
        <v>54</v>
      </c>
      <c r="G22" s="265" t="str">
        <f>IF(ISBLANK('Previous years'!B20),"",'Previous years'!B20)</f>
        <v/>
      </c>
      <c r="H22" s="158"/>
      <c r="I22" s="24"/>
      <c r="J22" s="159"/>
      <c r="K22" s="159" t="s">
        <v>89</v>
      </c>
      <c r="L22" s="160"/>
      <c r="M22" s="159"/>
      <c r="N22" s="160"/>
    </row>
    <row r="23" spans="2:14" ht="20.100000000000001" customHeight="1">
      <c r="B23" s="163" t="str">
        <f t="shared" si="0"/>
        <v>Staff with a NZ Diploma [CB15b]</v>
      </c>
      <c r="C23" s="30" t="s">
        <v>69</v>
      </c>
      <c r="D23" s="260" t="s">
        <v>100</v>
      </c>
      <c r="E23" s="260" t="s">
        <v>101</v>
      </c>
      <c r="F23" s="260" t="s">
        <v>54</v>
      </c>
      <c r="G23" s="265" t="str">
        <f>IF(ISBLANK('Previous years'!B21),"",'Previous years'!B21)</f>
        <v/>
      </c>
      <c r="H23" s="158"/>
      <c r="I23" s="24"/>
      <c r="J23" s="159"/>
      <c r="K23" s="159" t="s">
        <v>89</v>
      </c>
      <c r="L23" s="160"/>
      <c r="M23" s="159"/>
      <c r="N23" s="160"/>
    </row>
    <row r="24" spans="2:14" ht="20.100000000000001" customHeight="1">
      <c r="B24" s="163" t="str">
        <f t="shared" si="0"/>
        <v>Staff with a NZ Certificate [CB15c]</v>
      </c>
      <c r="C24" s="30" t="s">
        <v>69</v>
      </c>
      <c r="D24" s="260" t="s">
        <v>102</v>
      </c>
      <c r="E24" s="260" t="s">
        <v>103</v>
      </c>
      <c r="F24" s="260" t="s">
        <v>54</v>
      </c>
      <c r="G24" s="265" t="str">
        <f>IF(ISBLANK('Previous years'!B22),"",'Previous years'!B22)</f>
        <v/>
      </c>
      <c r="H24" s="134"/>
      <c r="I24" s="24"/>
      <c r="J24" s="159"/>
      <c r="K24" s="159" t="s">
        <v>89</v>
      </c>
      <c r="L24" s="160"/>
      <c r="M24" s="159"/>
      <c r="N24" s="160"/>
    </row>
    <row r="25" spans="2:14" ht="20.100000000000001" customHeight="1">
      <c r="B25" s="163" t="str">
        <f t="shared" si="0"/>
        <v>Staff with completed apprenticeships [CB15d]</v>
      </c>
      <c r="C25" s="30" t="s">
        <v>69</v>
      </c>
      <c r="D25" s="260" t="s">
        <v>104</v>
      </c>
      <c r="E25" s="260" t="s">
        <v>105</v>
      </c>
      <c r="F25" s="260" t="s">
        <v>54</v>
      </c>
      <c r="G25" s="265" t="str">
        <f>IF(ISBLANK('Previous years'!B23),"",'Previous years'!B23)</f>
        <v/>
      </c>
      <c r="H25" s="158"/>
      <c r="I25" s="24"/>
      <c r="J25" s="159"/>
      <c r="K25" s="159" t="s">
        <v>89</v>
      </c>
      <c r="L25" s="160"/>
      <c r="M25" s="159"/>
      <c r="N25" s="160"/>
    </row>
    <row r="26" spans="2:14" ht="20.100000000000001" customHeight="1" thickBot="1">
      <c r="B26" s="163" t="str">
        <f t="shared" si="0"/>
        <v>Continuing professional development enrolments [CB16]</v>
      </c>
      <c r="C26" s="90" t="s">
        <v>69</v>
      </c>
      <c r="D26" s="261" t="s">
        <v>106</v>
      </c>
      <c r="E26" s="261" t="s">
        <v>107</v>
      </c>
      <c r="F26" s="261" t="s">
        <v>54</v>
      </c>
      <c r="G26" s="266">
        <f>IF(ISBLANK('Previous years'!B24),"",'Previous years'!B24)</f>
        <v>3</v>
      </c>
      <c r="H26" s="93"/>
      <c r="I26" s="91"/>
      <c r="J26" s="93"/>
      <c r="K26" s="93" t="s">
        <v>89</v>
      </c>
      <c r="L26" s="93"/>
      <c r="M26" s="93"/>
      <c r="N26" s="92"/>
    </row>
    <row r="27" spans="2:14" ht="20.100000000000001" customHeight="1">
      <c r="B27" s="163" t="str">
        <f t="shared" si="0"/>
        <v>Analogue SCADA/telemetry [CB19a]</v>
      </c>
      <c r="C27" s="29" t="s">
        <v>108</v>
      </c>
      <c r="D27" s="21" t="s">
        <v>109</v>
      </c>
      <c r="E27" s="21" t="s">
        <v>110</v>
      </c>
      <c r="F27" s="21" t="s">
        <v>111</v>
      </c>
      <c r="G27" s="264">
        <f>IF(ISBLANK('Previous years'!B25),"",'Previous years'!B25)</f>
        <v>0.3</v>
      </c>
      <c r="H27" s="133">
        <v>0.3</v>
      </c>
      <c r="I27" s="10"/>
      <c r="J27" s="10"/>
      <c r="K27" s="793" t="s">
        <v>79</v>
      </c>
      <c r="L27" s="9" t="s">
        <v>112</v>
      </c>
      <c r="M27" s="10"/>
      <c r="N27" s="9"/>
    </row>
    <row r="28" spans="2:14" ht="20.100000000000001" customHeight="1">
      <c r="B28" s="163" t="str">
        <f t="shared" si="0"/>
        <v>Digital SCADA/telemetry [CB19b]</v>
      </c>
      <c r="C28" s="30" t="s">
        <v>108</v>
      </c>
      <c r="D28" s="22" t="s">
        <v>113</v>
      </c>
      <c r="E28" s="22" t="s">
        <v>114</v>
      </c>
      <c r="F28" s="22" t="s">
        <v>111</v>
      </c>
      <c r="G28" s="264">
        <f>IF(ISBLANK('Previous years'!B26),"",'Previous years'!B26)</f>
        <v>0.7</v>
      </c>
      <c r="H28" s="136">
        <v>0.7</v>
      </c>
      <c r="I28" s="12"/>
      <c r="J28" s="12"/>
      <c r="K28" s="794" t="s">
        <v>79</v>
      </c>
      <c r="L28" s="9" t="s">
        <v>112</v>
      </c>
      <c r="M28" s="12"/>
      <c r="N28" s="11"/>
    </row>
    <row r="29" spans="2:14" ht="20.100000000000001" customHeight="1">
      <c r="B29" s="163" t="str">
        <f t="shared" si="0"/>
        <v>SCADA/telemetry controls [CB19c]</v>
      </c>
      <c r="C29" s="30" t="s">
        <v>108</v>
      </c>
      <c r="D29" s="22" t="s">
        <v>115</v>
      </c>
      <c r="E29" s="22" t="s">
        <v>116</v>
      </c>
      <c r="F29" s="22" t="s">
        <v>111</v>
      </c>
      <c r="G29" s="264">
        <f>IF(ISBLANK('Previous years'!B27),"",'Previous years'!B27)</f>
        <v>0.45</v>
      </c>
      <c r="H29" s="136">
        <v>0.45</v>
      </c>
      <c r="I29" s="12"/>
      <c r="J29" s="12"/>
      <c r="K29" s="794" t="s">
        <v>79</v>
      </c>
      <c r="L29" s="9" t="s">
        <v>112</v>
      </c>
      <c r="M29" s="12"/>
      <c r="N29" s="11"/>
    </row>
    <row r="30" spans="2:14" ht="20.100000000000001" customHeight="1">
      <c r="B30" s="163" t="str">
        <f t="shared" ref="B30" si="1">E30&amp;" ["&amp;D30&amp;"]"</f>
        <v>SCADA/telemetry monitoring [CB19d]</v>
      </c>
      <c r="C30" s="30" t="s">
        <v>108</v>
      </c>
      <c r="D30" s="22" t="s">
        <v>117</v>
      </c>
      <c r="E30" s="22" t="s">
        <v>118</v>
      </c>
      <c r="F30" s="22" t="s">
        <v>111</v>
      </c>
      <c r="G30" s="264">
        <f>IF(ISBLANK('Previous years'!B28),"",'Previous years'!B28)</f>
        <v>0.99</v>
      </c>
      <c r="H30" s="136">
        <v>1</v>
      </c>
      <c r="I30" s="12"/>
      <c r="J30" s="12"/>
      <c r="K30" s="794" t="s">
        <v>79</v>
      </c>
      <c r="L30" s="9" t="s">
        <v>112</v>
      </c>
      <c r="M30" s="12"/>
      <c r="N30" s="11"/>
    </row>
    <row r="31" spans="2:14" ht="20.100000000000001" customHeight="1" thickBot="1">
      <c r="B31" s="163" t="str">
        <f t="shared" si="0"/>
        <v>Internet of things [CB20]</v>
      </c>
      <c r="C31" s="128" t="s">
        <v>108</v>
      </c>
      <c r="D31" s="129" t="s">
        <v>119</v>
      </c>
      <c r="E31" s="129" t="s">
        <v>120</v>
      </c>
      <c r="F31" s="129" t="s">
        <v>121</v>
      </c>
      <c r="G31" s="262" t="str">
        <f>IF(ISBLANK('Previous years'!B29),"",'Previous years'!B29)</f>
        <v/>
      </c>
      <c r="H31" s="132" t="s">
        <v>122</v>
      </c>
      <c r="I31" s="130" t="s">
        <v>57</v>
      </c>
      <c r="J31" s="130" t="s">
        <v>123</v>
      </c>
      <c r="K31" s="795" t="s">
        <v>79</v>
      </c>
      <c r="L31" s="9" t="s">
        <v>112</v>
      </c>
      <c r="M31" s="130"/>
      <c r="N31" s="131"/>
    </row>
  </sheetData>
  <dataValidations count="21">
    <dataValidation type="list" allowBlank="1" showInputMessage="1" showErrorMessage="1" sqref="I8:I9 I14:I19 I27:I31" xr:uid="{00000000-0002-0000-0100-000000000000}">
      <formula1>Data_confidence</formula1>
    </dataValidation>
    <dataValidation allowBlank="1" showInputMessage="1" showErrorMessage="1" prompt="Total number of properties other than residential including commercial properties and other public buildings (e.g. public schools and hospitals) in the area under the participants jurisdiction." sqref="H9" xr:uid="{00000000-0002-0000-0100-000001000000}"/>
    <dataValidation allowBlank="1" showInputMessage="1" showErrorMessage="1" prompt="The number of full time employees on the organisations payroll directly or indirectly involved in the delivery of 3 waters services. _x000a_Further details on staff providing overhead functions is included in the definitions guidelines." sqref="H12" xr:uid="{00000000-0002-0000-0100-000002000000}"/>
    <dataValidation allowBlank="1" showInputMessage="1" showErrorMessage="1" prompt="The number of vacancies in water, wastewater and stormwater services as time of reporting. " sqref="H13" xr:uid="{00000000-0002-0000-0100-000003000000}"/>
    <dataValidation allowBlank="1" showInputMessage="1" showErrorMessage="1" prompt="The number of full-time employees not on the organisations payroll but exclusively involved in the delivery of 3 waters services for the organisation. Further detail is included in defintioins guidelines." sqref="H14" xr:uid="{00000000-0002-0000-0100-000004000000}"/>
    <dataValidation allowBlank="1" showInputMessage="1" showErrorMessage="1" prompt="The approximate proportion of the SCADA system utilising analogue communications." sqref="H27" xr:uid="{00000000-0002-0000-0100-000005000000}"/>
    <dataValidation allowBlank="1" showInputMessage="1" showErrorMessage="1" prompt="The approximate proportion of the SCADA system utilising digital communications. Reference any “Industrial Internet of Things” applications in use in the comments field." sqref="H28" xr:uid="{00000000-0002-0000-0100-000006000000}"/>
    <dataValidation allowBlank="1" showInputMessage="1" showErrorMessage="1" prompt="The approximate proportion of assets (pump stations, treatment plants, bores, intakes, resevoirs etc) that have elements which can be controlled using SCADA." sqref="H29" xr:uid="{00000000-0002-0000-0100-000007000000}"/>
    <dataValidation allowBlank="1" showInputMessage="1" showErrorMessage="1" prompt="The approximate proportion of assets (pump stations, treatment plants, bores, intakes, resevoirs etc) in the network that can be monitored using the SCADA system." sqref="H30" xr:uid="{00000000-0002-0000-0100-000008000000}"/>
    <dataValidation allowBlank="1" showInputMessage="1" showErrorMessage="1" prompt="Number of staff with an NZQA Diploma in Water Treatment, Wastewater Treatment, Engineering or Drinking Water Assesment, or overseas equivalent (specify international qualifications in comments). Include contractors if available, or note in comments field." sqref="H23" xr:uid="{00000000-0002-0000-0100-000009000000}"/>
    <dataValidation allowBlank="1" showInputMessage="1" showErrorMessage="1" prompt="Number of staff with a bachelors degree or higher in a field related to three waters management, if not science or engineering. List degree type in comments field. Include contractors if availble, if not note in comments." sqref="H22" xr:uid="{00000000-0002-0000-0100-00000A000000}"/>
    <dataValidation allowBlank="1" showInputMessage="1" showErrorMessage="1" prompt="Number of staff with NZQA Certificate in Water Treatment, Wastewater Treatment, Water Reticulation, Pipe Installations or Utilities maintenance, or specify international qualifications in comments. Include contractors if available, or note in comments." sqref="H24" xr:uid="{00000000-0002-0000-0100-00000B000000}"/>
    <dataValidation allowBlank="1" showInputMessage="1" showErrorMessage="1" prompt="Near misses reported by staff and contractors working on drinking, waste and stormwater networks. Further detail is included in defintion guidelines." sqref="H15" xr:uid="{00000000-0002-0000-0100-00000C000000}"/>
    <dataValidation allowBlank="1" showInputMessage="1" showErrorMessage="1" prompt="Loss of at least one complete shift or day off work (or more) by a staff or contractors as a result of a workplace incident causing illness or injury. Record as the number of days lost per full time employee. " sqref="H16" xr:uid="{00000000-0002-0000-0100-00000D000000}"/>
    <dataValidation allowBlank="1" showInputMessage="1" showErrorMessage="1" prompt="Per staff member (including contractors if available) average hours/year in proffessional training or development activities. If contractors are not included note this in the comments field. Further detail is included in definition guidelines." sqref="H17:H18" xr:uid="{00000000-0002-0000-0100-00000E000000}"/>
    <dataValidation allowBlank="1" showInputMessage="1" showErrorMessage="1" prompt="Number of staff (including contractors) enrolled in a continuing professional development programme. List programmes in the comments  (e.g. Water Industry Professional Programme, Engineering New Zealand). If contractors are not included note in comments." sqref="H26" xr:uid="{00000000-0002-0000-0100-00000F000000}"/>
    <dataValidation allowBlank="1" showInputMessage="1" showErrorMessage="1" prompt="Number of staff having completed water treatment, wastewater treatment or pipeline construction and maintenance apprenticeships, registered on the NZQA framework. Include contractors if data is available, or note in comments if they are not." sqref="H25" xr:uid="{00000000-0002-0000-0100-000010000000}"/>
    <dataValidation allowBlank="1" showInputMessage="1" showErrorMessage="1" prompt="Residential properties including occupied and unoccupied dwellings.  Multi-unit premises should be counted based on the number of separately occupied dwellings. " sqref="H8" xr:uid="{00000000-0002-0000-0100-000011000000}"/>
    <dataValidation allowBlank="1" showInputMessage="1" showErrorMessage="1" prompt="The number of staff who are currently enrolled (but not yet completed) any of the qualifications listed in CB15a-CB15d. Include contractors if available. If contractors are not included in this figure note this in the comments field." sqref="H19" xr:uid="{00000000-0002-0000-0100-000012000000}"/>
    <dataValidation allowBlank="1" showInputMessage="1" showErrorMessage="1" prompt="Number of staff with bachelors degree in engineering. Include contractors if availble, if not note in comments." sqref="H20" xr:uid="{00000000-0002-0000-0100-000013000000}"/>
    <dataValidation allowBlank="1" showInputMessage="1" showErrorMessage="1" prompt="Number of staff with a bachelors degree in science. Include contractors if availble, if not note in comments." sqref="H21" xr:uid="{00000000-0002-0000-0100-000014000000}"/>
  </dataValidations>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prompt="Has your organisation making use of internet of things devices or sensors for measuring or monitoring?" xr:uid="{00000000-0002-0000-0100-000015000000}">
          <x14:formula1>
            <xm:f>'Data lists'!$K$1:$K$2</xm:f>
          </x14:formula1>
          <xm:sqref>H31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3"/>
  </sheetPr>
  <dimension ref="B2:AH115"/>
  <sheetViews>
    <sheetView showGridLines="0" tabSelected="1" zoomScale="80" zoomScaleNormal="80" workbookViewId="0">
      <pane ySplit="5" topLeftCell="A36" activePane="bottomLeft" state="frozen"/>
      <selection pane="bottomLeft" activeCell="E51" sqref="E51"/>
      <selection activeCell="F33" sqref="F33"/>
    </sheetView>
  </sheetViews>
  <sheetFormatPr defaultRowHeight="15"/>
  <cols>
    <col min="1" max="1" width="5.42578125" customWidth="1"/>
    <col min="2" max="2" width="66" style="163" hidden="1" customWidth="1"/>
    <col min="3" max="3" width="18.28515625" style="4" customWidth="1"/>
    <col min="4" max="4" width="9.140625" style="2"/>
    <col min="5" max="5" width="64.28515625" style="2" customWidth="1"/>
    <col min="6" max="7" width="17.28515625" style="1" customWidth="1"/>
    <col min="8" max="8" width="15.7109375" style="1" customWidth="1"/>
    <col min="9" max="9" width="17.7109375" style="1" customWidth="1"/>
    <col min="10" max="10" width="16.85546875" style="1" customWidth="1"/>
    <col min="11" max="11" width="30.7109375" style="1" customWidth="1"/>
    <col min="12" max="12" width="36.85546875" style="1" customWidth="1"/>
    <col min="13" max="32" width="15.7109375" hidden="1" customWidth="1"/>
    <col min="33" max="34" width="30.7109375" style="1" hidden="1" customWidth="1"/>
  </cols>
  <sheetData>
    <row r="2" spans="2:34" ht="19.5">
      <c r="C2" s="5" t="s">
        <v>0</v>
      </c>
    </row>
    <row r="3" spans="2:34" ht="24" thickBot="1">
      <c r="C3" s="14" t="s">
        <v>124</v>
      </c>
      <c r="D3" s="14"/>
      <c r="E3" s="14" t="str">
        <f>Common!E3</f>
        <v>Queenstown-Lakes</v>
      </c>
    </row>
    <row r="4" spans="2:34" ht="15.75" thickTop="1"/>
    <row r="5" spans="2:34" s="2" customFormat="1" ht="20.100000000000001" customHeight="1">
      <c r="B5" s="244"/>
      <c r="C5" s="62" t="s">
        <v>44</v>
      </c>
      <c r="D5" s="8" t="s">
        <v>6</v>
      </c>
      <c r="E5" s="54" t="s">
        <v>7</v>
      </c>
      <c r="F5" s="53" t="s">
        <v>8</v>
      </c>
      <c r="G5" s="53" t="s">
        <v>9</v>
      </c>
      <c r="H5" s="53" t="s">
        <v>10</v>
      </c>
      <c r="I5" s="53" t="s">
        <v>11</v>
      </c>
      <c r="J5" s="53" t="s">
        <v>12</v>
      </c>
      <c r="K5" s="53" t="s">
        <v>13</v>
      </c>
      <c r="L5" s="53" t="s">
        <v>14</v>
      </c>
      <c r="AG5" s="53" t="s">
        <v>45</v>
      </c>
      <c r="AH5" s="53" t="s">
        <v>46</v>
      </c>
    </row>
    <row r="6" spans="2:34" s="3" customFormat="1" ht="20.100000000000001" customHeight="1">
      <c r="B6" s="163" t="str">
        <f>E6&amp;" ["&amp;D6&amp;"]"</f>
        <v>Water Serviced Population [WSB1a]</v>
      </c>
      <c r="C6" s="26" t="s">
        <v>47</v>
      </c>
      <c r="D6" s="7" t="s">
        <v>125</v>
      </c>
      <c r="E6" s="7" t="s">
        <v>126</v>
      </c>
      <c r="F6" s="198" t="s">
        <v>54</v>
      </c>
      <c r="G6" s="194">
        <f>IF(ISBLANK('Previous years'!E4),"",'Previous years'!E4)</f>
        <v>55063.369542364562</v>
      </c>
      <c r="H6" s="156">
        <f>IFERROR(Common!H11*H8,"")</f>
        <v>43115.730337078647</v>
      </c>
      <c r="I6" s="23" t="s">
        <v>66</v>
      </c>
      <c r="J6" s="25"/>
      <c r="K6" s="23"/>
      <c r="L6" s="23"/>
      <c r="AG6" s="23"/>
      <c r="AH6" s="23"/>
    </row>
    <row r="7" spans="2:34" s="3" customFormat="1" ht="20.100000000000001" customHeight="1" thickBot="1">
      <c r="B7" s="163" t="str">
        <f t="shared" ref="B7:B70" si="0">E7&amp;" ["&amp;D7&amp;"]"</f>
        <v>Water Supply Service Coverage [WSB1b]</v>
      </c>
      <c r="C7" s="27" t="s">
        <v>47</v>
      </c>
      <c r="D7" s="245" t="s">
        <v>127</v>
      </c>
      <c r="E7" s="245" t="s">
        <v>128</v>
      </c>
      <c r="F7" s="299" t="s">
        <v>111</v>
      </c>
      <c r="G7" s="300"/>
      <c r="H7" s="301">
        <f>IFERROR(H8/Common!H8,"")</f>
        <v>0.90961456407338925</v>
      </c>
      <c r="I7" s="24" t="s">
        <v>66</v>
      </c>
      <c r="J7" s="25"/>
      <c r="K7" s="24"/>
      <c r="L7" s="24"/>
      <c r="AG7" s="24"/>
      <c r="AH7" s="24"/>
    </row>
    <row r="8" spans="2:34" s="3" customFormat="1" ht="20.100000000000001" customHeight="1">
      <c r="B8" s="163" t="str">
        <f t="shared" si="0"/>
        <v>Water Serviced Properties: Residential [WSB2]</v>
      </c>
      <c r="C8" s="298" t="s">
        <v>47</v>
      </c>
      <c r="D8" s="302" t="s">
        <v>129</v>
      </c>
      <c r="E8" s="303" t="s">
        <v>130</v>
      </c>
      <c r="F8" s="304" t="s">
        <v>54</v>
      </c>
      <c r="G8" s="304">
        <f>IF(ISBLANK('Previous years'!E6),"",'Previous years'!E6)</f>
        <v>24632</v>
      </c>
      <c r="H8" s="295">
        <v>25582</v>
      </c>
      <c r="I8" s="11" t="s">
        <v>57</v>
      </c>
      <c r="J8" s="11" t="s">
        <v>58</v>
      </c>
      <c r="K8" s="12" t="s">
        <v>131</v>
      </c>
      <c r="L8" s="12" t="s">
        <v>132</v>
      </c>
      <c r="AG8" s="12"/>
      <c r="AH8" s="12"/>
    </row>
    <row r="9" spans="2:34" s="3" customFormat="1" ht="20.100000000000001" customHeight="1" thickBot="1">
      <c r="B9" s="163" t="str">
        <f t="shared" si="0"/>
        <v>Water Serviced Properties: Non-Residential [WSB3]</v>
      </c>
      <c r="C9" s="298" t="s">
        <v>47</v>
      </c>
      <c r="D9" s="305" t="s">
        <v>133</v>
      </c>
      <c r="E9" s="306" t="s">
        <v>134</v>
      </c>
      <c r="F9" s="307" t="s">
        <v>54</v>
      </c>
      <c r="G9" s="307">
        <f>IF(ISBLANK('Previous years'!E7),"",'Previous years'!E7)</f>
        <v>1975</v>
      </c>
      <c r="H9" s="297">
        <v>2251</v>
      </c>
      <c r="I9" s="11" t="s">
        <v>57</v>
      </c>
      <c r="J9" s="11" t="s">
        <v>58</v>
      </c>
      <c r="K9" s="12" t="s">
        <v>131</v>
      </c>
      <c r="L9" s="12" t="s">
        <v>132</v>
      </c>
      <c r="AG9" s="12"/>
      <c r="AH9" s="12"/>
    </row>
    <row r="10" spans="2:34" s="3" customFormat="1" ht="20.100000000000001" customHeight="1" thickBot="1">
      <c r="B10" s="163" t="str">
        <f t="shared" si="0"/>
        <v>Total Water Serviced Properties [WSB4]</v>
      </c>
      <c r="C10" s="27" t="s">
        <v>47</v>
      </c>
      <c r="D10" s="308" t="s">
        <v>135</v>
      </c>
      <c r="E10" s="308" t="s">
        <v>136</v>
      </c>
      <c r="F10" s="309" t="s">
        <v>54</v>
      </c>
      <c r="G10" s="309">
        <f>IF(ISBLANK('Previous years'!E8),"",'Previous years'!E8)</f>
        <v>26607</v>
      </c>
      <c r="H10" s="310">
        <f>SUMIF(H8:H9,"&gt;=0",H8:H9)</f>
        <v>27833</v>
      </c>
      <c r="I10" s="24" t="s">
        <v>66</v>
      </c>
      <c r="J10" s="25"/>
      <c r="K10" s="24"/>
      <c r="L10" s="24"/>
      <c r="AG10" s="24"/>
      <c r="AH10" s="24"/>
    </row>
    <row r="11" spans="2:34" s="3" customFormat="1" ht="20.100000000000001" customHeight="1" thickBot="1">
      <c r="B11" s="163" t="str">
        <f t="shared" si="0"/>
        <v>Water Supplied to Own System [WSB5]</v>
      </c>
      <c r="C11" s="298" t="s">
        <v>47</v>
      </c>
      <c r="D11" s="311" t="s">
        <v>137</v>
      </c>
      <c r="E11" s="312" t="s">
        <v>138</v>
      </c>
      <c r="F11" s="313" t="s">
        <v>139</v>
      </c>
      <c r="G11" s="313">
        <f>IF(ISBLANK('Previous years'!E9),"",'Previous years'!E9)</f>
        <v>11901168.26</v>
      </c>
      <c r="H11" s="314">
        <v>12251029</v>
      </c>
      <c r="I11" s="12" t="s">
        <v>57</v>
      </c>
      <c r="J11" s="11" t="s">
        <v>140</v>
      </c>
      <c r="K11" s="12" t="s">
        <v>79</v>
      </c>
      <c r="L11" s="12"/>
      <c r="AG11" s="12"/>
      <c r="AH11" s="12"/>
    </row>
    <row r="12" spans="2:34" s="3" customFormat="1" ht="20.100000000000001" customHeight="1">
      <c r="B12" s="163" t="str">
        <f t="shared" si="0"/>
        <v>Water imported from other authorities [WSB5a]</v>
      </c>
      <c r="C12" s="27"/>
      <c r="D12" s="77" t="s">
        <v>141</v>
      </c>
      <c r="E12" s="77" t="s">
        <v>142</v>
      </c>
      <c r="F12" s="199" t="s">
        <v>139</v>
      </c>
      <c r="G12" s="199">
        <f>IF(ISBLANK('Previous years'!E10),"",'Previous years'!E10)</f>
        <v>0</v>
      </c>
      <c r="H12" s="10">
        <v>0</v>
      </c>
      <c r="I12" s="12" t="s">
        <v>57</v>
      </c>
      <c r="J12" s="11"/>
      <c r="K12" s="12" t="s">
        <v>79</v>
      </c>
      <c r="L12" s="12"/>
      <c r="AG12" s="12"/>
      <c r="AH12" s="12"/>
    </row>
    <row r="13" spans="2:34" s="3" customFormat="1" ht="20.100000000000001" customHeight="1">
      <c r="B13" s="163" t="str">
        <f t="shared" si="0"/>
        <v>Water exported to other authorities [WSB5b]</v>
      </c>
      <c r="C13" s="27"/>
      <c r="D13" s="52" t="s">
        <v>143</v>
      </c>
      <c r="E13" s="52" t="s">
        <v>144</v>
      </c>
      <c r="F13" s="197" t="s">
        <v>139</v>
      </c>
      <c r="G13" s="197">
        <f>IF(ISBLANK('Previous years'!E11),"",'Previous years'!E11)</f>
        <v>0</v>
      </c>
      <c r="H13" s="12">
        <v>0</v>
      </c>
      <c r="I13" s="12" t="s">
        <v>57</v>
      </c>
      <c r="J13" s="11"/>
      <c r="K13" s="12" t="s">
        <v>79</v>
      </c>
      <c r="L13" s="12"/>
      <c r="AG13" s="12"/>
      <c r="AH13" s="12"/>
    </row>
    <row r="14" spans="2:34" s="3" customFormat="1" ht="20.100000000000001" customHeight="1" thickBot="1">
      <c r="B14" s="163" t="str">
        <f t="shared" si="0"/>
        <v>Authorised Consumption [WSB6]</v>
      </c>
      <c r="C14" s="27" t="s">
        <v>47</v>
      </c>
      <c r="D14" s="245" t="s">
        <v>145</v>
      </c>
      <c r="E14" s="245" t="s">
        <v>146</v>
      </c>
      <c r="F14" s="315" t="s">
        <v>139</v>
      </c>
      <c r="G14" s="315">
        <f>IF(ISBLANK('Previous years'!E12),"",'Previous years'!E12)</f>
        <v>7735759.3689999999</v>
      </c>
      <c r="H14" s="159">
        <f>0.67*H11</f>
        <v>8208189.4300000006</v>
      </c>
      <c r="I14" s="12" t="s">
        <v>26</v>
      </c>
      <c r="J14" s="11" t="s">
        <v>147</v>
      </c>
      <c r="K14" s="813" t="s">
        <v>148</v>
      </c>
      <c r="L14" s="12" t="s">
        <v>149</v>
      </c>
      <c r="AG14" s="12"/>
      <c r="AH14" s="12"/>
    </row>
    <row r="15" spans="2:34" s="3" customFormat="1" ht="20.100000000000001" customHeight="1" thickBot="1">
      <c r="B15" s="163" t="str">
        <f t="shared" si="0"/>
        <v>Non-residential Water Consumption [WSB7]</v>
      </c>
      <c r="C15" s="298" t="s">
        <v>47</v>
      </c>
      <c r="D15" s="311" t="s">
        <v>150</v>
      </c>
      <c r="E15" s="312" t="s">
        <v>151</v>
      </c>
      <c r="F15" s="313" t="s">
        <v>139</v>
      </c>
      <c r="G15" s="317">
        <f>IF(ISBLANK('Previous years'!E13),"",'Previous years'!E13)</f>
        <v>1547151.8738000002</v>
      </c>
      <c r="H15" s="318">
        <f>0.2*H11</f>
        <v>2450205.8000000003</v>
      </c>
      <c r="I15" s="11" t="s">
        <v>26</v>
      </c>
      <c r="J15" s="12" t="s">
        <v>152</v>
      </c>
      <c r="K15" s="813" t="s">
        <v>148</v>
      </c>
      <c r="L15" s="12" t="s">
        <v>153</v>
      </c>
      <c r="AG15" s="12"/>
      <c r="AH15" s="12"/>
    </row>
    <row r="16" spans="2:34" s="3" customFormat="1" ht="20.100000000000001" customHeight="1">
      <c r="B16" s="163" t="str">
        <f t="shared" si="0"/>
        <v>Average Daily Residential Water Consumption [WSB8]</v>
      </c>
      <c r="C16" s="27" t="s">
        <v>47</v>
      </c>
      <c r="D16" s="7" t="s">
        <v>154</v>
      </c>
      <c r="E16" s="7" t="s">
        <v>155</v>
      </c>
      <c r="F16" s="199" t="s">
        <v>156</v>
      </c>
      <c r="G16" s="316">
        <f>IF(ISBLANK('Previous years'!E14),"",'Previous years'!E14)</f>
        <v>319.63654746034985</v>
      </c>
      <c r="H16" s="23">
        <f>IFERROR((H11-H15-H13-H43)/(365*H6)*1000,"")</f>
        <v>384.3548300335317</v>
      </c>
      <c r="I16" s="23" t="s">
        <v>66</v>
      </c>
      <c r="J16" s="23"/>
      <c r="K16" s="23"/>
      <c r="L16" s="23"/>
      <c r="AG16" s="12"/>
      <c r="AH16" s="12"/>
    </row>
    <row r="17" spans="2:34" s="3" customFormat="1" ht="20.100000000000001" customHeight="1" thickBot="1">
      <c r="B17" s="163" t="str">
        <f t="shared" si="0"/>
        <v>Water Demand Forecasting [WSB9]</v>
      </c>
      <c r="C17" s="72" t="s">
        <v>47</v>
      </c>
      <c r="D17" s="320" t="s">
        <v>157</v>
      </c>
      <c r="E17" s="245" t="s">
        <v>158</v>
      </c>
      <c r="F17" s="315" t="s">
        <v>159</v>
      </c>
      <c r="G17" s="315" t="str">
        <f>IF(ISBLANK('Previous years'!E15),"",'Previous years'!E15)</f>
        <v>No</v>
      </c>
      <c r="H17" s="321" t="s">
        <v>160</v>
      </c>
      <c r="I17" s="80"/>
      <c r="J17" s="164" t="s">
        <v>161</v>
      </c>
      <c r="K17" s="813" t="s">
        <v>148</v>
      </c>
      <c r="L17" s="165" t="s">
        <v>162</v>
      </c>
      <c r="M17" s="166"/>
      <c r="N17" s="166"/>
      <c r="O17" s="166"/>
      <c r="P17" s="166"/>
      <c r="Q17" s="166"/>
      <c r="R17" s="166"/>
      <c r="S17" s="166"/>
      <c r="T17" s="166"/>
      <c r="U17" s="166"/>
      <c r="V17" s="166"/>
      <c r="W17" s="166"/>
      <c r="X17" s="166"/>
      <c r="Y17" s="166"/>
      <c r="Z17" s="166"/>
      <c r="AA17" s="166"/>
      <c r="AB17" s="166"/>
      <c r="AC17" s="166"/>
      <c r="AD17" s="166"/>
      <c r="AE17" s="166"/>
      <c r="AF17" s="166"/>
      <c r="AG17" s="165"/>
      <c r="AH17" s="165"/>
    </row>
    <row r="18" spans="2:34" s="3" customFormat="1" ht="20.100000000000001" customHeight="1" thickBot="1">
      <c r="B18" s="163" t="str">
        <f t="shared" si="0"/>
        <v>Length of Water Supply Network [WSA1a]</v>
      </c>
      <c r="C18" s="319" t="s">
        <v>163</v>
      </c>
      <c r="D18" s="311" t="s">
        <v>164</v>
      </c>
      <c r="E18" s="312" t="s">
        <v>165</v>
      </c>
      <c r="F18" s="322" t="s">
        <v>166</v>
      </c>
      <c r="G18" s="322">
        <f>IF(ISBLANK('Previous years'!E16),"",'Previous years'!E16)</f>
        <v>681.37299999999993</v>
      </c>
      <c r="H18" s="314">
        <v>701.33799999999997</v>
      </c>
      <c r="I18" s="11" t="s">
        <v>57</v>
      </c>
      <c r="J18" s="10" t="s">
        <v>167</v>
      </c>
      <c r="K18" s="813" t="s">
        <v>148</v>
      </c>
      <c r="L18" s="10"/>
      <c r="AG18" s="10"/>
      <c r="AH18" s="10"/>
    </row>
    <row r="19" spans="2:34" s="3" customFormat="1" ht="20.100000000000001" customHeight="1">
      <c r="B19" s="163" t="str">
        <f t="shared" si="0"/>
        <v>Length of water mains renewed using internal CAPEX [WSA1b]</v>
      </c>
      <c r="C19" s="27" t="s">
        <v>163</v>
      </c>
      <c r="D19" s="7" t="s">
        <v>168</v>
      </c>
      <c r="E19" s="7" t="s">
        <v>169</v>
      </c>
      <c r="F19" s="198" t="s">
        <v>166</v>
      </c>
      <c r="G19" s="198">
        <f>IF(ISBLANK('Previous years'!E17),"",'Previous years'!E17)</f>
        <v>0.89800000000000002</v>
      </c>
      <c r="H19" s="810">
        <f>([2]Sheet1!$B$13-H20)/1000</f>
        <v>0.26376168999999999</v>
      </c>
      <c r="I19" s="12" t="s">
        <v>57</v>
      </c>
      <c r="J19" s="12" t="s">
        <v>167</v>
      </c>
      <c r="K19" s="813" t="s">
        <v>170</v>
      </c>
      <c r="L19" s="12"/>
      <c r="AG19" s="12"/>
      <c r="AH19" s="12"/>
    </row>
    <row r="20" spans="2:34" s="3" customFormat="1" ht="20.100000000000001" customHeight="1">
      <c r="B20" s="163" t="str">
        <f t="shared" si="0"/>
        <v>Length of new water mains constructed using internal CAPEX [WSA1c]</v>
      </c>
      <c r="C20" s="27" t="s">
        <v>163</v>
      </c>
      <c r="D20" s="6" t="s">
        <v>171</v>
      </c>
      <c r="E20" s="6" t="s">
        <v>172</v>
      </c>
      <c r="F20" s="196" t="s">
        <v>166</v>
      </c>
      <c r="G20" s="196">
        <f>IF(ISBLANK('Previous years'!E18),"",'Previous years'!E18)</f>
        <v>6.431</v>
      </c>
      <c r="H20" s="810">
        <f>[2]Sheet1!$B$8/1000</f>
        <v>3.8310000000000004E-2</v>
      </c>
      <c r="I20" s="12" t="s">
        <v>57</v>
      </c>
      <c r="J20" s="12" t="s">
        <v>167</v>
      </c>
      <c r="K20" s="813" t="s">
        <v>173</v>
      </c>
      <c r="L20" s="12"/>
      <c r="AG20" s="12"/>
      <c r="AH20" s="12"/>
    </row>
    <row r="21" spans="2:34" s="3" customFormat="1" ht="20.100000000000001" customHeight="1">
      <c r="B21" s="163" t="str">
        <f t="shared" si="0"/>
        <v>Condition grade 1: Water pipelines [WSA2a]</v>
      </c>
      <c r="C21" s="27" t="s">
        <v>163</v>
      </c>
      <c r="D21" s="6" t="s">
        <v>174</v>
      </c>
      <c r="E21" s="52" t="s">
        <v>175</v>
      </c>
      <c r="F21" s="196" t="s">
        <v>111</v>
      </c>
      <c r="G21" s="195">
        <f>IF(ISBLANK('Previous years'!E19),"",'Previous years'!E19)</f>
        <v>0.5776</v>
      </c>
      <c r="H21" s="141"/>
      <c r="I21" s="24"/>
      <c r="J21" s="24"/>
      <c r="K21" s="24"/>
      <c r="L21" s="799" t="s">
        <v>176</v>
      </c>
      <c r="AG21" s="12"/>
      <c r="AH21" s="12"/>
    </row>
    <row r="22" spans="2:34" s="3" customFormat="1" ht="20.100000000000001" customHeight="1">
      <c r="B22" s="163" t="str">
        <f t="shared" si="0"/>
        <v>Condition grade 2: Water pipelines [WSA2b]</v>
      </c>
      <c r="C22" s="27" t="s">
        <v>163</v>
      </c>
      <c r="D22" s="6" t="s">
        <v>177</v>
      </c>
      <c r="E22" s="52" t="s">
        <v>178</v>
      </c>
      <c r="F22" s="196" t="s">
        <v>111</v>
      </c>
      <c r="G22" s="195">
        <f>IF(ISBLANK('Previous years'!E20),"",'Previous years'!E20)</f>
        <v>0.1401</v>
      </c>
      <c r="H22" s="139"/>
      <c r="I22" s="24"/>
      <c r="J22" s="24"/>
      <c r="K22" s="24"/>
      <c r="L22" s="799" t="s">
        <v>176</v>
      </c>
      <c r="AG22" s="12"/>
      <c r="AH22" s="12"/>
    </row>
    <row r="23" spans="2:34" s="3" customFormat="1" ht="20.100000000000001" customHeight="1">
      <c r="B23" s="163" t="str">
        <f t="shared" si="0"/>
        <v>Condition grade 3: Water pipelines [WSA2c]</v>
      </c>
      <c r="C23" s="27" t="s">
        <v>163</v>
      </c>
      <c r="D23" s="6" t="s">
        <v>179</v>
      </c>
      <c r="E23" s="52" t="s">
        <v>180</v>
      </c>
      <c r="F23" s="196" t="s">
        <v>111</v>
      </c>
      <c r="G23" s="195">
        <f>IF(ISBLANK('Previous years'!E21),"",'Previous years'!E21)</f>
        <v>0.11219999999999999</v>
      </c>
      <c r="H23" s="139"/>
      <c r="I23" s="24"/>
      <c r="J23" s="24"/>
      <c r="K23" s="24"/>
      <c r="L23" s="799" t="s">
        <v>176</v>
      </c>
      <c r="AG23" s="12"/>
      <c r="AH23" s="12"/>
    </row>
    <row r="24" spans="2:34" s="3" customFormat="1" ht="20.100000000000001" customHeight="1">
      <c r="B24" s="163" t="str">
        <f t="shared" si="0"/>
        <v>Condition grade 4: Water pipelines [WSA2d]</v>
      </c>
      <c r="C24" s="27" t="s">
        <v>163</v>
      </c>
      <c r="D24" s="6" t="s">
        <v>181</v>
      </c>
      <c r="E24" s="52" t="s">
        <v>182</v>
      </c>
      <c r="F24" s="196" t="s">
        <v>111</v>
      </c>
      <c r="G24" s="195">
        <f>IF(ISBLANK('Previous years'!E22),"",'Previous years'!E22)</f>
        <v>9.1200000000000003E-2</v>
      </c>
      <c r="H24" s="139"/>
      <c r="I24" s="24"/>
      <c r="J24" s="24"/>
      <c r="K24" s="24"/>
      <c r="L24" s="799" t="s">
        <v>176</v>
      </c>
      <c r="AG24" s="12"/>
      <c r="AH24" s="12"/>
    </row>
    <row r="25" spans="2:34" s="3" customFormat="1" ht="20.100000000000001" customHeight="1">
      <c r="B25" s="163" t="str">
        <f t="shared" si="0"/>
        <v>Condition grade 5: Water pipelines [WSA2e]</v>
      </c>
      <c r="C25" s="27" t="s">
        <v>163</v>
      </c>
      <c r="D25" s="6" t="s">
        <v>183</v>
      </c>
      <c r="E25" s="52" t="s">
        <v>184</v>
      </c>
      <c r="F25" s="196" t="s">
        <v>111</v>
      </c>
      <c r="G25" s="195">
        <f>IF(ISBLANK('Previous years'!E23),"",'Previous years'!E23)</f>
        <v>1.2800000000000001E-2</v>
      </c>
      <c r="H25" s="139"/>
      <c r="I25" s="24"/>
      <c r="J25" s="24"/>
      <c r="K25" s="24"/>
      <c r="L25" s="799" t="s">
        <v>176</v>
      </c>
      <c r="AG25" s="12"/>
      <c r="AH25" s="12"/>
    </row>
    <row r="26" spans="2:34" s="3" customFormat="1" ht="20.100000000000001" customHeight="1">
      <c r="B26" s="163" t="str">
        <f t="shared" si="0"/>
        <v>Not assessed: Water pipelines [WSA2f]</v>
      </c>
      <c r="C26" s="27" t="s">
        <v>163</v>
      </c>
      <c r="D26" s="6" t="s">
        <v>185</v>
      </c>
      <c r="E26" s="52" t="s">
        <v>186</v>
      </c>
      <c r="F26" s="196" t="s">
        <v>111</v>
      </c>
      <c r="G26" s="195">
        <f>IF(ISBLANK('Previous years'!E24),"",'Previous years'!E24)</f>
        <v>6.6100000000000006E-2</v>
      </c>
      <c r="H26" s="139"/>
      <c r="I26" s="24"/>
      <c r="J26" s="24"/>
      <c r="K26" s="24"/>
      <c r="L26" s="799" t="s">
        <v>176</v>
      </c>
      <c r="AG26" s="12"/>
      <c r="AH26" s="12"/>
    </row>
    <row r="27" spans="2:34" s="3" customFormat="1" ht="20.100000000000001" customHeight="1" thickBot="1">
      <c r="B27" s="163" t="str">
        <f t="shared" si="0"/>
        <v>Pipeline Condition Assessment Approach [WSA2g]</v>
      </c>
      <c r="C27" s="27" t="s">
        <v>163</v>
      </c>
      <c r="D27" s="245" t="s">
        <v>187</v>
      </c>
      <c r="E27" s="245" t="s">
        <v>188</v>
      </c>
      <c r="F27" s="315" t="s">
        <v>159</v>
      </c>
      <c r="G27" s="323" t="str">
        <f>IF(ISBLANK('Previous years'!E25),"",'Previous years'!E25)</f>
        <v>Informal</v>
      </c>
      <c r="H27" s="277" t="s">
        <v>189</v>
      </c>
      <c r="I27" s="23"/>
      <c r="J27" s="24"/>
      <c r="K27" s="24"/>
      <c r="L27" s="799" t="s">
        <v>176</v>
      </c>
      <c r="AG27" s="10"/>
      <c r="AH27" s="10"/>
    </row>
    <row r="28" spans="2:34" s="3" customFormat="1" ht="20.100000000000001" customHeight="1" thickBot="1">
      <c r="B28" s="163" t="str">
        <f t="shared" si="0"/>
        <v>Average Age of Water Pipelines [WSA3]</v>
      </c>
      <c r="C28" s="72" t="s">
        <v>163</v>
      </c>
      <c r="D28" s="311" t="s">
        <v>190</v>
      </c>
      <c r="E28" s="312" t="s">
        <v>191</v>
      </c>
      <c r="F28" s="324" t="s">
        <v>192</v>
      </c>
      <c r="G28" s="324">
        <f>IF(ISBLANK('Previous years'!E26),"",'Previous years'!E26)</f>
        <v>17.600000000000001</v>
      </c>
      <c r="H28" s="314">
        <v>19.3</v>
      </c>
      <c r="I28" s="76" t="s">
        <v>57</v>
      </c>
      <c r="J28" s="76" t="s">
        <v>167</v>
      </c>
      <c r="K28" s="813" t="s">
        <v>148</v>
      </c>
      <c r="L28" s="75"/>
      <c r="AG28" s="75"/>
      <c r="AH28" s="75"/>
    </row>
    <row r="29" spans="2:34" s="3" customFormat="1" ht="20.100000000000001" customHeight="1" thickBot="1">
      <c r="B29" s="163" t="str">
        <f t="shared" si="0"/>
        <v>Water Treatment Plants [WSA4]</v>
      </c>
      <c r="C29" s="319" t="s">
        <v>193</v>
      </c>
      <c r="D29" s="311" t="s">
        <v>194</v>
      </c>
      <c r="E29" s="312" t="s">
        <v>195</v>
      </c>
      <c r="F29" s="322" t="s">
        <v>54</v>
      </c>
      <c r="G29" s="322">
        <f>IF(ISBLANK('Previous years'!E27),"",'Previous years'!E27)</f>
        <v>12</v>
      </c>
      <c r="H29" s="314">
        <v>12</v>
      </c>
      <c r="I29" s="11" t="s">
        <v>57</v>
      </c>
      <c r="J29" s="10" t="s">
        <v>167</v>
      </c>
      <c r="K29" s="814" t="s">
        <v>196</v>
      </c>
      <c r="L29" s="10"/>
      <c r="AG29" s="10"/>
      <c r="AH29" s="10"/>
    </row>
    <row r="30" spans="2:34" s="3" customFormat="1" ht="20.100000000000001" customHeight="1" thickBot="1">
      <c r="B30" s="163" t="str">
        <f t="shared" si="0"/>
        <v>Water Treatment Plant Standby Generators [WSA4a]</v>
      </c>
      <c r="C30" s="27" t="s">
        <v>193</v>
      </c>
      <c r="D30" s="327" t="s">
        <v>197</v>
      </c>
      <c r="E30" s="327" t="s">
        <v>198</v>
      </c>
      <c r="F30" s="328" t="s">
        <v>54</v>
      </c>
      <c r="G30" s="309">
        <f>IF(ISBLANK('Previous years'!E28),"",'Previous years'!E28)</f>
        <v>5</v>
      </c>
      <c r="H30" s="162">
        <v>5</v>
      </c>
      <c r="I30" s="12" t="s">
        <v>57</v>
      </c>
      <c r="J30" s="12" t="s">
        <v>199</v>
      </c>
      <c r="K30" s="814" t="s">
        <v>196</v>
      </c>
      <c r="L30" s="12"/>
      <c r="AG30" s="12"/>
      <c r="AH30" s="12"/>
    </row>
    <row r="31" spans="2:34" s="3" customFormat="1" ht="20.100000000000001" customHeight="1" thickBot="1">
      <c r="B31" s="163" t="str">
        <f t="shared" si="0"/>
        <v>Water Pump Stations [WSA5]</v>
      </c>
      <c r="C31" s="298" t="s">
        <v>193</v>
      </c>
      <c r="D31" s="311" t="s">
        <v>200</v>
      </c>
      <c r="E31" s="312" t="s">
        <v>201</v>
      </c>
      <c r="F31" s="322" t="s">
        <v>54</v>
      </c>
      <c r="G31" s="322">
        <f>IF(ISBLANK('Previous years'!E29),"",'Previous years'!E29)</f>
        <v>33</v>
      </c>
      <c r="H31" s="314">
        <v>33</v>
      </c>
      <c r="I31" s="11" t="s">
        <v>57</v>
      </c>
      <c r="J31" s="12" t="s">
        <v>167</v>
      </c>
      <c r="K31" s="814" t="s">
        <v>196</v>
      </c>
      <c r="L31" s="12"/>
      <c r="AG31" s="12"/>
      <c r="AH31" s="12"/>
    </row>
    <row r="32" spans="2:34" s="3" customFormat="1" ht="20.100000000000001" customHeight="1">
      <c r="B32" s="163" t="str">
        <f t="shared" si="0"/>
        <v>Water Pump Stations Standby Generators [WSA5a]</v>
      </c>
      <c r="C32" s="27" t="s">
        <v>193</v>
      </c>
      <c r="D32" s="325" t="s">
        <v>202</v>
      </c>
      <c r="E32" s="325" t="s">
        <v>203</v>
      </c>
      <c r="F32" s="326" t="s">
        <v>54</v>
      </c>
      <c r="G32" s="198">
        <f>IF(ISBLANK('Previous years'!E30),"",'Previous years'!E30)</f>
        <v>11</v>
      </c>
      <c r="H32" s="10">
        <v>11</v>
      </c>
      <c r="I32" s="12" t="s">
        <v>57</v>
      </c>
      <c r="J32" s="12" t="s">
        <v>204</v>
      </c>
      <c r="K32" s="814" t="s">
        <v>196</v>
      </c>
      <c r="L32" s="12"/>
      <c r="AG32" s="12"/>
      <c r="AH32" s="12"/>
    </row>
    <row r="33" spans="2:34" s="3" customFormat="1" ht="20.100000000000001" customHeight="1">
      <c r="B33" s="163" t="str">
        <f t="shared" si="0"/>
        <v>Water Supply Reservoirs [WSA6]</v>
      </c>
      <c r="C33" s="27" t="s">
        <v>193</v>
      </c>
      <c r="D33" s="6" t="s">
        <v>205</v>
      </c>
      <c r="E33" s="6" t="s">
        <v>206</v>
      </c>
      <c r="F33" s="196" t="s">
        <v>54</v>
      </c>
      <c r="G33" s="196">
        <f>IF(ISBLANK('Previous years'!E31),"",'Previous years'!E31)</f>
        <v>47</v>
      </c>
      <c r="H33" s="12">
        <v>47</v>
      </c>
      <c r="I33" s="12" t="s">
        <v>57</v>
      </c>
      <c r="J33" s="12" t="s">
        <v>167</v>
      </c>
      <c r="K33" s="814" t="s">
        <v>196</v>
      </c>
      <c r="L33" s="12" t="s">
        <v>207</v>
      </c>
      <c r="AG33" s="12"/>
      <c r="AH33" s="12"/>
    </row>
    <row r="34" spans="2:34" s="3" customFormat="1" ht="20.100000000000001" customHeight="1">
      <c r="B34" s="163" t="str">
        <f t="shared" si="0"/>
        <v>Water Stored in Reservoirs [WSA7]</v>
      </c>
      <c r="C34" s="27" t="s">
        <v>193</v>
      </c>
      <c r="D34" s="6" t="s">
        <v>208</v>
      </c>
      <c r="E34" s="6" t="s">
        <v>209</v>
      </c>
      <c r="F34" s="197" t="s">
        <v>210</v>
      </c>
      <c r="G34" s="197">
        <f>IF(ISBLANK('Previous years'!E32),"",'Previous years'!E32)</f>
        <v>26823.599999999999</v>
      </c>
      <c r="H34" s="12">
        <v>26823.599999999999</v>
      </c>
      <c r="I34" s="12" t="s">
        <v>57</v>
      </c>
      <c r="J34" s="12" t="s">
        <v>211</v>
      </c>
      <c r="K34" s="813" t="s">
        <v>79</v>
      </c>
      <c r="L34" s="12" t="s">
        <v>212</v>
      </c>
      <c r="AG34" s="12"/>
      <c r="AH34" s="12"/>
    </row>
    <row r="35" spans="2:34" s="3" customFormat="1" ht="20.100000000000001" customHeight="1" thickBot="1">
      <c r="B35" s="163" t="str">
        <f t="shared" si="0"/>
        <v>Capacity of Water Storage Reservoirs [WSA8]</v>
      </c>
      <c r="C35" s="27" t="s">
        <v>193</v>
      </c>
      <c r="D35" s="245" t="s">
        <v>213</v>
      </c>
      <c r="E35" s="245" t="s">
        <v>214</v>
      </c>
      <c r="F35" s="315" t="s">
        <v>210</v>
      </c>
      <c r="G35" s="315">
        <f>IF(ISBLANK('Previous years'!E33),"",'Previous years'!E33)</f>
        <v>29804</v>
      </c>
      <c r="H35" s="159">
        <v>29804</v>
      </c>
      <c r="I35" s="12" t="s">
        <v>26</v>
      </c>
      <c r="J35" s="12" t="s">
        <v>211</v>
      </c>
      <c r="K35" s="813" t="s">
        <v>79</v>
      </c>
      <c r="L35" s="12" t="s">
        <v>212</v>
      </c>
      <c r="AG35" s="12"/>
      <c r="AH35" s="12"/>
    </row>
    <row r="36" spans="2:34" s="3" customFormat="1" ht="20.100000000000001" customHeight="1">
      <c r="B36" s="163" t="str">
        <f t="shared" si="0"/>
        <v>Properties with Water Meters - Residential [WSA9a]</v>
      </c>
      <c r="C36" s="298" t="s">
        <v>193</v>
      </c>
      <c r="D36" s="302" t="s">
        <v>215</v>
      </c>
      <c r="E36" s="303" t="s">
        <v>216</v>
      </c>
      <c r="F36" s="304" t="s">
        <v>54</v>
      </c>
      <c r="G36" s="304">
        <f>IF(ISBLANK('Previous years'!E34),"",'Previous years'!E34)</f>
        <v>636</v>
      </c>
      <c r="H36" s="295">
        <v>960</v>
      </c>
      <c r="I36" s="11" t="s">
        <v>26</v>
      </c>
      <c r="J36" s="10" t="s">
        <v>167</v>
      </c>
      <c r="K36" s="813" t="s">
        <v>148</v>
      </c>
      <c r="L36" s="10"/>
      <c r="AG36" s="10"/>
      <c r="AH36" s="10"/>
    </row>
    <row r="37" spans="2:34" s="3" customFormat="1" ht="20.100000000000001" customHeight="1" thickBot="1">
      <c r="B37" s="163" t="str">
        <f t="shared" si="0"/>
        <v>Properties with Water Meters - Non-Residential  [WSA9b]</v>
      </c>
      <c r="C37" s="298" t="s">
        <v>193</v>
      </c>
      <c r="D37" s="305" t="s">
        <v>217</v>
      </c>
      <c r="E37" s="306" t="s">
        <v>218</v>
      </c>
      <c r="F37" s="307" t="s">
        <v>54</v>
      </c>
      <c r="G37" s="307">
        <f>IF(ISBLANK('Previous years'!E35),"",'Previous years'!E35)</f>
        <v>67</v>
      </c>
      <c r="H37" s="297">
        <v>71</v>
      </c>
      <c r="I37" s="11" t="s">
        <v>26</v>
      </c>
      <c r="J37" s="12" t="s">
        <v>167</v>
      </c>
      <c r="K37" s="813" t="s">
        <v>148</v>
      </c>
      <c r="L37" s="12"/>
      <c r="AG37" s="12"/>
      <c r="AH37" s="12"/>
    </row>
    <row r="38" spans="2:34" s="3" customFormat="1" ht="20.100000000000001" customHeight="1">
      <c r="B38" s="163" t="str">
        <f t="shared" si="0"/>
        <v>Properties with Water Restrictors [WSA10]</v>
      </c>
      <c r="C38" s="27" t="s">
        <v>193</v>
      </c>
      <c r="D38" s="7" t="s">
        <v>219</v>
      </c>
      <c r="E38" s="7" t="s">
        <v>220</v>
      </c>
      <c r="F38" s="198" t="s">
        <v>54</v>
      </c>
      <c r="G38" s="198">
        <f>IF(ISBLANK('Previous years'!E36),"",'Previous years'!E36)</f>
        <v>39</v>
      </c>
      <c r="H38" s="10">
        <v>39</v>
      </c>
      <c r="I38" s="12" t="s">
        <v>26</v>
      </c>
      <c r="J38" s="12"/>
      <c r="K38" s="813" t="s">
        <v>148</v>
      </c>
      <c r="L38" s="12" t="s">
        <v>221</v>
      </c>
      <c r="AG38" s="12"/>
      <c r="AH38" s="12"/>
    </row>
    <row r="39" spans="2:34" s="3" customFormat="1" ht="20.100000000000001" customHeight="1">
      <c r="B39" s="163" t="str">
        <f t="shared" si="0"/>
        <v>Water Treatment Sludge Production [WSA11]</v>
      </c>
      <c r="C39" s="27" t="s">
        <v>193</v>
      </c>
      <c r="D39" s="6" t="s">
        <v>222</v>
      </c>
      <c r="E39" s="6" t="s">
        <v>223</v>
      </c>
      <c r="F39" s="196" t="s">
        <v>224</v>
      </c>
      <c r="G39" s="196" t="str">
        <f>IF(ISBLANK('Previous years'!E37),"",'Previous years'!E37)</f>
        <v/>
      </c>
      <c r="H39" s="12">
        <v>0</v>
      </c>
      <c r="I39" s="12"/>
      <c r="J39" s="12"/>
      <c r="K39" s="12"/>
      <c r="L39" s="12"/>
      <c r="AG39" s="12"/>
      <c r="AH39" s="12"/>
    </row>
    <row r="40" spans="2:34" s="3" customFormat="1" ht="21" customHeight="1">
      <c r="B40" s="163" t="str">
        <f t="shared" si="0"/>
        <v>Above ground asset condition assessment programme [WSA13a]</v>
      </c>
      <c r="C40" s="27" t="s">
        <v>193</v>
      </c>
      <c r="D40" s="6" t="s">
        <v>225</v>
      </c>
      <c r="E40" s="214" t="s">
        <v>226</v>
      </c>
      <c r="F40" s="196" t="s">
        <v>121</v>
      </c>
      <c r="G40" s="196" t="str">
        <f>IF(ISBLANK('Previous years'!E38),"",'Previous years'!E38)</f>
        <v>No</v>
      </c>
      <c r="H40" s="12" t="s">
        <v>122</v>
      </c>
      <c r="I40" s="23"/>
      <c r="J40" s="12" t="s">
        <v>227</v>
      </c>
      <c r="K40" s="813" t="s">
        <v>148</v>
      </c>
      <c r="L40" s="12"/>
      <c r="AG40" s="12"/>
      <c r="AH40" s="12"/>
    </row>
    <row r="41" spans="2:34" s="3" customFormat="1" ht="20.100000000000001" customHeight="1">
      <c r="B41" s="163" t="str">
        <f t="shared" si="0"/>
        <v>Protocol used for above ground condition assessments [WSA13b]</v>
      </c>
      <c r="C41" s="27" t="s">
        <v>193</v>
      </c>
      <c r="D41" s="6" t="s">
        <v>228</v>
      </c>
      <c r="E41" s="52" t="s">
        <v>229</v>
      </c>
      <c r="F41" s="197" t="s">
        <v>159</v>
      </c>
      <c r="G41" s="197" t="str">
        <f>IF(ISBLANK('Previous years'!E39),"",'Previous years'!E39)</f>
        <v>Visual Assesment Manual for Utility Assets</v>
      </c>
      <c r="H41" s="153" t="s">
        <v>189</v>
      </c>
      <c r="I41" s="23"/>
      <c r="J41" s="12" t="s">
        <v>227</v>
      </c>
      <c r="K41" s="813" t="s">
        <v>148</v>
      </c>
      <c r="L41" s="10"/>
      <c r="AG41" s="10"/>
      <c r="AH41" s="10"/>
    </row>
    <row r="42" spans="2:34" s="3" customFormat="1" ht="20.100000000000001" customHeight="1" thickBot="1">
      <c r="B42" s="163" t="str">
        <f t="shared" si="0"/>
        <v>Percent of above ground assets assessed within 3 years [WSA13c]</v>
      </c>
      <c r="C42" s="78" t="s">
        <v>193</v>
      </c>
      <c r="D42" s="329" t="s">
        <v>230</v>
      </c>
      <c r="E42" s="329" t="s">
        <v>231</v>
      </c>
      <c r="F42" s="299" t="s">
        <v>111</v>
      </c>
      <c r="G42" s="300">
        <f>IF(ISBLANK('Previous years'!E40),"",'Previous years'!E40)</f>
        <v>0.5</v>
      </c>
      <c r="H42" s="330">
        <v>0.5</v>
      </c>
      <c r="I42" s="75"/>
      <c r="J42" s="75" t="s">
        <v>227</v>
      </c>
      <c r="K42" s="813" t="s">
        <v>148</v>
      </c>
      <c r="L42" s="75"/>
      <c r="AG42" s="75"/>
      <c r="AH42" s="75"/>
    </row>
    <row r="43" spans="2:34" s="3" customFormat="1" ht="20.100000000000001" customHeight="1" thickBot="1">
      <c r="B43" s="163" t="str">
        <f t="shared" si="0"/>
        <v>Estimated total network water loss [WSE1a]</v>
      </c>
      <c r="C43" s="319" t="s">
        <v>232</v>
      </c>
      <c r="D43" s="311" t="s">
        <v>233</v>
      </c>
      <c r="E43" s="312" t="s">
        <v>234</v>
      </c>
      <c r="F43" s="313" t="s">
        <v>139</v>
      </c>
      <c r="G43" s="313">
        <f>IF(ISBLANK('Previous years'!E41),"",'Previous years'!E41)</f>
        <v>3929919.54</v>
      </c>
      <c r="H43" s="333">
        <v>3752138.39</v>
      </c>
      <c r="I43" s="9" t="s">
        <v>26</v>
      </c>
      <c r="J43" s="10" t="s">
        <v>235</v>
      </c>
      <c r="K43" s="813" t="s">
        <v>148</v>
      </c>
      <c r="L43" s="10"/>
      <c r="AG43" s="10"/>
      <c r="AH43" s="10"/>
    </row>
    <row r="44" spans="2:34" s="3" customFormat="1" ht="20.100000000000001" customHeight="1">
      <c r="B44" s="163" t="str">
        <f t="shared" si="0"/>
        <v>Percentage Estimated Total Network Water Loss [WSE1b]</v>
      </c>
      <c r="C44" s="27" t="s">
        <v>232</v>
      </c>
      <c r="D44" s="7" t="s">
        <v>236</v>
      </c>
      <c r="E44" s="77" t="s">
        <v>237</v>
      </c>
      <c r="F44" s="198" t="s">
        <v>111</v>
      </c>
      <c r="G44" s="331">
        <f>IF(ISBLANK('Previous years'!E42),"",'Previous years'!E42)</f>
        <v>0.33021292146658549</v>
      </c>
      <c r="H44" s="332">
        <f>IFERROR(H43/H11,"")</f>
        <v>0.30627128464066161</v>
      </c>
      <c r="I44" s="25" t="s">
        <v>66</v>
      </c>
      <c r="J44" s="25"/>
      <c r="K44" s="24"/>
      <c r="L44" s="24"/>
      <c r="AG44" s="24"/>
      <c r="AH44" s="24"/>
    </row>
    <row r="45" spans="2:34" s="3" customFormat="1" ht="20.100000000000001" customHeight="1" thickBot="1">
      <c r="B45" s="163" t="str">
        <f t="shared" si="0"/>
        <v>CARL (current annual real loss) [WSE1c]</v>
      </c>
      <c r="C45" s="27" t="s">
        <v>232</v>
      </c>
      <c r="D45" s="245" t="s">
        <v>238</v>
      </c>
      <c r="E45" s="245" t="s">
        <v>239</v>
      </c>
      <c r="F45" s="315" t="s">
        <v>139</v>
      </c>
      <c r="G45" s="315">
        <f>IF(ISBLANK('Previous years'!E43),"",'Previous years'!E43)</f>
        <v>3929919.54</v>
      </c>
      <c r="H45" s="255">
        <v>3752138.39</v>
      </c>
      <c r="I45" s="10" t="s">
        <v>26</v>
      </c>
      <c r="J45" s="12" t="s">
        <v>235</v>
      </c>
      <c r="K45" s="813" t="s">
        <v>148</v>
      </c>
      <c r="L45" s="12"/>
      <c r="AG45" s="12"/>
      <c r="AH45" s="12"/>
    </row>
    <row r="46" spans="2:34" s="3" customFormat="1" ht="20.100000000000001" customHeight="1" thickBot="1">
      <c r="B46" s="163" t="str">
        <f t="shared" si="0"/>
        <v>CARL (current annual real loss) [WSE1d]</v>
      </c>
      <c r="C46" s="298" t="s">
        <v>232</v>
      </c>
      <c r="D46" s="311" t="s">
        <v>240</v>
      </c>
      <c r="E46" s="312" t="s">
        <v>239</v>
      </c>
      <c r="F46" s="313" t="s">
        <v>241</v>
      </c>
      <c r="G46" s="313">
        <f>IF(ISBLANK('Previous years'!E44),"",'Previous years'!E44)</f>
        <v>607</v>
      </c>
      <c r="H46" s="333">
        <v>553</v>
      </c>
      <c r="I46" s="9" t="s">
        <v>26</v>
      </c>
      <c r="J46" s="12" t="s">
        <v>235</v>
      </c>
      <c r="K46" s="813" t="s">
        <v>148</v>
      </c>
      <c r="L46" s="12"/>
      <c r="AG46" s="12"/>
      <c r="AH46" s="12"/>
    </row>
    <row r="47" spans="2:34" s="3" customFormat="1" ht="20.100000000000001" customHeight="1">
      <c r="B47" s="163" t="str">
        <f t="shared" si="0"/>
        <v>CARL (current annual real loss) [WSE1e]</v>
      </c>
      <c r="C47" s="27" t="s">
        <v>232</v>
      </c>
      <c r="D47" s="7" t="s">
        <v>242</v>
      </c>
      <c r="E47" s="7" t="s">
        <v>239</v>
      </c>
      <c r="F47" s="199" t="s">
        <v>243</v>
      </c>
      <c r="G47" s="199">
        <f>IF(ISBLANK('Previous years'!E45),"",'Previous years'!E45)</f>
        <v>18.302686099922092</v>
      </c>
      <c r="H47" s="9">
        <f>H45/609.662/365</f>
        <v>16.861525247562504</v>
      </c>
      <c r="I47" s="10" t="s">
        <v>26</v>
      </c>
      <c r="J47" s="12" t="s">
        <v>235</v>
      </c>
      <c r="K47" s="813" t="s">
        <v>148</v>
      </c>
      <c r="L47" s="12"/>
      <c r="AG47" s="12"/>
      <c r="AH47" s="12"/>
    </row>
    <row r="48" spans="2:34" s="3" customFormat="1" ht="20.100000000000001" customHeight="1">
      <c r="B48" s="163" t="str">
        <f t="shared" si="0"/>
        <v>UARL (unavoidable annual real loss) [WSE1f]</v>
      </c>
      <c r="C48" s="27" t="s">
        <v>232</v>
      </c>
      <c r="D48" s="6" t="s">
        <v>244</v>
      </c>
      <c r="E48" s="6" t="s">
        <v>245</v>
      </c>
      <c r="F48" s="197" t="s">
        <v>139</v>
      </c>
      <c r="G48" s="197">
        <f>IF(ISBLANK('Previous years'!E46),"",'Previous years'!E46)</f>
        <v>311159.3356398</v>
      </c>
      <c r="H48" s="9">
        <f>(609.662*18*H51*365*100/10^8)+(0.8*H51*18600*365*100/10^8)*10^3</f>
        <v>326112.32876040001</v>
      </c>
      <c r="I48" s="10" t="s">
        <v>26</v>
      </c>
      <c r="J48" s="12" t="s">
        <v>235</v>
      </c>
      <c r="K48" s="813" t="s">
        <v>148</v>
      </c>
      <c r="L48" s="12"/>
      <c r="AG48" s="12"/>
      <c r="AH48" s="12"/>
    </row>
    <row r="49" spans="2:34" s="3" customFormat="1" ht="20.100000000000001" customHeight="1" thickBot="1">
      <c r="B49" s="163" t="str">
        <f t="shared" si="0"/>
        <v>UARL (unavoidable annual real loss) [WSE1g]</v>
      </c>
      <c r="C49" s="27" t="s">
        <v>232</v>
      </c>
      <c r="D49" s="245" t="s">
        <v>246</v>
      </c>
      <c r="E49" s="245" t="s">
        <v>245</v>
      </c>
      <c r="F49" s="315" t="s">
        <v>241</v>
      </c>
      <c r="G49" s="315">
        <f>IF(ISBLANK('Previous years'!E47),"",'Previous years'!E47)</f>
        <v>48.035799319321576</v>
      </c>
      <c r="H49" s="255">
        <f>H48*10^3/(18600*365*100/100)</f>
        <v>48.035399729032257</v>
      </c>
      <c r="I49" s="10" t="s">
        <v>26</v>
      </c>
      <c r="J49" s="12" t="s">
        <v>235</v>
      </c>
      <c r="K49" s="813" t="s">
        <v>148</v>
      </c>
      <c r="L49" s="12"/>
      <c r="AG49" s="12"/>
      <c r="AH49" s="12"/>
    </row>
    <row r="50" spans="2:34" s="3" customFormat="1" ht="20.100000000000001" customHeight="1" thickBot="1">
      <c r="B50" s="163" t="str">
        <f t="shared" si="0"/>
        <v>ILI ( infrastructure leakage index (=CARL/UARL) [WSE1h]</v>
      </c>
      <c r="C50" s="298" t="s">
        <v>232</v>
      </c>
      <c r="D50" s="311" t="s">
        <v>247</v>
      </c>
      <c r="E50" s="312" t="s">
        <v>248</v>
      </c>
      <c r="F50" s="322" t="s">
        <v>249</v>
      </c>
      <c r="G50" s="322">
        <f>IF(ISBLANK('Previous years'!E48),"",'Previous years'!E48)</f>
        <v>12.636408857588108</v>
      </c>
      <c r="H50" s="333">
        <f>H46/H49</f>
        <v>11.512343045326439</v>
      </c>
      <c r="I50" s="9" t="s">
        <v>26</v>
      </c>
      <c r="J50" s="12" t="s">
        <v>235</v>
      </c>
      <c r="K50" s="813" t="s">
        <v>148</v>
      </c>
      <c r="L50" s="12"/>
      <c r="AG50" s="12"/>
      <c r="AH50" s="12"/>
    </row>
    <row r="51" spans="2:34" s="3" customFormat="1" ht="20.100000000000001" customHeight="1" thickBot="1">
      <c r="B51" s="163" t="str">
        <f t="shared" si="0"/>
        <v>Average system pressure [WSE2]</v>
      </c>
      <c r="C51" s="78" t="s">
        <v>232</v>
      </c>
      <c r="D51" s="334" t="s">
        <v>250</v>
      </c>
      <c r="E51" s="334" t="s">
        <v>251</v>
      </c>
      <c r="F51" s="335" t="s">
        <v>252</v>
      </c>
      <c r="G51" s="335">
        <f>IF(ISBLANK('Previous years'!E49),"",'Previous years'!E49)</f>
        <v>60</v>
      </c>
      <c r="H51" s="81">
        <v>60</v>
      </c>
      <c r="I51" s="75" t="s">
        <v>26</v>
      </c>
      <c r="J51" s="75" t="s">
        <v>253</v>
      </c>
      <c r="K51" s="813" t="s">
        <v>148</v>
      </c>
      <c r="L51" s="75"/>
      <c r="AG51" s="75"/>
      <c r="AH51" s="75"/>
    </row>
    <row r="52" spans="2:34" s="3" customFormat="1" ht="20.100000000000001" customHeight="1">
      <c r="B52" s="163" t="str">
        <f t="shared" si="0"/>
        <v>Energy Consumption: Water Supply [WSE3]</v>
      </c>
      <c r="C52" s="26" t="s">
        <v>254</v>
      </c>
      <c r="D52" s="7" t="s">
        <v>255</v>
      </c>
      <c r="E52" s="7" t="s">
        <v>256</v>
      </c>
      <c r="F52" s="198" t="s">
        <v>257</v>
      </c>
      <c r="G52" s="204" t="str">
        <f>IF(ISBLANK('Previous years'!E50),"",'Previous years'!E50)</f>
        <v/>
      </c>
      <c r="H52" s="148"/>
      <c r="I52" s="10"/>
      <c r="J52" s="10"/>
      <c r="K52" s="10"/>
      <c r="L52" s="10" t="s">
        <v>258</v>
      </c>
      <c r="AG52" s="10"/>
      <c r="AH52" s="10"/>
    </row>
    <row r="53" spans="2:34" s="3" customFormat="1" ht="20.100000000000001" customHeight="1">
      <c r="B53" s="163" t="str">
        <f t="shared" si="0"/>
        <v>Energy Intensity: Water Supply [WSE3a]</v>
      </c>
      <c r="C53" s="27" t="s">
        <v>254</v>
      </c>
      <c r="D53" s="6" t="s">
        <v>259</v>
      </c>
      <c r="E53" s="6" t="s">
        <v>260</v>
      </c>
      <c r="F53" s="197" t="s">
        <v>261</v>
      </c>
      <c r="G53" s="197" t="str">
        <f>IF(ISBLANK('Previous years'!E51),"",'Previous years'!E51)</f>
        <v/>
      </c>
      <c r="H53" s="223">
        <f>IF(ISBLANK(H51),"",H52/H11)</f>
        <v>0</v>
      </c>
      <c r="I53" s="25" t="s">
        <v>66</v>
      </c>
      <c r="J53" s="25"/>
      <c r="K53" s="24"/>
      <c r="L53" s="24"/>
      <c r="AG53" s="12"/>
      <c r="AH53" s="12"/>
    </row>
    <row r="54" spans="2:34" s="3" customFormat="1" ht="20.100000000000001" customHeight="1" thickBot="1">
      <c r="B54" s="163" t="str">
        <f t="shared" si="0"/>
        <v>Energy Generation: Water Supply [WSE4]</v>
      </c>
      <c r="C54" s="78" t="s">
        <v>254</v>
      </c>
      <c r="D54" s="245" t="s">
        <v>262</v>
      </c>
      <c r="E54" s="245" t="s">
        <v>263</v>
      </c>
      <c r="F54" s="221" t="s">
        <v>257</v>
      </c>
      <c r="G54" s="221">
        <f>IF(ISBLANK('Previous years'!E52),"",'Previous years'!E52)</f>
        <v>0</v>
      </c>
      <c r="H54" s="354">
        <v>0</v>
      </c>
      <c r="I54" s="75"/>
      <c r="J54" s="164"/>
      <c r="K54" s="165"/>
      <c r="L54" s="165"/>
      <c r="AG54" s="74"/>
      <c r="AH54" s="74"/>
    </row>
    <row r="55" spans="2:34" s="3" customFormat="1" ht="20.100000000000001" customHeight="1" thickBot="1">
      <c r="B55" s="163" t="str">
        <f t="shared" si="0"/>
        <v>Unplanned Total Interruptions: Water Supply [WSS1]</v>
      </c>
      <c r="C55" s="319" t="s">
        <v>264</v>
      </c>
      <c r="D55" s="311" t="s">
        <v>265</v>
      </c>
      <c r="E55" s="312" t="s">
        <v>266</v>
      </c>
      <c r="F55" s="322" t="s">
        <v>267</v>
      </c>
      <c r="G55" s="313">
        <f>IF(ISBLANK('Previous years'!E53),"",'Previous years'!E53)</f>
        <v>117</v>
      </c>
      <c r="H55" s="333">
        <v>133</v>
      </c>
      <c r="I55" s="9" t="s">
        <v>57</v>
      </c>
      <c r="J55" s="10"/>
      <c r="K55" s="10" t="s">
        <v>79</v>
      </c>
      <c r="L55" s="10" t="s">
        <v>268</v>
      </c>
      <c r="AG55" s="10"/>
      <c r="AH55" s="10"/>
    </row>
    <row r="56" spans="2:34" s="3" customFormat="1" ht="20.100000000000001" customHeight="1">
      <c r="B56" s="163" t="str">
        <f t="shared" si="0"/>
        <v>Unplanned Interruption Frequency: Water Supply [WSS2]</v>
      </c>
      <c r="C56" s="27" t="s">
        <v>264</v>
      </c>
      <c r="D56" s="7" t="s">
        <v>269</v>
      </c>
      <c r="E56" s="7" t="s">
        <v>270</v>
      </c>
      <c r="F56" s="198" t="s">
        <v>271</v>
      </c>
      <c r="G56" s="199">
        <f>IF(ISBLANK('Previous years'!E54),"",'Previous years'!E54)</f>
        <v>4.3973390461156834</v>
      </c>
      <c r="H56" s="355">
        <f>IFERROR((H55/H10)*1000,"")</f>
        <v>4.7785003413214531</v>
      </c>
      <c r="I56" s="25" t="s">
        <v>66</v>
      </c>
      <c r="J56" s="25"/>
      <c r="K56" s="24"/>
      <c r="L56" s="24"/>
      <c r="AG56" s="24"/>
      <c r="AH56" s="24"/>
    </row>
    <row r="57" spans="2:34" s="3" customFormat="1" ht="20.100000000000001" customHeight="1">
      <c r="B57" s="163" t="str">
        <f t="shared" si="0"/>
        <v>Planned Interruptions: Water Supply [WSS3]</v>
      </c>
      <c r="C57" s="27" t="s">
        <v>264</v>
      </c>
      <c r="D57" s="6" t="s">
        <v>272</v>
      </c>
      <c r="E57" s="6" t="s">
        <v>273</v>
      </c>
      <c r="F57" s="196" t="s">
        <v>267</v>
      </c>
      <c r="G57" s="197">
        <f>IF(ISBLANK('Previous years'!E55),"",'Previous years'!E55)</f>
        <v>10</v>
      </c>
      <c r="H57" s="11">
        <v>47</v>
      </c>
      <c r="I57" s="12" t="s">
        <v>57</v>
      </c>
      <c r="J57" s="12"/>
      <c r="K57" s="12" t="s">
        <v>79</v>
      </c>
      <c r="L57" s="10" t="s">
        <v>268</v>
      </c>
      <c r="AG57" s="12"/>
      <c r="AH57" s="12"/>
    </row>
    <row r="58" spans="2:34" s="3" customFormat="1" ht="20.100000000000001" customHeight="1" thickBot="1">
      <c r="B58" s="163" t="str">
        <f t="shared" si="0"/>
        <v>Third Party Incidents: Water Supply [WSS4]</v>
      </c>
      <c r="C58" s="78" t="s">
        <v>264</v>
      </c>
      <c r="D58" s="245" t="s">
        <v>274</v>
      </c>
      <c r="E58" s="245" t="s">
        <v>275</v>
      </c>
      <c r="F58" s="221" t="s">
        <v>267</v>
      </c>
      <c r="G58" s="221">
        <f>IF(ISBLANK('Previous years'!E56),"",'Previous years'!E56)</f>
        <v>7</v>
      </c>
      <c r="H58" s="160">
        <v>50</v>
      </c>
      <c r="I58" s="75" t="s">
        <v>57</v>
      </c>
      <c r="J58" s="75"/>
      <c r="K58" s="75" t="s">
        <v>79</v>
      </c>
      <c r="L58" s="10" t="s">
        <v>268</v>
      </c>
      <c r="AG58" s="75"/>
      <c r="AH58" s="75"/>
    </row>
    <row r="59" spans="2:34" s="3" customFormat="1" ht="20.100000000000001" customHeight="1" thickBot="1">
      <c r="B59" s="163" t="str">
        <f t="shared" si="0"/>
        <v>Water Supply Complaints [WSS5]</v>
      </c>
      <c r="C59" s="319" t="s">
        <v>276</v>
      </c>
      <c r="D59" s="311" t="s">
        <v>277</v>
      </c>
      <c r="E59" s="336" t="s">
        <v>278</v>
      </c>
      <c r="F59" s="322" t="s">
        <v>54</v>
      </c>
      <c r="G59" s="322">
        <f>IF(ISBLANK('Previous years'!E57),"",'Previous years'!E57)</f>
        <v>142</v>
      </c>
      <c r="H59" s="337">
        <f>IF(NOT(COUNTA(H60:H65)),"",SUM(H60:H65))</f>
        <v>196</v>
      </c>
      <c r="I59" s="28" t="s">
        <v>66</v>
      </c>
      <c r="J59" s="28"/>
      <c r="K59" s="23" t="s">
        <v>79</v>
      </c>
      <c r="L59" s="23"/>
      <c r="AG59" s="23"/>
      <c r="AH59" s="23"/>
    </row>
    <row r="60" spans="2:34" s="3" customFormat="1" ht="20.100000000000001" customHeight="1">
      <c r="B60" s="163" t="str">
        <f t="shared" si="0"/>
        <v>Drinking water clarity complaints [WSS5a]</v>
      </c>
      <c r="C60" s="27" t="s">
        <v>276</v>
      </c>
      <c r="D60" s="7" t="s">
        <v>279</v>
      </c>
      <c r="E60" s="77" t="s">
        <v>280</v>
      </c>
      <c r="F60" s="198" t="s">
        <v>54</v>
      </c>
      <c r="G60" s="198">
        <f>IF(ISBLANK('Previous years'!E58),"",'Previous years'!E58)</f>
        <v>24</v>
      </c>
      <c r="H60" s="9">
        <v>41</v>
      </c>
      <c r="I60" s="12" t="s">
        <v>57</v>
      </c>
      <c r="J60" s="12"/>
      <c r="K60" s="12" t="s">
        <v>79</v>
      </c>
      <c r="L60" s="12"/>
      <c r="AG60" s="12"/>
      <c r="AH60" s="12"/>
    </row>
    <row r="61" spans="2:34" s="3" customFormat="1" ht="20.100000000000001" customHeight="1">
      <c r="B61" s="163" t="str">
        <f t="shared" si="0"/>
        <v>Drinking water taste complaints [WSS5b]</v>
      </c>
      <c r="C61" s="27" t="s">
        <v>276</v>
      </c>
      <c r="D61" s="6" t="s">
        <v>281</v>
      </c>
      <c r="E61" s="52" t="s">
        <v>282</v>
      </c>
      <c r="F61" s="196" t="s">
        <v>54</v>
      </c>
      <c r="G61" s="196">
        <f>IF(ISBLANK('Previous years'!E59),"",'Previous years'!E59)</f>
        <v>5</v>
      </c>
      <c r="H61" s="11">
        <v>5</v>
      </c>
      <c r="I61" s="12" t="s">
        <v>57</v>
      </c>
      <c r="J61" s="12"/>
      <c r="K61" s="12" t="s">
        <v>79</v>
      </c>
      <c r="L61" s="12"/>
      <c r="AG61" s="12"/>
      <c r="AH61" s="12"/>
    </row>
    <row r="62" spans="2:34" s="3" customFormat="1" ht="20.100000000000001" customHeight="1">
      <c r="B62" s="163" t="str">
        <f t="shared" si="0"/>
        <v>Drinking water odour complaints [WSS5c]</v>
      </c>
      <c r="C62" s="27" t="s">
        <v>276</v>
      </c>
      <c r="D62" s="6" t="s">
        <v>283</v>
      </c>
      <c r="E62" s="52" t="s">
        <v>284</v>
      </c>
      <c r="F62" s="196" t="s">
        <v>54</v>
      </c>
      <c r="G62" s="196">
        <f>IF(ISBLANK('Previous years'!E60),"",'Previous years'!E60)</f>
        <v>3</v>
      </c>
      <c r="H62" s="11">
        <v>2</v>
      </c>
      <c r="I62" s="12" t="s">
        <v>57</v>
      </c>
      <c r="J62" s="12"/>
      <c r="K62" s="12" t="s">
        <v>79</v>
      </c>
      <c r="L62" s="12"/>
      <c r="AG62" s="12"/>
      <c r="AH62" s="12"/>
    </row>
    <row r="63" spans="2:34" s="3" customFormat="1" ht="20.100000000000001" customHeight="1">
      <c r="B63" s="163" t="str">
        <f t="shared" si="0"/>
        <v>Drinking water pressure or flow complaints [WSS5d]</v>
      </c>
      <c r="C63" s="27" t="s">
        <v>276</v>
      </c>
      <c r="D63" s="6" t="s">
        <v>285</v>
      </c>
      <c r="E63" s="52" t="s">
        <v>286</v>
      </c>
      <c r="F63" s="196" t="s">
        <v>54</v>
      </c>
      <c r="G63" s="196">
        <f>IF(ISBLANK('Previous years'!E61),"",'Previous years'!E61)</f>
        <v>53</v>
      </c>
      <c r="H63" s="11">
        <v>75</v>
      </c>
      <c r="I63" s="12" t="s">
        <v>57</v>
      </c>
      <c r="J63" s="12"/>
      <c r="K63" s="12" t="s">
        <v>79</v>
      </c>
      <c r="L63" s="12"/>
      <c r="AG63" s="12"/>
      <c r="AH63" s="12"/>
    </row>
    <row r="64" spans="2:34" s="3" customFormat="1" ht="20.100000000000001" customHeight="1">
      <c r="B64" s="163" t="str">
        <f t="shared" si="0"/>
        <v>Continuity of water supply complaints [WSS5e]</v>
      </c>
      <c r="C64" s="27" t="s">
        <v>276</v>
      </c>
      <c r="D64" s="6" t="s">
        <v>287</v>
      </c>
      <c r="E64" s="52" t="s">
        <v>288</v>
      </c>
      <c r="F64" s="196" t="s">
        <v>54</v>
      </c>
      <c r="G64" s="196">
        <f>IF(ISBLANK('Previous years'!E62),"",'Previous years'!E62)</f>
        <v>57</v>
      </c>
      <c r="H64" s="11">
        <v>72</v>
      </c>
      <c r="I64" s="12" t="s">
        <v>57</v>
      </c>
      <c r="J64" s="10"/>
      <c r="K64" s="12" t="s">
        <v>79</v>
      </c>
      <c r="L64" s="10"/>
      <c r="AG64" s="10"/>
      <c r="AH64" s="10"/>
    </row>
    <row r="65" spans="2:34" s="3" customFormat="1" ht="20.100000000000001" customHeight="1">
      <c r="B65" s="163" t="str">
        <f t="shared" si="0"/>
        <v>The authorities response to any of these issues [WSS5f]</v>
      </c>
      <c r="C65" s="27"/>
      <c r="D65" s="245" t="s">
        <v>289</v>
      </c>
      <c r="E65" s="6" t="s">
        <v>290</v>
      </c>
      <c r="F65" s="221" t="s">
        <v>54</v>
      </c>
      <c r="G65" s="221" t="str">
        <f>IF(ISBLANK('Previous years'!E63),"",'Previous years'!E63)</f>
        <v/>
      </c>
      <c r="H65" s="160">
        <v>1</v>
      </c>
      <c r="I65" s="12" t="s">
        <v>57</v>
      </c>
      <c r="J65" s="162"/>
      <c r="K65" s="12" t="s">
        <v>79</v>
      </c>
      <c r="L65" s="162"/>
      <c r="AG65" s="162"/>
      <c r="AH65" s="162"/>
    </row>
    <row r="66" spans="2:34" s="3" customFormat="1" ht="20.100000000000001" customHeight="1" thickBot="1">
      <c r="B66" s="163" t="str">
        <f t="shared" si="0"/>
        <v>Water Supply Complaints Frequency [WSS6]</v>
      </c>
      <c r="C66" s="78" t="s">
        <v>276</v>
      </c>
      <c r="D66" s="73" t="s">
        <v>291</v>
      </c>
      <c r="E66" s="79" t="s">
        <v>292</v>
      </c>
      <c r="F66" s="200" t="s">
        <v>271</v>
      </c>
      <c r="G66" s="200">
        <f>IF(ISBLANK('Previous years'!E64),"",'Previous years'!E64)</f>
        <v>5.3369414063968126</v>
      </c>
      <c r="H66" s="205">
        <f>IFERROR((H59*1000)/H10,"")</f>
        <v>7.0420005030000361</v>
      </c>
      <c r="I66" s="74" t="s">
        <v>66</v>
      </c>
      <c r="J66" s="74"/>
      <c r="K66" s="74"/>
      <c r="L66" s="74"/>
      <c r="M66" s="127" t="s">
        <v>293</v>
      </c>
      <c r="N66" s="127" t="s">
        <v>294</v>
      </c>
      <c r="O66" s="127" t="s">
        <v>295</v>
      </c>
      <c r="P66" s="127" t="s">
        <v>296</v>
      </c>
      <c r="Q66" s="127" t="s">
        <v>297</v>
      </c>
      <c r="R66" s="127" t="s">
        <v>298</v>
      </c>
      <c r="S66" s="127" t="s">
        <v>299</v>
      </c>
      <c r="T66" s="127" t="s">
        <v>300</v>
      </c>
      <c r="U66" s="127" t="s">
        <v>301</v>
      </c>
      <c r="V66" s="127" t="s">
        <v>302</v>
      </c>
      <c r="W66" s="127" t="s">
        <v>303</v>
      </c>
      <c r="X66" s="127" t="s">
        <v>304</v>
      </c>
      <c r="Y66" s="127" t="s">
        <v>305</v>
      </c>
      <c r="Z66" s="127" t="s">
        <v>306</v>
      </c>
      <c r="AA66" s="127" t="s">
        <v>307</v>
      </c>
      <c r="AB66" s="127" t="s">
        <v>308</v>
      </c>
      <c r="AC66" s="127" t="s">
        <v>309</v>
      </c>
      <c r="AD66" s="127" t="s">
        <v>310</v>
      </c>
      <c r="AE66" s="127" t="s">
        <v>311</v>
      </c>
      <c r="AF66" s="127" t="s">
        <v>312</v>
      </c>
      <c r="AG66" s="74"/>
      <c r="AH66" s="74"/>
    </row>
    <row r="67" spans="2:34" s="3" customFormat="1" ht="20.100000000000001" customHeight="1" thickBot="1">
      <c r="B67" s="163" t="str">
        <f t="shared" si="0"/>
        <v>Number of different water charging regimes [WSS7]</v>
      </c>
      <c r="C67" s="26" t="s">
        <v>313</v>
      </c>
      <c r="D67" s="308" t="s">
        <v>314</v>
      </c>
      <c r="E67" s="308" t="s">
        <v>315</v>
      </c>
      <c r="F67" s="338" t="s">
        <v>54</v>
      </c>
      <c r="G67" s="338" t="str">
        <f>IF(ISBLANK('Previous years'!E65),"",'Previous years'!E65)</f>
        <v/>
      </c>
      <c r="H67" s="339"/>
      <c r="I67" s="142"/>
      <c r="J67" s="142"/>
      <c r="K67" s="142"/>
      <c r="L67" s="142"/>
      <c r="M67" s="23"/>
      <c r="N67" s="23"/>
      <c r="O67" s="23"/>
      <c r="P67" s="23"/>
      <c r="Q67" s="23"/>
      <c r="R67" s="23"/>
      <c r="S67" s="23"/>
      <c r="T67" s="23"/>
      <c r="U67" s="23"/>
      <c r="V67" s="23"/>
      <c r="W67" s="23"/>
      <c r="X67" s="23"/>
      <c r="Y67" s="23"/>
      <c r="Z67" s="23"/>
      <c r="AA67" s="23"/>
      <c r="AB67" s="23"/>
      <c r="AC67" s="23"/>
      <c r="AD67" s="23"/>
      <c r="AE67" s="23"/>
      <c r="AF67" s="23"/>
      <c r="AG67" s="142"/>
      <c r="AH67" s="142"/>
    </row>
    <row r="68" spans="2:34" s="3" customFormat="1" ht="20.100000000000001" customHeight="1">
      <c r="B68" s="163" t="str">
        <f t="shared" si="0"/>
        <v>Fixed Charge: Non-residential water [WSS7a]</v>
      </c>
      <c r="C68" s="298" t="s">
        <v>313</v>
      </c>
      <c r="D68" s="302" t="s">
        <v>316</v>
      </c>
      <c r="E68" s="303" t="s">
        <v>317</v>
      </c>
      <c r="F68" s="340" t="s">
        <v>318</v>
      </c>
      <c r="G68" s="340">
        <f>IF(ISBLANK('Previous years'!E66),"",'Previous years'!E66)</f>
        <v>887.0517051431857</v>
      </c>
      <c r="H68" s="341">
        <f>'MEDIAN (-9.3%)'!F70</f>
        <v>839.81596731674881</v>
      </c>
      <c r="I68" s="28"/>
      <c r="J68" s="10" t="s">
        <v>319</v>
      </c>
      <c r="K68" s="814" t="s">
        <v>320</v>
      </c>
      <c r="L68" s="10"/>
      <c r="M68" s="10"/>
      <c r="N68" s="10"/>
      <c r="O68" s="10"/>
      <c r="P68" s="10"/>
      <c r="Q68" s="10"/>
      <c r="R68" s="10"/>
      <c r="S68" s="10"/>
      <c r="T68" s="10"/>
      <c r="U68" s="10"/>
      <c r="V68" s="10"/>
      <c r="W68" s="10"/>
      <c r="X68" s="10"/>
      <c r="Y68" s="10"/>
      <c r="Z68" s="10"/>
      <c r="AA68" s="10"/>
      <c r="AB68" s="10"/>
      <c r="AC68" s="10"/>
      <c r="AD68" s="10"/>
      <c r="AE68" s="10"/>
      <c r="AF68" s="10"/>
      <c r="AG68" s="10"/>
      <c r="AH68" s="10"/>
    </row>
    <row r="69" spans="2:34" s="3" customFormat="1" ht="20.100000000000001" customHeight="1">
      <c r="B69" s="163" t="str">
        <f t="shared" si="0"/>
        <v>Fixed Charge Type: Non-residential water [WSS7b]</v>
      </c>
      <c r="C69" s="298" t="s">
        <v>313</v>
      </c>
      <c r="D69" s="342" t="s">
        <v>321</v>
      </c>
      <c r="E69" s="6" t="s">
        <v>322</v>
      </c>
      <c r="F69" s="197" t="s">
        <v>159</v>
      </c>
      <c r="G69" s="197" t="str">
        <f>IF(ISBLANK('Previous years'!E67),"",'Previous years'!E67)</f>
        <v>Targeted Rate</v>
      </c>
      <c r="H69" s="343" t="s">
        <v>323</v>
      </c>
      <c r="I69" s="25"/>
      <c r="J69" s="12"/>
      <c r="K69" s="814" t="s">
        <v>320</v>
      </c>
      <c r="L69" s="12"/>
      <c r="M69" s="24"/>
      <c r="N69" s="24"/>
      <c r="O69" s="24"/>
      <c r="P69" s="24"/>
      <c r="Q69" s="24"/>
      <c r="R69" s="24"/>
      <c r="S69" s="24"/>
      <c r="T69" s="24"/>
      <c r="U69" s="24"/>
      <c r="V69" s="24"/>
      <c r="W69" s="24"/>
      <c r="X69" s="24"/>
      <c r="Y69" s="24"/>
      <c r="Z69" s="24"/>
      <c r="AA69" s="24"/>
      <c r="AB69" s="24"/>
      <c r="AC69" s="24"/>
      <c r="AD69" s="24"/>
      <c r="AE69" s="24"/>
      <c r="AF69" s="24"/>
      <c r="AG69" s="12"/>
      <c r="AH69" s="12"/>
    </row>
    <row r="70" spans="2:34" s="3" customFormat="1" ht="20.100000000000001" customHeight="1" thickBot="1">
      <c r="B70" s="163" t="str">
        <f t="shared" si="0"/>
        <v>Volumetric Charge: Non-residential water [WSS7c]</v>
      </c>
      <c r="C70" s="298" t="s">
        <v>313</v>
      </c>
      <c r="D70" s="305" t="s">
        <v>324</v>
      </c>
      <c r="E70" s="306" t="s">
        <v>325</v>
      </c>
      <c r="F70" s="344" t="s">
        <v>326</v>
      </c>
      <c r="G70" s="344" t="str">
        <f>IF(ISBLANK('Previous years'!E68),"",'Previous years'!E68)</f>
        <v/>
      </c>
      <c r="H70" s="345" t="str">
        <f>IF(NOT(COUNTA(M70:AF70)),"",MEDIAN(M70:AF70))</f>
        <v/>
      </c>
      <c r="I70" s="25"/>
      <c r="J70" s="12"/>
      <c r="K70" s="10"/>
      <c r="L70" s="12"/>
      <c r="M70" s="12"/>
      <c r="N70" s="12"/>
      <c r="O70" s="12"/>
      <c r="P70" s="12"/>
      <c r="Q70" s="12"/>
      <c r="R70" s="12"/>
      <c r="S70" s="12"/>
      <c r="T70" s="12"/>
      <c r="U70" s="12"/>
      <c r="V70" s="12"/>
      <c r="W70" s="12"/>
      <c r="X70" s="12"/>
      <c r="Y70" s="12"/>
      <c r="Z70" s="12"/>
      <c r="AA70" s="12"/>
      <c r="AB70" s="12"/>
      <c r="AC70" s="12"/>
      <c r="AD70" s="12"/>
      <c r="AE70" s="12"/>
      <c r="AF70" s="12"/>
      <c r="AG70" s="12"/>
      <c r="AH70" s="12"/>
    </row>
    <row r="71" spans="2:34" s="3" customFormat="1" ht="20.100000000000001" customHeight="1">
      <c r="B71" s="163" t="str">
        <f t="shared" ref="B71:B115" si="1">E71&amp;" ["&amp;D71&amp;"]"</f>
        <v>Fixed Charge: Residential water [WSS8a]</v>
      </c>
      <c r="C71" s="27" t="s">
        <v>313</v>
      </c>
      <c r="D71" s="7" t="s">
        <v>327</v>
      </c>
      <c r="E71" s="7" t="s">
        <v>328</v>
      </c>
      <c r="F71" s="198" t="s">
        <v>318</v>
      </c>
      <c r="G71" s="198">
        <f>IF(ISBLANK('Previous years'!E69),"",'Previous years'!E69)</f>
        <v>498.81162652317204</v>
      </c>
      <c r="H71" s="151">
        <f>'MEDIAN (-9.3%)'!F33</f>
        <v>481.78551731985988</v>
      </c>
      <c r="I71" s="24"/>
      <c r="J71" s="12" t="s">
        <v>319</v>
      </c>
      <c r="K71" s="814" t="s">
        <v>320</v>
      </c>
      <c r="L71" s="12"/>
      <c r="M71" s="12"/>
      <c r="N71" s="12"/>
      <c r="O71" s="12"/>
      <c r="P71" s="12"/>
      <c r="Q71" s="12"/>
      <c r="R71" s="12"/>
      <c r="S71" s="12"/>
      <c r="T71" s="12"/>
      <c r="U71" s="12"/>
      <c r="V71" s="12"/>
      <c r="W71" s="12"/>
      <c r="X71" s="12"/>
      <c r="Y71" s="12"/>
      <c r="Z71" s="12"/>
      <c r="AA71" s="12"/>
      <c r="AB71" s="12"/>
      <c r="AC71" s="12"/>
      <c r="AD71" s="12"/>
      <c r="AE71" s="12"/>
      <c r="AF71" s="12"/>
      <c r="AG71" s="12"/>
      <c r="AH71" s="12"/>
    </row>
    <row r="72" spans="2:34" s="3" customFormat="1" ht="20.100000000000001" customHeight="1">
      <c r="B72" s="163" t="str">
        <f t="shared" si="1"/>
        <v>Fixed Charge Type: Residential water [WSS8b]</v>
      </c>
      <c r="C72" s="27" t="s">
        <v>313</v>
      </c>
      <c r="D72" s="6" t="s">
        <v>329</v>
      </c>
      <c r="E72" s="6" t="s">
        <v>330</v>
      </c>
      <c r="F72" s="197" t="s">
        <v>159</v>
      </c>
      <c r="G72" s="197" t="str">
        <f>IF(ISBLANK('Previous years'!E70),"",'Previous years'!E70)</f>
        <v>Targeted Rate</v>
      </c>
      <c r="H72" s="149" t="s">
        <v>323</v>
      </c>
      <c r="I72" s="24"/>
      <c r="J72" s="12"/>
      <c r="K72" s="814" t="s">
        <v>320</v>
      </c>
      <c r="L72" s="12"/>
      <c r="M72" s="24"/>
      <c r="N72" s="24"/>
      <c r="O72" s="24"/>
      <c r="P72" s="24"/>
      <c r="Q72" s="24"/>
      <c r="R72" s="24"/>
      <c r="S72" s="24"/>
      <c r="T72" s="24"/>
      <c r="U72" s="24"/>
      <c r="V72" s="24"/>
      <c r="W72" s="24"/>
      <c r="X72" s="24"/>
      <c r="Y72" s="24"/>
      <c r="Z72" s="24"/>
      <c r="AA72" s="24"/>
      <c r="AB72" s="24"/>
      <c r="AC72" s="24"/>
      <c r="AD72" s="24"/>
      <c r="AE72" s="24"/>
      <c r="AF72" s="24"/>
      <c r="AG72" s="12"/>
      <c r="AH72" s="12"/>
    </row>
    <row r="73" spans="2:34" s="3" customFormat="1" ht="20.100000000000001" customHeight="1">
      <c r="B73" s="163" t="str">
        <f t="shared" si="1"/>
        <v>Volumetric Charge: Residential water [WSS8c]</v>
      </c>
      <c r="C73" s="27" t="s">
        <v>313</v>
      </c>
      <c r="D73" s="6" t="s">
        <v>331</v>
      </c>
      <c r="E73" s="6" t="s">
        <v>332</v>
      </c>
      <c r="F73" s="197" t="s">
        <v>326</v>
      </c>
      <c r="G73" s="197" t="str">
        <f>IF(ISBLANK('Previous years'!E71),"",'Previous years'!E71)</f>
        <v/>
      </c>
      <c r="H73" s="151" t="str">
        <f>IF(NOT(COUNTA(M73:AF73)),"",MEDIAN(M73:AF73))</f>
        <v/>
      </c>
      <c r="I73" s="24"/>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row>
    <row r="74" spans="2:34" s="3" customFormat="1" ht="20.100000000000001" customHeight="1" thickBot="1">
      <c r="B74" s="163" t="str">
        <f t="shared" si="1"/>
        <v>Average Residential Water Charge Based on 200 m3/yr  [WSS9]</v>
      </c>
      <c r="C74" s="78" t="s">
        <v>313</v>
      </c>
      <c r="D74" s="245" t="s">
        <v>333</v>
      </c>
      <c r="E74" s="245" t="s">
        <v>334</v>
      </c>
      <c r="F74" s="315" t="s">
        <v>335</v>
      </c>
      <c r="G74" s="315">
        <f>IF(ISBLANK('Previous years'!E72),"",'Previous years'!E72)</f>
        <v>498.81162652317204</v>
      </c>
      <c r="H74" s="346" t="str">
        <f>IFERROR(H71+(H73*200),"")</f>
        <v/>
      </c>
      <c r="I74" s="74" t="s">
        <v>66</v>
      </c>
      <c r="J74" s="74"/>
      <c r="K74" s="74"/>
      <c r="L74" s="74"/>
      <c r="M74" s="80" t="str">
        <f>IF(ISBLANK(M71),"",(M71+(M73*200)))</f>
        <v/>
      </c>
      <c r="N74" s="80" t="str">
        <f t="shared" ref="N74:AF74" si="2">IF(ISBLANK(N71),"",(N71+(N73*200)))</f>
        <v/>
      </c>
      <c r="O74" s="80" t="str">
        <f t="shared" si="2"/>
        <v/>
      </c>
      <c r="P74" s="80" t="str">
        <f t="shared" si="2"/>
        <v/>
      </c>
      <c r="Q74" s="80" t="str">
        <f t="shared" si="2"/>
        <v/>
      </c>
      <c r="R74" s="80" t="str">
        <f t="shared" si="2"/>
        <v/>
      </c>
      <c r="S74" s="80" t="str">
        <f t="shared" si="2"/>
        <v/>
      </c>
      <c r="T74" s="80" t="str">
        <f t="shared" si="2"/>
        <v/>
      </c>
      <c r="U74" s="80" t="str">
        <f t="shared" si="2"/>
        <v/>
      </c>
      <c r="V74" s="80" t="str">
        <f t="shared" si="2"/>
        <v/>
      </c>
      <c r="W74" s="80" t="str">
        <f t="shared" si="2"/>
        <v/>
      </c>
      <c r="X74" s="80" t="str">
        <f t="shared" si="2"/>
        <v/>
      </c>
      <c r="Y74" s="80" t="str">
        <f t="shared" si="2"/>
        <v/>
      </c>
      <c r="Z74" s="80" t="str">
        <f t="shared" si="2"/>
        <v/>
      </c>
      <c r="AA74" s="80" t="str">
        <f t="shared" si="2"/>
        <v/>
      </c>
      <c r="AB74" s="80" t="str">
        <f t="shared" si="2"/>
        <v/>
      </c>
      <c r="AC74" s="80" t="str">
        <f t="shared" si="2"/>
        <v/>
      </c>
      <c r="AD74" s="80" t="str">
        <f t="shared" si="2"/>
        <v/>
      </c>
      <c r="AE74" s="80" t="str">
        <f t="shared" si="2"/>
        <v/>
      </c>
      <c r="AF74" s="80" t="str">
        <f t="shared" si="2"/>
        <v/>
      </c>
      <c r="AG74" s="74"/>
      <c r="AH74" s="74"/>
    </row>
    <row r="75" spans="2:34" s="3" customFormat="1" ht="20.100000000000001" customHeight="1">
      <c r="B75" s="163" t="str">
        <f t="shared" si="1"/>
        <v>Attendance for urgent water supply fault call-outs [WSS10a]</v>
      </c>
      <c r="C75" s="319" t="s">
        <v>336</v>
      </c>
      <c r="D75" s="302" t="s">
        <v>337</v>
      </c>
      <c r="E75" s="303" t="s">
        <v>338</v>
      </c>
      <c r="F75" s="304" t="s">
        <v>339</v>
      </c>
      <c r="G75" s="803">
        <f>IF(ISBLANK('Previous years'!E73),"",'Previous years'!E73)</f>
        <v>0.43333333333333335</v>
      </c>
      <c r="H75" s="804">
        <f>26.2/60</f>
        <v>0.43666666666666665</v>
      </c>
      <c r="I75" s="9"/>
      <c r="J75" s="10"/>
      <c r="K75" s="10" t="s">
        <v>79</v>
      </c>
      <c r="L75" s="10"/>
      <c r="AG75" s="10"/>
      <c r="AH75" s="10"/>
    </row>
    <row r="76" spans="2:34" s="3" customFormat="1" ht="20.100000000000001" customHeight="1">
      <c r="B76" s="163" t="str">
        <f t="shared" si="1"/>
        <v>Resolution for urgent water supply fault call-outs [WSS10b]</v>
      </c>
      <c r="C76" s="298" t="s">
        <v>336</v>
      </c>
      <c r="D76" s="348" t="s">
        <v>340</v>
      </c>
      <c r="E76" s="267" t="s">
        <v>341</v>
      </c>
      <c r="F76" s="220" t="s">
        <v>339</v>
      </c>
      <c r="G76" s="805">
        <f>IF(ISBLANK('Previous years'!E74),"",'Previous years'!E74)</f>
        <v>6.7833333333333332</v>
      </c>
      <c r="H76" s="806">
        <f>406/60</f>
        <v>6.7666666666666666</v>
      </c>
      <c r="I76" s="9"/>
      <c r="J76" s="10"/>
      <c r="K76" s="10" t="s">
        <v>79</v>
      </c>
      <c r="L76" s="10"/>
      <c r="AG76" s="10"/>
      <c r="AH76" s="10"/>
    </row>
    <row r="77" spans="2:34" s="3" customFormat="1" ht="20.100000000000001" customHeight="1">
      <c r="B77" s="163" t="str">
        <f t="shared" si="1"/>
        <v>Attendance for non-urgent water supply fault call-outs [WSS10c]</v>
      </c>
      <c r="C77" s="298" t="s">
        <v>336</v>
      </c>
      <c r="D77" s="349" t="s">
        <v>342</v>
      </c>
      <c r="E77" s="6" t="s">
        <v>343</v>
      </c>
      <c r="F77" s="196" t="s">
        <v>339</v>
      </c>
      <c r="G77" s="805">
        <f>IF(ISBLANK('Previous years'!E75),"",'Previous years'!E75)</f>
        <v>18.350000000000001</v>
      </c>
      <c r="H77" s="807">
        <f>647/60</f>
        <v>10.783333333333333</v>
      </c>
      <c r="I77" s="11"/>
      <c r="J77" s="12"/>
      <c r="K77" s="12" t="s">
        <v>79</v>
      </c>
      <c r="L77" s="12"/>
      <c r="AG77" s="12"/>
      <c r="AH77" s="12"/>
    </row>
    <row r="78" spans="2:34" s="3" customFormat="1" ht="20.100000000000001" customHeight="1" thickBot="1">
      <c r="B78" s="163" t="str">
        <f t="shared" si="1"/>
        <v>Resolution for non-urgent water supply fault call-outs [WSS10d]</v>
      </c>
      <c r="C78" s="72" t="s">
        <v>336</v>
      </c>
      <c r="D78" s="351" t="s">
        <v>344</v>
      </c>
      <c r="E78" s="352" t="s">
        <v>345</v>
      </c>
      <c r="F78" s="353" t="s">
        <v>339</v>
      </c>
      <c r="G78" s="808">
        <f>IF(ISBLANK('Previous years'!E76),"",'Previous years'!E76)</f>
        <v>53.083333333333336</v>
      </c>
      <c r="H78" s="809">
        <f>2571/60</f>
        <v>42.85</v>
      </c>
      <c r="I78" s="81"/>
      <c r="J78" s="82"/>
      <c r="K78" s="82" t="s">
        <v>79</v>
      </c>
      <c r="L78" s="82"/>
      <c r="AG78" s="82"/>
      <c r="AH78" s="82"/>
    </row>
    <row r="79" spans="2:34" s="3" customFormat="1" ht="20.100000000000001" customHeight="1" thickBot="1">
      <c r="B79" s="163" t="str">
        <f t="shared" si="1"/>
        <v>Water restriction days [WSS11]</v>
      </c>
      <c r="C79" s="83" t="s">
        <v>346</v>
      </c>
      <c r="D79" s="334" t="s">
        <v>347</v>
      </c>
      <c r="E79" s="334" t="s">
        <v>348</v>
      </c>
      <c r="F79" s="335" t="s">
        <v>349</v>
      </c>
      <c r="G79" s="335">
        <f>IF(ISBLANK('Previous years'!E77),"",'Previous years'!E77)</f>
        <v>0</v>
      </c>
      <c r="H79" s="81">
        <v>0</v>
      </c>
      <c r="I79" s="85"/>
      <c r="J79" s="85"/>
      <c r="K79" s="85"/>
      <c r="L79" s="85"/>
      <c r="AG79" s="85"/>
      <c r="AH79" s="85"/>
    </row>
    <row r="80" spans="2:34" s="3" customFormat="1" ht="20.100000000000001" customHeight="1" thickBot="1">
      <c r="B80" s="163" t="str">
        <f t="shared" si="1"/>
        <v>Fire hydrants tested in the previous five years [WSS12a]</v>
      </c>
      <c r="C80" s="26" t="s">
        <v>350</v>
      </c>
      <c r="D80" s="7" t="s">
        <v>351</v>
      </c>
      <c r="E80" s="77" t="s">
        <v>352</v>
      </c>
      <c r="F80" s="198" t="s">
        <v>111</v>
      </c>
      <c r="G80" s="198">
        <f>IF(ISBLANK('Previous years'!E78),"",'Previous years'!E78)</f>
        <v>2.0666E-4</v>
      </c>
      <c r="H80" s="150">
        <v>0</v>
      </c>
      <c r="I80" s="10" t="s">
        <v>27</v>
      </c>
      <c r="J80" s="10"/>
      <c r="K80" s="82" t="s">
        <v>79</v>
      </c>
      <c r="L80" s="10" t="s">
        <v>353</v>
      </c>
      <c r="AG80" s="10"/>
      <c r="AH80" s="10"/>
    </row>
    <row r="81" spans="2:34" s="3" customFormat="1" ht="20.100000000000001" customHeight="1" thickBot="1">
      <c r="B81" s="163" t="str">
        <f t="shared" si="1"/>
        <v>Non-compliant fire hydrants [WSS12b]</v>
      </c>
      <c r="C81" s="78" t="s">
        <v>350</v>
      </c>
      <c r="D81" s="245" t="s">
        <v>354</v>
      </c>
      <c r="E81" s="323" t="s">
        <v>355</v>
      </c>
      <c r="F81" s="221" t="s">
        <v>54</v>
      </c>
      <c r="G81" s="221" t="str">
        <f>IF(ISBLANK('Previous years'!E79),"",'Previous years'!E79)</f>
        <v/>
      </c>
      <c r="H81" s="160">
        <v>0</v>
      </c>
      <c r="I81" s="75" t="s">
        <v>57</v>
      </c>
      <c r="J81" s="75"/>
      <c r="K81" s="82" t="s">
        <v>79</v>
      </c>
      <c r="L81" s="75"/>
      <c r="AG81" s="75"/>
      <c r="AH81" s="75"/>
    </row>
    <row r="82" spans="2:34" s="3" customFormat="1" ht="20.100000000000001" customHeight="1">
      <c r="B82" s="163" t="str">
        <f t="shared" si="1"/>
        <v>Revenue from Supply of Water to Other Local Authorities [WSF1]</v>
      </c>
      <c r="C82" s="319" t="s">
        <v>356</v>
      </c>
      <c r="D82" s="302" t="s">
        <v>357</v>
      </c>
      <c r="E82" s="303" t="s">
        <v>358</v>
      </c>
      <c r="F82" s="304" t="s">
        <v>318</v>
      </c>
      <c r="G82" s="356" t="str">
        <f>IF(ISBLANK('Previous years'!E80),"",'Previous years'!E80)</f>
        <v/>
      </c>
      <c r="H82" s="357">
        <v>0</v>
      </c>
      <c r="I82" s="9" t="s">
        <v>57</v>
      </c>
      <c r="J82" s="10" t="s">
        <v>359</v>
      </c>
      <c r="K82" s="10" t="s">
        <v>360</v>
      </c>
      <c r="L82" s="10"/>
      <c r="AG82" s="10"/>
      <c r="AH82" s="10"/>
    </row>
    <row r="83" spans="2:34" s="3" customFormat="1" ht="20.100000000000001" customHeight="1">
      <c r="B83" s="163" t="str">
        <f t="shared" si="1"/>
        <v>Operating Revenue: Water Supply [WSF2]</v>
      </c>
      <c r="C83" s="298" t="s">
        <v>356</v>
      </c>
      <c r="D83" s="349" t="s">
        <v>361</v>
      </c>
      <c r="E83" s="6" t="s">
        <v>362</v>
      </c>
      <c r="F83" s="196" t="s">
        <v>318</v>
      </c>
      <c r="G83" s="225">
        <f>IF(ISBLANK('Previous years'!E81),"",'Previous years'!E81)</f>
        <v>9672937.7400000002</v>
      </c>
      <c r="H83" s="358">
        <f>'WS P&amp;L'!H11+'WS P&amp;L'!H12+'WS P&amp;L'!H15</f>
        <v>9647695.7100000009</v>
      </c>
      <c r="I83" s="11" t="s">
        <v>57</v>
      </c>
      <c r="J83" s="12" t="s">
        <v>363</v>
      </c>
      <c r="K83" s="814" t="s">
        <v>320</v>
      </c>
      <c r="L83" s="12"/>
      <c r="AG83" s="12"/>
      <c r="AH83" s="12"/>
    </row>
    <row r="84" spans="2:34" s="3" customFormat="1" ht="20.100000000000001" customHeight="1" thickBot="1">
      <c r="B84" s="163" t="str">
        <f t="shared" si="1"/>
        <v>Development Contribution Revenue: Water Supply [WSF3]</v>
      </c>
      <c r="C84" s="298" t="s">
        <v>356</v>
      </c>
      <c r="D84" s="305" t="s">
        <v>364</v>
      </c>
      <c r="E84" s="306" t="s">
        <v>365</v>
      </c>
      <c r="F84" s="307" t="s">
        <v>318</v>
      </c>
      <c r="G84" s="359">
        <f>IF(ISBLANK('Previous years'!E82),"",'Previous years'!E82)</f>
        <v>3922338.99</v>
      </c>
      <c r="H84" s="360">
        <f>'WS P&amp;L'!H40</f>
        <v>4562106.17</v>
      </c>
      <c r="I84" s="11" t="s">
        <v>57</v>
      </c>
      <c r="J84" s="12" t="s">
        <v>363</v>
      </c>
      <c r="K84" s="814" t="s">
        <v>320</v>
      </c>
      <c r="L84" s="12"/>
      <c r="AG84" s="12"/>
      <c r="AH84" s="12"/>
    </row>
    <row r="85" spans="2:34" s="3" customFormat="1" ht="20.100000000000001" customHeight="1">
      <c r="B85" s="163" t="str">
        <f t="shared" si="1"/>
        <v>Total Revenue: Water Supply [WSF4]</v>
      </c>
      <c r="C85" s="27" t="s">
        <v>356</v>
      </c>
      <c r="D85" s="7" t="s">
        <v>366</v>
      </c>
      <c r="E85" s="7" t="s">
        <v>367</v>
      </c>
      <c r="F85" s="198" t="s">
        <v>318</v>
      </c>
      <c r="G85" s="224">
        <f>IF(ISBLANK('Previous years'!E83),"",'Previous years'!E83)</f>
        <v>13595276.73</v>
      </c>
      <c r="H85" s="230">
        <f>SUMIF(H82:H84,"&gt;=0",H82:H84)</f>
        <v>14209801.880000001</v>
      </c>
      <c r="I85" s="24" t="s">
        <v>66</v>
      </c>
      <c r="J85" s="24"/>
      <c r="K85" s="24"/>
      <c r="L85" s="24"/>
      <c r="AG85" s="24"/>
      <c r="AH85" s="24"/>
    </row>
    <row r="86" spans="2:34" s="3" customFormat="1" ht="20.100000000000001" customHeight="1">
      <c r="B86" s="163" t="str">
        <f t="shared" si="1"/>
        <v>Revenue per Property: Water Supply [WSF5]</v>
      </c>
      <c r="C86" s="27" t="s">
        <v>356</v>
      </c>
      <c r="D86" s="6" t="s">
        <v>368</v>
      </c>
      <c r="E86" s="6" t="s">
        <v>369</v>
      </c>
      <c r="F86" s="196" t="s">
        <v>370</v>
      </c>
      <c r="G86" s="225">
        <f>IF(ISBLANK('Previous years'!E84),"",'Previous years'!E84)</f>
        <v>510.96616416732439</v>
      </c>
      <c r="H86" s="183">
        <f>IFERROR(H85/H10,"")</f>
        <v>510.53791829842277</v>
      </c>
      <c r="I86" s="24" t="s">
        <v>66</v>
      </c>
      <c r="J86" s="24"/>
      <c r="K86" s="24"/>
      <c r="L86" s="24"/>
      <c r="AG86" s="24"/>
      <c r="AH86" s="24"/>
    </row>
    <row r="87" spans="2:34" s="3" customFormat="1" ht="20.100000000000001" customHeight="1" thickBot="1">
      <c r="B87" s="163" t="str">
        <f t="shared" si="1"/>
        <v>Debt funding: Water Supply [WSF6]</v>
      </c>
      <c r="C87" s="78" t="s">
        <v>356</v>
      </c>
      <c r="D87" s="73" t="s">
        <v>371</v>
      </c>
      <c r="E87" s="73" t="s">
        <v>372</v>
      </c>
      <c r="F87" s="200" t="s">
        <v>318</v>
      </c>
      <c r="G87" s="226">
        <f>IF(ISBLANK('Previous years'!E85),"",'Previous years'!E85)</f>
        <v>1321690</v>
      </c>
      <c r="H87" s="227">
        <v>1292515</v>
      </c>
      <c r="I87" s="75" t="s">
        <v>57</v>
      </c>
      <c r="J87" s="75"/>
      <c r="K87" s="815" t="s">
        <v>373</v>
      </c>
      <c r="L87" s="75"/>
      <c r="AG87" s="75"/>
      <c r="AH87" s="75"/>
    </row>
    <row r="88" spans="2:34" s="3" customFormat="1" ht="20.100000000000001" customHeight="1">
      <c r="B88" s="163" t="str">
        <f t="shared" si="1"/>
        <v>Energy Costs: Water Supply [WSF7]</v>
      </c>
      <c r="C88" s="86" t="s">
        <v>374</v>
      </c>
      <c r="D88" s="87" t="s">
        <v>375</v>
      </c>
      <c r="E88" s="88" t="s">
        <v>376</v>
      </c>
      <c r="F88" s="202" t="s">
        <v>318</v>
      </c>
      <c r="G88" s="228">
        <f>IF(ISBLANK('Previous years'!E86),"",'Previous years'!E86)</f>
        <v>983747</v>
      </c>
      <c r="H88" s="229">
        <v>961100</v>
      </c>
      <c r="I88" s="89" t="s">
        <v>57</v>
      </c>
      <c r="J88" s="89" t="s">
        <v>199</v>
      </c>
      <c r="K88" s="89" t="s">
        <v>79</v>
      </c>
      <c r="L88" s="89" t="s">
        <v>377</v>
      </c>
      <c r="AG88" s="89"/>
      <c r="AH88" s="89"/>
    </row>
    <row r="89" spans="2:34" s="3" customFormat="1" ht="20.100000000000001" customHeight="1">
      <c r="B89" s="163" t="str">
        <f t="shared" si="1"/>
        <v>Chemicals and Consumables: Water Supply [WSF8]</v>
      </c>
      <c r="C89" s="27" t="s">
        <v>374</v>
      </c>
      <c r="D89" s="6" t="s">
        <v>378</v>
      </c>
      <c r="E89" s="52" t="s">
        <v>379</v>
      </c>
      <c r="F89" s="196" t="s">
        <v>318</v>
      </c>
      <c r="G89" s="225" t="str">
        <f>IF(ISBLANK('Previous years'!E87),"",'Previous years'!E87)</f>
        <v/>
      </c>
      <c r="H89" s="189"/>
      <c r="I89" s="12"/>
      <c r="J89" s="12"/>
      <c r="K89" s="12"/>
      <c r="L89" s="12" t="s">
        <v>380</v>
      </c>
      <c r="AG89" s="12"/>
      <c r="AH89" s="12"/>
    </row>
    <row r="90" spans="2:34" s="3" customFormat="1" ht="20.100000000000001" customHeight="1">
      <c r="B90" s="163" t="str">
        <f t="shared" si="1"/>
        <v>Routine maintenance: Water Supply [WSF9a]</v>
      </c>
      <c r="C90" s="27" t="s">
        <v>374</v>
      </c>
      <c r="D90" s="267" t="s">
        <v>381</v>
      </c>
      <c r="E90" s="267" t="s">
        <v>382</v>
      </c>
      <c r="F90" s="220" t="s">
        <v>318</v>
      </c>
      <c r="G90" s="225">
        <f>IF(ISBLANK('Previous years'!E88),"",'Previous years'!E88)</f>
        <v>1337715</v>
      </c>
      <c r="H90" s="189">
        <v>1316368.1599999999</v>
      </c>
      <c r="I90" s="12"/>
      <c r="J90" s="12"/>
      <c r="K90" s="814" t="s">
        <v>320</v>
      </c>
      <c r="L90" s="12"/>
      <c r="AG90" s="12"/>
      <c r="AH90" s="12"/>
    </row>
    <row r="91" spans="2:34" s="3" customFormat="1" ht="20.100000000000001" customHeight="1">
      <c r="B91" s="163" t="str">
        <f t="shared" si="1"/>
        <v>Reactive maintenance: Water Supply [WSF9b]</v>
      </c>
      <c r="C91" s="27" t="s">
        <v>374</v>
      </c>
      <c r="D91" s="267" t="s">
        <v>383</v>
      </c>
      <c r="E91" s="267" t="s">
        <v>384</v>
      </c>
      <c r="F91" s="220" t="s">
        <v>318</v>
      </c>
      <c r="G91" s="225">
        <f>IF(ISBLANK('Previous years'!E89),"",'Previous years'!E89)</f>
        <v>1609488</v>
      </c>
      <c r="H91" s="188">
        <v>1818731.15</v>
      </c>
      <c r="I91" s="10"/>
      <c r="J91" s="10"/>
      <c r="K91" s="814" t="s">
        <v>320</v>
      </c>
      <c r="L91" s="10"/>
      <c r="AG91" s="10"/>
      <c r="AH91" s="10"/>
    </row>
    <row r="92" spans="2:34" s="3" customFormat="1" ht="20.100000000000001" customHeight="1">
      <c r="B92" s="163" t="str">
        <f t="shared" si="1"/>
        <v>Management Costs: Water Supply [WSF10]</v>
      </c>
      <c r="C92" s="27" t="s">
        <v>374</v>
      </c>
      <c r="D92" s="267" t="s">
        <v>385</v>
      </c>
      <c r="E92" s="267" t="s">
        <v>386</v>
      </c>
      <c r="F92" s="220" t="s">
        <v>318</v>
      </c>
      <c r="G92" s="225">
        <f>IF(ISBLANK('Previous years'!E90),"",'Previous years'!E90)</f>
        <v>941693</v>
      </c>
      <c r="H92" s="188">
        <v>1116746.79</v>
      </c>
      <c r="I92" s="10"/>
      <c r="J92" s="10"/>
      <c r="K92" s="814" t="s">
        <v>320</v>
      </c>
      <c r="L92" s="10"/>
      <c r="AG92" s="10"/>
      <c r="AH92" s="10"/>
    </row>
    <row r="93" spans="2:34" s="3" customFormat="1" ht="20.100000000000001" customHeight="1" thickBot="1">
      <c r="B93" s="163" t="str">
        <f t="shared" si="1"/>
        <v>Council Contract Management Costs : Water Supply [WSF11]</v>
      </c>
      <c r="C93" s="27" t="s">
        <v>374</v>
      </c>
      <c r="D93" s="329" t="s">
        <v>387</v>
      </c>
      <c r="E93" s="329" t="s">
        <v>388</v>
      </c>
      <c r="F93" s="299" t="s">
        <v>318</v>
      </c>
      <c r="G93" s="361">
        <f>IF(ISBLANK('Previous years'!E91),"",'Previous years'!E91)</f>
        <v>66666.666666666672</v>
      </c>
      <c r="H93" s="362">
        <v>0</v>
      </c>
      <c r="I93" s="12"/>
      <c r="J93" s="12"/>
      <c r="K93" s="814" t="s">
        <v>320</v>
      </c>
      <c r="L93" s="12" t="s">
        <v>389</v>
      </c>
      <c r="AG93" s="12"/>
      <c r="AH93" s="12"/>
    </row>
    <row r="94" spans="2:34" s="3" customFormat="1" ht="20.100000000000001" customHeight="1" thickBot="1">
      <c r="B94" s="163" t="str">
        <f t="shared" si="1"/>
        <v>Operating Cost: Water Supply [WSF12]</v>
      </c>
      <c r="C94" s="298" t="s">
        <v>374</v>
      </c>
      <c r="D94" s="311" t="s">
        <v>390</v>
      </c>
      <c r="E94" s="312" t="s">
        <v>391</v>
      </c>
      <c r="F94" s="322" t="s">
        <v>318</v>
      </c>
      <c r="G94" s="363">
        <f>IF(ISBLANK('Previous years'!E92),"",'Previous years'!E92)</f>
        <v>4939309.666666667</v>
      </c>
      <c r="H94" s="364">
        <f>SUMIF(H88:H93,"&gt;=0",H88:H93)</f>
        <v>5212946.0999999996</v>
      </c>
      <c r="I94" s="28" t="s">
        <v>66</v>
      </c>
      <c r="J94" s="23"/>
      <c r="K94" s="23"/>
      <c r="L94" s="23"/>
      <c r="AG94" s="23"/>
      <c r="AH94" s="23"/>
    </row>
    <row r="95" spans="2:34" s="3" customFormat="1" ht="20.100000000000001" customHeight="1" thickBot="1">
      <c r="B95" s="163" t="str">
        <f t="shared" si="1"/>
        <v>Operating Cost per Property: Water Supply [WSF13]</v>
      </c>
      <c r="C95" s="27" t="s">
        <v>374</v>
      </c>
      <c r="D95" s="308" t="s">
        <v>392</v>
      </c>
      <c r="E95" s="308" t="s">
        <v>393</v>
      </c>
      <c r="F95" s="309" t="s">
        <v>370</v>
      </c>
      <c r="G95" s="365">
        <f>IF(ISBLANK('Previous years'!E93),"",'Previous years'!E93)</f>
        <v>185.63948083837587</v>
      </c>
      <c r="H95" s="366">
        <f>IFERROR(H94/H10,"")</f>
        <v>187.29371968526567</v>
      </c>
      <c r="I95" s="24" t="s">
        <v>66</v>
      </c>
      <c r="J95" s="24"/>
      <c r="K95" s="24"/>
      <c r="L95" s="24"/>
      <c r="AG95" s="24"/>
      <c r="AH95" s="24"/>
    </row>
    <row r="96" spans="2:34" s="3" customFormat="1" ht="20.100000000000001" customHeight="1" thickBot="1">
      <c r="B96" s="163" t="str">
        <f t="shared" si="1"/>
        <v>Annual Depreciation: Water Supply [WSF14]</v>
      </c>
      <c r="C96" s="298" t="s">
        <v>374</v>
      </c>
      <c r="D96" s="302" t="s">
        <v>394</v>
      </c>
      <c r="E96" s="303" t="s">
        <v>395</v>
      </c>
      <c r="F96" s="304" t="s">
        <v>318</v>
      </c>
      <c r="G96" s="356">
        <f>IF(ISBLANK('Previous years'!E94),"",'Previous years'!E94)</f>
        <v>5042140</v>
      </c>
      <c r="H96" s="357">
        <f>'WS P&amp;L'!H19</f>
        <v>5290202.1100000003</v>
      </c>
      <c r="I96" s="369" t="s">
        <v>57</v>
      </c>
      <c r="J96" s="89" t="s">
        <v>363</v>
      </c>
      <c r="K96" s="814" t="s">
        <v>320</v>
      </c>
      <c r="L96" s="12"/>
      <c r="AG96" s="12"/>
      <c r="AH96" s="12"/>
    </row>
    <row r="97" spans="2:34" s="3" customFormat="1" ht="20.100000000000001" customHeight="1" thickBot="1">
      <c r="B97" s="163" t="str">
        <f t="shared" si="1"/>
        <v>Interest: Water Supply [WSF15a]</v>
      </c>
      <c r="C97" s="298" t="s">
        <v>374</v>
      </c>
      <c r="D97" s="305" t="s">
        <v>396</v>
      </c>
      <c r="E97" s="306" t="s">
        <v>397</v>
      </c>
      <c r="F97" s="307" t="s">
        <v>318</v>
      </c>
      <c r="G97" s="359">
        <f>IF(ISBLANK('Previous years'!E95),"",'Previous years'!E95)</f>
        <v>732252</v>
      </c>
      <c r="H97" s="360">
        <f>'WS P&amp;L'!H32</f>
        <v>703394.48</v>
      </c>
      <c r="I97" s="369" t="s">
        <v>57</v>
      </c>
      <c r="J97" s="89" t="s">
        <v>363</v>
      </c>
      <c r="K97" s="814" t="s">
        <v>320</v>
      </c>
      <c r="L97" s="12"/>
      <c r="AG97" s="12"/>
      <c r="AH97" s="12"/>
    </row>
    <row r="98" spans="2:34" s="3" customFormat="1" ht="20.100000000000001" customHeight="1">
      <c r="B98" s="163" t="str">
        <f t="shared" si="1"/>
        <v>Debt affordability: Water Supply [WSF15b]</v>
      </c>
      <c r="C98" s="27" t="s">
        <v>374</v>
      </c>
      <c r="D98" s="7" t="s">
        <v>398</v>
      </c>
      <c r="E98" s="7" t="s">
        <v>399</v>
      </c>
      <c r="F98" s="198" t="s">
        <v>111</v>
      </c>
      <c r="G98" s="331">
        <f>IF(ISBLANK('Previous years'!E96),"",'Previous years'!E96)</f>
        <v>5.3860764627481031E-2</v>
      </c>
      <c r="H98" s="332">
        <f>IFERROR(H97/H85,"")</f>
        <v>4.9500653558725051E-2</v>
      </c>
      <c r="I98" s="24" t="s">
        <v>66</v>
      </c>
      <c r="J98" s="24"/>
      <c r="K98" s="24"/>
      <c r="L98" s="24"/>
      <c r="AG98" s="24"/>
      <c r="AH98" s="24"/>
    </row>
    <row r="99" spans="2:34" s="3" customFormat="1" ht="20.100000000000001" customHeight="1">
      <c r="B99" s="163" t="str">
        <f t="shared" si="1"/>
        <v>Operational Cost Coverage: Water Supply [WSF16]</v>
      </c>
      <c r="C99" s="27" t="s">
        <v>374</v>
      </c>
      <c r="D99" s="6" t="s">
        <v>400</v>
      </c>
      <c r="E99" s="6" t="s">
        <v>401</v>
      </c>
      <c r="F99" s="196" t="s">
        <v>111</v>
      </c>
      <c r="G99" s="195">
        <f>IF(ISBLANK('Previous years'!E97),"",'Previous years'!E97)</f>
        <v>0.90285673812396916</v>
      </c>
      <c r="H99" s="141">
        <f>IFERROR((H82+H83)/(H94+H96+H97),"")</f>
        <v>0.86089849268222429</v>
      </c>
      <c r="I99" s="24" t="s">
        <v>66</v>
      </c>
      <c r="J99" s="24"/>
      <c r="K99" s="24"/>
      <c r="L99" s="24"/>
      <c r="AG99" s="24"/>
      <c r="AH99" s="24"/>
    </row>
    <row r="100" spans="2:34" s="3" customFormat="1" ht="20.100000000000001" customHeight="1">
      <c r="B100" s="163" t="str">
        <f t="shared" si="1"/>
        <v>Total Cost: Water Supply [WSF17]</v>
      </c>
      <c r="C100" s="27" t="s">
        <v>374</v>
      </c>
      <c r="D100" s="6" t="s">
        <v>402</v>
      </c>
      <c r="E100" s="6" t="s">
        <v>403</v>
      </c>
      <c r="F100" s="196" t="s">
        <v>318</v>
      </c>
      <c r="G100" s="225">
        <f>IF(ISBLANK('Previous years'!E98),"",'Previous years'!E98)</f>
        <v>32094483.506666668</v>
      </c>
      <c r="H100" s="183">
        <f>SUMIF(H94,"&gt;=0",H94)+SUMIF(H96,"&gt;=0",H96)+SUMIF(H97,"&gt;=0",H97)+SUMIF(H106,"&gt;=0",H106)</f>
        <v>22645031.109999999</v>
      </c>
      <c r="I100" s="24" t="s">
        <v>66</v>
      </c>
      <c r="J100" s="24"/>
      <c r="K100" s="24"/>
      <c r="L100" s="24"/>
      <c r="AG100" s="24"/>
      <c r="AH100" s="24"/>
    </row>
    <row r="101" spans="2:34" s="3" customFormat="1" ht="20.100000000000001" customHeight="1" thickBot="1">
      <c r="B101" s="163" t="str">
        <f t="shared" si="1"/>
        <v>Total Cost per Property: Water Supply [WSF18]</v>
      </c>
      <c r="C101" s="27" t="s">
        <v>374</v>
      </c>
      <c r="D101" s="245" t="s">
        <v>404</v>
      </c>
      <c r="E101" s="245" t="s">
        <v>405</v>
      </c>
      <c r="F101" s="221" t="s">
        <v>370</v>
      </c>
      <c r="G101" s="361">
        <f>IF(ISBLANK('Previous years'!E99),"",'Previous years'!E99)</f>
        <v>1206.2420981947107</v>
      </c>
      <c r="H101" s="367">
        <f>IFERROR(H100/H10,"")</f>
        <v>813.60367585240544</v>
      </c>
      <c r="I101" s="24" t="s">
        <v>66</v>
      </c>
      <c r="J101" s="24"/>
      <c r="K101" s="24"/>
      <c r="L101" s="24"/>
      <c r="AG101" s="24"/>
      <c r="AH101" s="24"/>
    </row>
    <row r="102" spans="2:34" s="3" customFormat="1" ht="20.100000000000001" customHeight="1" thickBot="1">
      <c r="B102" s="163" t="str">
        <f t="shared" si="1"/>
        <v>Budgeted Capital Expenditure: Water Supply [WSF19]</v>
      </c>
      <c r="C102" s="298" t="s">
        <v>374</v>
      </c>
      <c r="D102" s="311" t="s">
        <v>406</v>
      </c>
      <c r="E102" s="336" t="s">
        <v>407</v>
      </c>
      <c r="F102" s="322" t="s">
        <v>318</v>
      </c>
      <c r="G102" s="363">
        <f>IF(ISBLANK('Previous years'!E100),"",'Previous years'!E100)</f>
        <v>28867015.740000002</v>
      </c>
      <c r="H102" s="364">
        <f>SUMIF(H103:H105,"&gt;=0",H103:H105)</f>
        <v>21979917.669999998</v>
      </c>
      <c r="I102" s="25" t="s">
        <v>66</v>
      </c>
      <c r="J102" s="24"/>
      <c r="K102" s="24"/>
      <c r="L102" s="24"/>
      <c r="AG102" s="24"/>
      <c r="AH102" s="24"/>
    </row>
    <row r="103" spans="2:34" s="3" customFormat="1" ht="20.100000000000001" customHeight="1">
      <c r="B103" s="163" t="str">
        <f t="shared" si="1"/>
        <v>Budgeted capital to meet additional demand [WSF19a]</v>
      </c>
      <c r="C103" s="27" t="s">
        <v>374</v>
      </c>
      <c r="D103" s="7" t="s">
        <v>408</v>
      </c>
      <c r="E103" s="77" t="s">
        <v>409</v>
      </c>
      <c r="F103" s="198" t="s">
        <v>318</v>
      </c>
      <c r="G103" s="224">
        <f>IF(ISBLANK('Previous years'!E101),"",'Previous years'!E101)</f>
        <v>12884727.352851361</v>
      </c>
      <c r="H103" s="188">
        <f>SUMIF(PROJECT_FINANCIAL_SUMMARY!$B:$B,"Water supply",PROJECT_FINANCIAL_SUMMARY!$AD:$AD)</f>
        <v>11671354.385540003</v>
      </c>
      <c r="I103" s="12" t="s">
        <v>57</v>
      </c>
      <c r="J103" s="12" t="s">
        <v>410</v>
      </c>
      <c r="K103" s="814" t="s">
        <v>320</v>
      </c>
      <c r="L103" s="10"/>
      <c r="AG103" s="10"/>
      <c r="AH103" s="10"/>
    </row>
    <row r="104" spans="2:34" s="3" customFormat="1" ht="20.100000000000001" customHeight="1">
      <c r="B104" s="163" t="str">
        <f t="shared" si="1"/>
        <v>Budgeted capital to improve the level of service [WSF19b]</v>
      </c>
      <c r="C104" s="27" t="s">
        <v>374</v>
      </c>
      <c r="D104" s="6" t="s">
        <v>411</v>
      </c>
      <c r="E104" s="52" t="s">
        <v>412</v>
      </c>
      <c r="F104" s="196" t="s">
        <v>318</v>
      </c>
      <c r="G104" s="225">
        <f>IF(ISBLANK('Previous years'!E102),"",'Previous years'!E102)</f>
        <v>12261523.70450497</v>
      </c>
      <c r="H104" s="188">
        <f>SUMIF(PROJECT_FINANCIAL_SUMMARY!$B:$B,"Water supply",PROJECT_FINANCIAL_SUMMARY!$AE:$AE)</f>
        <v>7704196.4855199978</v>
      </c>
      <c r="I104" s="12" t="s">
        <v>57</v>
      </c>
      <c r="J104" s="12" t="s">
        <v>410</v>
      </c>
      <c r="K104" s="814" t="s">
        <v>320</v>
      </c>
      <c r="L104" s="12"/>
      <c r="AG104" s="12"/>
      <c r="AH104" s="12"/>
    </row>
    <row r="105" spans="2:34" s="3" customFormat="1" ht="20.100000000000001" customHeight="1" thickBot="1">
      <c r="B105" s="163" t="str">
        <f t="shared" si="1"/>
        <v>Budgeted capital to replace existing assets [WSF19c]</v>
      </c>
      <c r="C105" s="27" t="s">
        <v>374</v>
      </c>
      <c r="D105" s="245" t="s">
        <v>413</v>
      </c>
      <c r="E105" s="323" t="s">
        <v>414</v>
      </c>
      <c r="F105" s="221" t="s">
        <v>318</v>
      </c>
      <c r="G105" s="361">
        <f>IF(ISBLANK('Previous years'!E103),"",'Previous years'!E103)</f>
        <v>3720764.6826436687</v>
      </c>
      <c r="H105" s="188">
        <f>SUMIF(PROJECT_FINANCIAL_SUMMARY!$B:$B,"Water supply",PROJECT_FINANCIAL_SUMMARY!$AF:$AF)</f>
        <v>2604366.7989400006</v>
      </c>
      <c r="I105" s="12" t="s">
        <v>57</v>
      </c>
      <c r="J105" s="12" t="s">
        <v>410</v>
      </c>
      <c r="K105" s="814" t="s">
        <v>320</v>
      </c>
      <c r="L105" s="10"/>
      <c r="AG105" s="10"/>
      <c r="AH105" s="10"/>
    </row>
    <row r="106" spans="2:34" s="3" customFormat="1" ht="20.100000000000001" customHeight="1" thickBot="1">
      <c r="B106" s="163" t="str">
        <f t="shared" si="1"/>
        <v>Actual Capital Expenditure: Water Supply [WSF20]</v>
      </c>
      <c r="C106" s="298" t="s">
        <v>374</v>
      </c>
      <c r="D106" s="311" t="s">
        <v>415</v>
      </c>
      <c r="E106" s="312" t="s">
        <v>416</v>
      </c>
      <c r="F106" s="322" t="s">
        <v>318</v>
      </c>
      <c r="G106" s="363">
        <f>IF(ISBLANK('Previous years'!E104),"",'Previous years'!E104)</f>
        <v>21380781.84</v>
      </c>
      <c r="H106" s="364">
        <f>SUMIF(H107:H109,"&gt;=0",H107:H109)</f>
        <v>11438488.419999998</v>
      </c>
      <c r="I106" s="25" t="s">
        <v>66</v>
      </c>
      <c r="J106" s="24"/>
      <c r="K106" s="24"/>
      <c r="L106" s="24"/>
      <c r="AG106" s="24"/>
      <c r="AH106" s="24"/>
    </row>
    <row r="107" spans="2:34" s="3" customFormat="1" ht="20.100000000000001" customHeight="1">
      <c r="B107" s="163" t="str">
        <f t="shared" si="1"/>
        <v>Actual capital to meet additional demand [WSF20a]</v>
      </c>
      <c r="C107" s="27" t="s">
        <v>374</v>
      </c>
      <c r="D107" s="7" t="s">
        <v>417</v>
      </c>
      <c r="E107" s="77" t="s">
        <v>418</v>
      </c>
      <c r="F107" s="198" t="s">
        <v>318</v>
      </c>
      <c r="G107" s="224">
        <f>IF(ISBLANK('Previous years'!E105),"",'Previous years'!E105)</f>
        <v>9044409.0263560005</v>
      </c>
      <c r="H107" s="188">
        <f>SUMIF(PROJECT_FINANCIAL_SUMMARY!$B:$B,"Water supply",PROJECT_FINANCIAL_SUMMARY!$S:$S)</f>
        <v>5247675.2231299998</v>
      </c>
      <c r="I107" s="12" t="s">
        <v>57</v>
      </c>
      <c r="J107" s="12" t="s">
        <v>410</v>
      </c>
      <c r="K107" s="814" t="s">
        <v>320</v>
      </c>
      <c r="L107" s="12"/>
      <c r="AG107" s="12"/>
      <c r="AH107" s="12"/>
    </row>
    <row r="108" spans="2:34" s="3" customFormat="1" ht="20.100000000000001" customHeight="1">
      <c r="B108" s="163" t="str">
        <f t="shared" si="1"/>
        <v>Actual capital to improve the level of service [WSF20b]</v>
      </c>
      <c r="C108" s="27" t="s">
        <v>374</v>
      </c>
      <c r="D108" s="6" t="s">
        <v>419</v>
      </c>
      <c r="E108" s="52" t="s">
        <v>420</v>
      </c>
      <c r="F108" s="196" t="s">
        <v>318</v>
      </c>
      <c r="G108" s="225">
        <f>IF(ISBLANK('Previous years'!E106),"",'Previous years'!E106)</f>
        <v>9500614.6372739989</v>
      </c>
      <c r="H108" s="188">
        <f>SUMIF(PROJECT_FINANCIAL_SUMMARY!$B:$B,"Water supply",PROJECT_FINANCIAL_SUMMARY!$U:$U)</f>
        <v>4850437.8629719988</v>
      </c>
      <c r="I108" s="12" t="s">
        <v>57</v>
      </c>
      <c r="J108" s="12" t="s">
        <v>410</v>
      </c>
      <c r="K108" s="814" t="s">
        <v>320</v>
      </c>
      <c r="L108" s="12"/>
      <c r="AG108" s="12"/>
      <c r="AH108" s="12"/>
    </row>
    <row r="109" spans="2:34" s="3" customFormat="1" ht="20.100000000000001" customHeight="1">
      <c r="B109" s="163" t="str">
        <f t="shared" si="1"/>
        <v>Actual capital to replace existing assets [WSF20c]</v>
      </c>
      <c r="C109" s="27" t="s">
        <v>374</v>
      </c>
      <c r="D109" s="6" t="s">
        <v>421</v>
      </c>
      <c r="E109" s="52" t="s">
        <v>422</v>
      </c>
      <c r="F109" s="196" t="s">
        <v>318</v>
      </c>
      <c r="G109" s="225">
        <f>IF(ISBLANK('Previous years'!E107),"",'Previous years'!E107)</f>
        <v>2835758.17637</v>
      </c>
      <c r="H109" s="188">
        <f>SUMIF(PROJECT_FINANCIAL_SUMMARY!$B:$B,"Water supply",PROJECT_FINANCIAL_SUMMARY!$T:$T)</f>
        <v>1340375.333898</v>
      </c>
      <c r="I109" s="12" t="s">
        <v>57</v>
      </c>
      <c r="J109" s="12" t="s">
        <v>410</v>
      </c>
      <c r="K109" s="814" t="s">
        <v>320</v>
      </c>
      <c r="L109" s="10"/>
      <c r="AG109" s="10"/>
      <c r="AH109" s="10"/>
    </row>
    <row r="110" spans="2:34" s="3" customFormat="1" ht="20.100000000000001" customHeight="1" thickBot="1">
      <c r="B110" s="163" t="str">
        <f t="shared" si="1"/>
        <v>Actual Capital Expenditure per Property: Water Supply [WSF21]</v>
      </c>
      <c r="C110" s="78" t="s">
        <v>374</v>
      </c>
      <c r="D110" s="245" t="s">
        <v>423</v>
      </c>
      <c r="E110" s="245" t="s">
        <v>424</v>
      </c>
      <c r="F110" s="221" t="s">
        <v>370</v>
      </c>
      <c r="G110" s="361">
        <f>IF(ISBLANK('Previous years'!E108),"",'Previous years'!E108)</f>
        <v>803.57732326079599</v>
      </c>
      <c r="H110" s="367">
        <f>IFERROR(H106/H10,"")</f>
        <v>410.96857758775548</v>
      </c>
      <c r="I110" s="74" t="s">
        <v>66</v>
      </c>
      <c r="J110" s="74"/>
      <c r="K110" s="74"/>
      <c r="L110" s="74"/>
      <c r="AG110" s="74"/>
      <c r="AH110" s="74"/>
    </row>
    <row r="111" spans="2:34" s="3" customFormat="1" ht="20.100000000000001" customHeight="1">
      <c r="B111" s="163" t="str">
        <f t="shared" si="1"/>
        <v>Development Contributions: Water Supply assets [WSF22]</v>
      </c>
      <c r="C111" s="368" t="s">
        <v>425</v>
      </c>
      <c r="D111" s="302" t="s">
        <v>426</v>
      </c>
      <c r="E111" s="371" t="s">
        <v>427</v>
      </c>
      <c r="F111" s="304" t="s">
        <v>318</v>
      </c>
      <c r="G111" s="356">
        <f>IF(ISBLANK('Previous years'!E109),"",'Previous years'!E109)</f>
        <v>9711379</v>
      </c>
      <c r="H111" s="357">
        <f>'WS P&amp;L'!H42</f>
        <v>8110448.5</v>
      </c>
      <c r="I111" s="369" t="s">
        <v>57</v>
      </c>
      <c r="J111" s="89" t="s">
        <v>363</v>
      </c>
      <c r="K111" s="814" t="s">
        <v>320</v>
      </c>
      <c r="L111" s="89" t="s">
        <v>428</v>
      </c>
      <c r="AG111" s="89"/>
      <c r="AH111" s="89"/>
    </row>
    <row r="112" spans="2:34" s="3" customFormat="1" ht="20.100000000000001" customHeight="1">
      <c r="B112" s="163" t="str">
        <f t="shared" si="1"/>
        <v>Water treatment facility value at end of reporting year [WSF23a]</v>
      </c>
      <c r="C112" s="298" t="s">
        <v>425</v>
      </c>
      <c r="D112" s="349" t="s">
        <v>429</v>
      </c>
      <c r="E112" s="6" t="s">
        <v>430</v>
      </c>
      <c r="F112" s="196" t="s">
        <v>318</v>
      </c>
      <c r="G112" s="225">
        <f>IF(ISBLANK('Previous years'!E110),"",'Previous years'!E110)</f>
        <v>29792493.57</v>
      </c>
      <c r="H112" s="358">
        <v>36560159</v>
      </c>
      <c r="I112" s="11" t="s">
        <v>57</v>
      </c>
      <c r="J112" s="12"/>
      <c r="K112" s="814" t="s">
        <v>320</v>
      </c>
      <c r="L112" s="12"/>
      <c r="AG112" s="12"/>
      <c r="AH112" s="12"/>
    </row>
    <row r="113" spans="2:34" s="3" customFormat="1" ht="20.100000000000001" customHeight="1" thickBot="1">
      <c r="B113" s="163" t="str">
        <f t="shared" si="1"/>
        <v>Other water supply asset value [WSF23b]</v>
      </c>
      <c r="C113" s="298" t="s">
        <v>425</v>
      </c>
      <c r="D113" s="305" t="s">
        <v>431</v>
      </c>
      <c r="E113" s="306" t="s">
        <v>432</v>
      </c>
      <c r="F113" s="307" t="s">
        <v>318</v>
      </c>
      <c r="G113" s="359">
        <f>IF(ISBLANK('Previous years'!E111),"",'Previous years'!E111)</f>
        <v>210409308.19</v>
      </c>
      <c r="H113" s="360">
        <v>239371338</v>
      </c>
      <c r="I113" s="11" t="s">
        <v>57</v>
      </c>
      <c r="J113" s="12"/>
      <c r="K113" s="814" t="s">
        <v>320</v>
      </c>
      <c r="L113" s="12"/>
      <c r="AG113" s="12"/>
      <c r="AH113" s="12"/>
    </row>
    <row r="114" spans="2:34" s="3" customFormat="1" ht="20.100000000000001" customHeight="1" thickBot="1">
      <c r="B114" s="163" t="str">
        <f t="shared" si="1"/>
        <v>Decline in Service Potential: Water Supply [WSF24]</v>
      </c>
      <c r="C114" s="78" t="s">
        <v>425</v>
      </c>
      <c r="D114" s="334" t="s">
        <v>433</v>
      </c>
      <c r="E114" s="334" t="s">
        <v>434</v>
      </c>
      <c r="F114" s="335" t="s">
        <v>54</v>
      </c>
      <c r="G114" s="335">
        <f>IF(ISBLANK('Previous years'!E112),"",'Previous years'!E112)</f>
        <v>0.56241163005588901</v>
      </c>
      <c r="H114" s="370">
        <f>IFERROR(H109/H96,"")</f>
        <v>0.25336939988820195</v>
      </c>
      <c r="I114" s="74" t="s">
        <v>66</v>
      </c>
      <c r="J114" s="74"/>
      <c r="K114" s="74"/>
      <c r="L114" s="74"/>
      <c r="AG114" s="74"/>
      <c r="AH114" s="74"/>
    </row>
    <row r="115" spans="2:34" s="3" customFormat="1" ht="20.100000000000001" customHeight="1" thickBot="1">
      <c r="B115" s="163" t="str">
        <f t="shared" si="1"/>
        <v>External Grants: Water Supply [WSF25]</v>
      </c>
      <c r="C115" s="83" t="s">
        <v>435</v>
      </c>
      <c r="D115" s="84" t="s">
        <v>436</v>
      </c>
      <c r="E115" s="84" t="s">
        <v>437</v>
      </c>
      <c r="F115" s="201" t="s">
        <v>318</v>
      </c>
      <c r="G115" s="231" t="str">
        <f>IF(ISBLANK('Previous years'!E113),"",'Previous years'!E113)</f>
        <v/>
      </c>
      <c r="H115" s="232">
        <v>2388380.5</v>
      </c>
      <c r="I115" s="85"/>
      <c r="J115" s="85"/>
      <c r="K115" s="85"/>
      <c r="L115" s="85" t="s">
        <v>438</v>
      </c>
      <c r="AG115" s="85"/>
      <c r="AH115" s="85"/>
    </row>
  </sheetData>
  <dataValidations count="78">
    <dataValidation allowBlank="1" showInputMessage="1" showErrorMessage="1" prompt="Any external grants received (not awarded) during the financial year for capital or operational costs related to the water supply scheme." sqref="H115" xr:uid="{00000000-0002-0000-0200-000000000000}"/>
    <dataValidation allowBlank="1" showInputMessage="1" showErrorMessage="1" prompt="This cell is automatically calculated based on other supplied data. It can be overwritten if a more accurage value is available." sqref="H10 H16 H6:H7 H44 H56 H53" xr:uid="{00000000-0002-0000-0200-000001000000}"/>
    <dataValidation allowBlank="1" showInputMessage="1" showErrorMessage="1" prompt="Total number of residential properties serviced by a reticulated water supply. Further detail is provided in defintions guidelines. List the method used for determining number of serviced properties in multi-unit complexes list this in the comments field." sqref="H8" xr:uid="{00000000-0002-0000-0200-000002000000}"/>
    <dataValidation allowBlank="1" showInputMessage="1" showErrorMessage="1" prompt="Total number of non-residential properties serviced by a reticulated water supply. Further detail is available in definitions guidelines." sqref="H9" xr:uid="{00000000-0002-0000-0200-000003000000}"/>
    <dataValidation type="list" allowBlank="1" showInputMessage="1" showErrorMessage="1" sqref="I8:I9 I57:I58 I18:I26 I42:I43 I54:I55 I11:I15 I115 I87:I93 I103:I105 I107:I109 I75:I84 I111:I113 I96:I97 I28:I39 I45:I52 I60:I65" xr:uid="{00000000-0002-0000-0200-000004000000}">
      <formula1>Data_confidence</formula1>
    </dataValidation>
    <dataValidation allowBlank="1" showInputMessage="1" showErrorMessage="1" prompt="Water consumption for non-residential properties, including rural and agricultural uses, and outdoor areas. Further detail is in the defintions sheet." sqref="H15" xr:uid="{00000000-0002-0000-0200-000005000000}"/>
    <dataValidation allowBlank="1" showInputMessage="1" showErrorMessage="1" prompt="Volume of water supplied in area under the Councils' jurisdiction. This is 'Water Supplied' in terms of the standard Water Balance (see definitions guidelines). It includes system losses after the treatment plant. " sqref="H11" xr:uid="{00000000-0002-0000-0200-000006000000}"/>
    <dataValidation allowBlank="1" showInputMessage="1" showErrorMessage="1" prompt="Total volume of potable water consumed by all customers (residential and non-residential), including any water exported to other systems. Includes 'billed' and 'unbilled' authorised consumption." sqref="H14" xr:uid="{00000000-0002-0000-0200-000007000000}"/>
    <dataValidation allowBlank="1" showInputMessage="1" showErrorMessage="1" prompt="This includes all trunks, reticulation mains and service leads up to the meter, or point of supply for the supply of potable water. Further detail is available in the defintions guidelines." sqref="H18" xr:uid="{00000000-0002-0000-0200-000008000000}"/>
    <dataValidation allowBlank="1" showInputMessage="1" showErrorMessage="1" prompt="Length of water mains renewed using internal CAPEX " sqref="H19" xr:uid="{00000000-0002-0000-0200-000009000000}"/>
    <dataValidation allowBlank="1" showInputMessage="1" showErrorMessage="1" prompt="Length of new water mains constructed using internal capex (NOT vested to the organisation by developers)" sqref="H20" xr:uid="{00000000-0002-0000-0200-00000A000000}"/>
    <dataValidation allowBlank="1" showInputMessage="1" showErrorMessage="1" prompt="Percentage of water pipelines that have received a condition grading of 1" sqref="H21" xr:uid="{00000000-0002-0000-0200-00000B000000}"/>
    <dataValidation allowBlank="1" showInputMessage="1" showErrorMessage="1" prompt="Percentage of water pipelines that have received a condition grading of 2" sqref="H22" xr:uid="{00000000-0002-0000-0200-00000C000000}"/>
    <dataValidation allowBlank="1" showInputMessage="1" showErrorMessage="1" prompt="Percentage of water pipelines that have received a condition grading of 3" sqref="H23" xr:uid="{00000000-0002-0000-0200-00000D000000}"/>
    <dataValidation allowBlank="1" showInputMessage="1" showErrorMessage="1" prompt="Percentage of water pipelines that have received a condition grading of 4" sqref="H24" xr:uid="{00000000-0002-0000-0200-00000E000000}"/>
    <dataValidation allowBlank="1" showInputMessage="1" showErrorMessage="1" prompt="Percentage of water pipelines that have received a condition grading of 5" sqref="H25" xr:uid="{00000000-0002-0000-0200-00000F000000}"/>
    <dataValidation allowBlank="1" showInputMessage="1" showErrorMessage="1" prompt="Percentage of water pipelines that have not had their condition graded" sqref="H26" xr:uid="{00000000-0002-0000-0200-000010000000}"/>
    <dataValidation allowBlank="1" showInputMessage="1" showErrorMessage="1" prompt="Weighted average age of all water pipelines within the total water serviced area. Further detail is available in the definitions guidelines." sqref="H28" xr:uid="{00000000-0002-0000-0200-000011000000}"/>
    <dataValidation allowBlank="1" showInputMessage="1" showErrorMessage="1" prompt="Total number of water treatment plants" sqref="H29" xr:uid="{00000000-0002-0000-0200-000012000000}"/>
    <dataValidation allowBlank="1" showInputMessage="1" showErrorMessage="1" prompt="The number of water treatment plants with backup generators. If a plant has more than one back-up generator to meet the total power needs list this only as one. Portable generators may also be counted." sqref="H30" xr:uid="{00000000-0002-0000-0200-000013000000}"/>
    <dataValidation allowBlank="1" showInputMessage="1" showErrorMessage="1" prompt="Total number of water pump stations (after the final stage of the water treatment process). Further detail is included in the definitions guidelines." sqref="H31" xr:uid="{00000000-0002-0000-0200-000014000000}"/>
    <dataValidation allowBlank="1" showInputMessage="1" showErrorMessage="1" prompt="The number of water pump stations with backup generators. If a pump station has more than one back-up generator to meet the total power needs list this only as one. Portable generators may also be counted." sqref="H32" xr:uid="{00000000-0002-0000-0200-000015000000}"/>
    <dataValidation allowBlank="1" showInputMessage="1" showErrorMessage="1" prompt="Total number of water supply reservoirs (but excluding bulk storage reservoirs and sub-surface suction tanks where applicable) in area under the Council's jurisdiction. Further detail is provided in the definitions guidelines." sqref="H33" xr:uid="{00000000-0002-0000-0200-000016000000}"/>
    <dataValidation allowBlank="1" showInputMessage="1" showErrorMessage="1" prompt="Total volume of water that could be stored in water supply reservoirs. Include distribution system reservoirs, treated water tanks at treatment plants etc. but not bulk raw water storage." sqref="H35" xr:uid="{00000000-0002-0000-0200-000017000000}"/>
    <dataValidation allowBlank="1" showInputMessage="1" showErrorMessage="1" prompt="Number of residential properties with metered connections. " sqref="H36" xr:uid="{00000000-0002-0000-0200-000018000000}"/>
    <dataValidation allowBlank="1" showInputMessage="1" showErrorMessage="1" prompt="Number of non-residential properties with metered connections " sqref="H37" xr:uid="{00000000-0002-0000-0200-000019000000}"/>
    <dataValidation allowBlank="1" showInputMessage="1" showErrorMessage="1" prompt="Number of properties with water restrictors (both residential and non-residential)." sqref="H38" xr:uid="{00000000-0002-0000-0200-00001A000000}"/>
    <dataValidation allowBlank="1" showInputMessage="1" showErrorMessage="1" prompt="Amount of water sludge produced i.e. sludge produced from removal of sediment and algae in the raw water and from coagulation of dissolved minerals and use of coagulation and flocculation chemicals, from the treatment of surface water." sqref="H39" xr:uid="{00000000-0002-0000-0200-00001B000000}"/>
    <dataValidation allowBlank="1" showInputMessage="1" showErrorMessage="1" prompt="The percentage of above ground assets assessed within 3 years" sqref="H42" xr:uid="{00000000-0002-0000-0200-00001C000000}"/>
    <dataValidation type="list" allowBlank="1" showErrorMessage="1" sqref="H41" xr:uid="{00000000-0002-0000-0200-00001D000000}">
      <formula1>Above_ground_condition_assessment</formula1>
    </dataValidation>
    <dataValidation allowBlank="1" showInputMessage="1" showErrorMessage="1" prompt="Total network water losses using definitions outlined in the “Benchmarking of Water Losses in New Zealand Manual, February 2008”, available at the following page; https://www.waternz.org.nz/waterlossguidance" sqref="H43" xr:uid="{00000000-0002-0000-0200-00001E000000}"/>
    <dataValidation allowBlank="1" showInputMessage="1" showErrorMessage="1" prompt="Average distribution system pressure. Methods for calculation are outlined in Appendix E of the “Water New Zealand: Water Loss Guidelines February 2010”, available at the following page; https://www.waternz.org.nz/waterlossguidance" sqref="H51" xr:uid="{00000000-0002-0000-0200-00001F000000}"/>
    <dataValidation allowBlank="1" showInputMessage="1" showErrorMessage="1" prompt="The total energy consumed by the water system pumps and water treatment plants. Do not include office or fleet related energy consumption. Joules of energy provided by all energy sources including electricity, diesel, gas and biogas should be included. _x000a_" sqref="H52" xr:uid="{00000000-0002-0000-0200-000020000000}"/>
    <dataValidation allowBlank="1" showInputMessage="1" showErrorMessage="1" prompt="The number of unplanned total interruptions to service experienced by properties excluding interruptions caused by third party damage. Further detail is provided in the definitions guidelines." sqref="H55" xr:uid="{00000000-0002-0000-0200-000021000000}"/>
    <dataValidation allowBlank="1" showInputMessage="1" showErrorMessage="1" prompt="Total number of planned interruptions to water service for maintenance or renewal works, excluding water meter or water restrictor replacements. Further detail is provided in the definitions guidelines." sqref="H57" xr:uid="{00000000-0002-0000-0200-000022000000}"/>
    <dataValidation allowBlank="1" showInputMessage="1" showErrorMessage="1" prompt="The number of unplanned interruptions to service caused by third parties. Further detail is provided in the definitions guidelines." sqref="H58" xr:uid="{00000000-0002-0000-0200-000023000000}"/>
    <dataValidation allowBlank="1" showInputMessage="1" showErrorMessage="1" prompt="Automatically calculated by summing complaints by type. The value can be overwritten if a breakdown of water supply complaints by type is not known or other complaints are recorded. The defintion of a complaint is detailed in the definition guidelines." sqref="H59" xr:uid="{00000000-0002-0000-0200-000024000000}"/>
    <dataValidation allowBlank="1" showInputMessage="1" showErrorMessage="1" prompt="The number of different charging reigimes the organisation has in place (enter the maximum of either residential or non-residential charge regimes). If all customers in the district are charged the same enter 1. Further detail is in definition guidelines." sqref="H67" xr:uid="{00000000-0002-0000-0200-000025000000}"/>
    <dataValidation type="list" allowBlank="1" showErrorMessage="1" sqref="H69 H72" xr:uid="{00000000-0002-0000-0200-000026000000}">
      <formula1>Charge_type</formula1>
    </dataValidation>
    <dataValidation allowBlank="1" showInputMessage="1" showErrorMessage="1" prompt="If multiple charges exist enter these in the columns to the right. If a single volumetric charge applies to all nonresidential properties enter it in this field. If the volumetric charge only applies in certain circumstances include these in the comments." sqref="H70" xr:uid="{00000000-0002-0000-0200-000027000000}"/>
    <dataValidation allowBlank="1" showInputMessage="1" showErrorMessage="1" prompt="This field is automatically calculated based on fixed residential and volumetric rates. If multiple charge regimes exist and charge does not represent average charges overwrite the calculated figure and provide detail in the comments field." sqref="H74 M74:AF74" xr:uid="{00000000-0002-0000-0200-000028000000}"/>
    <dataValidation allowBlank="1" showInputMessage="1" showErrorMessage="1" prompt="If multiple non-residential charges exist enter these in the columns to the right. If the average of these values does not represent the average customer charge overwrite the value in the data column and provide detail in the comments field. " sqref="H68" xr:uid="{00000000-0002-0000-0200-000029000000}"/>
    <dataValidation allowBlank="1" showInputMessage="1" showErrorMessage="1" prompt="From the time when the organisation receives notification to the time that service personnel reach the site in response to a fault or unplanned interruption to the water supply system." sqref="H75" xr:uid="{00000000-0002-0000-0200-00002A000000}"/>
    <dataValidation allowBlank="1" showInputMessage="1" showErrorMessage="1" prompt="From the time that the local authority receives notification to the time that service personnel confirm resolution in response to a fault or unplanned interruption to the water supply system." sqref="H76" xr:uid="{00000000-0002-0000-0200-00002B000000}"/>
    <dataValidation allowBlank="1" showInputMessage="1" showErrorMessage="1" prompt="From the time that the local authority receives notification to the time that service personnel reach the site in response to a non-urgent fault or unplanned interruption to the water supply system." sqref="H77" xr:uid="{00000000-0002-0000-0200-00002C000000}"/>
    <dataValidation allowBlank="1" showInputMessage="1" showErrorMessage="1" prompt="From the time that the local authority receives notification to the time that service personnel confirm resolution in response to a non-urgent fault or unplanned interruption to the water supply system" sqref="H78" xr:uid="{00000000-0002-0000-0200-00002D000000}"/>
    <dataValidation allowBlank="1" showInputMessage="1" showErrorMessage="1" prompt="The total number of days water restrictions were in place, multiplied by the number of affected community members. Examples are provided in the definitions guidelines." sqref="H79" xr:uid="{00000000-0002-0000-0200-00002E000000}"/>
    <dataValidation allowBlank="1" showInputMessage="1" showErrorMessage="1" prompt="Percentage of fire hydrants inspected in the previous five years (as defined in Clause G4 of Appendix G  SNZ PAS 4509:2008) New Zealand Fire Service Firefighting Water Supplies Code of Practice." sqref="H80" xr:uid="{00000000-0002-0000-0200-00002F000000}"/>
    <dataValidation allowBlank="1" showInputMessage="1" showErrorMessage="1" prompt="The number of key hydrants that do not meet testing requirements (as defined in SNZ PAS 4509:2008) New Zealand Fire Service Firefighting Water Supplies Code of Practice." sqref="H81" xr:uid="{00000000-0002-0000-0200-000030000000}"/>
    <dataValidation allowBlank="1" showInputMessage="1" showErrorMessage="1" prompt="Revenue generated from bulk water supply to other authorities. If not applicable leave blank." sqref="H82" xr:uid="{00000000-0002-0000-0200-000031000000}"/>
    <dataValidation allowBlank="1" showInputMessage="1" showErrorMessage="1" prompt="Operating Revenue associated with water supply. Excludes Development contributions. Further detail is provided in the definitions guidelines." sqref="H83" xr:uid="{00000000-0002-0000-0200-000032000000}"/>
    <dataValidation allowBlank="1" showInputMessage="1" showErrorMessage="1" prompt="Developer revenue (income) for the reporting year.  This includes all developer cash contributions. It excludes developer asset contributions." sqref="H84" xr:uid="{00000000-0002-0000-0200-000033000000}"/>
    <dataValidation allowBlank="1" showInputMessage="1" showErrorMessage="1" prompt="This cell is automatically calculated based on other supplied data." sqref="H85:H86 H94:H95 H98:H102 H106 H110 H114" xr:uid="{00000000-0002-0000-0200-000034000000}"/>
    <dataValidation allowBlank="1" showInputMessage="1" showErrorMessage="1" prompt="Increase in debt related to water supply (negative value to indicate decrease in debt). Debt is considered any funding that is required to be repayed including internal loans. Funding from reserves or developer contributions is not to be included." sqref="H87" xr:uid="{00000000-0002-0000-0200-000035000000}"/>
    <dataValidation allowBlank="1" showInputMessage="1" showErrorMessage="1" prompt="Electricity, gas and diesel costs across the public water supply network. Excludes fleet vehicle use." sqref="H88" xr:uid="{00000000-0002-0000-0200-000036000000}"/>
    <dataValidation allowBlank="1" showInputMessage="1" showErrorMessage="1" prompt="Cost of chemicals and consumables used to treat water before supplying to customers. Does not include the cost of fluoride." sqref="H89" xr:uid="{00000000-0002-0000-0200-000037000000}"/>
    <dataValidation allowBlank="1" showInputMessage="1" showErrorMessage="1" prompt="Cost of scheduled operational and maintenance works and external consultants and contractors used for such works. Exclude chemicals and consumables, energy or reactive maintenance costs. If reactive maintenance cannot be separated out, include total here." sqref="H90" xr:uid="{00000000-0002-0000-0200-000038000000}"/>
    <dataValidation allowBlank="1" showInputMessage="1" showErrorMessage="1" prompt="All external costs associated with operation and maintenance of water supply, not included as routine maintenance, energy, chemicals or consumables." sqref="H91" xr:uid="{00000000-0002-0000-0200-000039000000}"/>
    <dataValidation allowBlank="1" showInputMessage="1" showErrorMessage="1" prompt="Organisational costs including costs related to salaries, accommodation, rate payment, IT,training, etc. Does not include contract management costs listed in WSF11." sqref="H92" xr:uid="{00000000-0002-0000-0200-00003A000000}"/>
    <dataValidation allowBlank="1" showInputMessage="1" showErrorMessage="1" prompt="Council's contract management costs where management of the network is carried out by a Council Controlled Organisation or an external maintenance contractor.  " sqref="H93" xr:uid="{00000000-0002-0000-0200-00003B000000}"/>
    <dataValidation allowBlank="1" showInputMessage="1" showErrorMessage="1" prompt="The depreciation cost in the reporting year as reported in the latest replacement cost valuation." sqref="H96" xr:uid="{00000000-0002-0000-0200-00003C000000}"/>
    <dataValidation allowBlank="1" showInputMessage="1" showErrorMessage="1" prompt="The interest cost for the reporting year. " sqref="H97" xr:uid="{00000000-0002-0000-0200-00003D000000}"/>
    <dataValidation allowBlank="1" showInputMessage="1" showErrorMessage="1" prompt="Actual capital related to growth including new works and subdivisions." sqref="H107:H109 H103:H105" xr:uid="{00000000-0002-0000-0200-00003E000000}"/>
    <dataValidation allowBlank="1" showInputMessage="1" showErrorMessage="1" prompt="Value of assets vested in the council during the reporting year as part of development contributions." sqref="H111" xr:uid="{00000000-0002-0000-0200-00003F000000}"/>
    <dataValidation allowBlank="1" showInputMessage="1" showErrorMessage="1" prompt="The closing book value of water supply treatment plants and facilities." sqref="H112" xr:uid="{00000000-0002-0000-0200-000040000000}"/>
    <dataValidation allowBlank="1" showInputMessage="1" showErrorMessage="1" prompt="The closing book value of other assets (such as reticulation systems). " sqref="H113" xr:uid="{00000000-0002-0000-0200-000041000000}"/>
    <dataValidation allowBlank="1" showInputMessage="1" showErrorMessage="1" prompt="Volume of water imported from a separate organisations supply that is used to supply the water network. " sqref="H12" xr:uid="{00000000-0002-0000-0200-000042000000}"/>
    <dataValidation allowBlank="1" showInputMessage="1" showErrorMessage="1" prompt="Volume of water provided from sources managed by the organisations that is exported for use to other water networks. " sqref="H13" xr:uid="{00000000-0002-0000-0200-000043000000}"/>
    <dataValidation allowBlank="1" showInputMessage="1" showErrorMessage="1" prompt="Current annual real water losses using definitions outlined in the “Benchmarking of Water Losses in New Zealand Manual, February 2008”, available at the following page; https://www.waternz.org.nz/waterlossguidance" sqref="H45:H47" xr:uid="{00000000-0002-0000-0200-000044000000}"/>
    <dataValidation allowBlank="1" showInputMessage="1" showErrorMessage="1" prompt="Unavoidable annual real water losses using definitions outlined in the “Benchmarking of Water Losses in New Zealand Manual, February 2008”, available at the following page; https://www.waternz.org.nz/waterlossguidance" sqref="H48:H49" xr:uid="{00000000-0002-0000-0200-000045000000}"/>
    <dataValidation allowBlank="1" showInputMessage="1" showErrorMessage="1" prompt="Infrastructure Leakage Index using definitions outlined in the “Benchmarking of Water Losses in New Zealand Manual, February 2008”, available at the following page; https://www.waternz.org.nz/waterlossguidance" sqref="H50" xr:uid="{00000000-0002-0000-0200-000046000000}"/>
    <dataValidation allowBlank="1" showInputMessage="1" showErrorMessage="1" prompt="If multiple residential charges exist enter these in the columns to the right. If the average of these values does not represent the average customer charge overwrite the value in the data column and provide detail in the comments field. " sqref="H71" xr:uid="{00000000-0002-0000-0200-000047000000}"/>
    <dataValidation allowBlank="1" showInputMessage="1" showErrorMessage="1" prompt="If multiple charges exist enter these in the columns to the right. If a single volumetric charge applies to all residential properties enter it in this field. If the volumetric charge only applies in certain circumstances include these in the comments." sqref="H73" xr:uid="{00000000-0002-0000-0200-000048000000}"/>
    <dataValidation allowBlank="1" showInputMessage="1" showErrorMessage="1" prompt="This cell is automatically calculated based on other supplied data. " sqref="H66" xr:uid="{00000000-0002-0000-0200-000049000000}"/>
    <dataValidation allowBlank="1" showInputMessage="1" showErrorMessage="1" prompt="Detail on complaints definitions is included in the defintion guidelines." sqref="H60:H64" xr:uid="{00000000-0002-0000-0200-00004A000000}"/>
    <dataValidation allowBlank="1" showInputMessage="1" showErrorMessage="1" prompt="The total energy consumed by wastewater pumps and treatment plants. Do not include office or fleet related energy consumption. Joules of energy provided by all energy sources including electricity, diesel, gas and biogas should be included. " sqref="H52" xr:uid="{00000000-0002-0000-0200-00004B000000}"/>
    <dataValidation allowBlank="1" showInputMessage="1" showErrorMessage="1" prompt="Energy generated through use of turbines in the water network, or other areas of the water supply system. Provide details of generation in the comments field." sqref="H54" xr:uid="{00000000-0002-0000-0200-00004C000000}"/>
    <dataValidation allowBlank="1" showInputMessage="1" showErrorMessage="1" prompt="Complaints about the authorities response to WSSS5a, WSSS5b, WSSS5c, WSSS5d, or WSSS5e" sqref="H65" xr:uid="{00000000-0002-0000-0200-00004D000000}"/>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prompt="The condition grading approached used for WSA2" xr:uid="{00000000-0002-0000-0200-00004E000000}">
          <x14:formula1>
            <xm:f>'Data lists'!$B$2:$B$9</xm:f>
          </x14:formula1>
          <xm:sqref>H27</xm:sqref>
        </x14:dataValidation>
        <x14:dataValidation type="list" allowBlank="1" showErrorMessage="1" xr:uid="{00000000-0002-0000-0200-00004F000000}">
          <x14:formula1>
            <xm:f>'Data lists'!$C$1:$C$2</xm:f>
          </x14:formula1>
          <xm:sqref>H40</xm:sqref>
        </x14:dataValidation>
        <x14:dataValidation type="list" allowBlank="1" showInputMessage="1" showErrorMessage="1" prompt="Has a supply-demand forecast been undertaken to determine the ability to meet future water demands. If so, include any constraints identified in the comments field (e.g. system capacity, water availability, consents)." xr:uid="{00000000-0002-0000-0200-000050000000}">
          <x14:formula1>
            <xm:f>'Data lists'!$C$1:$C$2</xm:f>
          </x14:formula1>
          <xm:sqref>H17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9"/>
  </sheetPr>
  <dimension ref="B2:AF136"/>
  <sheetViews>
    <sheetView showGridLines="0" zoomScale="70" zoomScaleNormal="70" workbookViewId="0">
      <pane ySplit="5" topLeftCell="A103" activePane="bottomLeft" state="frozen"/>
      <selection pane="bottomLeft" activeCell="K26" sqref="K26"/>
      <selection activeCell="F33" sqref="F33"/>
    </sheetView>
  </sheetViews>
  <sheetFormatPr defaultRowHeight="15"/>
  <cols>
    <col min="2" max="2" width="92.7109375" style="163" hidden="1" customWidth="1"/>
    <col min="3" max="3" width="22.5703125" customWidth="1"/>
    <col min="4" max="4" width="11" bestFit="1" customWidth="1"/>
    <col min="5" max="5" width="71.5703125" style="2" customWidth="1"/>
    <col min="6" max="7" width="17" style="1" customWidth="1"/>
    <col min="8" max="8" width="22.5703125" customWidth="1"/>
    <col min="9" max="9" width="17.7109375" customWidth="1"/>
    <col min="10" max="10" width="15.7109375" customWidth="1"/>
    <col min="11" max="12" width="30.7109375" customWidth="1"/>
    <col min="13" max="18" width="15.7109375" customWidth="1"/>
    <col min="19" max="30" width="15.7109375" hidden="1" customWidth="1"/>
    <col min="31" max="32" width="30.7109375" customWidth="1"/>
    <col min="33" max="703" width="9.140625" customWidth="1"/>
  </cols>
  <sheetData>
    <row r="2" spans="2:32" ht="20.100000000000001" customHeight="1">
      <c r="C2" s="5" t="s">
        <v>0</v>
      </c>
      <c r="D2" s="2"/>
      <c r="H2" s="1"/>
      <c r="I2" s="1"/>
      <c r="J2" s="1"/>
      <c r="K2" s="1"/>
      <c r="L2" s="1"/>
      <c r="AE2" s="1"/>
      <c r="AF2" s="1"/>
    </row>
    <row r="3" spans="2:32" ht="24" customHeight="1" thickBot="1">
      <c r="C3" s="32" t="s">
        <v>439</v>
      </c>
      <c r="D3" s="13"/>
      <c r="E3" s="32" t="str">
        <f>Common!E3</f>
        <v>Queenstown-Lakes</v>
      </c>
      <c r="H3" s="1"/>
      <c r="I3" s="1"/>
      <c r="J3" s="1"/>
      <c r="K3" s="1"/>
      <c r="L3" s="1"/>
      <c r="AE3" s="1"/>
      <c r="AF3" s="1"/>
    </row>
    <row r="4" spans="2:32" ht="20.100000000000001" customHeight="1" thickTop="1">
      <c r="C4" s="4"/>
      <c r="D4" s="2"/>
      <c r="H4" s="1"/>
      <c r="I4" s="1"/>
      <c r="J4" s="1"/>
      <c r="K4" s="1"/>
      <c r="L4" s="1"/>
      <c r="AE4" s="1"/>
      <c r="AF4" s="1"/>
    </row>
    <row r="5" spans="2:32" ht="20.100000000000001" customHeight="1">
      <c r="B5" s="244"/>
      <c r="C5" s="63" t="s">
        <v>44</v>
      </c>
      <c r="D5" s="19" t="s">
        <v>6</v>
      </c>
      <c r="E5" s="19" t="s">
        <v>7</v>
      </c>
      <c r="F5" s="20" t="s">
        <v>8</v>
      </c>
      <c r="G5" s="20" t="s">
        <v>9</v>
      </c>
      <c r="H5" s="20" t="s">
        <v>10</v>
      </c>
      <c r="I5" s="20" t="s">
        <v>11</v>
      </c>
      <c r="J5" s="20" t="s">
        <v>12</v>
      </c>
      <c r="K5" s="20" t="s">
        <v>13</v>
      </c>
      <c r="L5" s="20" t="s">
        <v>14</v>
      </c>
      <c r="AE5" s="20" t="s">
        <v>45</v>
      </c>
      <c r="AF5" s="20" t="s">
        <v>46</v>
      </c>
    </row>
    <row r="6" spans="2:32" ht="20.100000000000001" customHeight="1">
      <c r="B6" s="163" t="str">
        <f>E6&amp;" ["&amp;D6&amp;"]"</f>
        <v>Wastewater Serviced Population [WWB1a]</v>
      </c>
      <c r="C6" s="33" t="s">
        <v>47</v>
      </c>
      <c r="D6" s="35" t="s">
        <v>440</v>
      </c>
      <c r="E6" s="36" t="s">
        <v>441</v>
      </c>
      <c r="F6" s="37" t="s">
        <v>54</v>
      </c>
      <c r="G6" s="191">
        <f>IF(ISBLANK('Previous years'!G4),"",'Previous years'!G4)</f>
        <v>52043.289473684206</v>
      </c>
      <c r="H6" s="155">
        <f>IFERROR(Common!H11*Wastewater!H8,"")</f>
        <v>40838.764044943819</v>
      </c>
      <c r="I6" s="24" t="s">
        <v>66</v>
      </c>
      <c r="J6" s="24"/>
      <c r="K6" s="24"/>
      <c r="L6" s="24"/>
      <c r="AE6" s="24"/>
      <c r="AF6" s="24"/>
    </row>
    <row r="7" spans="2:32" ht="20.100000000000001" customHeight="1" thickBot="1">
      <c r="B7" s="163" t="str">
        <f t="shared" ref="B7:B73" si="0">E7&amp;" ["&amp;D7&amp;"]"</f>
        <v>Wastewater Service Coverage [WWB1b ]</v>
      </c>
      <c r="C7" s="34" t="s">
        <v>47</v>
      </c>
      <c r="D7" s="372" t="s">
        <v>442</v>
      </c>
      <c r="E7" s="373" t="s">
        <v>443</v>
      </c>
      <c r="F7" s="218" t="s">
        <v>111</v>
      </c>
      <c r="G7" s="374">
        <f>IF(ISBLANK('Previous years'!G5),"",'Previous years'!G5)</f>
        <v>0.81578947368421051</v>
      </c>
      <c r="H7" s="301">
        <f>IFERROR(H8/Common!H8,"")</f>
        <v>0.86157730052624093</v>
      </c>
      <c r="I7" s="24" t="s">
        <v>66</v>
      </c>
      <c r="J7" s="24"/>
      <c r="K7" s="24"/>
      <c r="L7" s="24"/>
      <c r="AE7" s="24"/>
      <c r="AF7" s="24"/>
    </row>
    <row r="8" spans="2:32" ht="20.100000000000001" customHeight="1">
      <c r="B8" s="163" t="str">
        <f t="shared" si="0"/>
        <v>Wastewater Serviced Properties: Residential [WWB2]</v>
      </c>
      <c r="C8" s="34" t="s">
        <v>47</v>
      </c>
      <c r="D8" s="376" t="s">
        <v>444</v>
      </c>
      <c r="E8" s="377" t="s">
        <v>445</v>
      </c>
      <c r="F8" s="378" t="s">
        <v>54</v>
      </c>
      <c r="G8" s="378">
        <f>IF(ISBLANK('Previous years'!G6),"",'Previous years'!G6)</f>
        <v>23281</v>
      </c>
      <c r="H8" s="295">
        <v>24231</v>
      </c>
      <c r="I8" s="11" t="s">
        <v>57</v>
      </c>
      <c r="J8" s="12" t="s">
        <v>58</v>
      </c>
      <c r="K8" s="813" t="s">
        <v>131</v>
      </c>
      <c r="L8" s="10" t="s">
        <v>132</v>
      </c>
      <c r="AE8" s="12"/>
      <c r="AF8" s="10"/>
    </row>
    <row r="9" spans="2:32" ht="20.100000000000001" customHeight="1" thickBot="1">
      <c r="B9" s="163" t="str">
        <f t="shared" si="0"/>
        <v>Wastewater Serviced Properties: Non-residential [WWB3]</v>
      </c>
      <c r="C9" s="34" t="s">
        <v>47</v>
      </c>
      <c r="D9" s="379" t="s">
        <v>446</v>
      </c>
      <c r="E9" s="380" t="s">
        <v>447</v>
      </c>
      <c r="F9" s="381" t="s">
        <v>54</v>
      </c>
      <c r="G9" s="381">
        <f>IF(ISBLANK('Previous years'!G7),"",'Previous years'!G7)</f>
        <v>2826</v>
      </c>
      <c r="H9" s="382">
        <v>2941</v>
      </c>
      <c r="I9" s="11" t="s">
        <v>57</v>
      </c>
      <c r="J9" s="12" t="s">
        <v>58</v>
      </c>
      <c r="K9" s="813" t="s">
        <v>131</v>
      </c>
      <c r="L9" s="11" t="s">
        <v>132</v>
      </c>
      <c r="AE9" s="12"/>
      <c r="AF9" s="11"/>
    </row>
    <row r="10" spans="2:32" ht="20.100000000000001" customHeight="1">
      <c r="B10" s="163" t="str">
        <f t="shared" si="0"/>
        <v>Total Wastewater Serviced Properties [WWB4]</v>
      </c>
      <c r="C10" s="34" t="s">
        <v>47</v>
      </c>
      <c r="D10" s="375" t="s">
        <v>448</v>
      </c>
      <c r="E10" s="38" t="s">
        <v>449</v>
      </c>
      <c r="F10" s="70" t="s">
        <v>54</v>
      </c>
      <c r="G10" s="70">
        <f>IF(ISBLANK('Previous years'!G8),"",'Previous years'!G8)</f>
        <v>26107</v>
      </c>
      <c r="H10" s="23">
        <f>SUMIF(H8:H9,"&gt;=0",H8:H9)</f>
        <v>27172</v>
      </c>
      <c r="I10" s="24" t="s">
        <v>66</v>
      </c>
      <c r="J10" s="24"/>
      <c r="K10" s="24"/>
      <c r="L10" s="24"/>
      <c r="AE10" s="24"/>
      <c r="AF10" s="24"/>
    </row>
    <row r="11" spans="2:32" ht="20.100000000000001" customHeight="1">
      <c r="B11" s="163" t="str">
        <f t="shared" si="0"/>
        <v>Wastewater Exported for Treatment [WWB5]</v>
      </c>
      <c r="C11" s="34" t="s">
        <v>47</v>
      </c>
      <c r="D11" s="35" t="s">
        <v>450</v>
      </c>
      <c r="E11" s="50" t="s">
        <v>451</v>
      </c>
      <c r="F11" s="51" t="s">
        <v>139</v>
      </c>
      <c r="G11" s="51">
        <f>IF(ISBLANK('Previous years'!G9),"",'Previous years'!G9)</f>
        <v>0</v>
      </c>
      <c r="H11" s="12">
        <v>0</v>
      </c>
      <c r="I11" s="12" t="s">
        <v>57</v>
      </c>
      <c r="J11" s="12" t="s">
        <v>69</v>
      </c>
      <c r="K11" s="12" t="s">
        <v>360</v>
      </c>
      <c r="L11" s="12"/>
      <c r="AE11" s="12"/>
      <c r="AF11" s="12"/>
    </row>
    <row r="12" spans="2:32" ht="20.100000000000001" customHeight="1">
      <c r="B12" s="163" t="str">
        <f t="shared" si="0"/>
        <v>Wastewater Imported for Treatment [WWB6]</v>
      </c>
      <c r="C12" s="34" t="s">
        <v>47</v>
      </c>
      <c r="D12" s="35" t="s">
        <v>452</v>
      </c>
      <c r="E12" s="50" t="s">
        <v>453</v>
      </c>
      <c r="F12" s="51" t="s">
        <v>139</v>
      </c>
      <c r="G12" s="51">
        <f>IF(ISBLANK('Previous years'!G10),"",'Previous years'!G10)</f>
        <v>0</v>
      </c>
      <c r="H12" s="12">
        <v>0</v>
      </c>
      <c r="I12" s="12" t="s">
        <v>57</v>
      </c>
      <c r="J12" s="12" t="s">
        <v>69</v>
      </c>
      <c r="K12" s="12" t="s">
        <v>360</v>
      </c>
      <c r="L12" s="12"/>
      <c r="AE12" s="12"/>
      <c r="AF12" s="12"/>
    </row>
    <row r="13" spans="2:32" ht="20.100000000000001" customHeight="1" thickBot="1">
      <c r="B13" s="163" t="str">
        <f t="shared" si="0"/>
        <v>Total Wastewater Produced [WWB7]</v>
      </c>
      <c r="C13" s="95" t="s">
        <v>47</v>
      </c>
      <c r="D13" s="218" t="s">
        <v>454</v>
      </c>
      <c r="E13" s="373" t="s">
        <v>455</v>
      </c>
      <c r="F13" s="218" t="s">
        <v>139</v>
      </c>
      <c r="G13" s="383">
        <f>IF(ISBLANK('Previous years'!G11),"",'Previous years'!G11)</f>
        <v>5155044</v>
      </c>
      <c r="H13" s="310">
        <f>IFERROR(H33-H12+H11,"")</f>
        <v>4726397</v>
      </c>
      <c r="I13" s="97" t="s">
        <v>66</v>
      </c>
      <c r="J13" s="97"/>
      <c r="K13" s="97"/>
      <c r="L13" s="108"/>
      <c r="M13" s="167"/>
      <c r="N13" s="167"/>
      <c r="O13" s="167"/>
      <c r="P13" s="167"/>
      <c r="Q13" s="167"/>
      <c r="R13" s="167"/>
      <c r="S13" s="167"/>
      <c r="T13" s="167"/>
      <c r="U13" s="167"/>
      <c r="V13" s="167"/>
      <c r="W13" s="167"/>
      <c r="X13" s="167"/>
      <c r="Y13" s="167"/>
      <c r="Z13" s="167"/>
      <c r="AA13" s="167"/>
      <c r="AB13" s="167"/>
      <c r="AC13" s="167"/>
      <c r="AD13" s="167"/>
      <c r="AE13" s="97"/>
      <c r="AF13" s="108"/>
    </row>
    <row r="14" spans="2:32" ht="20.100000000000001" customHeight="1" thickBot="1">
      <c r="B14" s="163" t="str">
        <f t="shared" si="0"/>
        <v>Total Length of Public Wastewater Network [WWA1a]</v>
      </c>
      <c r="C14" s="33" t="s">
        <v>163</v>
      </c>
      <c r="D14" s="384" t="s">
        <v>456</v>
      </c>
      <c r="E14" s="385" t="s">
        <v>457</v>
      </c>
      <c r="F14" s="386" t="s">
        <v>166</v>
      </c>
      <c r="G14" s="386">
        <f>IF(ISBLANK('Previous years'!G12),"",'Previous years'!G12)</f>
        <v>569.654</v>
      </c>
      <c r="H14" s="512">
        <v>613.904</v>
      </c>
      <c r="I14" s="11" t="s">
        <v>458</v>
      </c>
      <c r="J14" s="10" t="s">
        <v>167</v>
      </c>
      <c r="K14" s="10" t="s">
        <v>459</v>
      </c>
      <c r="L14" s="10"/>
      <c r="AE14" s="10"/>
      <c r="AF14" s="10"/>
    </row>
    <row r="15" spans="2:32" ht="20.100000000000001" customHeight="1">
      <c r="B15" s="163" t="str">
        <f t="shared" si="0"/>
        <v>Length of wastewater mains renewed using internal CAPEX [WWA1b]</v>
      </c>
      <c r="C15" s="34" t="s">
        <v>163</v>
      </c>
      <c r="D15" s="70" t="s">
        <v>460</v>
      </c>
      <c r="E15" s="57" t="s">
        <v>461</v>
      </c>
      <c r="F15" s="70" t="s">
        <v>166</v>
      </c>
      <c r="G15" s="70">
        <f>IF(ISBLANK('Previous years'!G13),"",'Previous years'!G13)</f>
        <v>2.048</v>
      </c>
      <c r="H15" s="801">
        <f>[3]Sheet1!$B$18/1000</f>
        <v>3.1331398999999958</v>
      </c>
      <c r="I15" s="12" t="s">
        <v>57</v>
      </c>
      <c r="J15" s="12" t="s">
        <v>167</v>
      </c>
      <c r="K15" s="12" t="s">
        <v>462</v>
      </c>
      <c r="L15" s="12"/>
      <c r="AE15" s="12"/>
      <c r="AF15" s="12"/>
    </row>
    <row r="16" spans="2:32" ht="20.100000000000001" customHeight="1">
      <c r="B16" s="163" t="str">
        <f t="shared" si="0"/>
        <v>Length of new wastewater mains constructed using internal CAPEX [WWA1c]</v>
      </c>
      <c r="C16" s="34" t="s">
        <v>163</v>
      </c>
      <c r="D16" s="37" t="s">
        <v>463</v>
      </c>
      <c r="E16" s="50" t="s">
        <v>464</v>
      </c>
      <c r="F16" s="37" t="s">
        <v>166</v>
      </c>
      <c r="G16" s="37">
        <f>IF(ISBLANK('Previous years'!G14),"",'Previous years'!G14)</f>
        <v>9.9580000000000002</v>
      </c>
      <c r="H16" s="10">
        <v>0</v>
      </c>
      <c r="I16" s="12"/>
      <c r="J16" s="12"/>
      <c r="K16" s="794" t="s">
        <v>465</v>
      </c>
      <c r="L16" s="10"/>
      <c r="AE16" s="12"/>
      <c r="AF16" s="10"/>
    </row>
    <row r="17" spans="2:32" ht="20.100000000000001" customHeight="1">
      <c r="B17" s="163" t="str">
        <f t="shared" si="0"/>
        <v>Condition Grade 1: Wastewater pipelines [WWA2a]</v>
      </c>
      <c r="C17" s="34" t="s">
        <v>163</v>
      </c>
      <c r="D17" s="37" t="s">
        <v>466</v>
      </c>
      <c r="E17" s="36" t="s">
        <v>467</v>
      </c>
      <c r="F17" s="37" t="s">
        <v>111</v>
      </c>
      <c r="G17" s="143">
        <f>IF(ISBLANK('Previous years'!G15),"",'Previous years'!G15)</f>
        <v>0.53459999999999996</v>
      </c>
      <c r="H17" s="141"/>
      <c r="I17" s="24"/>
      <c r="J17" s="24"/>
      <c r="K17" s="24"/>
      <c r="L17" s="800" t="s">
        <v>176</v>
      </c>
      <c r="AE17" s="12"/>
      <c r="AF17" s="11"/>
    </row>
    <row r="18" spans="2:32" ht="20.100000000000001" customHeight="1">
      <c r="B18" s="163" t="str">
        <f t="shared" si="0"/>
        <v>Condition Grade 2: Wastewater pipelines [WWA2b]</v>
      </c>
      <c r="C18" s="34" t="s">
        <v>163</v>
      </c>
      <c r="D18" s="37" t="s">
        <v>468</v>
      </c>
      <c r="E18" s="36" t="s">
        <v>469</v>
      </c>
      <c r="F18" s="37" t="s">
        <v>111</v>
      </c>
      <c r="G18" s="143">
        <f>IF(ISBLANK('Previous years'!G16),"",'Previous years'!G16)</f>
        <v>0.13059999999999999</v>
      </c>
      <c r="H18" s="139"/>
      <c r="I18" s="24"/>
      <c r="J18" s="24"/>
      <c r="K18" s="24"/>
      <c r="L18" s="800" t="s">
        <v>176</v>
      </c>
      <c r="AE18" s="12"/>
      <c r="AF18" s="12"/>
    </row>
    <row r="19" spans="2:32" ht="20.100000000000001" customHeight="1">
      <c r="B19" s="163" t="str">
        <f t="shared" si="0"/>
        <v>Condition Grade 3: Wastewater pipelines [WWA2c]</v>
      </c>
      <c r="C19" s="34" t="s">
        <v>163</v>
      </c>
      <c r="D19" s="37" t="s">
        <v>470</v>
      </c>
      <c r="E19" s="36" t="s">
        <v>471</v>
      </c>
      <c r="F19" s="37" t="s">
        <v>111</v>
      </c>
      <c r="G19" s="143">
        <f>IF(ISBLANK('Previous years'!G17),"",'Previous years'!G17)</f>
        <v>9.7699999999999995E-2</v>
      </c>
      <c r="H19" s="139"/>
      <c r="I19" s="24"/>
      <c r="J19" s="24"/>
      <c r="K19" s="24"/>
      <c r="L19" s="800" t="s">
        <v>176</v>
      </c>
      <c r="AE19" s="12"/>
      <c r="AF19" s="12"/>
    </row>
    <row r="20" spans="2:32" ht="20.100000000000001" customHeight="1">
      <c r="B20" s="163" t="str">
        <f t="shared" si="0"/>
        <v>Condition Grade 4: Wastewater pipelines [WWA2d]</v>
      </c>
      <c r="C20" s="34" t="s">
        <v>163</v>
      </c>
      <c r="D20" s="37" t="s">
        <v>472</v>
      </c>
      <c r="E20" s="36" t="s">
        <v>473</v>
      </c>
      <c r="F20" s="37" t="s">
        <v>111</v>
      </c>
      <c r="G20" s="143">
        <f>IF(ISBLANK('Previous years'!G18),"",'Previous years'!G18)</f>
        <v>0.11559999999999999</v>
      </c>
      <c r="H20" s="139"/>
      <c r="I20" s="24"/>
      <c r="J20" s="24"/>
      <c r="K20" s="24"/>
      <c r="L20" s="800" t="s">
        <v>176</v>
      </c>
      <c r="AE20" s="12"/>
      <c r="AF20" s="12"/>
    </row>
    <row r="21" spans="2:32" ht="20.100000000000001" customHeight="1">
      <c r="B21" s="163" t="str">
        <f t="shared" si="0"/>
        <v>Condition Grade 5: Wastewater pipelines [WWA2e]</v>
      </c>
      <c r="C21" s="34" t="s">
        <v>163</v>
      </c>
      <c r="D21" s="37" t="s">
        <v>474</v>
      </c>
      <c r="E21" s="36" t="s">
        <v>475</v>
      </c>
      <c r="F21" s="37" t="s">
        <v>111</v>
      </c>
      <c r="G21" s="143">
        <f>IF(ISBLANK('Previous years'!G19),"",'Previous years'!G19)</f>
        <v>5.1700000000000003E-2</v>
      </c>
      <c r="H21" s="455"/>
      <c r="I21" s="24"/>
      <c r="J21" s="24"/>
      <c r="K21" s="24"/>
      <c r="L21" s="800" t="s">
        <v>176</v>
      </c>
      <c r="AE21" s="12"/>
      <c r="AF21" s="10"/>
    </row>
    <row r="22" spans="2:32" ht="20.100000000000001" customHeight="1">
      <c r="B22" s="163" t="str">
        <f t="shared" si="0"/>
        <v>Not assessed: Wastewater pipelines [WWA2f]</v>
      </c>
      <c r="C22" s="34" t="s">
        <v>163</v>
      </c>
      <c r="D22" s="37" t="s">
        <v>476</v>
      </c>
      <c r="E22" s="36" t="s">
        <v>477</v>
      </c>
      <c r="F22" s="37" t="s">
        <v>111</v>
      </c>
      <c r="G22" s="143">
        <f>IF(ISBLANK('Previous years'!G20),"",'Previous years'!G20)</f>
        <v>6.9900000000000004E-2</v>
      </c>
      <c r="H22" s="141"/>
      <c r="I22" s="24"/>
      <c r="J22" s="24"/>
      <c r="K22" s="24"/>
      <c r="L22" s="800" t="s">
        <v>176</v>
      </c>
      <c r="AE22" s="12"/>
      <c r="AF22" s="11"/>
    </row>
    <row r="23" spans="2:32" ht="20.100000000000001" customHeight="1" thickBot="1">
      <c r="B23" s="163" t="str">
        <f t="shared" si="0"/>
        <v>Pipeline Condition Assessment Approach [WWA2g]</v>
      </c>
      <c r="C23" s="34" t="s">
        <v>163</v>
      </c>
      <c r="D23" s="218" t="s">
        <v>478</v>
      </c>
      <c r="E23" s="373" t="s">
        <v>188</v>
      </c>
      <c r="F23" s="218" t="s">
        <v>479</v>
      </c>
      <c r="G23" s="218" t="str">
        <f>IF(ISBLANK('Previous years'!G21),"",'Previous years'!G21)</f>
        <v>Informal</v>
      </c>
      <c r="H23" s="798"/>
      <c r="I23" s="23"/>
      <c r="J23" s="23"/>
      <c r="K23" s="24"/>
      <c r="L23" s="800" t="s">
        <v>176</v>
      </c>
      <c r="AE23" s="12"/>
      <c r="AF23" s="12"/>
    </row>
    <row r="24" spans="2:32" ht="20.100000000000001" customHeight="1" thickBot="1">
      <c r="B24" s="163" t="str">
        <f t="shared" si="0"/>
        <v>Average Age of Wastewater Pipelines [WWA3]</v>
      </c>
      <c r="C24" s="34" t="s">
        <v>163</v>
      </c>
      <c r="D24" s="384" t="s">
        <v>480</v>
      </c>
      <c r="E24" s="385" t="s">
        <v>481</v>
      </c>
      <c r="F24" s="386" t="s">
        <v>192</v>
      </c>
      <c r="G24" s="386">
        <f>IF(ISBLANK('Previous years'!G22),"",'Previous years'!G22)</f>
        <v>24.2</v>
      </c>
      <c r="H24" s="314">
        <v>21.1</v>
      </c>
      <c r="I24" s="11" t="s">
        <v>57</v>
      </c>
      <c r="J24" s="12" t="s">
        <v>167</v>
      </c>
      <c r="K24" s="12" t="s">
        <v>459</v>
      </c>
      <c r="L24" s="12"/>
      <c r="AE24" s="12"/>
      <c r="AF24" s="12"/>
    </row>
    <row r="25" spans="2:32" ht="20.100000000000001" customHeight="1" thickBot="1">
      <c r="B25" s="163" t="str">
        <f t="shared" si="0"/>
        <v>Wastewater CCTV inspection [WWA4]</v>
      </c>
      <c r="C25" s="95" t="s">
        <v>163</v>
      </c>
      <c r="D25" s="387" t="s">
        <v>482</v>
      </c>
      <c r="E25" s="388" t="s">
        <v>483</v>
      </c>
      <c r="F25" s="387" t="s">
        <v>111</v>
      </c>
      <c r="G25" s="389">
        <f>IF(ISBLANK('Previous years'!G23),"",'Previous years'!G23)</f>
        <v>7.3198818932193932E-2</v>
      </c>
      <c r="H25" s="811">
        <f>20145/(H14*1000)</f>
        <v>3.2814576871953924E-2</v>
      </c>
      <c r="I25" s="99"/>
      <c r="J25" s="99"/>
      <c r="K25" s="797" t="s">
        <v>465</v>
      </c>
      <c r="L25" s="98" t="s">
        <v>484</v>
      </c>
      <c r="AE25" s="99"/>
      <c r="AF25" s="98"/>
    </row>
    <row r="26" spans="2:32" ht="20.100000000000001" customHeight="1" thickBot="1">
      <c r="B26" s="163" t="str">
        <f t="shared" si="0"/>
        <v>Wastewater Pump Stations [WWA5]</v>
      </c>
      <c r="C26" s="33" t="s">
        <v>193</v>
      </c>
      <c r="D26" s="384" t="s">
        <v>485</v>
      </c>
      <c r="E26" s="385" t="s">
        <v>486</v>
      </c>
      <c r="F26" s="386" t="s">
        <v>54</v>
      </c>
      <c r="G26" s="386">
        <f>IF(ISBLANK('Previous years'!G24),"",'Previous years'!G24)</f>
        <v>65</v>
      </c>
      <c r="H26" s="333">
        <v>68</v>
      </c>
      <c r="I26" s="9"/>
      <c r="J26" s="10" t="s">
        <v>167</v>
      </c>
      <c r="K26" s="10" t="s">
        <v>459</v>
      </c>
      <c r="L26" s="9"/>
      <c r="AE26" s="10"/>
      <c r="AF26" s="9"/>
    </row>
    <row r="27" spans="2:32" ht="20.100000000000001" customHeight="1">
      <c r="B27" s="163" t="str">
        <f t="shared" si="0"/>
        <v>Wastewater Pump Stations Standby Generators [WWA5a]</v>
      </c>
      <c r="C27" s="34" t="s">
        <v>193</v>
      </c>
      <c r="D27" s="209" t="s">
        <v>487</v>
      </c>
      <c r="E27" s="210" t="s">
        <v>488</v>
      </c>
      <c r="F27" s="209" t="s">
        <v>54</v>
      </c>
      <c r="G27" s="70">
        <f>IF(ISBLANK('Previous years'!G25),"",'Previous years'!G25)</f>
        <v>21</v>
      </c>
      <c r="H27" s="10"/>
      <c r="I27" s="12"/>
      <c r="J27" s="12"/>
      <c r="K27" s="12" t="s">
        <v>459</v>
      </c>
      <c r="L27" s="12"/>
      <c r="AE27" s="12"/>
      <c r="AF27" s="12"/>
    </row>
    <row r="28" spans="2:32" ht="20.100000000000001" customHeight="1">
      <c r="B28" s="163" t="str">
        <f t="shared" si="0"/>
        <v>Above ground asset condition assessment programme [WWA6]</v>
      </c>
      <c r="C28" s="34" t="s">
        <v>193</v>
      </c>
      <c r="D28" s="37" t="s">
        <v>489</v>
      </c>
      <c r="E28" s="215" t="s">
        <v>226</v>
      </c>
      <c r="F28" s="37" t="s">
        <v>121</v>
      </c>
      <c r="G28" s="37" t="str">
        <f>IF(ISBLANK('Previous years'!G26),"",'Previous years'!G26)</f>
        <v>No</v>
      </c>
      <c r="H28" s="12"/>
      <c r="I28" s="23"/>
      <c r="J28" s="23"/>
      <c r="K28" s="12" t="s">
        <v>459</v>
      </c>
      <c r="L28" s="12"/>
      <c r="AE28" s="12"/>
      <c r="AF28" s="12"/>
    </row>
    <row r="29" spans="2:32" ht="20.100000000000001" customHeight="1">
      <c r="B29" s="163" t="str">
        <f t="shared" si="0"/>
        <v>Protocol used for above ground condition assessments [WWA6a]</v>
      </c>
      <c r="C29" s="34" t="s">
        <v>193</v>
      </c>
      <c r="D29" s="37" t="s">
        <v>490</v>
      </c>
      <c r="E29" s="50" t="s">
        <v>229</v>
      </c>
      <c r="F29" s="37" t="s">
        <v>159</v>
      </c>
      <c r="G29" s="37" t="str">
        <f>IF(ISBLANK('Previous years'!G27),"",'Previous years'!G27)</f>
        <v/>
      </c>
      <c r="H29" s="152"/>
      <c r="I29" s="23"/>
      <c r="J29" s="23"/>
      <c r="K29" s="12" t="s">
        <v>459</v>
      </c>
      <c r="L29" s="12"/>
      <c r="AE29" s="12"/>
      <c r="AF29" s="12"/>
    </row>
    <row r="30" spans="2:32" ht="20.100000000000001" customHeight="1" thickBot="1">
      <c r="B30" s="163" t="str">
        <f t="shared" si="0"/>
        <v>Percent of above ground assets assessed within 3 years [WWA6b]</v>
      </c>
      <c r="C30" s="95" t="s">
        <v>193</v>
      </c>
      <c r="D30" s="391" t="s">
        <v>491</v>
      </c>
      <c r="E30" s="392" t="s">
        <v>231</v>
      </c>
      <c r="F30" s="391" t="s">
        <v>111</v>
      </c>
      <c r="G30" s="393">
        <f>IF(ISBLANK('Previous years'!G28),"",'Previous years'!G28)</f>
        <v>0.7</v>
      </c>
      <c r="H30" s="390"/>
      <c r="I30" s="99"/>
      <c r="J30" s="99"/>
      <c r="K30" s="99" t="s">
        <v>459</v>
      </c>
      <c r="L30" s="98"/>
      <c r="M30" s="51" t="s">
        <v>492</v>
      </c>
      <c r="N30" s="37" t="s">
        <v>493</v>
      </c>
      <c r="O30" s="37" t="s">
        <v>494</v>
      </c>
      <c r="P30" s="37" t="s">
        <v>495</v>
      </c>
      <c r="Q30" s="37" t="s">
        <v>496</v>
      </c>
      <c r="R30" s="37" t="s">
        <v>497</v>
      </c>
      <c r="S30" s="37" t="s">
        <v>498</v>
      </c>
      <c r="T30" s="37" t="s">
        <v>499</v>
      </c>
      <c r="U30" s="37" t="s">
        <v>500</v>
      </c>
      <c r="V30" s="37" t="s">
        <v>501</v>
      </c>
      <c r="W30" s="37" t="s">
        <v>502</v>
      </c>
      <c r="X30" s="37" t="s">
        <v>503</v>
      </c>
      <c r="Y30" s="37" t="s">
        <v>504</v>
      </c>
      <c r="Z30" s="37" t="s">
        <v>505</v>
      </c>
      <c r="AA30" s="37" t="s">
        <v>506</v>
      </c>
      <c r="AB30" s="37" t="s">
        <v>507</v>
      </c>
      <c r="AC30" s="37" t="s">
        <v>508</v>
      </c>
      <c r="AD30" s="37" t="s">
        <v>509</v>
      </c>
      <c r="AE30" s="99"/>
      <c r="AF30" s="98"/>
    </row>
    <row r="31" spans="2:32" ht="20.100000000000001" customHeight="1">
      <c r="B31" s="163" t="str">
        <f t="shared" si="0"/>
        <v>Number of wastewater treatment plants [WWA7]</v>
      </c>
      <c r="C31" s="33" t="s">
        <v>510</v>
      </c>
      <c r="D31" s="396" t="s">
        <v>511</v>
      </c>
      <c r="E31" s="397" t="s">
        <v>512</v>
      </c>
      <c r="F31" s="398" t="s">
        <v>54</v>
      </c>
      <c r="G31" s="398">
        <f>IF(ISBLANK('Previous years'!G29),"",'Previous years'!G29)</f>
        <v>7</v>
      </c>
      <c r="H31" s="347">
        <v>6</v>
      </c>
      <c r="I31" s="28"/>
      <c r="J31" s="23"/>
      <c r="K31" s="10" t="s">
        <v>459</v>
      </c>
      <c r="L31" s="9"/>
      <c r="M31" s="25"/>
      <c r="N31" s="25"/>
      <c r="O31" s="25"/>
      <c r="P31" s="25"/>
      <c r="Q31" s="25"/>
      <c r="R31" s="25"/>
      <c r="S31" s="25"/>
      <c r="T31" s="25"/>
      <c r="U31" s="25"/>
      <c r="V31" s="25"/>
      <c r="W31" s="25"/>
      <c r="X31" s="25"/>
      <c r="Y31" s="25"/>
      <c r="Z31" s="25"/>
      <c r="AA31" s="25"/>
      <c r="AB31" s="25"/>
      <c r="AC31" s="25"/>
      <c r="AD31" s="25"/>
      <c r="AE31" s="10"/>
      <c r="AF31" s="9"/>
    </row>
    <row r="32" spans="2:32" ht="20.100000000000001" customHeight="1">
      <c r="B32" s="163" t="str">
        <f t="shared" si="0"/>
        <v>Wastewater treatment plant name [WWA7a]</v>
      </c>
      <c r="C32" s="34" t="s">
        <v>510</v>
      </c>
      <c r="D32" s="399" t="s">
        <v>513</v>
      </c>
      <c r="E32" s="50" t="s">
        <v>514</v>
      </c>
      <c r="F32" s="51" t="s">
        <v>479</v>
      </c>
      <c r="G32" s="51"/>
      <c r="H32" s="350"/>
      <c r="I32" s="25"/>
      <c r="J32" s="24"/>
      <c r="K32" s="12" t="s">
        <v>459</v>
      </c>
      <c r="L32" s="11"/>
      <c r="M32" s="11" t="s">
        <v>515</v>
      </c>
      <c r="N32" s="11" t="s">
        <v>516</v>
      </c>
      <c r="O32" s="11" t="s">
        <v>517</v>
      </c>
      <c r="P32" s="11" t="s">
        <v>518</v>
      </c>
      <c r="Q32" s="11" t="s">
        <v>519</v>
      </c>
      <c r="R32" s="11" t="s">
        <v>520</v>
      </c>
      <c r="S32" s="11"/>
      <c r="T32" s="11"/>
      <c r="U32" s="11"/>
      <c r="V32" s="11"/>
      <c r="W32" s="11"/>
      <c r="X32" s="11"/>
      <c r="Y32" s="11"/>
      <c r="Z32" s="11"/>
      <c r="AA32" s="11"/>
      <c r="AB32" s="11"/>
      <c r="AC32" s="11"/>
      <c r="AD32" s="11"/>
      <c r="AE32" s="12"/>
      <c r="AF32" s="11"/>
    </row>
    <row r="33" spans="2:32" ht="20.100000000000001" customHeight="1">
      <c r="B33" s="163" t="str">
        <f>E38&amp;" ["&amp;D38&amp;"]"</f>
        <v>Treatment Plant sludge production of wet sludge/biosolids [WWA7j-1]</v>
      </c>
      <c r="C33" s="34" t="s">
        <v>510</v>
      </c>
      <c r="D33" s="399" t="s">
        <v>521</v>
      </c>
      <c r="E33" s="50" t="s">
        <v>522</v>
      </c>
      <c r="F33" s="51" t="s">
        <v>139</v>
      </c>
      <c r="G33" s="51">
        <f>IF(ISBLANK('Previous years'!G31),"",'Previous years'!G31)</f>
        <v>5155044</v>
      </c>
      <c r="H33" s="400">
        <f>IF(NOT(COUNTA(M33:AD33)),"",SUM(M33:AD33))</f>
        <v>4726397</v>
      </c>
      <c r="I33" s="11" t="s">
        <v>57</v>
      </c>
      <c r="J33" s="12" t="s">
        <v>523</v>
      </c>
      <c r="K33" s="813" t="s">
        <v>524</v>
      </c>
      <c r="L33" s="11"/>
      <c r="M33" s="11">
        <v>3225035</v>
      </c>
      <c r="N33" s="11">
        <v>1385643</v>
      </c>
      <c r="O33" s="11">
        <v>5520</v>
      </c>
      <c r="P33" s="11">
        <v>99786</v>
      </c>
      <c r="Q33" s="11">
        <v>10205</v>
      </c>
      <c r="R33" s="11">
        <v>208</v>
      </c>
      <c r="S33" s="11"/>
      <c r="T33" s="11"/>
      <c r="U33" s="11"/>
      <c r="V33" s="11"/>
      <c r="W33" s="11"/>
      <c r="X33" s="11"/>
      <c r="Y33" s="11"/>
      <c r="Z33" s="11"/>
      <c r="AA33" s="11"/>
      <c r="AB33" s="11"/>
      <c r="AC33" s="11"/>
      <c r="AD33" s="11"/>
      <c r="AE33" s="12"/>
      <c r="AF33" s="11"/>
    </row>
    <row r="34" spans="2:32" ht="20.100000000000001" customHeight="1" thickBot="1">
      <c r="B34" s="163" t="str">
        <f>E39&amp;" ["&amp;D39&amp;"]"</f>
        <v>Percentage of dry solids in wastewater sludge/biosolids [WWA7j-2]</v>
      </c>
      <c r="C34" s="34" t="s">
        <v>510</v>
      </c>
      <c r="D34" s="379" t="s">
        <v>525</v>
      </c>
      <c r="E34" s="380" t="s">
        <v>526</v>
      </c>
      <c r="F34" s="401" t="s">
        <v>111</v>
      </c>
      <c r="G34" s="402" t="str">
        <f>IF(ISBLANK('Previous years'!G32),"",'Previous years'!G32)</f>
        <v/>
      </c>
      <c r="H34" s="403">
        <f>IFERROR(((M33/H33)*M34)+((N33/H33)*N34)+((O33/H33)*O34)+((P33/H33)*P34)+((Q33/H33)*Q34)+((R33/H33)*R34)+((S33/H33)*S34)+((T33/H33)*T34)+((U33/H33)*U34)+((V33/H33)*V34)+((W33/H33)*W34)+((X33/H33)*X34)+((Y33/H33)*Y34)+((Z33/H33)*Z34)+((AA33/H33)*AA34)+((AB33/H33)*AB34)+((AC33/H33)*AC34)+((AD33/H33)*AD34)+((AE33/H33)*AE34),"")</f>
        <v>0</v>
      </c>
      <c r="I34" s="11"/>
      <c r="K34" s="794" t="s">
        <v>527</v>
      </c>
      <c r="L34" s="11" t="s">
        <v>528</v>
      </c>
      <c r="M34" s="140"/>
      <c r="N34" s="140"/>
      <c r="O34" s="140"/>
      <c r="P34" s="140"/>
      <c r="Q34" s="140"/>
      <c r="R34" s="140"/>
      <c r="S34" s="140"/>
      <c r="T34" s="140"/>
      <c r="U34" s="140"/>
      <c r="V34" s="140"/>
      <c r="W34" s="140"/>
      <c r="X34" s="140"/>
      <c r="Y34" s="140"/>
      <c r="Z34" s="140"/>
      <c r="AA34" s="140"/>
      <c r="AB34" s="140"/>
      <c r="AC34" s="140"/>
      <c r="AD34" s="140"/>
      <c r="AE34" s="12"/>
      <c r="AF34" s="11"/>
    </row>
    <row r="35" spans="2:32" ht="20.100000000000001" customHeight="1">
      <c r="B35" s="163" t="str">
        <f t="shared" si="0"/>
        <v>Number of consents at each treatment plant [WWA7g]</v>
      </c>
      <c r="C35" s="34"/>
      <c r="D35" s="70" t="s">
        <v>529</v>
      </c>
      <c r="E35" s="38" t="s">
        <v>530</v>
      </c>
      <c r="F35" s="71" t="s">
        <v>54</v>
      </c>
      <c r="G35" s="394"/>
      <c r="H35" s="395"/>
      <c r="I35" s="12" t="s">
        <v>57</v>
      </c>
      <c r="J35" s="12" t="s">
        <v>531</v>
      </c>
      <c r="K35" s="813" t="s">
        <v>524</v>
      </c>
      <c r="L35" s="11"/>
      <c r="M35" s="203">
        <v>2</v>
      </c>
      <c r="N35" s="203">
        <v>4</v>
      </c>
      <c r="O35" s="203">
        <v>1</v>
      </c>
      <c r="P35" s="203">
        <v>2</v>
      </c>
      <c r="Q35" s="203">
        <v>2</v>
      </c>
      <c r="R35" s="203">
        <v>1</v>
      </c>
      <c r="S35" s="203"/>
      <c r="T35" s="203"/>
      <c r="U35" s="203"/>
      <c r="V35" s="203"/>
      <c r="W35" s="203"/>
      <c r="X35" s="203"/>
      <c r="Y35" s="203"/>
      <c r="Z35" s="203"/>
      <c r="AA35" s="203"/>
      <c r="AB35" s="203"/>
      <c r="AC35" s="203"/>
      <c r="AD35" s="203"/>
      <c r="AE35" s="12"/>
      <c r="AF35" s="11"/>
    </row>
    <row r="36" spans="2:32" ht="20.100000000000001" customHeight="1">
      <c r="B36" s="163" t="str">
        <f t="shared" si="0"/>
        <v>Treatment Plant effluent resource consent expiry date [WWA7h]</v>
      </c>
      <c r="C36" s="34" t="s">
        <v>510</v>
      </c>
      <c r="D36" s="51" t="s">
        <v>532</v>
      </c>
      <c r="E36" s="50" t="s">
        <v>533</v>
      </c>
      <c r="F36" s="37" t="s">
        <v>534</v>
      </c>
      <c r="G36" s="37" t="str">
        <f>IF(ISBLANK('Previous years'!G39),"",'Previous years'!G39)</f>
        <v/>
      </c>
      <c r="H36" s="144"/>
      <c r="I36" s="24"/>
      <c r="J36" s="24"/>
      <c r="K36" s="813" t="s">
        <v>524</v>
      </c>
      <c r="L36" s="12"/>
      <c r="M36" s="144">
        <v>52674</v>
      </c>
      <c r="N36" s="144">
        <v>51774</v>
      </c>
      <c r="O36" s="144">
        <v>45108</v>
      </c>
      <c r="P36" s="144">
        <v>44877</v>
      </c>
      <c r="Q36" s="144">
        <v>53265</v>
      </c>
      <c r="R36" s="144">
        <v>44896</v>
      </c>
      <c r="S36" s="144"/>
      <c r="T36" s="144"/>
      <c r="U36" s="144"/>
      <c r="V36" s="144"/>
      <c r="W36" s="144"/>
      <c r="X36" s="144"/>
      <c r="Y36" s="144"/>
      <c r="Z36" s="144"/>
      <c r="AA36" s="144"/>
      <c r="AB36" s="144"/>
      <c r="AC36" s="144"/>
      <c r="AD36" s="144"/>
      <c r="AE36" s="12"/>
      <c r="AF36" s="12"/>
    </row>
    <row r="37" spans="2:32" ht="20.100000000000001" customHeight="1">
      <c r="B37" s="163" t="str">
        <f t="shared" si="0"/>
        <v>Treatment plant effluent consent status [WWA7i]</v>
      </c>
      <c r="C37" s="34" t="s">
        <v>510</v>
      </c>
      <c r="D37" s="51" t="s">
        <v>535</v>
      </c>
      <c r="E37" s="50" t="s">
        <v>536</v>
      </c>
      <c r="F37" s="37" t="s">
        <v>159</v>
      </c>
      <c r="G37" s="37" t="str">
        <f>IF(ISBLANK('Previous years'!G35),"",'Previous years'!G35)</f>
        <v/>
      </c>
      <c r="H37" s="12"/>
      <c r="I37" s="24"/>
      <c r="J37" s="24"/>
      <c r="K37" s="813" t="s">
        <v>524</v>
      </c>
      <c r="L37" s="12"/>
      <c r="M37" s="12" t="s">
        <v>537</v>
      </c>
      <c r="N37" s="12" t="s">
        <v>537</v>
      </c>
      <c r="O37" s="12" t="s">
        <v>537</v>
      </c>
      <c r="P37" s="12" t="s">
        <v>537</v>
      </c>
      <c r="Q37" s="12" t="s">
        <v>537</v>
      </c>
      <c r="R37" s="12" t="s">
        <v>537</v>
      </c>
      <c r="S37" s="12"/>
      <c r="T37" s="12"/>
      <c r="U37" s="12"/>
      <c r="V37" s="12"/>
      <c r="W37" s="12"/>
      <c r="X37" s="12"/>
      <c r="Y37" s="12"/>
      <c r="Z37" s="12"/>
      <c r="AA37" s="12"/>
      <c r="AB37" s="12"/>
      <c r="AC37" s="12"/>
      <c r="AD37" s="12"/>
      <c r="AE37" s="12"/>
      <c r="AF37" s="12"/>
    </row>
    <row r="38" spans="2:32" ht="20.100000000000001" customHeight="1">
      <c r="B38" s="163" t="str">
        <f t="shared" si="0"/>
        <v>Treatment Plant sludge production of wet sludge/biosolids [WWA7j-1]</v>
      </c>
      <c r="C38" s="34" t="s">
        <v>510</v>
      </c>
      <c r="D38" s="37" t="s">
        <v>538</v>
      </c>
      <c r="E38" s="36" t="s">
        <v>539</v>
      </c>
      <c r="F38" s="37" t="s">
        <v>540</v>
      </c>
      <c r="G38" s="37" t="str">
        <f>IF(ISBLANK('Previous years'!G36),"",'Previous years'!G36)</f>
        <v/>
      </c>
      <c r="H38" s="12">
        <f>IF(NOT(COUNTA(M38:AD38)),"",SUM(M38:AD38))</f>
        <v>3798</v>
      </c>
      <c r="I38" s="12"/>
      <c r="J38" s="12"/>
      <c r="K38" s="12"/>
      <c r="L38" s="12"/>
      <c r="M38" s="12">
        <v>2068</v>
      </c>
      <c r="N38" s="12">
        <v>1730</v>
      </c>
      <c r="O38" s="12"/>
      <c r="P38" s="12"/>
      <c r="Q38" s="12"/>
      <c r="R38" s="12"/>
      <c r="S38" s="12"/>
      <c r="T38" s="12"/>
      <c r="U38" s="12"/>
      <c r="V38" s="12"/>
      <c r="W38" s="12"/>
      <c r="X38" s="12"/>
      <c r="Y38" s="12"/>
      <c r="Z38" s="12"/>
      <c r="AA38" s="12"/>
      <c r="AB38" s="12"/>
      <c r="AC38" s="12"/>
      <c r="AD38" s="12"/>
      <c r="AE38" s="12"/>
      <c r="AF38" s="12"/>
    </row>
    <row r="39" spans="2:32" ht="20.100000000000001" customHeight="1">
      <c r="B39" s="163" t="str">
        <f t="shared" si="0"/>
        <v>Percentage of dry solids in wastewater sludge/biosolids [WWA7j-2]</v>
      </c>
      <c r="C39" s="34"/>
      <c r="D39" s="37" t="s">
        <v>541</v>
      </c>
      <c r="E39" s="36" t="s">
        <v>542</v>
      </c>
      <c r="F39" s="37" t="s">
        <v>111</v>
      </c>
      <c r="G39" s="37" t="str">
        <f>IF(ISBLANK('Previous years'!G37),"",'Previous years'!G37)</f>
        <v/>
      </c>
      <c r="H39" s="136" t="str">
        <f>IFERROR(((M38/H38)*M39)+((N38/H38)*N39)+((O38/H38)*O39)+((P38/H38)*P39)+((Q38/H38)*Q39)+((R38/H38)*R39)+((S38/H38)*S39)+((T38/H38)*T39)+((U38/H38)*U39)+((V38/H38)*V39)+((W38/H38)*W39)+((X38/H38)*X39)+((Y38/H38)*Y39)+((Z38/H38)*Z39)+((AA38/H38)*AA39)+((AB38/H38)*AB39)+((AC38/H38)*AC39)+((AD38/H38)*AD39)+((AE38/H38)*AE39),"")</f>
        <v/>
      </c>
      <c r="I39" s="12"/>
      <c r="J39" s="12"/>
      <c r="K39" s="12"/>
      <c r="L39" s="12"/>
      <c r="M39" s="136">
        <v>0.2</v>
      </c>
      <c r="N39" s="136">
        <v>0.2</v>
      </c>
      <c r="O39" s="136" t="s">
        <v>359</v>
      </c>
      <c r="P39" s="136" t="s">
        <v>359</v>
      </c>
      <c r="Q39" s="136" t="s">
        <v>359</v>
      </c>
      <c r="R39" s="136" t="s">
        <v>359</v>
      </c>
      <c r="S39" s="136"/>
      <c r="T39" s="136"/>
      <c r="U39" s="136"/>
      <c r="V39" s="136"/>
      <c r="W39" s="136"/>
      <c r="X39" s="136"/>
      <c r="Y39" s="136"/>
      <c r="Z39" s="136"/>
      <c r="AA39" s="136"/>
      <c r="AB39" s="136"/>
      <c r="AC39" s="136"/>
      <c r="AD39" s="136"/>
      <c r="AE39" s="12"/>
      <c r="AF39" s="12"/>
    </row>
    <row r="40" spans="2:32" ht="20.100000000000001" customHeight="1">
      <c r="B40" s="163" t="str">
        <f t="shared" si="0"/>
        <v>Disposal of wastewater sludge in year to on site stockpile [WWA7k-1]</v>
      </c>
      <c r="C40" s="34" t="s">
        <v>510</v>
      </c>
      <c r="D40" s="51" t="s">
        <v>543</v>
      </c>
      <c r="E40" s="50" t="s">
        <v>544</v>
      </c>
      <c r="F40" s="51" t="s">
        <v>111</v>
      </c>
      <c r="G40" s="37" t="str">
        <f>IF(ISBLANK('Previous years'!G38),"",'Previous years'!G38)</f>
        <v/>
      </c>
      <c r="H40" s="136">
        <f>IFERROR(((M38/H38)*M40)+((N38/H38)*N40)+((O38/H38)*O40)+((P38/H38)*P40)+((Q38/H38)*Q40)+((R38/H38)*R40)+((S38/H38)*S40)+((T38/H38)*T40)+((U38/H38)*U40)+((V38/H38)*V40)+((W38/H38)*W40)+((X38/H38)*X40)+((Y38/H38)*Y40)+((Z38/H38)*Z40)+((AA38/H38)*AA40)+((AB38/H38)*AB40)+((AC38/H38)*AC40)+((AD38/H38)*AD40)+((AE38/H38)*AE40),"")</f>
        <v>0</v>
      </c>
      <c r="I40" s="12"/>
      <c r="J40" s="12"/>
      <c r="K40" s="12"/>
      <c r="L40" s="12"/>
      <c r="M40" s="136"/>
      <c r="N40" s="136"/>
      <c r="O40" s="136"/>
      <c r="P40" s="136"/>
      <c r="Q40" s="136"/>
      <c r="R40" s="136"/>
      <c r="S40" s="136"/>
      <c r="T40" s="136"/>
      <c r="U40" s="136"/>
      <c r="V40" s="136"/>
      <c r="W40" s="136"/>
      <c r="X40" s="136"/>
      <c r="Y40" s="136"/>
      <c r="Z40" s="136"/>
      <c r="AA40" s="136"/>
      <c r="AB40" s="136"/>
      <c r="AC40" s="136"/>
      <c r="AD40" s="136"/>
      <c r="AE40" s="12"/>
      <c r="AF40" s="12"/>
    </row>
    <row r="41" spans="2:32" ht="20.100000000000001" customHeight="1">
      <c r="B41" s="163" t="str">
        <f t="shared" si="0"/>
        <v>Disposal of wastewater sludge in year to landfill [WWA7k-2]</v>
      </c>
      <c r="C41" s="34" t="s">
        <v>510</v>
      </c>
      <c r="D41" s="51" t="s">
        <v>545</v>
      </c>
      <c r="E41" s="50" t="s">
        <v>546</v>
      </c>
      <c r="F41" s="51" t="s">
        <v>111</v>
      </c>
      <c r="G41" s="37" t="str">
        <f>IF(ISBLANK('Previous years'!G39),"",'Previous years'!G39)</f>
        <v/>
      </c>
      <c r="H41" s="136">
        <v>1</v>
      </c>
      <c r="I41" s="12"/>
      <c r="J41" s="511"/>
      <c r="K41" s="12"/>
      <c r="L41" s="12"/>
      <c r="M41" s="136"/>
      <c r="N41" s="136"/>
      <c r="O41" s="136"/>
      <c r="P41" s="136"/>
      <c r="Q41" s="136"/>
      <c r="R41" s="136"/>
      <c r="S41" s="136"/>
      <c r="T41" s="136"/>
      <c r="U41" s="136"/>
      <c r="V41" s="136"/>
      <c r="W41" s="136"/>
      <c r="X41" s="136"/>
      <c r="Y41" s="136"/>
      <c r="Z41" s="136"/>
      <c r="AA41" s="136"/>
      <c r="AB41" s="136"/>
      <c r="AC41" s="136"/>
      <c r="AD41" s="136"/>
      <c r="AE41" s="12"/>
      <c r="AF41" s="12"/>
    </row>
    <row r="42" spans="2:32" ht="20.100000000000001" customHeight="1">
      <c r="B42" s="163" t="str">
        <f t="shared" si="0"/>
        <v>Disposal of wastewater sludge in year to composting and reuse [WWA7k-3]</v>
      </c>
      <c r="C42" s="34" t="s">
        <v>510</v>
      </c>
      <c r="D42" s="51" t="s">
        <v>547</v>
      </c>
      <c r="E42" s="50" t="s">
        <v>548</v>
      </c>
      <c r="F42" s="51" t="s">
        <v>111</v>
      </c>
      <c r="G42" s="37" t="str">
        <f>IF(ISBLANK('Previous years'!G40),"",'Previous years'!G40)</f>
        <v/>
      </c>
      <c r="H42" s="136">
        <f>IFERROR(((M38/H38)*M42)+((N38/H38)*N42)+((O38/H38)*O42)+((P38/H38)*P42)+((Q38/H38)*Q42)+((R38/H38)*R42)+((S38/H38)*S42)+((T38/H38)*T42)+((U38/H38)*U42)+((V38/H38)*V42)+((W38/H38)*W42)+((X38/H38)*X42)+((Y38/H38)*Y42)+((Z38/H38)*Z42)+((AA38/H38)*AA42)+((AB38/H38)*AB42)+((AC38/H38)*AC42)+((AD38/H38)*AD42)+((AE38/H38)*AE42),"")</f>
        <v>0</v>
      </c>
      <c r="I42" s="12"/>
      <c r="J42" s="12"/>
      <c r="K42" s="12"/>
      <c r="L42" s="12"/>
      <c r="M42" s="136"/>
      <c r="N42" s="136"/>
      <c r="O42" s="136"/>
      <c r="P42" s="136"/>
      <c r="Q42" s="136"/>
      <c r="R42" s="136"/>
      <c r="S42" s="136"/>
      <c r="T42" s="136"/>
      <c r="U42" s="136"/>
      <c r="V42" s="136"/>
      <c r="W42" s="136"/>
      <c r="X42" s="136"/>
      <c r="Y42" s="136"/>
      <c r="Z42" s="136"/>
      <c r="AA42" s="136"/>
      <c r="AB42" s="136"/>
      <c r="AC42" s="136"/>
      <c r="AD42" s="136"/>
      <c r="AE42" s="12"/>
      <c r="AF42" s="12"/>
    </row>
    <row r="43" spans="2:32" ht="20.100000000000001" customHeight="1">
      <c r="B43" s="163" t="str">
        <f t="shared" si="0"/>
        <v>Disposal of wastewater sludge in year to other routes [WWA7k-4]</v>
      </c>
      <c r="C43" s="34" t="s">
        <v>510</v>
      </c>
      <c r="D43" s="51" t="s">
        <v>549</v>
      </c>
      <c r="E43" s="50" t="s">
        <v>550</v>
      </c>
      <c r="F43" s="51" t="s">
        <v>111</v>
      </c>
      <c r="G43" s="37" t="str">
        <f>IF(ISBLANK('Previous years'!G41),"",'Previous years'!G41)</f>
        <v/>
      </c>
      <c r="H43" s="136">
        <f>IFERROR(((M38/H38)*M43)+((N38/H38)*N43)+((O38/H38)*O43)+((P38/H38)*P43)+((Q38/H38)*Q43)+((R38/H38)*R43)+((S38/H38)*S43)+((T38/H38)*T43)+((U38/H38)*U43)+((V38/H38)*V43)+((W38/H38)*W43)+((X38/H38)*X43)+((Y38/H38)*Y43)+((Z38/H38)*Z43)+((AA38/H38)*AA43)+((AB38/H38)*AB43)+((AC38/H38)*AC43)+((AD38/H38)*AD43)+((AE38/H38)*AE43),"")</f>
        <v>0</v>
      </c>
      <c r="I43" s="12"/>
      <c r="J43" s="12"/>
      <c r="K43" s="12"/>
      <c r="L43" s="12"/>
      <c r="M43" s="136"/>
      <c r="N43" s="136"/>
      <c r="O43" s="136"/>
      <c r="P43" s="136"/>
      <c r="Q43" s="136"/>
      <c r="R43" s="136"/>
      <c r="S43" s="136"/>
      <c r="T43" s="136"/>
      <c r="U43" s="136"/>
      <c r="V43" s="136"/>
      <c r="W43" s="136"/>
      <c r="X43" s="136"/>
      <c r="Y43" s="136"/>
      <c r="Z43" s="136"/>
      <c r="AA43" s="136"/>
      <c r="AB43" s="136"/>
      <c r="AC43" s="136"/>
      <c r="AD43" s="136"/>
      <c r="AE43" s="12"/>
      <c r="AF43" s="12"/>
    </row>
    <row r="44" spans="2:32" ht="20.100000000000001" customHeight="1">
      <c r="B44" s="163" t="str">
        <f t="shared" si="0"/>
        <v>Last year desludged [WWA7k-5]</v>
      </c>
      <c r="C44" s="34"/>
      <c r="D44" s="51" t="s">
        <v>551</v>
      </c>
      <c r="E44" s="50" t="s">
        <v>552</v>
      </c>
      <c r="F44" s="51" t="s">
        <v>553</v>
      </c>
      <c r="G44" s="37" t="str">
        <f>IF(ISBLANK('Previous years'!G42),"",'Previous years'!G42)</f>
        <v/>
      </c>
      <c r="H44" s="213"/>
      <c r="I44" s="24"/>
      <c r="J44" s="24"/>
      <c r="K44" s="12"/>
      <c r="L44" s="12"/>
      <c r="M44" s="213"/>
      <c r="N44" s="213"/>
      <c r="O44" s="213"/>
      <c r="P44" s="213"/>
      <c r="Q44" s="213"/>
      <c r="R44" s="213"/>
      <c r="S44" s="213"/>
      <c r="T44" s="213"/>
      <c r="U44" s="213"/>
      <c r="V44" s="213"/>
      <c r="W44" s="213"/>
      <c r="X44" s="213"/>
      <c r="Y44" s="213"/>
      <c r="Z44" s="213"/>
      <c r="AA44" s="213"/>
      <c r="AB44" s="213"/>
      <c r="AC44" s="213"/>
      <c r="AD44" s="213"/>
      <c r="AE44" s="12"/>
      <c r="AF44" s="12"/>
    </row>
    <row r="45" spans="2:32" ht="20.100000000000001" customHeight="1" thickBot="1">
      <c r="B45" s="163" t="str">
        <f t="shared" si="0"/>
        <v>Treatment Plant backup generators [WWA7l]</v>
      </c>
      <c r="C45" s="34" t="s">
        <v>510</v>
      </c>
      <c r="D45" s="391" t="s">
        <v>554</v>
      </c>
      <c r="E45" s="392" t="s">
        <v>555</v>
      </c>
      <c r="F45" s="391" t="s">
        <v>54</v>
      </c>
      <c r="G45" s="218">
        <f>IF(ISBLANK('Previous years'!G43),"",'Previous years'!G43)</f>
        <v>3</v>
      </c>
      <c r="H45" s="159">
        <v>3</v>
      </c>
      <c r="I45" s="12"/>
      <c r="J45" s="12"/>
      <c r="K45" s="12" t="s">
        <v>459</v>
      </c>
      <c r="L45" s="12"/>
      <c r="M45" s="12"/>
      <c r="N45" s="12"/>
      <c r="O45" s="12"/>
      <c r="P45" s="12"/>
      <c r="Q45" s="12"/>
      <c r="R45" s="12"/>
      <c r="S45" s="12"/>
      <c r="T45" s="12"/>
      <c r="U45" s="12"/>
      <c r="V45" s="12"/>
      <c r="W45" s="12"/>
      <c r="X45" s="12"/>
      <c r="Y45" s="12"/>
      <c r="Z45" s="12"/>
      <c r="AA45" s="12"/>
      <c r="AB45" s="12"/>
      <c r="AC45" s="12"/>
      <c r="AD45" s="12"/>
      <c r="AE45" s="12"/>
      <c r="AF45" s="12"/>
    </row>
    <row r="46" spans="2:32" ht="20.100000000000001" customHeight="1" thickBot="1">
      <c r="B46" s="163" t="str">
        <f t="shared" si="0"/>
        <v>Treatment plant peak wet to average dry weather flow ratio [WWA7m]</v>
      </c>
      <c r="C46" s="95" t="s">
        <v>510</v>
      </c>
      <c r="D46" s="384" t="s">
        <v>556</v>
      </c>
      <c r="E46" s="385" t="s">
        <v>557</v>
      </c>
      <c r="F46" s="386" t="s">
        <v>54</v>
      </c>
      <c r="G46" s="405">
        <f>IF(ISBLANK('Previous years'!G44),"",'Previous years'!G44)</f>
        <v>2.0623819622102162</v>
      </c>
      <c r="H46" s="512">
        <f>IFERROR(((M46/H33)*M33)+((N46/H33)*N33)+((O46/H33)*O33)+((P46/H33)*P33)+((Q46/H33)*Q33)+((R46/H33)*R33)+((S46/H33)*S33)+((T46/H33)*T33)+((U46/H33)*U33)+((V46/H33)*V33)+((W46/H33)*W33)+((X46/H33)*X33)+((Y46/H33)*Y33)+((Z46/H33)*Z33)+((AA46/H33)*AA33)+((AB46/H33)*AB33)+((AC46/H33)*AC33)+((AD46/H33)*AD33)+((AE46/H33)*AE33),"")</f>
        <v>2.1074990018824065</v>
      </c>
      <c r="I46" s="404"/>
      <c r="J46" s="99"/>
      <c r="K46" s="99" t="s">
        <v>459</v>
      </c>
      <c r="L46" s="98"/>
      <c r="M46" s="12">
        <v>2.0099999999999998</v>
      </c>
      <c r="N46" s="12">
        <v>2.37</v>
      </c>
      <c r="O46" s="12"/>
      <c r="P46" s="12">
        <v>1.95</v>
      </c>
      <c r="Q46" s="12"/>
      <c r="R46" s="12"/>
      <c r="S46" s="12"/>
      <c r="T46" s="12"/>
      <c r="U46" s="12"/>
      <c r="V46" s="12"/>
      <c r="W46" s="12"/>
      <c r="X46" s="12"/>
      <c r="Y46" s="12"/>
      <c r="Z46" s="12"/>
      <c r="AA46" s="12"/>
      <c r="AB46" s="12"/>
      <c r="AC46" s="12"/>
      <c r="AD46" s="12"/>
      <c r="AE46" s="99"/>
      <c r="AF46" s="98"/>
    </row>
    <row r="47" spans="2:32" ht="20.100000000000001" customHeight="1">
      <c r="B47" s="163" t="str">
        <f>E47&amp;" ["&amp;D47&amp;"]"</f>
        <v>Wastewater treatment plant process emissions [WWA7n]</v>
      </c>
      <c r="C47" s="33" t="s">
        <v>558</v>
      </c>
      <c r="D47" s="209" t="s">
        <v>559</v>
      </c>
      <c r="E47" s="210" t="s">
        <v>560</v>
      </c>
      <c r="F47" s="209" t="s">
        <v>561</v>
      </c>
      <c r="G47" s="70" t="str">
        <f>IF(ISBLANK('Previous years'!G45),"",'Previous years'!G45)</f>
        <v/>
      </c>
      <c r="H47" s="9">
        <v>5005</v>
      </c>
      <c r="I47" s="9" t="s">
        <v>57</v>
      </c>
      <c r="J47" s="9" t="s">
        <v>562</v>
      </c>
      <c r="K47" s="10" t="s">
        <v>563</v>
      </c>
      <c r="L47" s="9" t="s">
        <v>564</v>
      </c>
      <c r="M47" s="136" t="s">
        <v>565</v>
      </c>
      <c r="N47" s="136" t="s">
        <v>565</v>
      </c>
      <c r="O47" s="136" t="s">
        <v>565</v>
      </c>
      <c r="P47" s="136" t="s">
        <v>565</v>
      </c>
      <c r="Q47" s="136" t="s">
        <v>565</v>
      </c>
      <c r="R47" s="136" t="s">
        <v>565</v>
      </c>
      <c r="S47" s="136" t="s">
        <v>565</v>
      </c>
      <c r="T47" s="136" t="s">
        <v>565</v>
      </c>
      <c r="U47" s="136" t="s">
        <v>565</v>
      </c>
      <c r="V47" s="136" t="s">
        <v>565</v>
      </c>
      <c r="W47" s="136" t="s">
        <v>565</v>
      </c>
      <c r="X47" s="136" t="s">
        <v>565</v>
      </c>
      <c r="Y47" s="136" t="s">
        <v>565</v>
      </c>
      <c r="Z47" s="136" t="s">
        <v>565</v>
      </c>
      <c r="AA47" s="136" t="s">
        <v>565</v>
      </c>
      <c r="AB47" s="136" t="s">
        <v>565</v>
      </c>
      <c r="AC47" s="136" t="s">
        <v>565</v>
      </c>
      <c r="AD47" s="136" t="s">
        <v>565</v>
      </c>
      <c r="AE47" s="10"/>
      <c r="AF47" s="9"/>
    </row>
    <row r="48" spans="2:32" ht="20.100000000000001" customHeight="1">
      <c r="B48" s="163" t="str">
        <f>E48&amp;" ["&amp;D48&amp;"]"</f>
        <v>Wastewater treatment wetland emissions [WWA7o]</v>
      </c>
      <c r="C48" s="33" t="s">
        <v>566</v>
      </c>
      <c r="D48" s="209" t="s">
        <v>567</v>
      </c>
      <c r="E48" s="256" t="s">
        <v>568</v>
      </c>
      <c r="F48" s="209" t="s">
        <v>561</v>
      </c>
      <c r="G48" s="51" t="s">
        <v>569</v>
      </c>
      <c r="H48" s="9">
        <v>0</v>
      </c>
      <c r="I48" s="12"/>
      <c r="J48" s="9"/>
      <c r="K48" s="10"/>
      <c r="L48" s="9" t="s">
        <v>570</v>
      </c>
      <c r="M48" s="136"/>
      <c r="N48" s="136"/>
      <c r="O48" s="136"/>
      <c r="P48" s="136"/>
      <c r="Q48" s="136"/>
      <c r="R48" s="136"/>
      <c r="S48" s="136"/>
      <c r="T48" s="136"/>
      <c r="U48" s="136"/>
      <c r="V48" s="136"/>
      <c r="W48" s="136"/>
      <c r="X48" s="136"/>
      <c r="Y48" s="136"/>
      <c r="Z48" s="136"/>
      <c r="AA48" s="136"/>
      <c r="AB48" s="136"/>
      <c r="AC48" s="136"/>
      <c r="AD48" s="136"/>
      <c r="AE48" s="162"/>
      <c r="AF48" s="255"/>
    </row>
    <row r="49" spans="2:32" ht="20.100000000000001" customHeight="1">
      <c r="B49" s="163" t="str">
        <f>E49&amp;" ["&amp;D49&amp;"]"</f>
        <v>Wastewater effluent disposal emissions [WWA7p]</v>
      </c>
      <c r="C49" s="33"/>
      <c r="D49" s="209" t="s">
        <v>571</v>
      </c>
      <c r="E49" s="256" t="s">
        <v>572</v>
      </c>
      <c r="F49" s="209" t="s">
        <v>561</v>
      </c>
      <c r="G49" s="37" t="str">
        <f>IF(ISBLANK('Previous years'!G47),"",'Previous years'!G47)</f>
        <v/>
      </c>
      <c r="H49" s="9">
        <v>0</v>
      </c>
      <c r="I49" s="12"/>
      <c r="J49" s="9"/>
      <c r="K49" s="10"/>
      <c r="L49" s="9" t="s">
        <v>570</v>
      </c>
      <c r="M49" s="136"/>
      <c r="N49" s="136"/>
      <c r="O49" s="136"/>
      <c r="P49" s="136"/>
      <c r="Q49" s="136"/>
      <c r="R49" s="136"/>
      <c r="S49" s="136"/>
      <c r="T49" s="136"/>
      <c r="U49" s="136"/>
      <c r="V49" s="136"/>
      <c r="W49" s="136"/>
      <c r="X49" s="136"/>
      <c r="Y49" s="136"/>
      <c r="Z49" s="136"/>
      <c r="AA49" s="136"/>
      <c r="AB49" s="136"/>
      <c r="AC49" s="136"/>
      <c r="AD49" s="136"/>
      <c r="AE49" s="162"/>
      <c r="AF49" s="255"/>
    </row>
    <row r="50" spans="2:32" ht="20.100000000000001" customHeight="1" thickBot="1">
      <c r="B50" s="163" t="str">
        <f>E50&amp;" ["&amp;D50&amp;"]"</f>
        <v>Wastewater sludge treatment emissions [WWA7q]</v>
      </c>
      <c r="C50" s="247"/>
      <c r="D50" s="211" t="s">
        <v>573</v>
      </c>
      <c r="E50" s="256" t="s">
        <v>574</v>
      </c>
      <c r="F50" s="209" t="s">
        <v>561</v>
      </c>
      <c r="G50" s="37" t="str">
        <f>IF(ISBLANK('Previous years'!G48),"",'Previous years'!G48)</f>
        <v/>
      </c>
      <c r="H50" s="9">
        <v>0</v>
      </c>
      <c r="I50" s="12"/>
      <c r="J50" s="12"/>
      <c r="K50" s="12"/>
      <c r="L50" s="12" t="s">
        <v>570</v>
      </c>
      <c r="M50" s="213"/>
      <c r="N50" s="213"/>
      <c r="O50" s="213"/>
      <c r="P50" s="213"/>
      <c r="Q50" s="213"/>
      <c r="R50" s="213"/>
      <c r="S50" s="213"/>
      <c r="T50" s="213"/>
      <c r="U50" s="213"/>
      <c r="V50" s="213"/>
      <c r="W50" s="213"/>
      <c r="X50" s="213"/>
      <c r="Y50" s="213"/>
      <c r="Z50" s="213"/>
      <c r="AA50" s="213"/>
      <c r="AB50" s="213"/>
      <c r="AC50" s="213"/>
      <c r="AD50" s="213"/>
      <c r="AE50" s="97"/>
      <c r="AF50" s="97"/>
    </row>
    <row r="51" spans="2:32" ht="20.100000000000001" customHeight="1" thickBot="1">
      <c r="B51" s="163" t="str">
        <f>E51&amp;" ["&amp;D51&amp;"]"</f>
        <v>Wastewater sludge disposal emissions [WWA7r]</v>
      </c>
      <c r="C51" s="95"/>
      <c r="D51" s="252" t="s">
        <v>575</v>
      </c>
      <c r="E51" s="257" t="s">
        <v>576</v>
      </c>
      <c r="F51" s="252" t="s">
        <v>561</v>
      </c>
      <c r="G51" s="37" t="str">
        <f>IF(ISBLANK('Previous years'!G49),"",'Previous years'!G49)</f>
        <v/>
      </c>
      <c r="H51" s="9">
        <v>0</v>
      </c>
      <c r="I51" s="98"/>
      <c r="J51" s="98"/>
      <c r="K51" s="98"/>
      <c r="L51" s="98" t="s">
        <v>570</v>
      </c>
      <c r="M51" s="12"/>
      <c r="N51" s="12"/>
      <c r="O51" s="12"/>
      <c r="P51" s="12"/>
      <c r="Q51" s="12"/>
      <c r="R51" s="12"/>
      <c r="S51" s="12"/>
      <c r="T51" s="12"/>
      <c r="U51" s="12"/>
      <c r="V51" s="12"/>
      <c r="W51" s="12"/>
      <c r="X51" s="12"/>
      <c r="Y51" s="12"/>
      <c r="Z51" s="12"/>
      <c r="AA51" s="12"/>
      <c r="AB51" s="12"/>
      <c r="AC51" s="12"/>
      <c r="AD51" s="12"/>
      <c r="AE51" s="97"/>
      <c r="AF51" s="97"/>
    </row>
    <row r="52" spans="2:32" ht="20.100000000000001" customHeight="1" thickBot="1">
      <c r="B52" s="163" t="str">
        <f t="shared" si="0"/>
        <v>Total Length of Combined Wastewater and Stormwater Pipelines [WWA8]</v>
      </c>
      <c r="C52" s="100" t="s">
        <v>577</v>
      </c>
      <c r="D52" s="406" t="s">
        <v>578</v>
      </c>
      <c r="E52" s="407" t="s">
        <v>579</v>
      </c>
      <c r="F52" s="406" t="s">
        <v>166</v>
      </c>
      <c r="G52" s="406">
        <f>IF(ISBLANK('Previous years'!G50),"",'Previous years'!G50)</f>
        <v>0</v>
      </c>
      <c r="H52" s="408">
        <v>0</v>
      </c>
      <c r="I52" s="99" t="s">
        <v>458</v>
      </c>
      <c r="J52" s="104" t="s">
        <v>167</v>
      </c>
      <c r="K52" s="104" t="s">
        <v>462</v>
      </c>
      <c r="L52" s="103" t="s">
        <v>580</v>
      </c>
      <c r="AE52" s="104"/>
      <c r="AF52" s="103"/>
    </row>
    <row r="53" spans="2:32" ht="20.100000000000001" customHeight="1" thickBot="1">
      <c r="B53" s="163" t="str">
        <f t="shared" si="0"/>
        <v>Dry Weather Wastewater Overflows [WWE1]</v>
      </c>
      <c r="C53" s="33" t="s">
        <v>581</v>
      </c>
      <c r="D53" s="384" t="s">
        <v>582</v>
      </c>
      <c r="E53" s="385" t="s">
        <v>583</v>
      </c>
      <c r="F53" s="386" t="s">
        <v>54</v>
      </c>
      <c r="G53" s="386">
        <f>IF(ISBLANK('Previous years'!G51),"",'Previous years'!G51)</f>
        <v>42</v>
      </c>
      <c r="H53" s="409">
        <f>IF(NOT(COUNTA(Wastewater!H54:H55)),"",SUM(Wastewater!H54:H55))</f>
        <v>57</v>
      </c>
      <c r="I53" s="28" t="s">
        <v>66</v>
      </c>
      <c r="J53" s="28"/>
      <c r="K53" s="23"/>
      <c r="L53" s="28"/>
      <c r="AE53" s="23"/>
      <c r="AF53" s="28"/>
    </row>
    <row r="54" spans="2:32" ht="20.100000000000001" customHeight="1">
      <c r="B54" s="163" t="str">
        <f t="shared" si="0"/>
        <v>Overflows caused by blockages [WWE1a]</v>
      </c>
      <c r="C54" s="34" t="s">
        <v>581</v>
      </c>
      <c r="D54" s="71" t="s">
        <v>584</v>
      </c>
      <c r="E54" s="57" t="s">
        <v>585</v>
      </c>
      <c r="F54" s="71" t="s">
        <v>54</v>
      </c>
      <c r="G54" s="71">
        <f>IF(ISBLANK('Previous years'!G52),"",'Previous years'!G52)</f>
        <v>42</v>
      </c>
      <c r="H54" s="10">
        <v>57</v>
      </c>
      <c r="I54" s="12" t="s">
        <v>57</v>
      </c>
      <c r="J54" s="10"/>
      <c r="K54" s="12" t="s">
        <v>79</v>
      </c>
      <c r="L54" s="10"/>
      <c r="AE54" s="12"/>
      <c r="AF54" s="10"/>
    </row>
    <row r="55" spans="2:32" ht="20.100000000000001" customHeight="1" thickBot="1">
      <c r="B55" s="163" t="str">
        <f t="shared" si="0"/>
        <v>Overflows caused by plant failures [WWE1b]</v>
      </c>
      <c r="C55" s="34" t="s">
        <v>581</v>
      </c>
      <c r="D55" s="218" t="s">
        <v>586</v>
      </c>
      <c r="E55" s="388" t="s">
        <v>587</v>
      </c>
      <c r="F55" s="410" t="s">
        <v>54</v>
      </c>
      <c r="G55" s="410">
        <f>IF(ISBLANK('Previous years'!G53),"",'Previous years'!G53)</f>
        <v>0</v>
      </c>
      <c r="H55" s="162">
        <v>0</v>
      </c>
      <c r="I55" s="12"/>
      <c r="J55" s="10"/>
      <c r="K55" s="12" t="s">
        <v>79</v>
      </c>
      <c r="L55" s="10"/>
      <c r="AE55" s="12"/>
      <c r="AF55" s="10"/>
    </row>
    <row r="56" spans="2:32" ht="20.100000000000001" customHeight="1" thickBot="1">
      <c r="B56" s="163" t="str">
        <f t="shared" si="0"/>
        <v>Wet weather overflows from the wastewater network [WWE2a]</v>
      </c>
      <c r="C56" s="34" t="s">
        <v>581</v>
      </c>
      <c r="D56" s="384" t="s">
        <v>588</v>
      </c>
      <c r="E56" s="385" t="s">
        <v>589</v>
      </c>
      <c r="F56" s="386" t="s">
        <v>54</v>
      </c>
      <c r="G56" s="386">
        <f>IF(ISBLANK('Previous years'!G54),"",'Previous years'!G54)</f>
        <v>0</v>
      </c>
      <c r="H56" s="314">
        <v>0</v>
      </c>
      <c r="I56" s="11"/>
      <c r="J56" s="10"/>
      <c r="K56" s="12" t="s">
        <v>79</v>
      </c>
      <c r="L56" s="10"/>
      <c r="AE56" s="12"/>
      <c r="AF56" s="10"/>
    </row>
    <row r="57" spans="2:32" ht="20.100000000000001" customHeight="1">
      <c r="B57" s="163" t="str">
        <f t="shared" si="0"/>
        <v>Wet weather overflows from combined stormwater and wastewater networks [WWE2b]</v>
      </c>
      <c r="C57" s="34" t="s">
        <v>581</v>
      </c>
      <c r="D57" s="70" t="s">
        <v>590</v>
      </c>
      <c r="E57" s="38" t="s">
        <v>591</v>
      </c>
      <c r="F57" s="70" t="s">
        <v>54</v>
      </c>
      <c r="G57" s="70">
        <f>IF(ISBLANK('Previous years'!G55),"",'Previous years'!G55)</f>
        <v>0</v>
      </c>
      <c r="H57" s="10">
        <v>0</v>
      </c>
      <c r="I57" s="12"/>
      <c r="J57" s="10"/>
      <c r="K57" s="12" t="s">
        <v>79</v>
      </c>
      <c r="L57" s="10"/>
      <c r="AE57" s="12"/>
      <c r="AF57" s="10"/>
    </row>
    <row r="58" spans="2:32" ht="20.100000000000001" customHeight="1">
      <c r="B58" s="163" t="str">
        <f t="shared" si="0"/>
        <v>Total Wastewater Overflows  [WWE3]</v>
      </c>
      <c r="C58" s="34" t="s">
        <v>581</v>
      </c>
      <c r="D58" s="37" t="s">
        <v>592</v>
      </c>
      <c r="E58" s="39" t="s">
        <v>593</v>
      </c>
      <c r="F58" s="37" t="s">
        <v>54</v>
      </c>
      <c r="G58" s="37">
        <f>IF(ISBLANK('Previous years'!G56),"",'Previous years'!G56)</f>
        <v>42</v>
      </c>
      <c r="H58" s="28">
        <f>IF(NOT(COUNTA(Wastewater!H54:H57)),"",SUM(Wastewater!H54:H57))</f>
        <v>57</v>
      </c>
      <c r="I58" s="23" t="s">
        <v>66</v>
      </c>
      <c r="J58" s="28"/>
      <c r="K58" s="23"/>
      <c r="L58" s="28"/>
      <c r="AE58" s="23"/>
      <c r="AF58" s="28"/>
    </row>
    <row r="59" spans="2:32" ht="20.100000000000001" customHeight="1">
      <c r="B59" s="163" t="str">
        <f t="shared" si="0"/>
        <v>Wastewater overflows on private properties [WWE3a]</v>
      </c>
      <c r="C59" s="34"/>
      <c r="D59" s="51" t="s">
        <v>594</v>
      </c>
      <c r="E59" s="66" t="s">
        <v>595</v>
      </c>
      <c r="F59" s="51" t="s">
        <v>54</v>
      </c>
      <c r="G59" s="51" t="str">
        <f>IF(ISBLANK('Previous years'!G57),"",'Previous years'!G57)</f>
        <v/>
      </c>
      <c r="H59" s="10"/>
      <c r="I59" s="12"/>
      <c r="J59" s="10"/>
      <c r="K59" s="12" t="s">
        <v>79</v>
      </c>
      <c r="L59" s="10"/>
      <c r="AE59" s="12"/>
      <c r="AF59" s="10"/>
    </row>
    <row r="60" spans="2:32" ht="20.100000000000001" customHeight="1">
      <c r="B60" s="163" t="str">
        <f t="shared" si="0"/>
        <v>Sewage design standards for network capacity [WWE7]</v>
      </c>
      <c r="C60" s="34"/>
      <c r="D60" s="37" t="s">
        <v>596</v>
      </c>
      <c r="E60" s="38" t="s">
        <v>597</v>
      </c>
      <c r="F60" s="51" t="s">
        <v>159</v>
      </c>
      <c r="G60" s="50" t="str">
        <f>IF(ISBLANK('Previous years'!G58),"",'Previous years'!G58)</f>
        <v>NZS4404</v>
      </c>
      <c r="H60" s="133" t="s">
        <v>598</v>
      </c>
      <c r="I60" s="12" t="s">
        <v>57</v>
      </c>
      <c r="J60" s="10" t="s">
        <v>599</v>
      </c>
      <c r="K60" s="12" t="s">
        <v>527</v>
      </c>
      <c r="L60" s="12"/>
      <c r="AE60" s="12"/>
      <c r="AF60" s="10"/>
    </row>
    <row r="61" spans="2:32" ht="20.100000000000001" customHeight="1" thickBot="1">
      <c r="B61" s="163" t="str">
        <f t="shared" si="0"/>
        <v>Sewage containment of the existing network [WWE8]</v>
      </c>
      <c r="C61" s="34" t="s">
        <v>581</v>
      </c>
      <c r="D61" s="218" t="s">
        <v>600</v>
      </c>
      <c r="E61" s="388" t="s">
        <v>601</v>
      </c>
      <c r="F61" s="410" t="s">
        <v>159</v>
      </c>
      <c r="G61" s="412" t="str">
        <f>IF(ISBLANK('Previous years'!G59),"",'Previous years'!G59)</f>
        <v>Internal technical level of service  (specify level of service in comments field)</v>
      </c>
      <c r="H61" s="413"/>
      <c r="I61" s="12"/>
      <c r="J61" s="10"/>
      <c r="K61" s="12"/>
      <c r="L61" s="12"/>
      <c r="AE61" s="12"/>
      <c r="AF61" s="10"/>
    </row>
    <row r="62" spans="2:32" ht="20.100000000000001" customHeight="1">
      <c r="B62" s="163" t="str">
        <f t="shared" si="0"/>
        <v>Overflows recorded through verbal reports [WWE9a]</v>
      </c>
      <c r="C62" s="34" t="s">
        <v>581</v>
      </c>
      <c r="D62" s="414" t="s">
        <v>602</v>
      </c>
      <c r="E62" s="415" t="s">
        <v>603</v>
      </c>
      <c r="F62" s="416" t="s">
        <v>121</v>
      </c>
      <c r="G62" s="378" t="str">
        <f>IF(ISBLANK('Previous years'!G60),"",'Previous years'!G60)</f>
        <v>Yes</v>
      </c>
      <c r="H62" s="295" t="s">
        <v>160</v>
      </c>
      <c r="I62" s="25"/>
      <c r="J62" s="23"/>
      <c r="K62" s="12" t="s">
        <v>527</v>
      </c>
      <c r="L62" s="10"/>
      <c r="AE62" s="12"/>
      <c r="AF62" s="10"/>
    </row>
    <row r="63" spans="2:32" ht="20.100000000000001" customHeight="1">
      <c r="B63" s="163" t="str">
        <f t="shared" si="0"/>
        <v>Overflows recorded through SCADA monitoring [WWE9b]</v>
      </c>
      <c r="C63" s="34" t="s">
        <v>581</v>
      </c>
      <c r="D63" s="417" t="s">
        <v>604</v>
      </c>
      <c r="E63" s="210" t="s">
        <v>605</v>
      </c>
      <c r="F63" s="211" t="s">
        <v>121</v>
      </c>
      <c r="G63" s="37" t="str">
        <f>IF(ISBLANK('Previous years'!G61),"",'Previous years'!G61)</f>
        <v>Yes</v>
      </c>
      <c r="H63" s="418" t="s">
        <v>160</v>
      </c>
      <c r="I63" s="25"/>
      <c r="J63" s="23"/>
      <c r="K63" s="12" t="s">
        <v>527</v>
      </c>
      <c r="L63" s="10"/>
      <c r="AE63" s="12"/>
      <c r="AF63" s="10"/>
    </row>
    <row r="64" spans="2:32" ht="20.100000000000001" customHeight="1">
      <c r="B64" s="163" t="str">
        <f t="shared" si="0"/>
        <v>Overflows calculated through hydraulic models [WWE9c]</v>
      </c>
      <c r="C64" s="34" t="s">
        <v>581</v>
      </c>
      <c r="D64" s="419" t="s">
        <v>606</v>
      </c>
      <c r="E64" s="57" t="s">
        <v>607</v>
      </c>
      <c r="F64" s="37" t="s">
        <v>121</v>
      </c>
      <c r="G64" s="37" t="str">
        <f>IF(ISBLANK('Previous years'!G62),"",'Previous years'!G62)</f>
        <v>Yes</v>
      </c>
      <c r="H64" s="418" t="s">
        <v>160</v>
      </c>
      <c r="I64" s="25"/>
      <c r="J64" s="23"/>
      <c r="K64" s="12" t="s">
        <v>527</v>
      </c>
      <c r="L64" s="10"/>
      <c r="AE64" s="12"/>
      <c r="AF64" s="10"/>
    </row>
    <row r="65" spans="2:32" ht="20.100000000000001" customHeight="1" thickBot="1">
      <c r="B65" s="163" t="str">
        <f t="shared" si="0"/>
        <v>Overflows calculated through calibrated hydraulic models [WWE9d]</v>
      </c>
      <c r="C65" s="95" t="s">
        <v>581</v>
      </c>
      <c r="D65" s="420" t="s">
        <v>608</v>
      </c>
      <c r="E65" s="421" t="s">
        <v>609</v>
      </c>
      <c r="F65" s="381" t="s">
        <v>121</v>
      </c>
      <c r="G65" s="381" t="str">
        <f>IF(ISBLANK('Previous years'!G63),"",'Previous years'!G63)</f>
        <v>No</v>
      </c>
      <c r="H65" s="422" t="s">
        <v>122</v>
      </c>
      <c r="I65" s="411"/>
      <c r="J65" s="108"/>
      <c r="K65" s="99" t="s">
        <v>527</v>
      </c>
      <c r="L65" s="98"/>
      <c r="AE65" s="99"/>
      <c r="AF65" s="98"/>
    </row>
    <row r="66" spans="2:32" ht="20.100000000000001" customHeight="1">
      <c r="B66" s="163" t="str">
        <f t="shared" si="0"/>
        <v>Wastewater consent abatement notices [WWE4a]</v>
      </c>
      <c r="C66" s="33" t="s">
        <v>610</v>
      </c>
      <c r="D66" s="70" t="s">
        <v>611</v>
      </c>
      <c r="E66" s="57" t="s">
        <v>612</v>
      </c>
      <c r="F66" s="70" t="s">
        <v>54</v>
      </c>
      <c r="G66" s="70">
        <f>IF(ISBLANK('Previous years'!G64),"",'Previous years'!G64)</f>
        <v>1</v>
      </c>
      <c r="H66" s="10">
        <v>2</v>
      </c>
      <c r="I66" s="12" t="s">
        <v>458</v>
      </c>
      <c r="J66" s="10" t="s">
        <v>613</v>
      </c>
      <c r="K66" s="813" t="s">
        <v>524</v>
      </c>
      <c r="L66" s="10"/>
      <c r="AE66" s="10"/>
      <c r="AF66" s="10"/>
    </row>
    <row r="67" spans="2:32" ht="20.100000000000001" customHeight="1">
      <c r="B67" s="163" t="str">
        <f t="shared" si="0"/>
        <v>Wastewater consent infringement notices [WWE4b]</v>
      </c>
      <c r="C67" s="34" t="s">
        <v>610</v>
      </c>
      <c r="D67" s="37" t="s">
        <v>614</v>
      </c>
      <c r="E67" s="66" t="s">
        <v>615</v>
      </c>
      <c r="F67" s="37" t="s">
        <v>54</v>
      </c>
      <c r="G67" s="37">
        <f>IF(ISBLANK('Previous years'!G65),"",'Previous years'!G65)</f>
        <v>1</v>
      </c>
      <c r="H67" s="11">
        <v>1</v>
      </c>
      <c r="I67" s="12" t="s">
        <v>458</v>
      </c>
      <c r="J67" s="11" t="s">
        <v>613</v>
      </c>
      <c r="K67" s="813" t="s">
        <v>524</v>
      </c>
      <c r="L67" s="11"/>
      <c r="AE67" s="12"/>
      <c r="AF67" s="11"/>
    </row>
    <row r="68" spans="2:32" ht="20.100000000000001" customHeight="1">
      <c r="B68" s="163" t="str">
        <f t="shared" si="0"/>
        <v>Wastewater consent enforcement orders [WWE4c]</v>
      </c>
      <c r="C68" s="34" t="s">
        <v>610</v>
      </c>
      <c r="D68" s="37" t="s">
        <v>616</v>
      </c>
      <c r="E68" s="50" t="s">
        <v>617</v>
      </c>
      <c r="F68" s="37" t="s">
        <v>54</v>
      </c>
      <c r="G68" s="37">
        <f>IF(ISBLANK('Previous years'!G66),"",'Previous years'!G66)</f>
        <v>0</v>
      </c>
      <c r="H68" s="12">
        <v>0</v>
      </c>
      <c r="I68" s="12" t="s">
        <v>458</v>
      </c>
      <c r="J68" s="12" t="s">
        <v>613</v>
      </c>
      <c r="K68" s="813" t="s">
        <v>524</v>
      </c>
      <c r="L68" s="12"/>
      <c r="AE68" s="12"/>
      <c r="AF68" s="12"/>
    </row>
    <row r="69" spans="2:32" ht="20.100000000000001" customHeight="1">
      <c r="B69" s="163" t="str">
        <f t="shared" si="0"/>
        <v>Wastewater consent successful prosecutions [WWE4d]</v>
      </c>
      <c r="C69" s="34" t="s">
        <v>610</v>
      </c>
      <c r="D69" s="37" t="s">
        <v>618</v>
      </c>
      <c r="E69" s="50" t="s">
        <v>619</v>
      </c>
      <c r="F69" s="37" t="s">
        <v>54</v>
      </c>
      <c r="G69" s="37">
        <f>IF(ISBLANK('Previous years'!G67),"",'Previous years'!G67)</f>
        <v>0</v>
      </c>
      <c r="H69" s="12">
        <v>0</v>
      </c>
      <c r="I69" s="12" t="s">
        <v>458</v>
      </c>
      <c r="J69" s="12" t="s">
        <v>613</v>
      </c>
      <c r="K69" s="813" t="s">
        <v>524</v>
      </c>
      <c r="L69" s="12"/>
      <c r="AE69" s="12"/>
      <c r="AF69" s="12"/>
    </row>
    <row r="70" spans="2:32" ht="20.100000000000001" customHeight="1">
      <c r="B70" s="163" t="str">
        <f t="shared" si="0"/>
        <v>Wastewater treatment plant consent non-conformance [WWE4e]</v>
      </c>
      <c r="C70" s="34"/>
      <c r="D70" s="51" t="s">
        <v>620</v>
      </c>
      <c r="E70" s="50" t="s">
        <v>621</v>
      </c>
      <c r="F70" s="51" t="s">
        <v>54</v>
      </c>
      <c r="G70" s="51">
        <f>IF(ISBLANK('Previous years'!G68),"",'Previous years'!G68)</f>
        <v>6</v>
      </c>
      <c r="H70" s="12">
        <v>5</v>
      </c>
      <c r="I70" s="12" t="s">
        <v>57</v>
      </c>
      <c r="J70" s="12" t="s">
        <v>531</v>
      </c>
      <c r="K70" s="813" t="s">
        <v>524</v>
      </c>
      <c r="L70" s="12" t="s">
        <v>622</v>
      </c>
      <c r="AE70" s="12"/>
      <c r="AF70" s="12"/>
    </row>
    <row r="71" spans="2:32" ht="20.100000000000001" customHeight="1">
      <c r="B71" s="163" t="str">
        <f t="shared" si="0"/>
        <v>Wastewater network discharge non-conformance [WWE4f]</v>
      </c>
      <c r="C71" s="34"/>
      <c r="D71" s="250" t="s">
        <v>623</v>
      </c>
      <c r="E71" s="66" t="s">
        <v>624</v>
      </c>
      <c r="F71" s="251" t="s">
        <v>54</v>
      </c>
      <c r="G71" s="51">
        <f>IF(ISBLANK('Previous years'!G69),"",'Previous years'!G69)</f>
        <v>0</v>
      </c>
      <c r="H71" s="12">
        <v>0</v>
      </c>
      <c r="I71" s="12" t="s">
        <v>57</v>
      </c>
      <c r="J71" s="12" t="s">
        <v>531</v>
      </c>
      <c r="K71" s="813" t="s">
        <v>524</v>
      </c>
      <c r="L71" s="12"/>
      <c r="AE71" s="12"/>
      <c r="AF71" s="12"/>
    </row>
    <row r="72" spans="2:32" ht="20.100000000000001" customHeight="1">
      <c r="B72" s="163" t="str">
        <f t="shared" si="0"/>
        <v>Wet weather overflow regulation approach [WWE4g]</v>
      </c>
      <c r="C72" s="34" t="s">
        <v>610</v>
      </c>
      <c r="D72" s="37" t="s">
        <v>625</v>
      </c>
      <c r="E72" s="38" t="s">
        <v>626</v>
      </c>
      <c r="F72" s="51" t="s">
        <v>159</v>
      </c>
      <c r="G72" s="51" t="str">
        <f>IF(ISBLANK('Previous years'!G70),"",'Previous years'!G70)</f>
        <v>No regulatory approach</v>
      </c>
      <c r="H72" s="153" t="s">
        <v>627</v>
      </c>
      <c r="I72" s="12" t="s">
        <v>57</v>
      </c>
      <c r="J72" s="12" t="s">
        <v>531</v>
      </c>
      <c r="K72" s="813" t="s">
        <v>524</v>
      </c>
      <c r="L72" s="12"/>
      <c r="AE72" s="12"/>
      <c r="AF72" s="12"/>
    </row>
    <row r="73" spans="2:32" ht="20.100000000000001" customHeight="1">
      <c r="B73" s="163" t="str">
        <f t="shared" si="0"/>
        <v>Wastewater consent letter of direction [WWE4h]</v>
      </c>
      <c r="C73" s="34"/>
      <c r="D73" s="218" t="s">
        <v>628</v>
      </c>
      <c r="E73" s="36" t="s">
        <v>629</v>
      </c>
      <c r="F73" s="218" t="s">
        <v>54</v>
      </c>
      <c r="G73" s="218">
        <f>IF(ISBLANK('Previous years'!G71),"",'Previous years'!G71)</f>
        <v>0</v>
      </c>
      <c r="H73" s="12">
        <v>0</v>
      </c>
      <c r="I73" s="12" t="s">
        <v>57</v>
      </c>
      <c r="J73" s="12" t="s">
        <v>531</v>
      </c>
      <c r="K73" s="813" t="s">
        <v>524</v>
      </c>
      <c r="L73" s="12"/>
      <c r="AE73" s="159"/>
      <c r="AF73" s="162"/>
    </row>
    <row r="74" spans="2:32" ht="20.100000000000001" customHeight="1" thickBot="1">
      <c r="B74" s="163" t="str">
        <f t="shared" ref="B74:B136" si="1">E74&amp;" ["&amp;D74&amp;"]"</f>
        <v>Wastewater consent formal warming [WWE4i]</v>
      </c>
      <c r="C74" s="247" t="s">
        <v>610</v>
      </c>
      <c r="D74" s="37" t="s">
        <v>630</v>
      </c>
      <c r="E74" s="36" t="s">
        <v>631</v>
      </c>
      <c r="F74" s="37" t="s">
        <v>54</v>
      </c>
      <c r="G74" s="37">
        <f>IF(ISBLANK('Previous years'!G72),"",'Previous years'!G72)</f>
        <v>0</v>
      </c>
      <c r="H74" s="12">
        <v>0</v>
      </c>
      <c r="I74" s="12" t="s">
        <v>57</v>
      </c>
      <c r="J74" s="12" t="s">
        <v>531</v>
      </c>
      <c r="K74" s="813" t="s">
        <v>524</v>
      </c>
      <c r="L74" s="12"/>
      <c r="AE74" s="99"/>
      <c r="AF74" s="98"/>
    </row>
    <row r="75" spans="2:32" ht="20.100000000000001" customHeight="1" thickBot="1">
      <c r="B75" s="163" t="str">
        <f t="shared" ref="B75" si="2">E75&amp;" ["&amp;D75&amp;"]"</f>
        <v>Wastewater consent formal warming [WWE4i]</v>
      </c>
      <c r="C75" s="95" t="s">
        <v>610</v>
      </c>
      <c r="D75" s="253" t="s">
        <v>630</v>
      </c>
      <c r="E75" s="254" t="s">
        <v>631</v>
      </c>
      <c r="F75" s="253" t="s">
        <v>54</v>
      </c>
      <c r="G75" s="253" t="str">
        <f>IF(ISBLANK('Previous years'!G73),"",'Previous years'!G73)</f>
        <v/>
      </c>
      <c r="H75" s="98">
        <v>0</v>
      </c>
      <c r="I75" s="98" t="s">
        <v>57</v>
      </c>
      <c r="J75" s="98" t="s">
        <v>531</v>
      </c>
      <c r="K75" s="813" t="s">
        <v>524</v>
      </c>
      <c r="L75" s="98"/>
      <c r="AE75" s="99"/>
      <c r="AF75" s="98"/>
    </row>
    <row r="76" spans="2:32" ht="20.100000000000001" customHeight="1">
      <c r="B76" s="163" t="str">
        <f t="shared" si="1"/>
        <v>Energy Consumption: Wastewater [WWE5a]</v>
      </c>
      <c r="C76" s="33" t="s">
        <v>254</v>
      </c>
      <c r="D76" s="70" t="s">
        <v>632</v>
      </c>
      <c r="E76" s="69" t="s">
        <v>633</v>
      </c>
      <c r="F76" s="70" t="s">
        <v>257</v>
      </c>
      <c r="G76" s="70" t="str">
        <f>IF(ISBLANK('Previous years'!G73),"",'Previous years'!G73)</f>
        <v/>
      </c>
      <c r="H76" s="148"/>
      <c r="I76" s="9"/>
      <c r="J76" s="9"/>
      <c r="K76" s="10"/>
      <c r="L76" s="9"/>
      <c r="AE76" s="10"/>
      <c r="AF76" s="9"/>
    </row>
    <row r="77" spans="2:32" ht="20.100000000000001" customHeight="1">
      <c r="B77" s="163" t="str">
        <f t="shared" si="1"/>
        <v>Energy Intensity: Wastewater [WWE5b]</v>
      </c>
      <c r="C77" s="33"/>
      <c r="D77" s="70" t="s">
        <v>634</v>
      </c>
      <c r="E77" s="69" t="s">
        <v>635</v>
      </c>
      <c r="F77" s="70" t="s">
        <v>261</v>
      </c>
      <c r="G77" s="70" t="str">
        <f>IF(ISBLANK('Previous years'!G74),"",'Previous years'!G74)</f>
        <v/>
      </c>
      <c r="H77" s="223" t="str">
        <f>IF(ISBLANK(H76),"",H76/H13)</f>
        <v/>
      </c>
      <c r="I77" s="25" t="s">
        <v>66</v>
      </c>
      <c r="J77" s="25"/>
      <c r="K77" s="24"/>
      <c r="L77" s="24"/>
      <c r="AE77" s="10"/>
      <c r="AF77" s="9"/>
    </row>
    <row r="78" spans="2:32" ht="20.100000000000001" customHeight="1" thickBot="1">
      <c r="B78" s="163" t="str">
        <f t="shared" si="1"/>
        <v>Energy Generation: Wastewater [WWE5c]</v>
      </c>
      <c r="C78" s="258"/>
      <c r="D78" s="96" t="s">
        <v>636</v>
      </c>
      <c r="E78" s="222" t="s">
        <v>637</v>
      </c>
      <c r="F78" s="96" t="s">
        <v>257</v>
      </c>
      <c r="G78" s="96">
        <f>IF(ISBLANK('Previous years'!G75),"",'Previous years'!G75)</f>
        <v>0</v>
      </c>
      <c r="H78" s="259"/>
      <c r="I78" s="99"/>
      <c r="J78" s="99"/>
      <c r="K78" s="99"/>
      <c r="L78" s="99"/>
      <c r="AE78" s="10"/>
      <c r="AF78" s="9"/>
    </row>
    <row r="79" spans="2:32" ht="20.100000000000001" customHeight="1">
      <c r="B79" s="163" t="str">
        <f t="shared" si="1"/>
        <v>Trade waste bylaw [WWE6a]</v>
      </c>
      <c r="C79" s="33" t="s">
        <v>638</v>
      </c>
      <c r="D79" s="209" t="s">
        <v>639</v>
      </c>
      <c r="E79" s="210" t="s">
        <v>640</v>
      </c>
      <c r="F79" s="209" t="s">
        <v>121</v>
      </c>
      <c r="G79" s="192" t="str">
        <f>IF(ISBLANK('Previous years'!G78),"",'Previous years'!G78)</f>
        <v/>
      </c>
      <c r="H79" s="157" t="s">
        <v>160</v>
      </c>
      <c r="I79" s="23"/>
      <c r="J79" s="23"/>
      <c r="K79" s="813" t="s">
        <v>524</v>
      </c>
      <c r="L79" s="9"/>
      <c r="AE79" s="23"/>
      <c r="AF79" s="23"/>
    </row>
    <row r="80" spans="2:32" ht="20.100000000000001" customHeight="1">
      <c r="B80" s="163" t="str">
        <f t="shared" si="1"/>
        <v>Individual trade waste consents [WWE6b]</v>
      </c>
      <c r="C80" s="33"/>
      <c r="D80" s="211" t="s">
        <v>641</v>
      </c>
      <c r="E80" s="212" t="s">
        <v>642</v>
      </c>
      <c r="F80" s="211" t="s">
        <v>54</v>
      </c>
      <c r="G80" s="192"/>
      <c r="H80" s="154">
        <v>0</v>
      </c>
      <c r="I80" s="23"/>
      <c r="J80" s="23"/>
      <c r="K80" s="813" t="s">
        <v>524</v>
      </c>
      <c r="L80" s="9" t="s">
        <v>643</v>
      </c>
      <c r="AE80" s="23"/>
      <c r="AF80" s="23"/>
    </row>
    <row r="81" spans="2:32" ht="20.100000000000001" customHeight="1" thickBot="1">
      <c r="B81" s="163" t="str">
        <f t="shared" si="1"/>
        <v>Companies breaching trade waste consents [WWE6c]</v>
      </c>
      <c r="C81" s="247"/>
      <c r="D81" s="211" t="s">
        <v>644</v>
      </c>
      <c r="E81" s="212" t="s">
        <v>645</v>
      </c>
      <c r="F81" s="211" t="s">
        <v>54</v>
      </c>
      <c r="G81" s="249"/>
      <c r="H81" s="154">
        <v>0</v>
      </c>
      <c r="I81" s="12"/>
      <c r="J81" s="12"/>
      <c r="K81" s="813" t="s">
        <v>524</v>
      </c>
      <c r="L81" s="12" t="s">
        <v>643</v>
      </c>
      <c r="AE81" s="12"/>
      <c r="AF81" s="12"/>
    </row>
    <row r="82" spans="2:32" ht="20.100000000000001" customHeight="1" thickBot="1">
      <c r="B82" s="163" t="str">
        <f t="shared" si="1"/>
        <v>Non-compliance actions in response to trade waste breaches [WWE6d]</v>
      </c>
      <c r="C82" s="248"/>
      <c r="D82" s="211" t="s">
        <v>646</v>
      </c>
      <c r="E82" s="210" t="s">
        <v>647</v>
      </c>
      <c r="F82" s="211" t="s">
        <v>648</v>
      </c>
      <c r="G82" s="51"/>
      <c r="H82" s="154">
        <v>0</v>
      </c>
      <c r="I82" s="12"/>
      <c r="J82" s="12"/>
      <c r="K82" s="813" t="s">
        <v>524</v>
      </c>
      <c r="L82" s="12" t="s">
        <v>643</v>
      </c>
      <c r="AE82" s="104"/>
      <c r="AF82" s="104"/>
    </row>
    <row r="83" spans="2:32" ht="20.100000000000001" customHeight="1" thickBot="1">
      <c r="B83" s="163" t="str">
        <f t="shared" si="1"/>
        <v>Dedicated trade waste officer(s) on staff [WWE6e]</v>
      </c>
      <c r="C83" s="246"/>
      <c r="D83" s="423" t="s">
        <v>649</v>
      </c>
      <c r="E83" s="424" t="s">
        <v>650</v>
      </c>
      <c r="F83" s="423" t="s">
        <v>72</v>
      </c>
      <c r="G83" s="425"/>
      <c r="H83" s="162">
        <v>0.75</v>
      </c>
      <c r="I83" s="108"/>
      <c r="J83" s="108"/>
      <c r="K83" s="813" t="s">
        <v>524</v>
      </c>
      <c r="L83" s="98"/>
      <c r="AE83" s="104"/>
      <c r="AF83" s="104"/>
    </row>
    <row r="84" spans="2:32" ht="20.100000000000001" customHeight="1">
      <c r="B84" s="163" t="str">
        <f t="shared" si="1"/>
        <v>Fixed Charge: Non residential wastewater [WWS1a]</v>
      </c>
      <c r="C84" s="33" t="s">
        <v>313</v>
      </c>
      <c r="D84" s="376" t="s">
        <v>651</v>
      </c>
      <c r="E84" s="377" t="s">
        <v>652</v>
      </c>
      <c r="F84" s="378" t="s">
        <v>318</v>
      </c>
      <c r="G84" s="426">
        <f>IF(ISBLANK('Previous years'!G83),"",'Previous years'!G83)</f>
        <v>678</v>
      </c>
      <c r="H84" s="427">
        <f>'MEDIAN (-9.3%)'!F75</f>
        <v>664</v>
      </c>
      <c r="I84" s="28"/>
      <c r="J84" s="9"/>
      <c r="K84" s="10" t="s">
        <v>653</v>
      </c>
      <c r="L84" s="9"/>
      <c r="AE84" s="23"/>
      <c r="AF84" s="23"/>
    </row>
    <row r="85" spans="2:32" ht="20.100000000000001" customHeight="1" thickBot="1">
      <c r="B85" s="163" t="str">
        <f t="shared" si="1"/>
        <v>Fixed  Charge Type: Non residential wastewater [WWS1b]</v>
      </c>
      <c r="C85" s="34" t="s">
        <v>313</v>
      </c>
      <c r="D85" s="379" t="s">
        <v>654</v>
      </c>
      <c r="E85" s="380" t="s">
        <v>655</v>
      </c>
      <c r="F85" s="381" t="s">
        <v>159</v>
      </c>
      <c r="G85" s="381" t="str">
        <f>IF(ISBLANK('Previous years'!G84),"",'Previous years'!G84)</f>
        <v>Targeted Rate</v>
      </c>
      <c r="H85" s="428" t="s">
        <v>323</v>
      </c>
      <c r="I85" s="25"/>
      <c r="J85" s="12"/>
      <c r="K85" s="12" t="s">
        <v>653</v>
      </c>
      <c r="L85" s="12"/>
      <c r="AE85" s="12"/>
      <c r="AF85" s="12"/>
    </row>
    <row r="86" spans="2:32" ht="20.100000000000001" customHeight="1">
      <c r="B86" s="163" t="str">
        <f t="shared" si="1"/>
        <v>Volumetric Charge: Non residential wastewater [WWS1c]</v>
      </c>
      <c r="C86" s="34" t="s">
        <v>313</v>
      </c>
      <c r="D86" s="70" t="s">
        <v>656</v>
      </c>
      <c r="E86" s="38" t="s">
        <v>657</v>
      </c>
      <c r="F86" s="71" t="s">
        <v>326</v>
      </c>
      <c r="G86" s="192" t="str">
        <f>IF(ISBLANK('Previous years'!G85),"",'Previous years'!G85)</f>
        <v/>
      </c>
      <c r="H86" s="157"/>
      <c r="I86" s="24"/>
      <c r="J86" s="12"/>
      <c r="K86" s="12"/>
      <c r="L86" s="12"/>
      <c r="AE86" s="12"/>
      <c r="AF86" s="12"/>
    </row>
    <row r="87" spans="2:32" ht="20.100000000000001" customHeight="1">
      <c r="B87" s="163" t="str">
        <f t="shared" si="1"/>
        <v>Contaminant Based Charging [WWS1d]</v>
      </c>
      <c r="C87" s="34" t="s">
        <v>313</v>
      </c>
      <c r="D87" s="37" t="s">
        <v>658</v>
      </c>
      <c r="E87" s="94" t="s">
        <v>659</v>
      </c>
      <c r="F87" s="37" t="s">
        <v>121</v>
      </c>
      <c r="G87" s="37" t="str">
        <f>IF(ISBLANK('Previous years'!G86),"",'Previous years'!G86)</f>
        <v>No</v>
      </c>
      <c r="H87" s="153"/>
      <c r="I87" s="24"/>
      <c r="J87" s="12"/>
      <c r="K87" s="12"/>
      <c r="L87" s="12"/>
      <c r="AE87" s="12"/>
      <c r="AF87" s="12"/>
    </row>
    <row r="88" spans="2:32" ht="20.100000000000001" customHeight="1">
      <c r="B88" s="163" t="str">
        <f t="shared" si="1"/>
        <v>Fixed Charge: Residential wastewater [WWS2a]</v>
      </c>
      <c r="C88" s="34" t="s">
        <v>313</v>
      </c>
      <c r="D88" s="37" t="s">
        <v>660</v>
      </c>
      <c r="E88" s="36" t="s">
        <v>661</v>
      </c>
      <c r="F88" s="37" t="s">
        <v>318</v>
      </c>
      <c r="G88" s="192">
        <f>IF(ISBLANK('Previous years'!G87),"",'Previous years'!G87)</f>
        <v>678</v>
      </c>
      <c r="H88" s="154">
        <f>'MEDIAN (-9.3%)'!F38</f>
        <v>664</v>
      </c>
      <c r="I88" s="24"/>
      <c r="J88" s="12"/>
      <c r="K88" s="12" t="s">
        <v>653</v>
      </c>
      <c r="L88" s="12"/>
      <c r="AE88" s="12"/>
      <c r="AF88" s="12"/>
    </row>
    <row r="89" spans="2:32" ht="20.100000000000001" customHeight="1">
      <c r="B89" s="163" t="str">
        <f t="shared" si="1"/>
        <v>Fixed Charge Type: Residential wastewater [WWS2b]</v>
      </c>
      <c r="C89" s="34" t="s">
        <v>313</v>
      </c>
      <c r="D89" s="37" t="s">
        <v>662</v>
      </c>
      <c r="E89" s="36" t="s">
        <v>663</v>
      </c>
      <c r="F89" s="37" t="s">
        <v>159</v>
      </c>
      <c r="G89" s="37" t="str">
        <f>IF(ISBLANK('Previous years'!G88),"",'Previous years'!G88)</f>
        <v>Targeted Rate</v>
      </c>
      <c r="H89" s="149" t="s">
        <v>323</v>
      </c>
      <c r="I89" s="24"/>
      <c r="J89" s="12"/>
      <c r="K89" s="12" t="s">
        <v>653</v>
      </c>
      <c r="L89" s="12"/>
      <c r="AE89" s="12"/>
      <c r="AF89" s="12"/>
    </row>
    <row r="90" spans="2:32" ht="20.100000000000001" customHeight="1">
      <c r="B90" s="163" t="str">
        <f t="shared" si="1"/>
        <v>Volumetric Charge: Residential wastewater [WWS2c]</v>
      </c>
      <c r="C90" s="34" t="s">
        <v>313</v>
      </c>
      <c r="D90" s="37" t="s">
        <v>664</v>
      </c>
      <c r="E90" s="36" t="s">
        <v>665</v>
      </c>
      <c r="F90" s="51" t="s">
        <v>326</v>
      </c>
      <c r="G90" s="192" t="str">
        <f>IF(ISBLANK('Previous years'!G89),"",'Previous years'!G89)</f>
        <v/>
      </c>
      <c r="H90" s="154"/>
      <c r="I90" s="24"/>
      <c r="J90" s="12"/>
      <c r="K90" s="12"/>
      <c r="L90" s="12"/>
      <c r="AE90" s="12"/>
      <c r="AF90" s="12"/>
    </row>
    <row r="91" spans="2:32" ht="20.100000000000001" customHeight="1" thickBot="1">
      <c r="B91" s="163" t="str">
        <f t="shared" si="1"/>
        <v>Average Annual Residential Wastewater Charge Based on 200 m3/yr  [WWS3]</v>
      </c>
      <c r="C91" s="95" t="s">
        <v>313</v>
      </c>
      <c r="D91" s="218" t="s">
        <v>666</v>
      </c>
      <c r="E91" s="412" t="s">
        <v>667</v>
      </c>
      <c r="F91" s="410" t="s">
        <v>335</v>
      </c>
      <c r="G91" s="429">
        <f>IF(ISBLANK('Previous years'!G90),"",'Previous years'!G90)</f>
        <v>678</v>
      </c>
      <c r="H91" s="430"/>
      <c r="I91" s="97" t="s">
        <v>66</v>
      </c>
      <c r="J91" s="97"/>
      <c r="K91" s="97"/>
      <c r="L91" s="97"/>
      <c r="AE91" s="97"/>
      <c r="AF91" s="97"/>
    </row>
    <row r="92" spans="2:32" ht="20.100000000000001" customHeight="1" thickBot="1">
      <c r="B92" s="163" t="str">
        <f t="shared" si="1"/>
        <v>Wastewater complaints [WWS4]</v>
      </c>
      <c r="C92" s="33" t="s">
        <v>276</v>
      </c>
      <c r="D92" s="384" t="s">
        <v>668</v>
      </c>
      <c r="E92" s="385" t="s">
        <v>669</v>
      </c>
      <c r="F92" s="386" t="s">
        <v>54</v>
      </c>
      <c r="G92" s="386">
        <f>IF(ISBLANK('Previous years'!G91),"",'Previous years'!G91)</f>
        <v>167</v>
      </c>
      <c r="H92" s="337">
        <f>IF(NOT(COUNTA(Wastewater!H93:H96)),"",SUM(Wastewater!H93:H96))</f>
        <v>204</v>
      </c>
      <c r="I92" s="28" t="s">
        <v>66</v>
      </c>
      <c r="J92" s="23"/>
      <c r="K92" s="23"/>
      <c r="L92" s="23"/>
      <c r="AE92" s="23"/>
      <c r="AF92" s="23"/>
    </row>
    <row r="93" spans="2:32" ht="20.100000000000001" customHeight="1">
      <c r="B93" s="163" t="str">
        <f t="shared" si="1"/>
        <v>Sewage odour complaints [WWS4a]</v>
      </c>
      <c r="C93" s="34" t="s">
        <v>276</v>
      </c>
      <c r="D93" s="70" t="s">
        <v>670</v>
      </c>
      <c r="E93" s="57" t="s">
        <v>671</v>
      </c>
      <c r="F93" s="70" t="s">
        <v>54</v>
      </c>
      <c r="G93" s="70">
        <f>IF(ISBLANK('Previous years'!G92),"",'Previous years'!G92)</f>
        <v>30</v>
      </c>
      <c r="H93" s="10">
        <v>46</v>
      </c>
      <c r="I93" s="12"/>
      <c r="J93" s="12"/>
      <c r="K93" s="12" t="s">
        <v>79</v>
      </c>
      <c r="L93" s="12"/>
      <c r="AE93" s="12"/>
      <c r="AF93" s="12"/>
    </row>
    <row r="94" spans="2:32" ht="20.100000000000001" customHeight="1">
      <c r="B94" s="163" t="str">
        <f t="shared" si="1"/>
        <v>Sewerage system fault complaints [WWS4b]</v>
      </c>
      <c r="C94" s="34" t="s">
        <v>276</v>
      </c>
      <c r="D94" s="37" t="s">
        <v>672</v>
      </c>
      <c r="E94" s="50" t="s">
        <v>673</v>
      </c>
      <c r="F94" s="37" t="s">
        <v>54</v>
      </c>
      <c r="G94" s="37">
        <f>IF(ISBLANK('Previous years'!G93),"",'Previous years'!G93)</f>
        <v>80</v>
      </c>
      <c r="H94" s="12">
        <v>101</v>
      </c>
      <c r="I94" s="12"/>
      <c r="J94" s="12"/>
      <c r="K94" s="12" t="s">
        <v>79</v>
      </c>
      <c r="L94" s="12"/>
      <c r="AE94" s="12"/>
      <c r="AF94" s="12"/>
    </row>
    <row r="95" spans="2:32" ht="20.100000000000001" customHeight="1">
      <c r="B95" s="163" t="str">
        <f t="shared" si="1"/>
        <v>Sewerage system blockage complaints [WWS4c]</v>
      </c>
      <c r="C95" s="34" t="s">
        <v>276</v>
      </c>
      <c r="D95" s="37" t="s">
        <v>674</v>
      </c>
      <c r="E95" s="50" t="s">
        <v>675</v>
      </c>
      <c r="F95" s="37" t="s">
        <v>54</v>
      </c>
      <c r="G95" s="37">
        <f>IF(ISBLANK('Previous years'!G94),"",'Previous years'!G94)</f>
        <v>57</v>
      </c>
      <c r="H95" s="12">
        <v>57</v>
      </c>
      <c r="I95" s="12"/>
      <c r="J95" s="12"/>
      <c r="K95" s="12" t="s">
        <v>79</v>
      </c>
      <c r="L95" s="12"/>
      <c r="AE95" s="12"/>
      <c r="AF95" s="12"/>
    </row>
    <row r="96" spans="2:32" ht="20.100000000000001" customHeight="1">
      <c r="B96" s="163" t="str">
        <f t="shared" si="1"/>
        <v>The authority’s response to issues with its sewerage system [WWS4d]</v>
      </c>
      <c r="C96" s="34"/>
      <c r="D96" s="218" t="s">
        <v>676</v>
      </c>
      <c r="E96" s="36" t="s">
        <v>677</v>
      </c>
      <c r="F96" s="218" t="s">
        <v>54</v>
      </c>
      <c r="G96" s="218">
        <f>IF(ISBLANK('Previous years'!G95),"",'Previous years'!G95)</f>
        <v>0</v>
      </c>
      <c r="H96" s="159">
        <v>0</v>
      </c>
      <c r="I96" s="159"/>
      <c r="J96" s="159"/>
      <c r="K96" s="12" t="s">
        <v>79</v>
      </c>
      <c r="L96" s="159"/>
      <c r="AE96" s="159"/>
      <c r="AF96" s="159"/>
    </row>
    <row r="97" spans="2:32" ht="20.100000000000001" customHeight="1" thickBot="1">
      <c r="B97" s="163" t="str">
        <f t="shared" si="1"/>
        <v>Wastewater complaints frequency [WWS5]</v>
      </c>
      <c r="C97" s="95" t="s">
        <v>276</v>
      </c>
      <c r="D97" s="218" t="s">
        <v>678</v>
      </c>
      <c r="E97" s="412" t="s">
        <v>679</v>
      </c>
      <c r="F97" s="218" t="s">
        <v>271</v>
      </c>
      <c r="G97" s="433">
        <f>IF(ISBLANK('Previous years'!G96),"",'Previous years'!G96)</f>
        <v>6.3967518290113761</v>
      </c>
      <c r="H97" s="434">
        <f>IFERROR(H92/H10*1000,"")</f>
        <v>7.5077285440895043</v>
      </c>
      <c r="I97" s="97" t="s">
        <v>66</v>
      </c>
      <c r="J97" s="97"/>
      <c r="K97" s="97"/>
      <c r="L97" s="97"/>
      <c r="AE97" s="97"/>
      <c r="AF97" s="97"/>
    </row>
    <row r="98" spans="2:32" ht="20.100000000000001" customHeight="1">
      <c r="B98" s="163" t="str">
        <f t="shared" si="1"/>
        <v>Wastewater fault attendance time [WWS6a]</v>
      </c>
      <c r="C98" s="105" t="s">
        <v>336</v>
      </c>
      <c r="D98" s="376" t="s">
        <v>680</v>
      </c>
      <c r="E98" s="377" t="s">
        <v>681</v>
      </c>
      <c r="F98" s="378" t="s">
        <v>339</v>
      </c>
      <c r="G98" s="378">
        <f>IF(ISBLANK('Previous years'!G97),"",'Previous years'!G97)</f>
        <v>0.29166666666666669</v>
      </c>
      <c r="H98" s="295">
        <f>17/60</f>
        <v>0.28333333333333333</v>
      </c>
      <c r="I98" s="431"/>
      <c r="J98" s="107"/>
      <c r="K98" s="107" t="s">
        <v>79</v>
      </c>
      <c r="L98" s="107"/>
      <c r="AE98" s="107"/>
      <c r="AF98" s="107"/>
    </row>
    <row r="99" spans="2:32" ht="20.100000000000001" customHeight="1" thickBot="1">
      <c r="B99" s="163" t="str">
        <f t="shared" si="1"/>
        <v>Wastewater fault resolution time [WWS6b]</v>
      </c>
      <c r="C99" s="95" t="s">
        <v>682</v>
      </c>
      <c r="D99" s="435" t="s">
        <v>683</v>
      </c>
      <c r="E99" s="254" t="s">
        <v>684</v>
      </c>
      <c r="F99" s="96" t="s">
        <v>339</v>
      </c>
      <c r="G99" s="96">
        <f>IF(ISBLANK('Previous years'!G98),"",'Previous years'!G98)</f>
        <v>2.0166666666666666</v>
      </c>
      <c r="H99" s="436">
        <f>132/60</f>
        <v>2.2000000000000002</v>
      </c>
      <c r="I99" s="432"/>
      <c r="J99" s="98"/>
      <c r="K99" s="99" t="s">
        <v>79</v>
      </c>
      <c r="L99" s="98"/>
      <c r="AE99" s="99"/>
      <c r="AF99" s="98"/>
    </row>
    <row r="100" spans="2:32" ht="20.100000000000001" customHeight="1">
      <c r="B100" s="163" t="str">
        <f t="shared" si="1"/>
        <v>Unplanned Total Interruptions: Wastewater [WWS7a]</v>
      </c>
      <c r="C100" s="105" t="s">
        <v>264</v>
      </c>
      <c r="D100" s="437" t="s">
        <v>685</v>
      </c>
      <c r="E100" s="38" t="s">
        <v>686</v>
      </c>
      <c r="F100" s="70" t="s">
        <v>267</v>
      </c>
      <c r="G100" s="70">
        <f>IF(ISBLANK('Previous years'!G99),"",'Previous years'!G99)</f>
        <v>0</v>
      </c>
      <c r="H100" s="812">
        <v>0</v>
      </c>
      <c r="I100" s="255"/>
      <c r="J100" s="162"/>
      <c r="K100" s="162" t="s">
        <v>79</v>
      </c>
      <c r="L100" s="162"/>
      <c r="AE100" s="162"/>
      <c r="AF100" s="162"/>
    </row>
    <row r="101" spans="2:32" ht="20.100000000000001" customHeight="1" thickBot="1">
      <c r="B101" s="163" t="str">
        <f t="shared" si="1"/>
        <v>Third party Incidents: Wastewater [WWS7b]</v>
      </c>
      <c r="C101" s="34" t="s">
        <v>264</v>
      </c>
      <c r="D101" s="379" t="s">
        <v>687</v>
      </c>
      <c r="E101" s="380" t="s">
        <v>688</v>
      </c>
      <c r="F101" s="438" t="s">
        <v>267</v>
      </c>
      <c r="G101" s="438">
        <f>IF(ISBLANK('Previous years'!G100),"",'Previous years'!G100)</f>
        <v>0</v>
      </c>
      <c r="H101" s="297">
        <v>0</v>
      </c>
      <c r="I101" s="11"/>
      <c r="J101" s="12"/>
      <c r="K101" s="12" t="s">
        <v>79</v>
      </c>
      <c r="L101" s="12"/>
      <c r="AD101" s="12"/>
      <c r="AE101" s="12"/>
      <c r="AF101" s="154"/>
    </row>
    <row r="102" spans="2:32" ht="20.100000000000001" customHeight="1" thickBot="1">
      <c r="B102" s="163" t="str">
        <f t="shared" si="1"/>
        <v>Unplanned Interruption Frequency: Wastewater [WWS7c]</v>
      </c>
      <c r="C102" s="95" t="s">
        <v>264</v>
      </c>
      <c r="D102" s="425" t="s">
        <v>689</v>
      </c>
      <c r="E102" s="445" t="s">
        <v>690</v>
      </c>
      <c r="F102" s="387" t="s">
        <v>271</v>
      </c>
      <c r="G102" s="446">
        <f>IF(ISBLANK('Previous years'!G101),"",'Previous years'!G101)</f>
        <v>0</v>
      </c>
      <c r="H102" s="447">
        <f>IFERROR(H100/H10*1000,"")</f>
        <v>0</v>
      </c>
      <c r="I102" s="97" t="s">
        <v>66</v>
      </c>
      <c r="J102" s="97"/>
      <c r="K102" s="97"/>
      <c r="L102" s="97"/>
      <c r="AE102" s="97"/>
      <c r="AF102" s="97"/>
    </row>
    <row r="103" spans="2:32" ht="20.100000000000001" customHeight="1">
      <c r="B103" s="163" t="str">
        <f t="shared" si="1"/>
        <v>Revenue from the Provision of Wastewater Treatment Services to Another Local Authority [WWF1]</v>
      </c>
      <c r="C103" s="105" t="s">
        <v>356</v>
      </c>
      <c r="D103" s="376" t="s">
        <v>691</v>
      </c>
      <c r="E103" s="397" t="s">
        <v>692</v>
      </c>
      <c r="F103" s="378" t="s">
        <v>318</v>
      </c>
      <c r="G103" s="448" t="str">
        <f>IF(ISBLANK('Previous years'!G102),"",'Previous years'!G102)</f>
        <v/>
      </c>
      <c r="H103" s="449">
        <v>0</v>
      </c>
      <c r="I103" s="431"/>
      <c r="J103" s="107"/>
      <c r="K103" s="107"/>
      <c r="L103" s="107"/>
      <c r="AE103" s="107"/>
      <c r="AF103" s="107"/>
    </row>
    <row r="104" spans="2:32" ht="20.100000000000001" customHeight="1">
      <c r="B104" s="163" t="str">
        <f t="shared" si="1"/>
        <v>Operating Revenue: Wastewater [WWF2]</v>
      </c>
      <c r="C104" s="34" t="s">
        <v>356</v>
      </c>
      <c r="D104" s="399" t="s">
        <v>693</v>
      </c>
      <c r="E104" s="36" t="s">
        <v>694</v>
      </c>
      <c r="F104" s="37" t="s">
        <v>318</v>
      </c>
      <c r="G104" s="235">
        <f>IF(ISBLANK('Previous years'!G103),"",'Previous years'!G103)</f>
        <v>13203661.48</v>
      </c>
      <c r="H104" s="450">
        <f>'WW P&amp;L'!H14+'WW P&amp;L'!H15</f>
        <v>13703952.459999999</v>
      </c>
      <c r="I104" s="11" t="s">
        <v>57</v>
      </c>
      <c r="J104" s="12" t="s">
        <v>363</v>
      </c>
      <c r="K104" s="12" t="s">
        <v>653</v>
      </c>
      <c r="L104" s="12"/>
      <c r="AE104" s="12"/>
      <c r="AF104" s="12"/>
    </row>
    <row r="105" spans="2:32" ht="20.100000000000001" customHeight="1" thickBot="1">
      <c r="B105" s="163" t="str">
        <f t="shared" si="1"/>
        <v>Development Contribution Revenue: Wastewater [WWF3]</v>
      </c>
      <c r="C105" s="34" t="s">
        <v>356</v>
      </c>
      <c r="D105" s="379" t="s">
        <v>695</v>
      </c>
      <c r="E105" s="380" t="s">
        <v>696</v>
      </c>
      <c r="F105" s="381" t="s">
        <v>318</v>
      </c>
      <c r="G105" s="451">
        <f>IF(ISBLANK('Previous years'!G104),"",'Previous years'!G104)</f>
        <v>6406374.29</v>
      </c>
      <c r="H105" s="452">
        <f>'WW P&amp;L'!H45</f>
        <v>4620066.58</v>
      </c>
      <c r="I105" s="11" t="s">
        <v>57</v>
      </c>
      <c r="J105" s="12" t="s">
        <v>363</v>
      </c>
      <c r="K105" s="12" t="s">
        <v>653</v>
      </c>
      <c r="L105" s="12"/>
      <c r="AE105" s="12"/>
      <c r="AF105" s="12"/>
    </row>
    <row r="106" spans="2:32" ht="20.100000000000001" customHeight="1">
      <c r="B106" s="163" t="str">
        <f t="shared" si="1"/>
        <v>Total Revenue: Wastewater [WWF4]</v>
      </c>
      <c r="C106" s="34" t="s">
        <v>356</v>
      </c>
      <c r="D106" s="70" t="s">
        <v>697</v>
      </c>
      <c r="E106" s="38" t="s">
        <v>698</v>
      </c>
      <c r="F106" s="70" t="s">
        <v>318</v>
      </c>
      <c r="G106" s="441">
        <f>IF(ISBLANK('Previous years'!G105),"",'Previous years'!G105)</f>
        <v>19610035.77</v>
      </c>
      <c r="H106" s="442">
        <f>SUMIF(H103:H105,"&gt;=0",H103:H105)</f>
        <v>18324019.039999999</v>
      </c>
      <c r="I106" s="24" t="s">
        <v>66</v>
      </c>
      <c r="J106" s="24"/>
      <c r="K106" s="24"/>
      <c r="L106" s="24"/>
      <c r="AE106" s="24"/>
      <c r="AF106" s="24"/>
    </row>
    <row r="107" spans="2:32" ht="20.100000000000001" customHeight="1">
      <c r="B107" s="163" t="str">
        <f t="shared" si="1"/>
        <v>Revenue per Property: Wastewater [WWF5]</v>
      </c>
      <c r="C107" s="34" t="s">
        <v>356</v>
      </c>
      <c r="D107" s="37" t="s">
        <v>699</v>
      </c>
      <c r="E107" s="36" t="s">
        <v>700</v>
      </c>
      <c r="F107" s="37" t="s">
        <v>370</v>
      </c>
      <c r="G107" s="235">
        <f>IF(ISBLANK('Previous years'!G106),"",'Previous years'!G106)</f>
        <v>751.14091124985634</v>
      </c>
      <c r="H107" s="236">
        <f>IFERROR(H106/H10,"")</f>
        <v>674.37137641689969</v>
      </c>
      <c r="I107" s="24" t="s">
        <v>66</v>
      </c>
      <c r="J107" s="24"/>
      <c r="K107" s="24"/>
      <c r="L107" s="24"/>
      <c r="AE107" s="24"/>
      <c r="AF107" s="24"/>
    </row>
    <row r="108" spans="2:32" ht="20.100000000000001" customHeight="1" thickBot="1">
      <c r="B108" s="163" t="str">
        <f t="shared" si="1"/>
        <v>Debt funding: Wastewater [WWF6]</v>
      </c>
      <c r="C108" s="95" t="s">
        <v>356</v>
      </c>
      <c r="D108" s="96" t="s">
        <v>701</v>
      </c>
      <c r="E108" s="222" t="s">
        <v>702</v>
      </c>
      <c r="F108" s="96" t="s">
        <v>318</v>
      </c>
      <c r="G108" s="237">
        <f>IF(ISBLANK('Previous years'!G107),"",'Previous years'!G107)</f>
        <v>1535680</v>
      </c>
      <c r="H108" s="238">
        <v>5454832</v>
      </c>
      <c r="I108" s="99"/>
      <c r="J108" s="99"/>
      <c r="K108" s="99" t="s">
        <v>703</v>
      </c>
      <c r="L108" s="99"/>
      <c r="AE108" s="99"/>
      <c r="AF108" s="99"/>
    </row>
    <row r="109" spans="2:32" ht="20.100000000000001" customHeight="1">
      <c r="B109" s="163" t="str">
        <f t="shared" si="1"/>
        <v>Energy Costs: Wastewater [WWF7]</v>
      </c>
      <c r="C109" s="105" t="s">
        <v>374</v>
      </c>
      <c r="D109" s="106" t="s">
        <v>704</v>
      </c>
      <c r="E109" s="109" t="s">
        <v>705</v>
      </c>
      <c r="F109" s="106" t="s">
        <v>318</v>
      </c>
      <c r="G109" s="233">
        <f>IF(ISBLANK('Previous years'!G108),"",'Previous years'!G108)</f>
        <v>952446</v>
      </c>
      <c r="H109" s="234">
        <f>'WW P&amp;L'!H26</f>
        <v>936359.42</v>
      </c>
      <c r="I109" s="107" t="s">
        <v>57</v>
      </c>
      <c r="J109" s="107" t="s">
        <v>363</v>
      </c>
      <c r="K109" s="107" t="s">
        <v>706</v>
      </c>
      <c r="L109" s="107"/>
      <c r="AE109" s="107"/>
      <c r="AF109" s="107"/>
    </row>
    <row r="110" spans="2:32" ht="20.100000000000001" customHeight="1">
      <c r="B110" s="163" t="str">
        <f t="shared" si="1"/>
        <v>Sludge Disposal Costs: Wastewater [WWF8]</v>
      </c>
      <c r="C110" s="34" t="s">
        <v>374</v>
      </c>
      <c r="D110" s="37" t="s">
        <v>707</v>
      </c>
      <c r="E110" s="36" t="s">
        <v>708</v>
      </c>
      <c r="F110" s="37" t="s">
        <v>318</v>
      </c>
      <c r="G110" s="235">
        <f>IF(ISBLANK('Previous years'!G109),"",'Previous years'!G109)</f>
        <v>1599491.31</v>
      </c>
      <c r="H110" s="190">
        <f>'WW P&amp;L'!H33</f>
        <v>1663637.69</v>
      </c>
      <c r="I110" s="12" t="s">
        <v>57</v>
      </c>
      <c r="J110" s="12" t="s">
        <v>363</v>
      </c>
      <c r="K110" s="12" t="s">
        <v>706</v>
      </c>
      <c r="L110" s="12"/>
      <c r="AE110" s="12"/>
      <c r="AF110" s="12"/>
    </row>
    <row r="111" spans="2:32" ht="20.100000000000001" customHeight="1">
      <c r="B111" s="163" t="str">
        <f t="shared" si="1"/>
        <v>Routine Maintenance: Wastewater [WWF9]</v>
      </c>
      <c r="C111" s="34" t="s">
        <v>374</v>
      </c>
      <c r="D111" s="211" t="s">
        <v>709</v>
      </c>
      <c r="E111" s="212" t="s">
        <v>710</v>
      </c>
      <c r="F111" s="211" t="s">
        <v>318</v>
      </c>
      <c r="G111" s="235">
        <f>IF(ISBLANK('Previous years'!G110),"",'Previous years'!G110)</f>
        <v>1505026</v>
      </c>
      <c r="H111" s="190">
        <v>1503256.73</v>
      </c>
      <c r="I111" s="12" t="s">
        <v>57</v>
      </c>
      <c r="J111" s="12" t="s">
        <v>363</v>
      </c>
      <c r="K111" s="12" t="s">
        <v>706</v>
      </c>
      <c r="L111" s="12"/>
      <c r="AE111" s="12"/>
      <c r="AF111" s="12"/>
    </row>
    <row r="112" spans="2:32" ht="20.100000000000001" customHeight="1">
      <c r="B112" s="163" t="str">
        <f t="shared" si="1"/>
        <v>Reactive Maintenance: Wastewater [WWF10]</v>
      </c>
      <c r="C112" s="34" t="s">
        <v>374</v>
      </c>
      <c r="D112" s="211" t="s">
        <v>711</v>
      </c>
      <c r="E112" s="212" t="s">
        <v>712</v>
      </c>
      <c r="F112" s="211" t="s">
        <v>318</v>
      </c>
      <c r="G112" s="235">
        <f>IF(ISBLANK('Previous years'!G111),"",'Previous years'!G111)</f>
        <v>751007</v>
      </c>
      <c r="H112" s="190">
        <v>935357.19</v>
      </c>
      <c r="I112" s="12" t="s">
        <v>57</v>
      </c>
      <c r="J112" s="12" t="s">
        <v>363</v>
      </c>
      <c r="K112" s="12" t="s">
        <v>706</v>
      </c>
      <c r="L112" s="12"/>
      <c r="AE112" s="12"/>
      <c r="AF112" s="12"/>
    </row>
    <row r="113" spans="2:32" ht="20.100000000000001" customHeight="1">
      <c r="B113" s="163" t="str">
        <f t="shared" si="1"/>
        <v>Management Costs: Wastewater [WWF11]</v>
      </c>
      <c r="C113" s="34" t="s">
        <v>374</v>
      </c>
      <c r="D113" s="211" t="s">
        <v>713</v>
      </c>
      <c r="E113" s="212" t="s">
        <v>714</v>
      </c>
      <c r="F113" s="211" t="s">
        <v>318</v>
      </c>
      <c r="G113" s="235">
        <f>IF(ISBLANK('Previous years'!G112),"",'Previous years'!G112)</f>
        <v>2082162</v>
      </c>
      <c r="H113" s="190">
        <v>1965636.58</v>
      </c>
      <c r="I113" s="12" t="s">
        <v>57</v>
      </c>
      <c r="J113" s="12" t="s">
        <v>363</v>
      </c>
      <c r="K113" s="12" t="s">
        <v>706</v>
      </c>
      <c r="L113" s="12"/>
      <c r="AE113" s="12"/>
      <c r="AF113" s="12"/>
    </row>
    <row r="114" spans="2:32" ht="20.100000000000001" customHeight="1" thickBot="1">
      <c r="B114" s="163" t="str">
        <f t="shared" si="1"/>
        <v>Councils Contract Management Costs: Wastewater  [WWF12]</v>
      </c>
      <c r="C114" s="34" t="s">
        <v>374</v>
      </c>
      <c r="D114" s="391" t="s">
        <v>715</v>
      </c>
      <c r="E114" s="392" t="s">
        <v>716</v>
      </c>
      <c r="F114" s="391" t="s">
        <v>318</v>
      </c>
      <c r="G114" s="439">
        <f>IF(ISBLANK('Previous years'!G113),"",'Previous years'!G113)</f>
        <v>66666.666666666672</v>
      </c>
      <c r="H114" s="440">
        <v>0</v>
      </c>
      <c r="I114" s="12"/>
      <c r="J114" s="12"/>
      <c r="K114" s="12" t="s">
        <v>717</v>
      </c>
      <c r="L114" s="12" t="s">
        <v>718</v>
      </c>
      <c r="AE114" s="12"/>
      <c r="AF114" s="12"/>
    </row>
    <row r="115" spans="2:32" ht="20.100000000000001" customHeight="1" thickBot="1">
      <c r="B115" s="163" t="str">
        <f t="shared" si="1"/>
        <v>Operating Cost: Wastewater [WWF13]</v>
      </c>
      <c r="C115" s="34" t="s">
        <v>374</v>
      </c>
      <c r="D115" s="384" t="s">
        <v>719</v>
      </c>
      <c r="E115" s="385" t="s">
        <v>720</v>
      </c>
      <c r="F115" s="386" t="s">
        <v>318</v>
      </c>
      <c r="G115" s="443">
        <f>IF(ISBLANK('Previous years'!G114),"",'Previous years'!G114)</f>
        <v>6956798.9766666675</v>
      </c>
      <c r="H115" s="444">
        <f>SUMIF(H109:H114,"&gt;=0",H109:H114)</f>
        <v>7004247.6099999994</v>
      </c>
      <c r="I115" s="25" t="s">
        <v>66</v>
      </c>
      <c r="J115" s="24"/>
      <c r="K115" s="24"/>
      <c r="L115" s="24"/>
      <c r="AE115" s="24"/>
      <c r="AF115" s="24"/>
    </row>
    <row r="116" spans="2:32" ht="20.100000000000001" customHeight="1" thickBot="1">
      <c r="B116" s="163" t="str">
        <f t="shared" si="1"/>
        <v>Operating Cost per Property: Wastewater [WWF14]</v>
      </c>
      <c r="C116" s="34" t="s">
        <v>374</v>
      </c>
      <c r="D116" s="387" t="s">
        <v>721</v>
      </c>
      <c r="E116" s="388" t="s">
        <v>722</v>
      </c>
      <c r="F116" s="387" t="s">
        <v>370</v>
      </c>
      <c r="G116" s="453">
        <f>IF(ISBLANK('Previous years'!G115),"",'Previous years'!G115)</f>
        <v>266.47255435962262</v>
      </c>
      <c r="H116" s="454">
        <f>IFERROR(H115/H10,"")</f>
        <v>257.77445936993962</v>
      </c>
      <c r="I116" s="24" t="s">
        <v>66</v>
      </c>
      <c r="J116" s="24"/>
      <c r="K116" s="24"/>
      <c r="L116" s="24"/>
      <c r="AE116" s="24"/>
      <c r="AF116" s="24"/>
    </row>
    <row r="117" spans="2:32" ht="20.100000000000001" customHeight="1">
      <c r="B117" s="163" t="str">
        <f t="shared" si="1"/>
        <v>Annual Depreciation: Wastewater [WWF15]</v>
      </c>
      <c r="C117" s="34" t="s">
        <v>374</v>
      </c>
      <c r="D117" s="376" t="s">
        <v>723</v>
      </c>
      <c r="E117" s="377" t="s">
        <v>724</v>
      </c>
      <c r="F117" s="378" t="s">
        <v>318</v>
      </c>
      <c r="G117" s="448">
        <f>IF(ISBLANK('Previous years'!G116),"",'Previous years'!G116)</f>
        <v>7280342.3700000001</v>
      </c>
      <c r="H117" s="449">
        <f>'WW P&amp;L'!H21</f>
        <v>7448815.54</v>
      </c>
      <c r="I117" s="11" t="s">
        <v>57</v>
      </c>
      <c r="J117" s="12" t="s">
        <v>363</v>
      </c>
      <c r="K117" s="12" t="s">
        <v>653</v>
      </c>
      <c r="L117" s="12"/>
      <c r="AE117" s="12"/>
      <c r="AF117" s="12"/>
    </row>
    <row r="118" spans="2:32" ht="20.100000000000001" customHeight="1" thickBot="1">
      <c r="B118" s="163" t="str">
        <f t="shared" si="1"/>
        <v>Interest: Wastewater [WWF16a]</v>
      </c>
      <c r="C118" s="34" t="s">
        <v>374</v>
      </c>
      <c r="D118" s="379" t="s">
        <v>725</v>
      </c>
      <c r="E118" s="380" t="s">
        <v>726</v>
      </c>
      <c r="F118" s="381" t="s">
        <v>318</v>
      </c>
      <c r="G118" s="451">
        <f>IF(ISBLANK('Previous years'!G117),"",'Previous years'!G117)</f>
        <v>1337034.06</v>
      </c>
      <c r="H118" s="452">
        <f>'WW P&amp;L'!H37</f>
        <v>1539308.76</v>
      </c>
      <c r="I118" s="11" t="s">
        <v>57</v>
      </c>
      <c r="J118" s="12" t="s">
        <v>363</v>
      </c>
      <c r="K118" s="12" t="s">
        <v>653</v>
      </c>
      <c r="L118" s="12"/>
      <c r="AE118" s="12"/>
      <c r="AF118" s="12"/>
    </row>
    <row r="119" spans="2:32" ht="20.100000000000001" customHeight="1">
      <c r="B119" s="163" t="str">
        <f t="shared" si="1"/>
        <v>Debt affordability: Wastewater [WWF16b]</v>
      </c>
      <c r="C119" s="34" t="s">
        <v>374</v>
      </c>
      <c r="D119" s="70" t="s">
        <v>727</v>
      </c>
      <c r="E119" s="38" t="s">
        <v>728</v>
      </c>
      <c r="F119" s="70" t="s">
        <v>111</v>
      </c>
      <c r="G119" s="394">
        <f>IF(ISBLANK('Previous years'!G118),"",'Previous years'!G118)</f>
        <v>6.8181112756838178E-2</v>
      </c>
      <c r="H119" s="455">
        <f>IFERROR(H118/H106,"")</f>
        <v>8.4004974926068413E-2</v>
      </c>
      <c r="I119" s="24" t="s">
        <v>66</v>
      </c>
      <c r="J119" s="24"/>
      <c r="K119" s="24"/>
      <c r="L119" s="24"/>
      <c r="AE119" s="24"/>
      <c r="AF119" s="24"/>
    </row>
    <row r="120" spans="2:32" ht="20.100000000000001" customHeight="1">
      <c r="B120" s="163" t="str">
        <f t="shared" si="1"/>
        <v>Operational Cost Coverage: Wastewater [WWF17]</v>
      </c>
      <c r="C120" s="34" t="s">
        <v>374</v>
      </c>
      <c r="D120" s="37" t="s">
        <v>729</v>
      </c>
      <c r="E120" s="36" t="s">
        <v>730</v>
      </c>
      <c r="F120" s="37" t="s">
        <v>111</v>
      </c>
      <c r="G120" s="143">
        <f>IF(ISBLANK('Previous years'!G119),"",'Previous years'!G119)</f>
        <v>0.84779201050657582</v>
      </c>
      <c r="H120" s="139">
        <f>IFERROR((H103+H104)/(H117+H118+H115),"")</f>
        <v>0.85690556329739576</v>
      </c>
      <c r="I120" s="24" t="s">
        <v>66</v>
      </c>
      <c r="J120" s="24"/>
      <c r="K120" s="24"/>
      <c r="L120" s="24"/>
      <c r="AE120" s="24"/>
      <c r="AF120" s="24"/>
    </row>
    <row r="121" spans="2:32" ht="20.100000000000001" customHeight="1">
      <c r="B121" s="163" t="str">
        <f t="shared" si="1"/>
        <v>Total Cost: Wastewater [WWF18]</v>
      </c>
      <c r="C121" s="34" t="s">
        <v>374</v>
      </c>
      <c r="D121" s="37" t="s">
        <v>731</v>
      </c>
      <c r="E121" s="36" t="s">
        <v>732</v>
      </c>
      <c r="F121" s="37" t="s">
        <v>318</v>
      </c>
      <c r="G121" s="235">
        <f>IF(ISBLANK('Previous years'!G120),"",'Previous years'!G120)</f>
        <v>42609555.846666664</v>
      </c>
      <c r="H121" s="236">
        <f>H115+H118+H117+H127</f>
        <v>43482125.620000005</v>
      </c>
      <c r="I121" s="24" t="s">
        <v>66</v>
      </c>
      <c r="J121" s="24"/>
      <c r="K121" s="24"/>
      <c r="L121" s="24"/>
      <c r="AE121" s="24"/>
      <c r="AF121" s="24"/>
    </row>
    <row r="122" spans="2:32" ht="20.100000000000001" customHeight="1" thickBot="1">
      <c r="B122" s="163" t="str">
        <f t="shared" si="1"/>
        <v>Total Cost per Property: Wastewater [WWF19]</v>
      </c>
      <c r="C122" s="34" t="s">
        <v>374</v>
      </c>
      <c r="D122" s="218" t="s">
        <v>733</v>
      </c>
      <c r="E122" s="373" t="s">
        <v>734</v>
      </c>
      <c r="F122" s="218" t="s">
        <v>370</v>
      </c>
      <c r="G122" s="439">
        <f>IF(ISBLANK('Previous years'!G121),"",'Previous years'!G121)</f>
        <v>1632.1123011708225</v>
      </c>
      <c r="H122" s="456">
        <f>IFERROR(H121/H10,"")</f>
        <v>1600.2548807596056</v>
      </c>
      <c r="I122" s="24" t="s">
        <v>66</v>
      </c>
      <c r="J122" s="24"/>
      <c r="K122" s="24"/>
      <c r="L122" s="24"/>
      <c r="AE122" s="24"/>
      <c r="AF122" s="24"/>
    </row>
    <row r="123" spans="2:32" ht="20.100000000000001" customHeight="1" thickBot="1">
      <c r="B123" s="163" t="str">
        <f t="shared" si="1"/>
        <v>Budgeted Capital Expenditure: Wastewater [WWF20]</v>
      </c>
      <c r="C123" s="34" t="s">
        <v>374</v>
      </c>
      <c r="D123" s="384" t="s">
        <v>735</v>
      </c>
      <c r="E123" s="385" t="s">
        <v>736</v>
      </c>
      <c r="F123" s="386" t="s">
        <v>318</v>
      </c>
      <c r="G123" s="443">
        <f>IF(ISBLANK('Previous years'!G122),"",'Previous years'!G122)</f>
        <v>29914236.679999996</v>
      </c>
      <c r="H123" s="444">
        <f>SUMIF(H124:H126,"&gt;=0",H124:H126)</f>
        <v>34291984.880000003</v>
      </c>
      <c r="I123" s="25" t="s">
        <v>66</v>
      </c>
      <c r="J123" s="24"/>
      <c r="K123" s="24"/>
      <c r="L123" s="24"/>
      <c r="AE123" s="24"/>
      <c r="AF123" s="24"/>
    </row>
    <row r="124" spans="2:32" ht="20.100000000000001" customHeight="1">
      <c r="B124" s="163" t="str">
        <f t="shared" si="1"/>
        <v>Budgeted capital to meet additional demand [WWF20a]</v>
      </c>
      <c r="C124" s="34" t="s">
        <v>374</v>
      </c>
      <c r="D124" s="70" t="s">
        <v>737</v>
      </c>
      <c r="E124" s="57" t="s">
        <v>409</v>
      </c>
      <c r="F124" s="70" t="s">
        <v>318</v>
      </c>
      <c r="G124" s="441">
        <f>IF(ISBLANK('Previous years'!G123),"",'Previous years'!G123)</f>
        <v>10104038.514535492</v>
      </c>
      <c r="H124" s="182">
        <f>SUMIF(PROJECT_FINANCIAL_SUMMARY!$B:$B,"Waste Water",PROJECT_FINANCIAL_SUMMARY!$AD:$AD)</f>
        <v>12406855.640910001</v>
      </c>
      <c r="I124" s="12" t="s">
        <v>57</v>
      </c>
      <c r="J124" s="12" t="s">
        <v>410</v>
      </c>
      <c r="K124" s="12" t="s">
        <v>653</v>
      </c>
      <c r="L124" s="12"/>
      <c r="AE124" s="12"/>
      <c r="AF124" s="12"/>
    </row>
    <row r="125" spans="2:32" ht="20.100000000000001" customHeight="1">
      <c r="B125" s="163" t="str">
        <f t="shared" si="1"/>
        <v>Budgeted capital to improve the level of service [WWF20b]</v>
      </c>
      <c r="C125" s="34" t="s">
        <v>374</v>
      </c>
      <c r="D125" s="37" t="s">
        <v>738</v>
      </c>
      <c r="E125" s="50" t="s">
        <v>412</v>
      </c>
      <c r="F125" s="37" t="s">
        <v>318</v>
      </c>
      <c r="G125" s="235">
        <f>IF(ISBLANK('Previous years'!G124),"",'Previous years'!G124)</f>
        <v>12926867.425379569</v>
      </c>
      <c r="H125" s="190">
        <f>SUMIF(PROJECT_FINANCIAL_SUMMARY!$B:$B,"Waste Water",PROJECT_FINANCIAL_SUMMARY!$AE:$AE)</f>
        <v>15056647.497052999</v>
      </c>
      <c r="I125" s="12" t="s">
        <v>57</v>
      </c>
      <c r="J125" s="12" t="s">
        <v>410</v>
      </c>
      <c r="K125" s="12" t="s">
        <v>653</v>
      </c>
      <c r="L125" s="12"/>
      <c r="AE125" s="12"/>
      <c r="AF125" s="12"/>
    </row>
    <row r="126" spans="2:32" ht="20.100000000000001" customHeight="1" thickBot="1">
      <c r="B126" s="163" t="str">
        <f t="shared" si="1"/>
        <v>Budgeted capital to replace existing assets [WWF20c]</v>
      </c>
      <c r="C126" s="34" t="s">
        <v>374</v>
      </c>
      <c r="D126" s="218" t="s">
        <v>739</v>
      </c>
      <c r="E126" s="412" t="s">
        <v>414</v>
      </c>
      <c r="F126" s="218" t="s">
        <v>318</v>
      </c>
      <c r="G126" s="439">
        <f>IF(ISBLANK('Previous years'!G125),"",'Previous years'!G125)</f>
        <v>6883330.740084934</v>
      </c>
      <c r="H126" s="440">
        <f>SUMIF(PROJECT_FINANCIAL_SUMMARY!$B:$B,"Waste Water",PROJECT_FINANCIAL_SUMMARY!$AF:$AF)</f>
        <v>6828481.7420370001</v>
      </c>
      <c r="I126" s="12" t="s">
        <v>57</v>
      </c>
      <c r="J126" s="12" t="s">
        <v>410</v>
      </c>
      <c r="K126" s="12" t="s">
        <v>653</v>
      </c>
      <c r="L126" s="12"/>
      <c r="AE126" s="12"/>
      <c r="AF126" s="12"/>
    </row>
    <row r="127" spans="2:32" ht="20.100000000000001" customHeight="1" thickBot="1">
      <c r="B127" s="163" t="str">
        <f t="shared" si="1"/>
        <v>Actual Capital Expenditure: Wastewater [WWF21]</v>
      </c>
      <c r="C127" s="34" t="s">
        <v>374</v>
      </c>
      <c r="D127" s="384" t="s">
        <v>740</v>
      </c>
      <c r="E127" s="385" t="s">
        <v>741</v>
      </c>
      <c r="F127" s="386" t="s">
        <v>318</v>
      </c>
      <c r="G127" s="443">
        <f>IF(ISBLANK('Previous years'!G126),"",'Previous years'!G126)</f>
        <v>27035380.439999998</v>
      </c>
      <c r="H127" s="444">
        <f>SUMIF(H128:H130,"&gt;=0",H128:H130)</f>
        <v>27489753.710000001</v>
      </c>
      <c r="I127" s="25" t="s">
        <v>66</v>
      </c>
      <c r="J127" s="24"/>
      <c r="K127" s="24"/>
      <c r="L127" s="24"/>
      <c r="AE127" s="24"/>
      <c r="AF127" s="24"/>
    </row>
    <row r="128" spans="2:32" ht="20.100000000000001" customHeight="1">
      <c r="B128" s="163" t="str">
        <f t="shared" si="1"/>
        <v>Actual capital to meet additional demand [WWF21a]</v>
      </c>
      <c r="C128" s="34" t="s">
        <v>374</v>
      </c>
      <c r="D128" s="70" t="s">
        <v>742</v>
      </c>
      <c r="E128" s="57" t="s">
        <v>418</v>
      </c>
      <c r="F128" s="70" t="s">
        <v>318</v>
      </c>
      <c r="G128" s="441">
        <f>IF(ISBLANK('Previous years'!G127),"",'Previous years'!G127)</f>
        <v>9441177.0743419975</v>
      </c>
      <c r="H128" s="182">
        <f>SUMIF(PROJECT_FINANCIAL_SUMMARY!$B:$B,"Waste water",PROJECT_FINANCIAL_SUMMARY!$S:$S)</f>
        <v>9731850.0347700007</v>
      </c>
      <c r="I128" s="12" t="s">
        <v>57</v>
      </c>
      <c r="J128" s="12" t="s">
        <v>410</v>
      </c>
      <c r="K128" s="12" t="s">
        <v>653</v>
      </c>
      <c r="L128" s="12"/>
      <c r="AE128" s="12"/>
      <c r="AF128" s="12"/>
    </row>
    <row r="129" spans="2:32" ht="20.100000000000001" customHeight="1">
      <c r="B129" s="163" t="str">
        <f t="shared" si="1"/>
        <v>Actual capital to improve the level of service [WWF21b]</v>
      </c>
      <c r="C129" s="34" t="s">
        <v>374</v>
      </c>
      <c r="D129" s="37" t="s">
        <v>743</v>
      </c>
      <c r="E129" s="50" t="s">
        <v>420</v>
      </c>
      <c r="F129" s="37" t="s">
        <v>318</v>
      </c>
      <c r="G129" s="235">
        <f>IF(ISBLANK('Previous years'!G128),"",'Previous years'!G128)</f>
        <v>12068539.303596001</v>
      </c>
      <c r="H129" s="190">
        <f>SUMIF(PROJECT_FINANCIAL_SUMMARY!$B:$B,"Waste water",PROJECT_FINANCIAL_SUMMARY!$U:$U)</f>
        <v>12038943.593265003</v>
      </c>
      <c r="I129" s="12" t="s">
        <v>57</v>
      </c>
      <c r="J129" s="12" t="s">
        <v>410</v>
      </c>
      <c r="K129" s="12" t="s">
        <v>653</v>
      </c>
      <c r="L129" s="12"/>
      <c r="AE129" s="12"/>
      <c r="AF129" s="12"/>
    </row>
    <row r="130" spans="2:32" ht="20.100000000000001" customHeight="1">
      <c r="B130" s="163" t="str">
        <f t="shared" si="1"/>
        <v>Actual capital to replace existing assets [WWF21c]</v>
      </c>
      <c r="C130" s="34" t="s">
        <v>374</v>
      </c>
      <c r="D130" s="37" t="s">
        <v>744</v>
      </c>
      <c r="E130" s="50" t="s">
        <v>422</v>
      </c>
      <c r="F130" s="37" t="s">
        <v>318</v>
      </c>
      <c r="G130" s="235">
        <f>IF(ISBLANK('Previous years'!G129),"",'Previous years'!G129)</f>
        <v>5525664.0620620009</v>
      </c>
      <c r="H130" s="190">
        <f>SUMIF(PROJECT_FINANCIAL_SUMMARY!$B:$B,"Waste water",PROJECT_FINANCIAL_SUMMARY!$T:$T)</f>
        <v>5718960.0819650004</v>
      </c>
      <c r="I130" s="12" t="s">
        <v>57</v>
      </c>
      <c r="J130" s="12" t="s">
        <v>410</v>
      </c>
      <c r="K130" s="12" t="s">
        <v>653</v>
      </c>
      <c r="L130" s="12"/>
      <c r="AE130" s="12"/>
      <c r="AF130" s="12"/>
    </row>
    <row r="131" spans="2:32" ht="20.100000000000001" customHeight="1" thickBot="1">
      <c r="B131" s="163" t="str">
        <f t="shared" si="1"/>
        <v>Actual Capital Expenditure per Property: Wastewater [WWF22]</v>
      </c>
      <c r="C131" s="95" t="s">
        <v>374</v>
      </c>
      <c r="D131" s="218" t="s">
        <v>745</v>
      </c>
      <c r="E131" s="373" t="s">
        <v>746</v>
      </c>
      <c r="F131" s="218" t="s">
        <v>370</v>
      </c>
      <c r="G131" s="439">
        <f>IF(ISBLANK('Previous years'!G130),"",'Previous years'!G130)</f>
        <v>1035.5605944765771</v>
      </c>
      <c r="H131" s="456">
        <f>IFERROR(H127/H10,"")</f>
        <v>1011.6941597968497</v>
      </c>
      <c r="I131" s="97" t="s">
        <v>66</v>
      </c>
      <c r="J131" s="97"/>
      <c r="K131" s="97"/>
      <c r="L131" s="97"/>
      <c r="AE131" s="97"/>
      <c r="AF131" s="97"/>
    </row>
    <row r="132" spans="2:32" ht="20.100000000000001" customHeight="1">
      <c r="B132" s="163" t="str">
        <f t="shared" si="1"/>
        <v>Development Contributions: Wastewater assets [WWF23]</v>
      </c>
      <c r="C132" s="105" t="s">
        <v>425</v>
      </c>
      <c r="D132" s="376" t="s">
        <v>747</v>
      </c>
      <c r="E132" s="397" t="s">
        <v>748</v>
      </c>
      <c r="F132" s="378" t="s">
        <v>318</v>
      </c>
      <c r="G132" s="448">
        <f>IF(ISBLANK('Previous years'!G131),"",'Previous years'!G131)</f>
        <v>9392767.4700000007</v>
      </c>
      <c r="H132" s="449">
        <f>'WW P&amp;L'!H46</f>
        <v>8352525.9400000004</v>
      </c>
      <c r="I132" s="431" t="s">
        <v>57</v>
      </c>
      <c r="J132" s="107" t="s">
        <v>363</v>
      </c>
      <c r="K132" s="107" t="s">
        <v>653</v>
      </c>
      <c r="L132" s="107" t="s">
        <v>428</v>
      </c>
      <c r="AE132" s="107"/>
      <c r="AF132" s="107"/>
    </row>
    <row r="133" spans="2:32" ht="20.100000000000001" customHeight="1">
      <c r="B133" s="163" t="str">
        <f t="shared" si="1"/>
        <v>Wastewater facility value at end of reporting year [WWF24a]</v>
      </c>
      <c r="C133" s="34" t="s">
        <v>425</v>
      </c>
      <c r="D133" s="399" t="s">
        <v>749</v>
      </c>
      <c r="E133" s="36" t="s">
        <v>750</v>
      </c>
      <c r="F133" s="37" t="s">
        <v>318</v>
      </c>
      <c r="G133" s="235">
        <f>IF(ISBLANK('Previous years'!G132),"",'Previous years'!G132)</f>
        <v>47737934.799999997</v>
      </c>
      <c r="H133" s="450">
        <v>59807523</v>
      </c>
      <c r="I133" s="11" t="s">
        <v>57</v>
      </c>
      <c r="J133" s="12" t="s">
        <v>204</v>
      </c>
      <c r="K133" s="12" t="s">
        <v>527</v>
      </c>
      <c r="L133" s="12"/>
      <c r="AE133" s="12"/>
      <c r="AF133" s="12"/>
    </row>
    <row r="134" spans="2:32" ht="20.100000000000001" customHeight="1" thickBot="1">
      <c r="B134" s="163" t="str">
        <f t="shared" si="1"/>
        <v>Other wastewater asset value [WWF24b]</v>
      </c>
      <c r="C134" s="34" t="s">
        <v>425</v>
      </c>
      <c r="D134" s="379" t="s">
        <v>751</v>
      </c>
      <c r="E134" s="380" t="s">
        <v>752</v>
      </c>
      <c r="F134" s="381" t="s">
        <v>318</v>
      </c>
      <c r="G134" s="451">
        <f>IF(ISBLANK('Previous years'!G133),"",'Previous years'!G133)</f>
        <v>282128715.20999998</v>
      </c>
      <c r="H134" s="452">
        <v>303411948</v>
      </c>
      <c r="I134" s="11" t="s">
        <v>57</v>
      </c>
      <c r="J134" s="12" t="s">
        <v>204</v>
      </c>
      <c r="K134" s="12" t="s">
        <v>527</v>
      </c>
      <c r="L134" s="12"/>
      <c r="AE134" s="12"/>
      <c r="AF134" s="12"/>
    </row>
    <row r="135" spans="2:32" ht="20.100000000000001" customHeight="1" thickBot="1">
      <c r="B135" s="163" t="str">
        <f t="shared" si="1"/>
        <v>Decline in Service Potential: Wastewater [WWF25]</v>
      </c>
      <c r="C135" s="95" t="s">
        <v>425</v>
      </c>
      <c r="D135" s="253" t="s">
        <v>753</v>
      </c>
      <c r="E135" s="254" t="s">
        <v>754</v>
      </c>
      <c r="F135" s="253" t="s">
        <v>54</v>
      </c>
      <c r="G135" s="457">
        <f>IF(ISBLANK('Previous years'!G134),"",'Previous years'!G134)</f>
        <v>0.7589840945985622</v>
      </c>
      <c r="H135" s="458">
        <f>IFERROR(H130/H117,"")</f>
        <v>0.76776771437744584</v>
      </c>
      <c r="I135" s="97" t="s">
        <v>66</v>
      </c>
      <c r="J135" s="97"/>
      <c r="K135" s="97"/>
      <c r="L135" s="97"/>
      <c r="AE135" s="97"/>
      <c r="AF135" s="97"/>
    </row>
    <row r="136" spans="2:32" ht="20.100000000000001" customHeight="1" thickBot="1">
      <c r="B136" s="163" t="str">
        <f t="shared" si="1"/>
        <v>External Grants: Wastewater [WWF26]</v>
      </c>
      <c r="C136" s="100" t="s">
        <v>435</v>
      </c>
      <c r="D136" s="101" t="s">
        <v>755</v>
      </c>
      <c r="E136" s="102" t="s">
        <v>756</v>
      </c>
      <c r="F136" s="101" t="s">
        <v>318</v>
      </c>
      <c r="G136" s="239">
        <f>IF(ISBLANK('Previous years'!G135),"",'Previous years'!G135)</f>
        <v>0</v>
      </c>
      <c r="H136" s="240">
        <v>7098939.5</v>
      </c>
      <c r="I136" s="104"/>
      <c r="J136" s="104"/>
      <c r="K136" s="104"/>
      <c r="L136" s="104" t="s">
        <v>438</v>
      </c>
      <c r="AE136" s="104"/>
      <c r="AF136" s="104"/>
    </row>
  </sheetData>
  <dataValidations xWindow="999" yWindow="449" count="97">
    <dataValidation allowBlank="1" showInputMessage="1" showErrorMessage="1" prompt="This cell is automatically calculated based on other supplied data. It can be overwritten if a more accurage value is available." sqref="H6:H7 H77" xr:uid="{00000000-0002-0000-0300-000000000000}"/>
    <dataValidation allowBlank="1" showInputMessage="1" showErrorMessage="1" prompt="This cell is automatically calculated based on other supplied data. " sqref="H10 H13 H102 H106:H107 H115:H116 H119:H123 H127 H131 H135 H97" xr:uid="{00000000-0002-0000-0300-000001000000}"/>
    <dataValidation type="list" allowBlank="1" showInputMessage="1" showErrorMessage="1" sqref="I8:I9 I11:I12 I14:I22 I24:I27 I30 I33:I35 I103:I105 I54:I57 I93:I96 I136 I117:I118 I124:I126 I128:I130 I132:I134 I45:I52 I98:I101 I38:I43 I66:I76 I59:I61 I78 I108:I114" xr:uid="{00000000-0002-0000-0300-000002000000}">
      <formula1>Data_confidence</formula1>
    </dataValidation>
    <dataValidation allowBlank="1" showInputMessage="1" showErrorMessage="1" prompt="Total number of residential properties serviced by a reticulated wastewater network. Further detail is provided in defintions guidelines. List the method used for determining number of properties in multi-unit complexes list this in the comments field." sqref="H8" xr:uid="{00000000-0002-0000-0300-000003000000}"/>
    <dataValidation allowBlank="1" showInputMessage="1" showErrorMessage="1" prompt="Total number of non-residential properties serviced by the reticulated wastewater network. Further detail is available in definitions guidelines." sqref="H9" xr:uid="{00000000-0002-0000-0300-000004000000}"/>
    <dataValidation allowBlank="1" showInputMessage="1" showErrorMessage="1" prompt="Volume of wastewater produced in area under the organisations jurisdiction that is piped to an adjacent Council's WWTP (if any). Does not include tankered waste. Leave blank if not applicable to the organisation." sqref="H11" xr:uid="{00000000-0002-0000-0300-000005000000}"/>
    <dataValidation allowBlank="1" showInputMessage="1" showErrorMessage="1" prompt="Volume of wastewater produced outside the organisations jurisdiction that is piped in for treatment at the Council's WWTPs (if any). Does not include tankered waste. Leave blank if not applicable to the organisation." sqref="H12" xr:uid="{00000000-0002-0000-0300-000006000000}"/>
    <dataValidation allowBlank="1" showInputMessage="1" showErrorMessage="1" prompt="Total length of public wastewater piped reticulation. Do not include  private laterals. Further detail is available in the definitions guidelines. " sqref="H14" xr:uid="{00000000-0002-0000-0300-000007000000}"/>
    <dataValidation allowBlank="1" showInputMessage="1" showErrorMessage="1" prompt="Length of wastewater mains renewed using internal CAPEX" sqref="H15" xr:uid="{00000000-0002-0000-0300-000008000000}"/>
    <dataValidation allowBlank="1" showInputMessage="1" showErrorMessage="1" prompt="Length of wastewater mains constructed using internal CAPEX (NOT vested to the organisation by developers)" sqref="H16" xr:uid="{00000000-0002-0000-0300-000009000000}"/>
    <dataValidation allowBlank="1" showInputMessage="1" showErrorMessage="1" prompt="Percentage of wastewater pipelines that have received a condition grading of 1" sqref="H17" xr:uid="{00000000-0002-0000-0300-00000A000000}"/>
    <dataValidation allowBlank="1" showInputMessage="1" showErrorMessage="1" prompt="Percentage of wastewater pipelines that have received a condition grading of 2" sqref="H18" xr:uid="{00000000-0002-0000-0300-00000B000000}"/>
    <dataValidation allowBlank="1" showInputMessage="1" showErrorMessage="1" prompt="Percentage of wastewater pipelines that have received a condition grading of 3" sqref="H19" xr:uid="{00000000-0002-0000-0300-00000C000000}"/>
    <dataValidation allowBlank="1" showInputMessage="1" showErrorMessage="1" prompt="Percentage of wastewater pipelines that have received a condition grading of 4" sqref="H20" xr:uid="{00000000-0002-0000-0300-00000D000000}"/>
    <dataValidation allowBlank="1" showInputMessage="1" showErrorMessage="1" prompt="Percentage of wastewater pipelines that have received a condition grading of 5" sqref="H21" xr:uid="{00000000-0002-0000-0300-00000E000000}"/>
    <dataValidation allowBlank="1" showInputMessage="1" showErrorMessage="1" prompt="Percentage of wastewater pipelines that have yet to have their condition graded" sqref="H22" xr:uid="{00000000-0002-0000-0300-00000F000000}"/>
    <dataValidation allowBlank="1" showInputMessage="1" showErrorMessage="1" prompt="Weighted average age of all pipelines within the total wastewater serviced area. Further detail is available in the definitions guidelines." sqref="H24" xr:uid="{00000000-0002-0000-0300-000010000000}"/>
    <dataValidation allowBlank="1" showInputMessage="1" showErrorMessage="1" prompt="Percent of network that has had CCTV completed in the last 5 years." sqref="H25" xr:uid="{00000000-0002-0000-0300-000011000000}"/>
    <dataValidation allowBlank="1" showInputMessage="1" showErrorMessage="1" prompt="Total number of wastewater pump stations  transporting sewage before the first stage of wastewater treatment processes. Further detail is in the definitions guidelines." sqref="H26" xr:uid="{00000000-0002-0000-0300-000012000000}"/>
    <dataValidation allowBlank="1" showInputMessage="1" showErrorMessage="1" prompt="The number of wastewater pump stations with backup generators. If a pump station has more than one back-up generator to meet the total power needs list this only as one. Portable generators may also be counted." sqref="H27" xr:uid="{00000000-0002-0000-0300-000013000000}"/>
    <dataValidation type="list" allowBlank="1" showErrorMessage="1" sqref="H29" xr:uid="{00000000-0002-0000-0300-000014000000}">
      <formula1>Above_ground_condition_assessment</formula1>
    </dataValidation>
    <dataValidation type="list" allowBlank="1" showInputMessage="1" showErrorMessage="1" sqref="M37:AD37" xr:uid="{00000000-0002-0000-0300-000015000000}">
      <formula1>Consent_status</formula1>
    </dataValidation>
    <dataValidation allowBlank="1" showInputMessage="1" showErrorMessage="1" prompt="The percentage of above ground assets assessed within 3 years" sqref="H30" xr:uid="{00000000-0002-0000-0300-000016000000}"/>
    <dataValidation allowBlank="1" showInputMessage="1" showErrorMessage="1" prompt="If there is only one wastewater treatment plant, enter data in this column. If there are multiple wastewater treatment plants enter treatment plant names in the columns to the right." sqref="H32" xr:uid="{00000000-0002-0000-0300-000017000000}"/>
    <dataValidation type="list" allowBlank="1" showInputMessage="1" showErrorMessage="1" prompt="If there is only one wastewater treatment plant, enter data in this column. If there are multiple wastewater treatment plants enter the status of effluent consents for each in columns to the right." sqref="H37" xr:uid="{00000000-0002-0000-0300-000018000000}">
      <formula1>Consent_status</formula1>
    </dataValidation>
    <dataValidation allowBlank="1" showInputMessage="1" showErrorMessage="1" prompt="If there is only one wastewater treatment plant, enter data in this column. If there are multiple wastewater treatment plants enter volumes of wastewater treated in the columns to the right." sqref="H33" xr:uid="{00000000-0002-0000-0300-000019000000}"/>
    <dataValidation allowBlank="1" showInputMessage="1" showErrorMessage="1" prompt="If only one wastewater treatment plant enter data in this column. If there are multiple wastewater treatment plants enter the percentage of trade waste entering the plant in the columns to the right. Further detail is in the definitions guidelines." sqref="H39" xr:uid="{00000000-0002-0000-0300-00001A000000}"/>
    <dataValidation allowBlank="1" showInputMessage="1" showErrorMessage="1" prompt="If there is only one wastewater treatment plant, enter data in this column. If there are multiple wastewater treatment plants enter the date effluent consents expire in the columns on the right." sqref="H36" xr:uid="{00000000-0002-0000-0300-00001B000000}"/>
    <dataValidation allowBlank="1" showInputMessage="1" showErrorMessage="1" prompt="If only one wastewater treatment plant enter data in this column. If multiple wastewater treatment plants exist enter the percentage of dry sludge corresponding to sludge in WWA7j-1 in columns to the right. Further detail is in the definitions guidelines." sqref="H34" xr:uid="{00000000-0002-0000-0300-00001C000000}"/>
    <dataValidation allowBlank="1" showInputMessage="1" showErrorMessage="1" prompt="If there is only one wastewater treatment plant, enter data in this column. If there are multiple wastewater treatment plants enter the percentage of sludge disposed of to various routes in the columns to the right." sqref="H40:H43" xr:uid="{00000000-0002-0000-0300-00001D000000}"/>
    <dataValidation allowBlank="1" showInputMessage="1" showErrorMessage="1" prompt="If there is only one wastewater treatment plant, enter data in this column. If there are multiple wastewater treatment plants enter the peak wet to average dry weather flow ratio for each in columns to the right." sqref="H46" xr:uid="{00000000-0002-0000-0300-00001E000000}"/>
    <dataValidation allowBlank="1" showInputMessage="1" showErrorMessage="1" prompt="If there is only one wastewater treatment plant, enter data in this column. If there are multiple wastewater treatment plants enter the number of generators at each in columns to the right." sqref="H46" xr:uid="{00000000-0002-0000-0300-00001F000000}"/>
    <dataValidation allowBlank="1" showInputMessage="1" showErrorMessage="1" prompt="Total length of the piped reticulation network that has been designed to receive both stormwater and wastewater. These pipelines should also be accounted for in field WWA1a Total Length of Public Wastewater network. If not applicable leave blank." sqref="H52" xr:uid="{00000000-0002-0000-0300-000020000000}"/>
    <dataValidation allowBlank="1" showInputMessage="1" showErrorMessage="1" prompt="Calculated as the sum of blockages caused by overflows and mechanical failures. Can be overwritten if this breakdown does not exist, or, if there are additional sources of dry weather overflows. Further detail is provided in defintitions guidelines." sqref="H53" xr:uid="{00000000-0002-0000-0300-000021000000}"/>
    <dataValidation allowBlank="1" showInputMessage="1" showErrorMessage="1" prompt="Automatically calculated based on wet and dry weather overflows. Can be overwritten if the breakdown of dry and wet weather overflows does not exist. " sqref="H58" xr:uid="{00000000-0002-0000-0300-000022000000}"/>
    <dataValidation allowBlank="1" showInputMessage="1" showErrorMessage="1" prompt="Overflows caused by blockages e.g. fat oil and grease build up, tree route intrusion" sqref="H54" xr:uid="{00000000-0002-0000-0300-000023000000}"/>
    <dataValidation allowBlank="1" showInputMessage="1" showErrorMessage="1" prompt="Overflows caused by mechanical failures e.g. pump station ragging, power outages, pump mechanical value" sqref="H55" xr:uid="{00000000-0002-0000-0300-000024000000}"/>
    <dataValidation allowBlank="1" showInputMessage="1" showErrorMessage="1" prompt="Any overflow from the piped reticulation network that receives combines stormwater and wastewater flows. If not applicable to the organisation leave blank." sqref="H57" xr:uid="{00000000-0002-0000-0300-000025000000}"/>
    <dataValidation allowBlank="1" showInputMessage="1" showErrorMessage="1" prompt="Overflows resulting from stormwater infiltration during wet weather events. Includes overflows both contained and uncontained, from pump stations, pipes, manholes and designed overflow structures. Further detail in the definitions guidelines.  " sqref="H56" xr:uid="{00000000-0002-0000-0300-000026000000}"/>
    <dataValidation allowBlank="1" showInputMessage="1" showErrorMessage="1" prompt="The number of abaement notices recived in relation to wastewater discharge consents." sqref="H66" xr:uid="{00000000-0002-0000-0300-000027000000}"/>
    <dataValidation allowBlank="1" showInputMessage="1" showErrorMessage="1" prompt="The number of infringement notices recived in relation to wastewater discharge consents." sqref="H67" xr:uid="{00000000-0002-0000-0300-000028000000}"/>
    <dataValidation allowBlank="1" showInputMessage="1" showErrorMessage="1" prompt="The number of enforcement orders recived in relation to wastewater discharge consents." sqref="H68" xr:uid="{00000000-0002-0000-0300-000029000000}"/>
    <dataValidation allowBlank="1" showInputMessage="1" showErrorMessage="1" prompt="The number of successful prosecutions in relation to wastewater discharge consent non-compliance." sqref="H69" xr:uid="{00000000-0002-0000-0300-00002A000000}"/>
    <dataValidation allowBlank="1" showInputMessage="1" showErrorMessage="1" prompt="Total energy consumed by wastewater pumps and treatment plants. Do not include office or fleet related energy consumption. Joules of energy provided by all energy sources including electricity, diesel, gas and biogas should be included. " sqref="H76" xr:uid="{00000000-0002-0000-0300-00002B000000}"/>
    <dataValidation type="list" allowBlank="1" showErrorMessage="1" sqref="H85 H89" xr:uid="{00000000-0002-0000-0300-00002C000000}">
      <formula1>Charge_type</formula1>
    </dataValidation>
    <dataValidation allowBlank="1" showInputMessage="1" showErrorMessage="1" prompt="Average charge for wastewater based on 200m3/year water use. Automatically calculated based on other supplied data." sqref="H91" xr:uid="{00000000-0002-0000-0300-00002D000000}"/>
    <dataValidation allowBlank="1" showInputMessage="1" showErrorMessage="1" prompt="The fixed charge (inc GST) for non-residential customers. If multiple fixed charges exist provide the median and provide detail in the comments field.  If all customers in the district are billed at the same rate leave the field blank._x000a_" sqref="H84" xr:uid="{00000000-0002-0000-0300-00002E000000}"/>
    <dataValidation allowBlank="1" showInputMessage="1" showErrorMessage="1" prompt="The volumetric charge (inc GST) for non-residential customers. If multiple fixed charges exist provide the median and provide detail in the comments field.  If all customers in the district are billed at the same rate leave the field blank." sqref="H86" xr:uid="{00000000-0002-0000-0300-00002F000000}"/>
    <dataValidation allowBlank="1" showInputMessage="1" showErrorMessage="1" prompt="Include GST. If multiple fixed charges exist provide the median and provide detail in the comments. If charges are levied based on a proportion of annual or capital values, the median value across the region should be used to determine the charge. " sqref="H88" xr:uid="{00000000-0002-0000-0300-000030000000}"/>
    <dataValidation allowBlank="1" showInputMessage="1" showErrorMessage="1" prompt="Include GST. If no volumetric charge is applied for residential wastewater leave blank." sqref="H90" xr:uid="{00000000-0002-0000-0300-000031000000}"/>
    <dataValidation allowBlank="1" showInputMessage="1" showErrorMessage="1" prompt="Developer revenue (income) for the reporting year.  This includes all developer cash contributions. It excludes developer asset contributions." sqref="H105" xr:uid="{00000000-0002-0000-0300-000032000000}"/>
    <dataValidation allowBlank="1" showInputMessage="1" showErrorMessage="1" prompt="Revenue generated by providing wastewater treatment services to adjacent authorities. If not applicable leave blank." sqref="H103" xr:uid="{00000000-0002-0000-0300-000033000000}"/>
    <dataValidation allowBlank="1" showInputMessage="1" showErrorMessage="1" prompt="Increase in debt related to wastewater (negative value to indicate decrease in debt). Debt is considered any funding that is required to be repayed including internal loans. Funding from reserves or developer contributions is not to be included" sqref="H108" xr:uid="{00000000-0002-0000-0300-000034000000}"/>
    <dataValidation allowBlank="1" showInputMessage="1" showErrorMessage="1" prompt="Electricity/gas/fuel costs associated with wastewater reticulation and treatment." sqref="H109" xr:uid="{00000000-0002-0000-0300-000035000000}"/>
    <dataValidation allowBlank="1" showInputMessage="1" showErrorMessage="1" prompt="Net Cost of Sludge Disposal (costs less any revenue from sale of biosolids)." sqref="H110" xr:uid="{00000000-0002-0000-0300-000036000000}"/>
    <dataValidation allowBlank="1" showInputMessage="1" showErrorMessage="1" prompt="Cost of scheduled operational and maintenance works and external consultants and contractors used for such works. If reactive maintenance cannot be separated out, include total here." sqref="H111" xr:uid="{00000000-0002-0000-0300-000037000000}"/>
    <dataValidation allowBlank="1" showInputMessage="1" showErrorMessage="1" prompt="All external costs associated with operation and maintenance of the wastewater system, not included as routine maintenance, energy or sludge disposal." sqref="H112" xr:uid="{00000000-0002-0000-0300-000038000000}"/>
    <dataValidation allowBlank="1" showInputMessage="1" showErrorMessage="1" prompt="Organisational costs including costs related to salaries, accommodation, rate payment, IT,training, etc. Does not include contract management costs listed in WWF12.. " sqref="H113" xr:uid="{00000000-0002-0000-0300-000039000000}"/>
    <dataValidation allowBlank="1" showInputMessage="1" showErrorMessage="1" prompt="Council's contract management costs where management of the network is carried out by a  Council Controlled Organisation or an external maintenance contractor.  " sqref="H114" xr:uid="{00000000-0002-0000-0300-00003A000000}"/>
    <dataValidation allowBlank="1" showInputMessage="1" showErrorMessage="1" prompt="The depreciation cost in the reporting year as reported in the latest replacement cost valuation." sqref="H117" xr:uid="{00000000-0002-0000-0300-00003B000000}"/>
    <dataValidation allowBlank="1" showInputMessage="1" showErrorMessage="1" prompt="The interest cost for the reporting year. " sqref="H118" xr:uid="{00000000-0002-0000-0300-00003C000000}"/>
    <dataValidation allowBlank="1" showInputMessage="1" showErrorMessage="1" prompt="Capital expenditure on existing wastewater assets that is not driven by asset condition or age." sqref="H129" xr:uid="{00000000-0002-0000-0300-00003D000000}"/>
    <dataValidation allowBlank="1" showInputMessage="1" showErrorMessage="1" prompt="Budgeted capital expenditure on existing wastewater assets that is not driven by asset condition or age." sqref="H125" xr:uid="{00000000-0002-0000-0300-00003E000000}"/>
    <dataValidation allowBlank="1" showInputMessage="1" showErrorMessage="1" prompt="Capital expenditure related to wastewater renewals or replacements or other expenditure." sqref="H130" xr:uid="{00000000-0002-0000-0300-00003F000000}"/>
    <dataValidation allowBlank="1" showInputMessage="1" showErrorMessage="1" prompt="Value of assets vested in the council as part of development contributions (excludes cash payments)." sqref="H132" xr:uid="{00000000-0002-0000-0300-000040000000}"/>
    <dataValidation allowBlank="1" showInputMessage="1" showErrorMessage="1" prompt="The closing book value of wastewater treatment plants and facilities. " sqref="H133" xr:uid="{00000000-0002-0000-0300-000041000000}"/>
    <dataValidation allowBlank="1" showInputMessage="1" showErrorMessage="1" prompt="The closing book value of other wastewater assets (such as reticulation systems)." sqref="H134" xr:uid="{00000000-0002-0000-0300-000042000000}"/>
    <dataValidation allowBlank="1" showInputMessage="1" showErrorMessage="1" prompt="Any external grants received (not awarded) during the financial year for capital or operational costs related to the wastewater scheme. " sqref="H136" xr:uid="{00000000-0002-0000-0300-000043000000}"/>
    <dataValidation allowBlank="1" showInputMessage="1" showErrorMessage="1" prompt="Overflows included in WWE3 that occurred on private property as a result of issues within the public wastewater network (as defined in measure WWA1). Do not include overflow events due to problems within private property boundaries. " sqref="H59" xr:uid="{00000000-0002-0000-0300-000044000000}"/>
    <dataValidation allowBlank="1" showInputMessage="1" showErrorMessage="1" prompt="For oxidation sludge ponds that have not been desludged in the financial year enter the last year that the pond was desludged. Otherwise leave blank. If only one treatment plant enter comments in this column, otherwise include in columns to the right." sqref="H44" xr:uid="{00000000-0002-0000-0300-000045000000}"/>
    <dataValidation allowBlank="1" showInputMessage="1" showErrorMessage="1" prompt="If only one wastewater treatment plant enter data in this column. If there are multiple wastewater treatment plants enter the number of separate consetns related to each plant in the columns to the right. Further detail is in the definitions guidelines." sqref="H35" xr:uid="{00000000-0002-0000-0300-000046000000}"/>
    <dataValidation allowBlank="1" showInputMessage="1" showErrorMessage="1" prompt="The number of breaches of wastewater discharge consent requirements. Include an outline of non-conformances in the comments field. Further detail in the definition guide." sqref="H70" xr:uid="{00000000-0002-0000-0300-000047000000}"/>
    <dataValidation allowBlank="1" showInputMessage="1" showErrorMessage="1" prompt="The number of breaches of wastewater network consent conditions. Include an outline of non-conformances in the comments field. Further detail in the definition guide." sqref="H71" xr:uid="{00000000-0002-0000-0300-000048000000}"/>
    <dataValidation allowBlank="1" showInputMessage="1" showErrorMessage="1" prompt="Number of wastewater treatment plants." sqref="H31" xr:uid="{00000000-0002-0000-0300-000049000000}"/>
    <dataValidation allowBlank="1" showInputMessage="1" showErrorMessage="1" prompt="Automatically calculated by summing complaints by type. The value can be overwritten if a breakdown of wastewater complaints by type is not known or other complaints are recorded. The defintion of a complaint is detailed in the definition guidelines." sqref="H92" xr:uid="{00000000-0002-0000-0300-00004A000000}"/>
    <dataValidation allowBlank="1" showInputMessage="1" showErrorMessage="1" prompt="Detail on complaints definitions is included in the defintion guidelines." sqref="H93:H96" xr:uid="{00000000-0002-0000-0300-00004B000000}"/>
    <dataValidation allowBlank="1" showInputMessage="1" showErrorMessage="1" prompt="From the time that the local authority receives notification of a fault in the sewerage system to the time that service personnel reach the site." sqref="H98" xr:uid="{00000000-0002-0000-0300-00004C000000}"/>
    <dataValidation allowBlank="1" showInputMessage="1" showErrorMessage="1" prompt="From the time that the local authority receives notification of a fault in the sewerage system to the time that service personnel confirm resolution of the fault." sqref="H99" xr:uid="{00000000-0002-0000-0300-00004D000000}"/>
    <dataValidation allowBlank="1" showInputMessage="1" showErrorMessage="1" prompt="The number of unplanned total interruptions to service experienced by properties excluding interruptions caused by third party damage. Further detail is provided in the definition guide." sqref="H100" xr:uid="{00000000-0002-0000-0300-00004E000000}"/>
    <dataValidation allowBlank="1" showInputMessage="1" showErrorMessage="1" prompt="The number of unplanned interruptions to service caused by third parties. Further detail is provided in the definition guide." sqref="H101" xr:uid="{00000000-0002-0000-0300-00004F000000}"/>
    <dataValidation allowBlank="1" showInputMessage="1" showErrorMessage="1" prompt="Budgeted capital expenditure on wastewater assets related to growth including new works and subdivisions." sqref="H124" xr:uid="{00000000-0002-0000-0300-000050000000}"/>
    <dataValidation allowBlank="1" showInputMessage="1" showErrorMessage="1" prompt="Budgeted capital expenditure related to wastewater renewals or replacements or other expenditure." sqref="H126" xr:uid="{00000000-0002-0000-0300-000051000000}"/>
    <dataValidation allowBlank="1" showInputMessage="1" showErrorMessage="1" prompt="Capital expenditure on wastewater assets related to growth including new works and subdivisions." sqref="H128" xr:uid="{00000000-0002-0000-0300-000052000000}"/>
    <dataValidation allowBlank="1" showInputMessage="1" showErrorMessage="1" prompt="If only one wastewater treatment plant enter data in this column. If there are multiple wastewater treatment plants enter the volumes of wet sludge produced in the columns to the right. Further detail is provided in the definitions guidelines." sqref="H38" xr:uid="{00000000-0002-0000-0300-000053000000}"/>
    <dataValidation allowBlank="1" showInputMessage="1" showErrorMessage="1" prompt="Energy generated through the wastewater either via anaerobic digestion at wastewater treatment plants, or other technologies. Detail the generation type in the comments field." sqref="H78" xr:uid="{00000000-0002-0000-0300-000054000000}"/>
    <dataValidation allowBlank="1" showInputMessage="1" showErrorMessage="1" prompt="The total energy generated by wastewater treatment plants through anaerobic digestion at the wastewater treatment plant. If other energy is generated through the wastewater network please indicate this and include information in the comments field." sqref="H78" xr:uid="{00000000-0002-0000-0300-000055000000}"/>
    <dataValidation allowBlank="1" showInputMessage="1" showErrorMessage="1" prompt="The number of letters of direction recieved in relation to wastewater discharge consent non-compliance." sqref="H73" xr:uid="{00000000-0002-0000-0300-000056000000}"/>
    <dataValidation allowBlank="1" showInputMessage="1" showErrorMessage="1" prompt="The number of formal warnings recieved in relation to wastewater discharge consent non-compliance." sqref="H74:H75" xr:uid="{00000000-0002-0000-0300-000057000000}"/>
    <dataValidation allowBlank="1" showInputMessage="1" showErrorMessage="1" prompt="Operating Revenue associated with wastewater. Excludes Development contributions. Further detail is provided in the definitions guidelines." sqref="H104" xr:uid="{00000000-0002-0000-0300-000058000000}"/>
    <dataValidation allowBlank="1" showInputMessage="1" showErrorMessage="1" prompt="If there is only one wastewater treatment plant, enter data in this column. If there are multiple wastewater treatment plants enter the number of generators at each in columns to the right. Add portable generators in the main data field." sqref="H45" xr:uid="{00000000-0002-0000-0300-000059000000}"/>
    <dataValidation allowBlank="1" showInputMessage="1" showErrorMessage="1" prompt="The number of individual trade waste consents with commercial customers. If all trade waste activities are covered by the bylaw list as zero." sqref="H80" xr:uid="{00000000-0002-0000-0300-00005A000000}"/>
    <dataValidation allowBlank="1" showInputMessage="1" showErrorMessage="1" prompt="The tonnes of carbon dioxide equivalent greenhouse gas emissions calculated by summing methane and nitrous oxide arising from wastewater treatment processes. Further detail is provided in the definition guide." sqref="H47:H51" xr:uid="{00000000-0002-0000-0300-00005B000000}"/>
    <dataValidation allowBlank="1" showInputMessage="1" showErrorMessage="1" prompt="The sum of methane and nitrous oxide arsing from wastewater treatment processes. For multiple wastewater treatment plants enter data in the columns to the right. Further details is provided in definitions guide. " sqref="H47:H51" xr:uid="{00000000-0002-0000-0300-00005C000000}"/>
    <dataValidation allowBlank="1" showInputMessage="1" showErrorMessage="1" prompt="The sum of nitrous oxide and methane emissions arising from wastewater treatment processes. Further detail in the definition guide. If there are multiple wastewater treatment plants enter the number of generators at each in columns to the right." sqref="H47:H51" xr:uid="{00000000-0002-0000-0300-00005D000000}"/>
    <dataValidation allowBlank="1" showInputMessage="1" showErrorMessage="1" prompt="The number of full time employees on the payroll working as trade waste officers (or equivalent position managing trade waste)" sqref="H83" xr:uid="{00000000-0002-0000-0300-00005E000000}"/>
    <dataValidation allowBlank="1" showInputMessage="1" showErrorMessage="1" prompt="The number of companies who breached their trade waste consent once or more during the reporting period." sqref="H81" xr:uid="{00000000-0002-0000-0300-00005F000000}"/>
    <dataValidation allowBlank="1" showInputMessage="1" showErrorMessage="1" prompt="List any actions taken in response to trade waste breaches during the reporting period. For example, issuing of infringement notices, fines, prosecution, infrastructure damage charges, non-conformance charges or performance management measures." sqref="H82" xr:uid="{00000000-0002-0000-0300-000060000000}"/>
  </dataValidations>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xWindow="999" yWindow="449" count="8">
        <x14:dataValidation type="list" allowBlank="1" showInputMessage="1" showErrorMessage="1" prompt="If the organisation has a specified standard for containing diluted sewage without an overflows, indicate where these are specified and provide details in the comments field." xr:uid="{00000000-0002-0000-0300-000061000000}">
          <x14:formula1>
            <xm:f>'Data lists'!$N$1:$N$5</xm:f>
          </x14:formula1>
          <xm:sqref>H61</xm:sqref>
        </x14:dataValidation>
        <x14:dataValidation type="list" allowBlank="1" showInputMessage="1" showErrorMessage="1" prompt="The document used to specify design standards for network capacity for sewers (i.e. average dry weather flows and peaking factors). " xr:uid="{00000000-0002-0000-0300-000062000000}">
          <x14:formula1>
            <xm:f>'Data lists'!$L$1:$L$3</xm:f>
          </x14:formula1>
          <xm:sqref>H60</xm:sqref>
        </x14:dataValidation>
        <x14:dataValidation type="list" allowBlank="1" showInputMessage="1" showErrorMessage="1" prompt="The approach for regulating wet weather realted overflows  from the wastewater network (do not include wet weather related bypasses at treatment plants)." xr:uid="{00000000-0002-0000-0300-000063000000}">
          <x14:formula1>
            <xm:f>'Data lists'!$M$1:$M$4</xm:f>
          </x14:formula1>
          <xm:sqref>H72</xm:sqref>
        </x14:dataValidation>
        <x14:dataValidation type="list" allowBlank="1" showInputMessage="1" showErrorMessage="1" prompt="The condition grading approached used for WWA2" xr:uid="{00000000-0002-0000-0300-000064000000}">
          <x14:formula1>
            <xm:f>'Data lists'!$B$2:$B$9</xm:f>
          </x14:formula1>
          <xm:sqref>H23</xm:sqref>
        </x14:dataValidation>
        <x14:dataValidation type="list" allowBlank="1" showInputMessage="1" showErrorMessage="1" prompt="A yes or no response to clarify if a regular conditions assessment programme is in place for above ground wastewater assets.  " xr:uid="{00000000-0002-0000-0300-000065000000}">
          <x14:formula1>
            <xm:f>'Data lists'!$C$1:$C$2</xm:f>
          </x14:formula1>
          <xm:sqref>H28</xm:sqref>
        </x14:dataValidation>
        <x14:dataValidation type="list" allowBlank="1" showInputMessage="1" showErrorMessage="1" xr:uid="{00000000-0002-0000-0300-000066000000}">
          <x14:formula1>
            <xm:f>'Data lists'!$C$1:$C$2</xm:f>
          </x14:formula1>
          <xm:sqref>H62:H65</xm:sqref>
        </x14:dataValidation>
        <x14:dataValidation type="list" allowBlank="1" showInputMessage="1" showErrorMessage="1" prompt="If trade waste customers are charged for individual contaminants e.g. suspended solids, biological oxygen demand, metals etc. Include individual charges in the comments field. " xr:uid="{00000000-0002-0000-0300-000067000000}">
          <x14:formula1>
            <xm:f>'Data lists'!$H$1:$H$2</xm:f>
          </x14:formula1>
          <xm:sqref>H87</xm:sqref>
        </x14:dataValidation>
        <x14:dataValidation type="list" allowBlank="1" showInputMessage="1" showErrorMessage="1" prompt="A yes or no response to indicate if a tradewaste bylaw is in place." xr:uid="{00000000-0002-0000-0300-000068000000}">
          <x14:formula1>
            <xm:f>'Data lists'!$K$1:$K$2</xm:f>
          </x14:formula1>
          <xm:sqref>H79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6"/>
  </sheetPr>
  <dimension ref="B2:N81"/>
  <sheetViews>
    <sheetView showGridLines="0" zoomScale="85" zoomScaleNormal="85" workbookViewId="0">
      <pane ySplit="5" topLeftCell="A57" activePane="bottomLeft" state="frozen"/>
      <selection pane="bottomLeft" activeCell="L38" sqref="L38"/>
      <selection activeCell="K135" sqref="K135"/>
    </sheetView>
  </sheetViews>
  <sheetFormatPr defaultRowHeight="15"/>
  <cols>
    <col min="1" max="1" width="12.140625" customWidth="1"/>
    <col min="2" max="2" width="57.7109375" style="60" hidden="1" customWidth="1"/>
    <col min="3" max="3" width="23.28515625" style="2" customWidth="1"/>
    <col min="5" max="5" width="71.140625" bestFit="1" customWidth="1"/>
    <col min="6" max="6" width="21.85546875" style="1" customWidth="1"/>
    <col min="7" max="7" width="16.7109375" style="1" customWidth="1"/>
    <col min="8" max="8" width="15.7109375" customWidth="1"/>
    <col min="9" max="9" width="17.7109375" customWidth="1"/>
    <col min="10" max="10" width="15.7109375" customWidth="1"/>
    <col min="11" max="12" width="30.7109375" customWidth="1"/>
    <col min="13" max="14" width="30.7109375" hidden="1" customWidth="1"/>
  </cols>
  <sheetData>
    <row r="2" spans="2:14" ht="19.5">
      <c r="B2" s="60" t="s">
        <v>0</v>
      </c>
      <c r="C2" s="31" t="s">
        <v>0</v>
      </c>
      <c r="D2" s="2"/>
      <c r="H2" s="1"/>
      <c r="I2" s="1"/>
      <c r="J2" s="1"/>
      <c r="K2" s="1"/>
      <c r="L2" s="1"/>
      <c r="M2" s="1"/>
      <c r="N2" s="1"/>
    </row>
    <row r="3" spans="2:14" ht="24" thickBot="1">
      <c r="C3" s="32" t="s">
        <v>757</v>
      </c>
      <c r="D3" s="13"/>
      <c r="E3" s="32" t="str">
        <f>Common!E3</f>
        <v>Queenstown-Lakes</v>
      </c>
      <c r="H3" s="1"/>
      <c r="I3" s="1"/>
      <c r="J3" s="1"/>
      <c r="K3" s="1"/>
      <c r="L3" s="1"/>
      <c r="M3" s="1"/>
      <c r="N3" s="1"/>
    </row>
    <row r="4" spans="2:14" ht="15.75" thickTop="1">
      <c r="C4" s="40"/>
      <c r="D4" s="2"/>
      <c r="H4" s="1"/>
      <c r="I4" s="1"/>
      <c r="J4" s="1"/>
      <c r="K4" s="1"/>
      <c r="L4" s="1"/>
      <c r="M4" s="1"/>
      <c r="N4" s="1"/>
    </row>
    <row r="5" spans="2:14" ht="20.100000000000001" customHeight="1">
      <c r="B5" s="244"/>
      <c r="C5" s="64" t="s">
        <v>44</v>
      </c>
      <c r="D5" s="18" t="s">
        <v>6</v>
      </c>
      <c r="E5" s="46" t="s">
        <v>7</v>
      </c>
      <c r="F5" s="17" t="s">
        <v>8</v>
      </c>
      <c r="G5" s="17" t="s">
        <v>9</v>
      </c>
      <c r="H5" s="17" t="s">
        <v>10</v>
      </c>
      <c r="I5" s="17" t="s">
        <v>11</v>
      </c>
      <c r="J5" s="17" t="s">
        <v>12</v>
      </c>
      <c r="K5" s="17" t="s">
        <v>13</v>
      </c>
      <c r="L5" s="17" t="s">
        <v>14</v>
      </c>
      <c r="M5" s="17" t="s">
        <v>45</v>
      </c>
      <c r="N5" s="17" t="s">
        <v>46</v>
      </c>
    </row>
    <row r="6" spans="2:14" ht="20.100000000000001" customHeight="1" thickBot="1">
      <c r="B6" s="163" t="str">
        <f>E6&amp;" ["&amp;D6&amp;"]"</f>
        <v>Stormwater Serviced Population [SWB1]</v>
      </c>
      <c r="C6" s="41" t="s">
        <v>47</v>
      </c>
      <c r="D6" s="459" t="s">
        <v>758</v>
      </c>
      <c r="E6" s="460" t="s">
        <v>759</v>
      </c>
      <c r="F6" s="461" t="s">
        <v>54</v>
      </c>
      <c r="G6" s="462">
        <f>IF(ISBLANK('Previous years'!I4),"",'Previous years'!I4)</f>
        <v>54996.306328404229</v>
      </c>
      <c r="H6" s="463">
        <f>IFERROR(Common!H11*Stormwater!H7,"")</f>
        <v>43065.168539325838</v>
      </c>
      <c r="I6" s="23" t="s">
        <v>66</v>
      </c>
      <c r="J6" s="23"/>
      <c r="K6" s="23"/>
      <c r="L6" s="23"/>
      <c r="M6" s="23"/>
      <c r="N6" s="23"/>
    </row>
    <row r="7" spans="2:14" ht="20.100000000000001" customHeight="1">
      <c r="B7" s="163" t="str">
        <f t="shared" ref="B7:B70" si="0">E7&amp;" ["&amp;D7&amp;"]"</f>
        <v>Stormwater Serviced Properties - Residential [SWB2]</v>
      </c>
      <c r="C7" s="42" t="s">
        <v>47</v>
      </c>
      <c r="D7" s="465" t="s">
        <v>760</v>
      </c>
      <c r="E7" s="466" t="s">
        <v>761</v>
      </c>
      <c r="F7" s="467" t="s">
        <v>54</v>
      </c>
      <c r="G7" s="467">
        <f>IF(ISBLANK('Previous years'!I5),"",'Previous years'!I5)</f>
        <v>24602</v>
      </c>
      <c r="H7" s="295">
        <v>25552</v>
      </c>
      <c r="I7" s="11" t="s">
        <v>57</v>
      </c>
      <c r="J7" s="12" t="s">
        <v>58</v>
      </c>
      <c r="K7" s="12" t="s">
        <v>462</v>
      </c>
      <c r="L7" s="12" t="s">
        <v>132</v>
      </c>
      <c r="M7" s="12"/>
      <c r="N7" s="12"/>
    </row>
    <row r="8" spans="2:14" ht="20.100000000000001" customHeight="1" thickBot="1">
      <c r="B8" s="163" t="str">
        <f t="shared" si="0"/>
        <v>Stormwater Serviced Properties - Non-residential [SWB3]</v>
      </c>
      <c r="C8" s="42" t="s">
        <v>47</v>
      </c>
      <c r="D8" s="468" t="s">
        <v>762</v>
      </c>
      <c r="E8" s="469" t="s">
        <v>763</v>
      </c>
      <c r="F8" s="470" t="s">
        <v>54</v>
      </c>
      <c r="G8" s="470">
        <f>IF(ISBLANK('Previous years'!I6),"",'Previous years'!I6)</f>
        <v>2048</v>
      </c>
      <c r="H8" s="297">
        <v>2127</v>
      </c>
      <c r="I8" s="9" t="s">
        <v>57</v>
      </c>
      <c r="J8" s="10" t="s">
        <v>58</v>
      </c>
      <c r="K8" s="12" t="s">
        <v>462</v>
      </c>
      <c r="L8" s="12" t="s">
        <v>132</v>
      </c>
      <c r="M8" s="12"/>
      <c r="N8" s="12"/>
    </row>
    <row r="9" spans="2:14" ht="20.100000000000001" customHeight="1" thickBot="1">
      <c r="B9" s="163" t="str">
        <f t="shared" si="0"/>
        <v>Total Stormwater Serviced Properties [SWB4]</v>
      </c>
      <c r="C9" s="110" t="s">
        <v>47</v>
      </c>
      <c r="D9" s="459" t="s">
        <v>764</v>
      </c>
      <c r="E9" s="460" t="s">
        <v>765</v>
      </c>
      <c r="F9" s="459" t="s">
        <v>54</v>
      </c>
      <c r="G9" s="459">
        <f>IF(ISBLANK('Previous years'!I7),"",'Previous years'!I7)</f>
        <v>26650</v>
      </c>
      <c r="H9" s="310">
        <f>IF(NOT(COUNTA(H7:H8)),"",SUM(H7:H8))</f>
        <v>27679</v>
      </c>
      <c r="I9" s="114" t="s">
        <v>66</v>
      </c>
      <c r="J9" s="114"/>
      <c r="K9" s="113"/>
      <c r="L9" s="113"/>
      <c r="M9" s="113"/>
      <c r="N9" s="113"/>
    </row>
    <row r="10" spans="2:14" ht="20.100000000000001" customHeight="1" thickBot="1">
      <c r="B10" s="163" t="str">
        <f t="shared" si="0"/>
        <v>Total Length of Public Stormwater Network [SWA1a]</v>
      </c>
      <c r="C10" s="41" t="s">
        <v>163</v>
      </c>
      <c r="D10" s="471" t="s">
        <v>766</v>
      </c>
      <c r="E10" s="472" t="s">
        <v>767</v>
      </c>
      <c r="F10" s="473" t="s">
        <v>166</v>
      </c>
      <c r="G10" s="473">
        <f>IF(ISBLANK('Previous years'!I8),"",'Previous years'!I8)</f>
        <v>369.50709999999998</v>
      </c>
      <c r="H10" s="314">
        <v>420.86</v>
      </c>
      <c r="I10" s="9" t="s">
        <v>57</v>
      </c>
      <c r="J10" s="10" t="s">
        <v>167</v>
      </c>
      <c r="K10" s="10" t="s">
        <v>527</v>
      </c>
      <c r="L10" s="10"/>
      <c r="M10" s="10"/>
      <c r="N10" s="10"/>
    </row>
    <row r="11" spans="2:14" ht="20.100000000000001" customHeight="1">
      <c r="B11" s="163" t="str">
        <f t="shared" si="0"/>
        <v>Length of stormwater mains renewed using internal CAPEX [SWA1b]</v>
      </c>
      <c r="C11" s="42" t="s">
        <v>163</v>
      </c>
      <c r="D11" s="67" t="s">
        <v>768</v>
      </c>
      <c r="E11" s="48" t="s">
        <v>769</v>
      </c>
      <c r="F11" s="45" t="s">
        <v>166</v>
      </c>
      <c r="G11" s="45">
        <f>IF(ISBLANK('Previous years'!I9),"",'Previous years'!I9)</f>
        <v>0</v>
      </c>
      <c r="H11" s="10">
        <v>0</v>
      </c>
      <c r="I11" s="12" t="s">
        <v>57</v>
      </c>
      <c r="J11" s="12" t="s">
        <v>167</v>
      </c>
      <c r="K11" s="12" t="s">
        <v>462</v>
      </c>
      <c r="L11" s="12"/>
      <c r="M11" s="12"/>
      <c r="N11" s="12"/>
    </row>
    <row r="12" spans="2:14" ht="20.100000000000001" customHeight="1">
      <c r="B12" s="163" t="str">
        <f t="shared" si="0"/>
        <v>Length of new stormwater mains constructed using internal CAPEX [SWA1c]</v>
      </c>
      <c r="C12" s="42" t="s">
        <v>163</v>
      </c>
      <c r="D12" s="43" t="s">
        <v>770</v>
      </c>
      <c r="E12" s="47" t="s">
        <v>771</v>
      </c>
      <c r="F12" s="45" t="s">
        <v>166</v>
      </c>
      <c r="G12" s="45">
        <f>IF(ISBLANK('Previous years'!I10),"",'Previous years'!I10)</f>
        <v>1.042</v>
      </c>
      <c r="H12" s="802">
        <f>[4]Sheet1!$B$6/1000</f>
        <v>0.16943999999999881</v>
      </c>
      <c r="I12" s="10" t="s">
        <v>57</v>
      </c>
      <c r="J12" s="10" t="s">
        <v>167</v>
      </c>
      <c r="K12" s="12" t="s">
        <v>462</v>
      </c>
      <c r="L12" s="12"/>
      <c r="M12" s="12"/>
      <c r="N12" s="12"/>
    </row>
    <row r="13" spans="2:14" ht="20.100000000000001" customHeight="1">
      <c r="B13" s="163" t="str">
        <f t="shared" si="0"/>
        <v>Condition Grade 1: Stormwater pipelines [SWA2a]</v>
      </c>
      <c r="C13" s="42" t="s">
        <v>163</v>
      </c>
      <c r="D13" s="43" t="s">
        <v>772</v>
      </c>
      <c r="E13" s="47" t="s">
        <v>773</v>
      </c>
      <c r="F13" s="43" t="s">
        <v>111</v>
      </c>
      <c r="G13" s="147">
        <f>IF(ISBLANK('Previous years'!I11),"",'Previous years'!I11)</f>
        <v>0.5754070760751282</v>
      </c>
      <c r="H13" s="139"/>
      <c r="I13" s="25"/>
      <c r="J13" s="25"/>
      <c r="K13" s="24"/>
      <c r="L13" s="799" t="s">
        <v>176</v>
      </c>
      <c r="M13" s="12"/>
      <c r="N13" s="12"/>
    </row>
    <row r="14" spans="2:14" ht="20.100000000000001" customHeight="1">
      <c r="B14" s="163" t="str">
        <f t="shared" si="0"/>
        <v>Condition Grade 2: Stormwater pipelines [SWA2b]</v>
      </c>
      <c r="C14" s="42" t="s">
        <v>163</v>
      </c>
      <c r="D14" s="43" t="s">
        <v>774</v>
      </c>
      <c r="E14" s="47" t="s">
        <v>775</v>
      </c>
      <c r="F14" s="44" t="s">
        <v>111</v>
      </c>
      <c r="G14" s="145">
        <f>IF(ISBLANK('Previous years'!I12),"",'Previous years'!I12)</f>
        <v>0.14650056791872201</v>
      </c>
      <c r="H14" s="139"/>
      <c r="I14" s="24"/>
      <c r="J14" s="24"/>
      <c r="K14" s="24"/>
      <c r="L14" s="799" t="s">
        <v>176</v>
      </c>
      <c r="M14" s="12"/>
      <c r="N14" s="12"/>
    </row>
    <row r="15" spans="2:14" ht="20.100000000000001" customHeight="1">
      <c r="B15" s="163" t="str">
        <f t="shared" si="0"/>
        <v>Condition Grade 3: Stormwater pipelines [SWA2c]</v>
      </c>
      <c r="C15" s="42" t="s">
        <v>163</v>
      </c>
      <c r="D15" s="43" t="s">
        <v>776</v>
      </c>
      <c r="E15" s="47" t="s">
        <v>777</v>
      </c>
      <c r="F15" s="44" t="s">
        <v>111</v>
      </c>
      <c r="G15" s="145">
        <f>IF(ISBLANK('Previous years'!I13),"",'Previous years'!I13)</f>
        <v>0.11331040729663923</v>
      </c>
      <c r="H15" s="139"/>
      <c r="I15" s="24"/>
      <c r="J15" s="24"/>
      <c r="K15" s="24"/>
      <c r="L15" s="799" t="s">
        <v>176</v>
      </c>
      <c r="M15" s="12"/>
      <c r="N15" s="12"/>
    </row>
    <row r="16" spans="2:14" ht="20.100000000000001" customHeight="1">
      <c r="B16" s="163" t="str">
        <f t="shared" si="0"/>
        <v>Condition Grade 4: Stormwater pipelines [SWA2d]</v>
      </c>
      <c r="C16" s="42" t="s">
        <v>163</v>
      </c>
      <c r="D16" s="43" t="s">
        <v>778</v>
      </c>
      <c r="E16" s="47" t="s">
        <v>779</v>
      </c>
      <c r="F16" s="45" t="s">
        <v>111</v>
      </c>
      <c r="G16" s="146">
        <f>IF(ISBLANK('Previous years'!I14),"",'Previous years'!I14)</f>
        <v>4.1029522842727519E-2</v>
      </c>
      <c r="H16" s="139"/>
      <c r="I16" s="23"/>
      <c r="J16" s="23"/>
      <c r="K16" s="24"/>
      <c r="L16" s="799" t="s">
        <v>176</v>
      </c>
      <c r="M16" s="12"/>
      <c r="N16" s="12"/>
    </row>
    <row r="17" spans="2:14" ht="20.100000000000001" customHeight="1">
      <c r="B17" s="163" t="str">
        <f t="shared" si="0"/>
        <v>Condition Grade 5: Stormwater pipelines [SWA2e]</v>
      </c>
      <c r="C17" s="42" t="s">
        <v>163</v>
      </c>
      <c r="D17" s="43" t="s">
        <v>780</v>
      </c>
      <c r="E17" s="47" t="s">
        <v>781</v>
      </c>
      <c r="F17" s="43" t="s">
        <v>111</v>
      </c>
      <c r="G17" s="147">
        <f>IF(ISBLANK('Previous years'!I15),"",'Previous years'!I15)</f>
        <v>8.0715634422180257E-2</v>
      </c>
      <c r="H17" s="139"/>
      <c r="I17" s="25"/>
      <c r="J17" s="25"/>
      <c r="K17" s="24"/>
      <c r="L17" s="799" t="s">
        <v>176</v>
      </c>
      <c r="M17" s="12"/>
      <c r="N17" s="12"/>
    </row>
    <row r="18" spans="2:14" ht="20.100000000000001" customHeight="1">
      <c r="B18" s="163" t="str">
        <f t="shared" si="0"/>
        <v>Not assessed: Stormwater pipelines [SWA2f]</v>
      </c>
      <c r="C18" s="42" t="s">
        <v>163</v>
      </c>
      <c r="D18" s="43" t="s">
        <v>782</v>
      </c>
      <c r="E18" s="47" t="s">
        <v>783</v>
      </c>
      <c r="F18" s="44" t="s">
        <v>111</v>
      </c>
      <c r="G18" s="145">
        <f>IF(ISBLANK('Previous years'!I16),"",'Previous years'!I16)</f>
        <v>4.3181849550387529E-2</v>
      </c>
      <c r="H18" s="139"/>
      <c r="I18" s="24"/>
      <c r="J18" s="24"/>
      <c r="K18" s="24"/>
      <c r="L18" s="799" t="s">
        <v>176</v>
      </c>
      <c r="M18" s="12"/>
      <c r="N18" s="12"/>
    </row>
    <row r="19" spans="2:14" ht="20.100000000000001" customHeight="1" thickBot="1">
      <c r="B19" s="163" t="str">
        <f t="shared" si="0"/>
        <v>Stormwater Pipeline Condition Assessment Approach [SWA2g]</v>
      </c>
      <c r="C19" s="42" t="s">
        <v>163</v>
      </c>
      <c r="D19" s="475" t="s">
        <v>784</v>
      </c>
      <c r="E19" s="476" t="s">
        <v>785</v>
      </c>
      <c r="F19" s="477" t="s">
        <v>479</v>
      </c>
      <c r="G19" s="477" t="str">
        <f>IF(ISBLANK('Previous years'!I17),"",'Previous years'!I17)</f>
        <v>Informal</v>
      </c>
      <c r="H19" s="798"/>
      <c r="I19" s="23"/>
      <c r="J19" s="24"/>
      <c r="K19" s="24"/>
      <c r="L19" s="799" t="s">
        <v>176</v>
      </c>
      <c r="M19" s="12"/>
      <c r="N19" s="12"/>
    </row>
    <row r="20" spans="2:14" ht="20.100000000000001" customHeight="1" thickBot="1">
      <c r="B20" s="163" t="str">
        <f t="shared" si="0"/>
        <v>Average Age of Stormwater Pipelines [SWA3]</v>
      </c>
      <c r="C20" s="110" t="s">
        <v>163</v>
      </c>
      <c r="D20" s="471" t="s">
        <v>786</v>
      </c>
      <c r="E20" s="472" t="s">
        <v>787</v>
      </c>
      <c r="F20" s="478" t="s">
        <v>192</v>
      </c>
      <c r="G20" s="478">
        <f>IF(ISBLANK('Previous years'!I18),"",'Previous years'!I18)</f>
        <v>23.19</v>
      </c>
      <c r="H20" s="314">
        <v>23.43</v>
      </c>
      <c r="I20" s="474" t="s">
        <v>26</v>
      </c>
      <c r="J20" s="116" t="s">
        <v>167</v>
      </c>
      <c r="K20" s="116" t="s">
        <v>527</v>
      </c>
      <c r="L20" s="116"/>
      <c r="M20" s="116"/>
      <c r="N20" s="116"/>
    </row>
    <row r="21" spans="2:14" ht="20.100000000000001" customHeight="1">
      <c r="B21" s="163" t="str">
        <f t="shared" si="0"/>
        <v>Above ground stormwater asset assessment program [SWA5a]</v>
      </c>
      <c r="C21" s="41" t="s">
        <v>193</v>
      </c>
      <c r="D21" s="67" t="s">
        <v>788</v>
      </c>
      <c r="E21" s="59" t="s">
        <v>789</v>
      </c>
      <c r="F21" s="45" t="s">
        <v>121</v>
      </c>
      <c r="G21" s="45" t="str">
        <f>IF(ISBLANK('Previous years'!I19),"",'Previous years'!I19)</f>
        <v>No</v>
      </c>
      <c r="H21" s="10"/>
      <c r="I21" s="23"/>
      <c r="J21" s="23"/>
      <c r="K21" s="10" t="s">
        <v>459</v>
      </c>
      <c r="L21" s="10"/>
      <c r="M21" s="10"/>
      <c r="N21" s="10"/>
    </row>
    <row r="22" spans="2:14" ht="20.100000000000001" customHeight="1">
      <c r="B22" s="163" t="str">
        <f t="shared" si="0"/>
        <v>Protocol used for above ground stormwater asset assessments [SWA5b]</v>
      </c>
      <c r="C22" s="42" t="s">
        <v>193</v>
      </c>
      <c r="D22" s="43" t="s">
        <v>790</v>
      </c>
      <c r="E22" s="55" t="s">
        <v>791</v>
      </c>
      <c r="F22" s="45" t="s">
        <v>648</v>
      </c>
      <c r="G22" s="45" t="str">
        <f>IF(ISBLANK('Previous years'!I20),"",'Previous years'!I20)</f>
        <v/>
      </c>
      <c r="H22" s="153"/>
      <c r="I22" s="23"/>
      <c r="J22" s="12"/>
      <c r="K22" s="12" t="s">
        <v>459</v>
      </c>
      <c r="L22" s="12"/>
      <c r="M22" s="12"/>
      <c r="N22" s="12"/>
    </row>
    <row r="23" spans="2:14" ht="20.100000000000001" customHeight="1">
      <c r="B23" s="163" t="str">
        <f t="shared" si="0"/>
        <v>Percentage of above ground stormwater assets assessed in 3 years [SWA5c]</v>
      </c>
      <c r="C23" s="42" t="s">
        <v>193</v>
      </c>
      <c r="D23" s="43" t="s">
        <v>792</v>
      </c>
      <c r="E23" s="55" t="s">
        <v>793</v>
      </c>
      <c r="F23" s="43" t="s">
        <v>111</v>
      </c>
      <c r="G23" s="147">
        <f>IF(ISBLANK('Previous years'!I21),"",'Previous years'!I21)</f>
        <v>0</v>
      </c>
      <c r="H23" s="136"/>
      <c r="I23" s="11"/>
      <c r="J23" s="11"/>
      <c r="K23" s="12" t="s">
        <v>459</v>
      </c>
      <c r="L23" s="12"/>
      <c r="M23" s="12"/>
      <c r="N23" s="12"/>
    </row>
    <row r="24" spans="2:14" ht="20.100000000000001" customHeight="1" thickBot="1">
      <c r="B24" s="163" t="str">
        <f t="shared" si="0"/>
        <v>Stormwater network CCTV inspection [SWA6]</v>
      </c>
      <c r="C24" s="42" t="s">
        <v>193</v>
      </c>
      <c r="D24" s="475" t="s">
        <v>794</v>
      </c>
      <c r="E24" s="476" t="s">
        <v>795</v>
      </c>
      <c r="F24" s="477" t="s">
        <v>111</v>
      </c>
      <c r="G24" s="479">
        <f>IF(ISBLANK('Previous years'!I22),"",'Previous years'!I22)</f>
        <v>3.0000000000000001E-3</v>
      </c>
      <c r="H24" s="330"/>
      <c r="I24" s="12"/>
      <c r="J24" s="12"/>
      <c r="K24" s="12" t="s">
        <v>459</v>
      </c>
      <c r="L24" s="12"/>
      <c r="M24" s="12"/>
      <c r="N24" s="12"/>
    </row>
    <row r="25" spans="2:14" ht="20.100000000000001" customHeight="1" thickBot="1">
      <c r="B25" s="163" t="str">
        <f t="shared" si="0"/>
        <v>Stormwater Pump Stations [SWA7]</v>
      </c>
      <c r="C25" s="110" t="s">
        <v>193</v>
      </c>
      <c r="D25" s="471" t="s">
        <v>796</v>
      </c>
      <c r="E25" s="472" t="s">
        <v>797</v>
      </c>
      <c r="F25" s="473" t="s">
        <v>54</v>
      </c>
      <c r="G25" s="473">
        <f>IF(ISBLANK('Previous years'!I23),"",'Previous years'!I23)</f>
        <v>0</v>
      </c>
      <c r="H25" s="314">
        <v>0</v>
      </c>
      <c r="I25" s="474" t="s">
        <v>458</v>
      </c>
      <c r="J25" s="116" t="s">
        <v>167</v>
      </c>
      <c r="K25" s="116" t="s">
        <v>527</v>
      </c>
      <c r="L25" s="116"/>
      <c r="M25" s="116"/>
      <c r="N25" s="116"/>
    </row>
    <row r="26" spans="2:14" ht="20.100000000000001" customHeight="1">
      <c r="B26" s="163" t="str">
        <f t="shared" si="0"/>
        <v>Number of stormwater discharges from the piped network [SWE1a]</v>
      </c>
      <c r="C26" s="41" t="s">
        <v>798</v>
      </c>
      <c r="D26" s="465" t="s">
        <v>799</v>
      </c>
      <c r="E26" s="466" t="s">
        <v>800</v>
      </c>
      <c r="F26" s="467" t="s">
        <v>54</v>
      </c>
      <c r="G26" s="467">
        <f>IF(ISBLANK('Previous years'!I24),"",'Previous years'!I24)</f>
        <v>506</v>
      </c>
      <c r="H26" s="295">
        <v>510</v>
      </c>
      <c r="I26" s="9" t="s">
        <v>26</v>
      </c>
      <c r="J26" s="10" t="s">
        <v>167</v>
      </c>
      <c r="K26" s="10" t="s">
        <v>527</v>
      </c>
      <c r="L26" s="59"/>
      <c r="M26" s="10"/>
      <c r="N26" s="10"/>
    </row>
    <row r="27" spans="2:14" ht="20.100000000000001" customHeight="1" thickBot="1">
      <c r="B27" s="163" t="str">
        <f t="shared" si="0"/>
        <v>Number of stormwater discharges with resource consents [SWE1b]</v>
      </c>
      <c r="C27" s="110" t="s">
        <v>798</v>
      </c>
      <c r="D27" s="468" t="s">
        <v>801</v>
      </c>
      <c r="E27" s="480" t="s">
        <v>802</v>
      </c>
      <c r="F27" s="481" t="s">
        <v>54</v>
      </c>
      <c r="G27" s="482">
        <f>IF(ISBLANK('Previous years'!I25),"",'Previous years'!I25)</f>
        <v>0</v>
      </c>
      <c r="H27" s="297">
        <v>0</v>
      </c>
      <c r="I27" s="474" t="s">
        <v>57</v>
      </c>
      <c r="J27" s="116" t="s">
        <v>803</v>
      </c>
      <c r="K27" s="116" t="s">
        <v>527</v>
      </c>
      <c r="L27" s="117"/>
      <c r="M27" s="116"/>
      <c r="N27" s="116"/>
    </row>
    <row r="28" spans="2:14" ht="20.100000000000001" customHeight="1">
      <c r="B28" s="163" t="str">
        <f t="shared" si="0"/>
        <v>Stormwater consent abatement notices [SWE2a]</v>
      </c>
      <c r="C28" s="41" t="s">
        <v>610</v>
      </c>
      <c r="D28" s="67" t="s">
        <v>804</v>
      </c>
      <c r="E28" s="59" t="s">
        <v>805</v>
      </c>
      <c r="F28" s="67" t="s">
        <v>54</v>
      </c>
      <c r="G28" s="67">
        <f>IF(ISBLANK('Previous years'!I26),"",'Previous years'!I26)</f>
        <v>0</v>
      </c>
      <c r="H28" s="10">
        <v>0</v>
      </c>
      <c r="I28" s="9"/>
      <c r="J28" s="9"/>
      <c r="K28" s="10"/>
      <c r="L28" s="10"/>
      <c r="M28" s="10"/>
      <c r="N28" s="10"/>
    </row>
    <row r="29" spans="2:14" ht="20.100000000000001" customHeight="1">
      <c r="B29" s="163" t="str">
        <f t="shared" si="0"/>
        <v>Stormwater consent infringement notices [SWE2b]</v>
      </c>
      <c r="C29" s="42" t="s">
        <v>610</v>
      </c>
      <c r="D29" s="43" t="s">
        <v>806</v>
      </c>
      <c r="E29" s="55" t="s">
        <v>807</v>
      </c>
      <c r="F29" s="44" t="s">
        <v>54</v>
      </c>
      <c r="G29" s="44">
        <f>IF(ISBLANK('Previous years'!I27),"",'Previous years'!I27)</f>
        <v>0</v>
      </c>
      <c r="H29" s="12">
        <v>0</v>
      </c>
      <c r="I29" s="12"/>
      <c r="J29" s="12"/>
      <c r="K29" s="12"/>
      <c r="L29" s="12"/>
      <c r="M29" s="12"/>
      <c r="N29" s="12"/>
    </row>
    <row r="30" spans="2:14" ht="20.100000000000001" customHeight="1">
      <c r="B30" s="163" t="str">
        <f t="shared" si="0"/>
        <v>Stormwater consent enforcement orders [SWE2c]</v>
      </c>
      <c r="C30" s="42" t="s">
        <v>610</v>
      </c>
      <c r="D30" s="43" t="s">
        <v>808</v>
      </c>
      <c r="E30" s="55" t="s">
        <v>809</v>
      </c>
      <c r="F30" s="44" t="s">
        <v>54</v>
      </c>
      <c r="G30" s="44">
        <f>IF(ISBLANK('Previous years'!I28),"",'Previous years'!I28)</f>
        <v>0</v>
      </c>
      <c r="H30" s="12">
        <v>0</v>
      </c>
      <c r="I30" s="12"/>
      <c r="J30" s="12"/>
      <c r="K30" s="12"/>
      <c r="L30" s="12"/>
      <c r="M30" s="12"/>
      <c r="N30" s="12"/>
    </row>
    <row r="31" spans="2:14" ht="20.100000000000001" customHeight="1">
      <c r="B31" s="163" t="str">
        <f t="shared" si="0"/>
        <v>Stormwater successful prosecutions [SWE2d]</v>
      </c>
      <c r="C31" s="42" t="s">
        <v>610</v>
      </c>
      <c r="D31" s="43" t="s">
        <v>810</v>
      </c>
      <c r="E31" s="55" t="s">
        <v>811</v>
      </c>
      <c r="F31" s="44" t="s">
        <v>54</v>
      </c>
      <c r="G31" s="44">
        <f>IF(ISBLANK('Previous years'!I29),"",'Previous years'!I29)</f>
        <v>0</v>
      </c>
      <c r="H31" s="12">
        <v>0</v>
      </c>
      <c r="I31" s="12"/>
      <c r="J31" s="12"/>
      <c r="K31" s="12"/>
      <c r="L31" s="12"/>
      <c r="M31" s="12"/>
      <c r="N31" s="12"/>
    </row>
    <row r="32" spans="2:14" ht="20.100000000000001" customHeight="1">
      <c r="B32" s="163" t="str">
        <f t="shared" si="0"/>
        <v>Stormwater consent non-conformance [SWE2e]</v>
      </c>
      <c r="C32" s="42" t="s">
        <v>610</v>
      </c>
      <c r="D32" s="43" t="s">
        <v>812</v>
      </c>
      <c r="E32" s="55" t="s">
        <v>813</v>
      </c>
      <c r="F32" s="44" t="s">
        <v>54</v>
      </c>
      <c r="G32" s="44">
        <f>IF(ISBLANK('Previous years'!I30),"",'Previous years'!I30)</f>
        <v>0</v>
      </c>
      <c r="H32" s="12">
        <v>0</v>
      </c>
      <c r="I32" s="12"/>
      <c r="J32" s="12"/>
      <c r="K32" s="12"/>
      <c r="L32" s="12"/>
      <c r="M32" s="12"/>
      <c r="N32" s="12"/>
    </row>
    <row r="33" spans="2:14" ht="20.100000000000001" customHeight="1">
      <c r="B33" s="163" t="str">
        <f t="shared" si="0"/>
        <v>Stormwater consent letters of direction [SWE2f]</v>
      </c>
      <c r="C33" s="42" t="s">
        <v>610</v>
      </c>
      <c r="D33" s="43" t="s">
        <v>814</v>
      </c>
      <c r="E33" s="47" t="s">
        <v>815</v>
      </c>
      <c r="F33" s="44" t="s">
        <v>54</v>
      </c>
      <c r="G33" s="219">
        <f>IF(ISBLANK('Previous years'!I31),"",'Previous years'!I31)</f>
        <v>0</v>
      </c>
      <c r="H33" s="12">
        <v>0</v>
      </c>
      <c r="I33" s="12"/>
      <c r="J33" s="12"/>
      <c r="K33" s="12"/>
      <c r="L33" s="12"/>
      <c r="M33" s="12"/>
      <c r="N33" s="12"/>
    </row>
    <row r="34" spans="2:14" ht="20.100000000000001" customHeight="1" thickBot="1">
      <c r="B34" s="163" t="str">
        <f t="shared" si="0"/>
        <v>Stormwater consent formal warning [SWE2g]</v>
      </c>
      <c r="C34" s="110" t="s">
        <v>610</v>
      </c>
      <c r="D34" s="111" t="s">
        <v>816</v>
      </c>
      <c r="E34" s="112" t="s">
        <v>817</v>
      </c>
      <c r="F34" s="115" t="s">
        <v>54</v>
      </c>
      <c r="G34" s="217">
        <f>IF(ISBLANK('Previous years'!I32),"",'Previous years'!I32)</f>
        <v>0</v>
      </c>
      <c r="H34" s="116">
        <v>0</v>
      </c>
      <c r="I34" s="116"/>
      <c r="J34" s="116"/>
      <c r="K34" s="116"/>
      <c r="L34" s="117"/>
      <c r="M34" s="116"/>
      <c r="N34" s="116"/>
    </row>
    <row r="35" spans="2:14" ht="20.100000000000001" customHeight="1">
      <c r="B35" s="163" t="str">
        <f t="shared" si="0"/>
        <v>Stormwater quality monitoring [SWE3]</v>
      </c>
      <c r="C35" s="41" t="s">
        <v>818</v>
      </c>
      <c r="D35" s="43" t="s">
        <v>819</v>
      </c>
      <c r="E35" s="58" t="s">
        <v>820</v>
      </c>
      <c r="F35" s="44" t="s">
        <v>121</v>
      </c>
      <c r="G35" s="44" t="str">
        <f>IF(ISBLANK('Previous years'!I33),"",'Previous years'!I33)</f>
        <v>No</v>
      </c>
      <c r="H35" s="12" t="s">
        <v>122</v>
      </c>
      <c r="I35" s="12" t="s">
        <v>57</v>
      </c>
      <c r="J35" s="12"/>
      <c r="K35" s="12" t="s">
        <v>462</v>
      </c>
      <c r="L35" s="12" t="s">
        <v>821</v>
      </c>
      <c r="M35" s="12"/>
      <c r="N35" s="12"/>
    </row>
    <row r="36" spans="2:14" ht="20.100000000000001" customHeight="1" thickBot="1">
      <c r="B36" s="163" t="str">
        <f t="shared" si="0"/>
        <v>Stormwater catchment management plans [SWE4]</v>
      </c>
      <c r="C36" s="110" t="s">
        <v>818</v>
      </c>
      <c r="D36" s="111" t="s">
        <v>822</v>
      </c>
      <c r="E36" s="118" t="s">
        <v>823</v>
      </c>
      <c r="F36" s="115" t="s">
        <v>121</v>
      </c>
      <c r="G36" s="115" t="str">
        <f>IF(ISBLANK('Previous years'!I34),"",'Previous years'!I34)</f>
        <v>Yes</v>
      </c>
      <c r="H36" s="116" t="s">
        <v>122</v>
      </c>
      <c r="I36" s="119" t="s">
        <v>57</v>
      </c>
      <c r="J36" s="119"/>
      <c r="K36" s="116" t="s">
        <v>462</v>
      </c>
      <c r="L36" s="116" t="s">
        <v>824</v>
      </c>
      <c r="M36" s="116"/>
      <c r="N36" s="116"/>
    </row>
    <row r="37" spans="2:14" ht="20.100000000000001" customHeight="1" thickBot="1">
      <c r="B37" s="163" t="str">
        <f t="shared" si="0"/>
        <v>Energy consumption: Stormwater [SWE5]</v>
      </c>
      <c r="C37" s="216" t="s">
        <v>254</v>
      </c>
      <c r="D37" s="475" t="s">
        <v>825</v>
      </c>
      <c r="E37" s="460" t="s">
        <v>826</v>
      </c>
      <c r="F37" s="477" t="s">
        <v>257</v>
      </c>
      <c r="G37" s="477">
        <f>IF(ISBLANK('Previous years'!I35),"",'Previous years'!I35)</f>
        <v>0</v>
      </c>
      <c r="H37" s="484">
        <v>0</v>
      </c>
      <c r="I37" s="119" t="s">
        <v>458</v>
      </c>
      <c r="J37" s="119"/>
      <c r="K37" s="116" t="s">
        <v>462</v>
      </c>
      <c r="L37" s="119" t="s">
        <v>827</v>
      </c>
      <c r="M37" s="162"/>
      <c r="N37" s="162"/>
    </row>
    <row r="38" spans="2:14" ht="20.100000000000001" customHeight="1">
      <c r="B38" s="163" t="str">
        <f t="shared" si="0"/>
        <v>Stormwater Charge [SWS1]</v>
      </c>
      <c r="C38" s="41" t="s">
        <v>313</v>
      </c>
      <c r="D38" s="485" t="s">
        <v>828</v>
      </c>
      <c r="E38" s="486" t="s">
        <v>829</v>
      </c>
      <c r="F38" s="487" t="s">
        <v>318</v>
      </c>
      <c r="G38" s="488">
        <f>IF(ISBLANK('Previous years'!I36),"",'Previous years'!I36)</f>
        <v>125.94981244999512</v>
      </c>
      <c r="H38" s="489">
        <f>'MEDIAN (-9.3%)'!F26</f>
        <v>138.63168914572606</v>
      </c>
      <c r="I38" s="9" t="s">
        <v>57</v>
      </c>
      <c r="J38" s="10" t="s">
        <v>830</v>
      </c>
      <c r="K38" s="10" t="s">
        <v>653</v>
      </c>
      <c r="L38" s="10"/>
      <c r="M38" s="10"/>
      <c r="N38" s="10"/>
    </row>
    <row r="39" spans="2:14" ht="20.100000000000001" customHeight="1" thickBot="1">
      <c r="B39" s="163" t="str">
        <f t="shared" si="0"/>
        <v>Stormwater Charge type [SWS2]</v>
      </c>
      <c r="C39" s="110" t="s">
        <v>313</v>
      </c>
      <c r="D39" s="468" t="s">
        <v>831</v>
      </c>
      <c r="E39" s="490" t="s">
        <v>832</v>
      </c>
      <c r="F39" s="481" t="s">
        <v>159</v>
      </c>
      <c r="G39" s="491" t="str">
        <f>IF(ISBLANK('Previous years'!I37),"",'Previous years'!I37)</f>
        <v>Targeted Rate</v>
      </c>
      <c r="H39" s="492" t="s">
        <v>323</v>
      </c>
      <c r="I39" s="483"/>
      <c r="J39" s="119"/>
      <c r="K39" s="116" t="s">
        <v>653</v>
      </c>
      <c r="L39" s="119"/>
      <c r="M39" s="119"/>
      <c r="N39" s="119"/>
    </row>
    <row r="40" spans="2:14" ht="20.100000000000001" customHeight="1" thickBot="1">
      <c r="B40" s="163" t="str">
        <f t="shared" si="0"/>
        <v>Stormwater Complaints [SWS3]</v>
      </c>
      <c r="C40" s="41" t="s">
        <v>276</v>
      </c>
      <c r="D40" s="471" t="s">
        <v>833</v>
      </c>
      <c r="E40" s="493" t="s">
        <v>834</v>
      </c>
      <c r="F40" s="473" t="s">
        <v>54</v>
      </c>
      <c r="G40" s="473">
        <f>IF(ISBLANK('Previous years'!I38),"",'Previous years'!I38)</f>
        <v>133</v>
      </c>
      <c r="H40" s="409">
        <f>IF(NOT(COUNTA(H41:H42)),"",SUM(H41:H42))</f>
        <v>178</v>
      </c>
      <c r="I40" s="28" t="s">
        <v>66</v>
      </c>
      <c r="J40" s="28"/>
      <c r="K40" s="23"/>
      <c r="L40" s="28"/>
      <c r="M40" s="28"/>
      <c r="N40" s="28"/>
    </row>
    <row r="41" spans="2:14" ht="20.100000000000001" customHeight="1">
      <c r="B41" s="163" t="str">
        <f t="shared" si="0"/>
        <v>Stormwater blockage complaints [SWS3a]</v>
      </c>
      <c r="C41" s="42" t="s">
        <v>276</v>
      </c>
      <c r="D41" s="67" t="s">
        <v>835</v>
      </c>
      <c r="E41" s="48" t="s">
        <v>836</v>
      </c>
      <c r="F41" s="45" t="s">
        <v>54</v>
      </c>
      <c r="G41" s="45">
        <f>IF(ISBLANK('Previous years'!I39),"",'Previous years'!I39)</f>
        <v>133</v>
      </c>
      <c r="H41" s="10">
        <v>178</v>
      </c>
      <c r="I41" s="12"/>
      <c r="J41" s="12"/>
      <c r="K41" s="12" t="s">
        <v>79</v>
      </c>
      <c r="L41" s="12"/>
      <c r="M41" s="12"/>
      <c r="N41" s="12"/>
    </row>
    <row r="42" spans="2:14" ht="20.100000000000001" customHeight="1">
      <c r="B42" s="163" t="str">
        <f t="shared" si="0"/>
        <v>Stormwater fault complaints [SWS3b]</v>
      </c>
      <c r="C42" s="42" t="s">
        <v>276</v>
      </c>
      <c r="D42" s="43" t="s">
        <v>837</v>
      </c>
      <c r="E42" s="47" t="s">
        <v>838</v>
      </c>
      <c r="F42" s="44" t="s">
        <v>54</v>
      </c>
      <c r="G42" s="44" t="str">
        <f>IF(ISBLANK('Previous years'!I40),"",'Previous years'!I40)</f>
        <v/>
      </c>
      <c r="H42" s="12"/>
      <c r="I42" s="12"/>
      <c r="J42" s="12"/>
      <c r="K42" s="12" t="s">
        <v>79</v>
      </c>
      <c r="L42" s="12"/>
      <c r="M42" s="12"/>
      <c r="N42" s="12"/>
    </row>
    <row r="43" spans="2:14" ht="20.100000000000001" customHeight="1" thickBot="1">
      <c r="B43" s="163" t="str">
        <f t="shared" si="0"/>
        <v>Stormwater Complaints Frequency [SWS4]</v>
      </c>
      <c r="C43" s="110" t="s">
        <v>276</v>
      </c>
      <c r="D43" s="111" t="s">
        <v>839</v>
      </c>
      <c r="E43" s="120" t="s">
        <v>840</v>
      </c>
      <c r="F43" s="115" t="s">
        <v>841</v>
      </c>
      <c r="G43" s="115">
        <f>IF(ISBLANK('Previous years'!I41),"",'Previous years'!I41)</f>
        <v>4.9906191369606008</v>
      </c>
      <c r="H43" s="121">
        <f>IFERROR((H40/H9)*1000,"")</f>
        <v>6.430868167202572</v>
      </c>
      <c r="I43" s="121" t="s">
        <v>66</v>
      </c>
      <c r="J43" s="121"/>
      <c r="K43" s="113"/>
      <c r="L43" s="121"/>
      <c r="M43" s="121"/>
      <c r="N43" s="121"/>
    </row>
    <row r="44" spans="2:14" ht="20.100000000000001" customHeight="1">
      <c r="B44" s="163" t="str">
        <f t="shared" si="0"/>
        <v>Flooding events resulting from storms exceeding stormwater capacity [SWS5]</v>
      </c>
      <c r="C44" s="41" t="s">
        <v>842</v>
      </c>
      <c r="D44" s="67" t="s">
        <v>843</v>
      </c>
      <c r="E44" s="68" t="s">
        <v>844</v>
      </c>
      <c r="F44" s="45" t="s">
        <v>54</v>
      </c>
      <c r="G44" s="45">
        <f>IF(ISBLANK('Previous years'!I42),"",'Previous years'!I42)</f>
        <v>0</v>
      </c>
      <c r="H44" s="9">
        <v>0</v>
      </c>
      <c r="I44" s="9"/>
      <c r="J44" s="9"/>
      <c r="K44" s="10" t="s">
        <v>79</v>
      </c>
      <c r="L44" s="9"/>
      <c r="M44" s="9"/>
      <c r="N44" s="9"/>
    </row>
    <row r="45" spans="2:14" ht="20.100000000000001" customHeight="1">
      <c r="B45" s="163" t="str">
        <f t="shared" si="0"/>
        <v>Number of habitable floors affected by storms exceeding stormwater capacity [SWS5a]</v>
      </c>
      <c r="C45" s="42" t="s">
        <v>842</v>
      </c>
      <c r="D45" s="43" t="s">
        <v>845</v>
      </c>
      <c r="E45" s="47" t="s">
        <v>846</v>
      </c>
      <c r="F45" s="44" t="s">
        <v>54</v>
      </c>
      <c r="G45" s="44">
        <f>IF(ISBLANK('Previous years'!I43),"",'Previous years'!I43)</f>
        <v>0</v>
      </c>
      <c r="H45" s="12">
        <v>0</v>
      </c>
      <c r="I45" s="12"/>
      <c r="J45" s="12"/>
      <c r="K45" s="12" t="s">
        <v>79</v>
      </c>
      <c r="L45" s="12"/>
      <c r="M45" s="12"/>
      <c r="N45" s="12"/>
    </row>
    <row r="46" spans="2:14" ht="20.100000000000001" customHeight="1">
      <c r="B46" s="163" t="str">
        <f t="shared" si="0"/>
        <v>Number of habitable floors affected per 1000 stormwater serviced properties [SWS5b]</v>
      </c>
      <c r="C46" s="42" t="s">
        <v>842</v>
      </c>
      <c r="D46" s="43" t="s">
        <v>847</v>
      </c>
      <c r="E46" s="47" t="s">
        <v>848</v>
      </c>
      <c r="F46" s="44" t="s">
        <v>841</v>
      </c>
      <c r="G46" s="44">
        <f>IF(ISBLANK('Previous years'!I44),"",'Previous years'!I44)</f>
        <v>0</v>
      </c>
      <c r="H46" s="24">
        <f>IFERROR((H45/H9)*1000,"")</f>
        <v>0</v>
      </c>
      <c r="I46" s="24" t="s">
        <v>66</v>
      </c>
      <c r="J46" s="24"/>
      <c r="K46" s="24"/>
      <c r="L46" s="24"/>
      <c r="M46" s="24"/>
      <c r="N46" s="24"/>
    </row>
    <row r="47" spans="2:14" ht="20.100000000000001" customHeight="1">
      <c r="B47" s="163" t="str">
        <f t="shared" si="0"/>
        <v>Flooding events resulting from other causes [SWS5c]</v>
      </c>
      <c r="C47" s="42" t="s">
        <v>842</v>
      </c>
      <c r="D47" s="43" t="s">
        <v>849</v>
      </c>
      <c r="E47" s="47" t="s">
        <v>850</v>
      </c>
      <c r="F47" s="56" t="s">
        <v>54</v>
      </c>
      <c r="G47" s="56" t="str">
        <f>IF(ISBLANK('Previous years'!I45),"",'Previous years'!I45)</f>
        <v/>
      </c>
      <c r="H47" s="12">
        <v>0</v>
      </c>
      <c r="I47" s="12"/>
      <c r="J47" s="12"/>
      <c r="K47" s="12" t="s">
        <v>79</v>
      </c>
      <c r="L47" s="12"/>
      <c r="M47" s="12"/>
      <c r="N47" s="12"/>
    </row>
    <row r="48" spans="2:14" ht="20.100000000000001" customHeight="1">
      <c r="B48" s="163" t="str">
        <f t="shared" si="0"/>
        <v>Number of habitable floors affected by flooding from other causes [SWS5d]</v>
      </c>
      <c r="C48" s="42" t="s">
        <v>842</v>
      </c>
      <c r="D48" s="43" t="s">
        <v>851</v>
      </c>
      <c r="E48" s="47" t="s">
        <v>852</v>
      </c>
      <c r="F48" s="56" t="s">
        <v>54</v>
      </c>
      <c r="G48" s="56" t="str">
        <f>IF(ISBLANK('Previous years'!I46),"",'Previous years'!I46)</f>
        <v/>
      </c>
      <c r="H48" s="12">
        <v>0</v>
      </c>
      <c r="I48" s="12"/>
      <c r="J48" s="12"/>
      <c r="K48" s="12" t="s">
        <v>79</v>
      </c>
      <c r="L48" s="12"/>
      <c r="M48" s="12"/>
      <c r="N48" s="12"/>
    </row>
    <row r="49" spans="2:14" ht="20.100000000000001" customHeight="1">
      <c r="B49" s="163" t="str">
        <f t="shared" si="0"/>
        <v>Flooding Response Time [SWS6]</v>
      </c>
      <c r="C49" s="42" t="s">
        <v>842</v>
      </c>
      <c r="D49" s="43" t="s">
        <v>853</v>
      </c>
      <c r="E49" s="48" t="s">
        <v>854</v>
      </c>
      <c r="F49" s="44" t="s">
        <v>339</v>
      </c>
      <c r="G49" s="44">
        <f>IF(ISBLANK('Previous years'!I47),"",'Previous years'!I47)</f>
        <v>0</v>
      </c>
      <c r="H49" s="10">
        <v>0</v>
      </c>
      <c r="I49" s="10"/>
      <c r="J49" s="10"/>
      <c r="K49" s="12" t="s">
        <v>79</v>
      </c>
      <c r="L49" s="10"/>
      <c r="M49" s="10"/>
      <c r="N49" s="10"/>
    </row>
    <row r="50" spans="2:14" ht="20.100000000000001" customHeight="1">
      <c r="B50" s="163" t="str">
        <f t="shared" si="0"/>
        <v>Primary stormwater network capacity [SWS7a]</v>
      </c>
      <c r="C50" s="42" t="s">
        <v>842</v>
      </c>
      <c r="D50" s="43" t="s">
        <v>855</v>
      </c>
      <c r="E50" s="49" t="s">
        <v>856</v>
      </c>
      <c r="F50" s="56" t="s">
        <v>857</v>
      </c>
      <c r="G50" s="241">
        <f>IF(ISBLANK('Previous years'!I48),"",'Previous years'!I48)</f>
        <v>0.05</v>
      </c>
      <c r="H50" s="140">
        <v>0.05</v>
      </c>
      <c r="I50" s="11" t="s">
        <v>27</v>
      </c>
      <c r="J50" s="11"/>
      <c r="K50" s="12" t="s">
        <v>462</v>
      </c>
      <c r="L50" s="49"/>
      <c r="M50" s="11"/>
      <c r="N50" s="11"/>
    </row>
    <row r="51" spans="2:14" ht="20.100000000000001" customHeight="1" thickBot="1">
      <c r="B51" s="163" t="str">
        <f t="shared" si="0"/>
        <v>Secondary stormwater network capacity [SWS7b]</v>
      </c>
      <c r="C51" s="110" t="s">
        <v>842</v>
      </c>
      <c r="D51" s="475" t="s">
        <v>858</v>
      </c>
      <c r="E51" s="476" t="s">
        <v>859</v>
      </c>
      <c r="F51" s="494" t="s">
        <v>857</v>
      </c>
      <c r="G51" s="495">
        <f>IF(ISBLANK('Previous years'!I49),"",'Previous years'!I49)</f>
        <v>0.01</v>
      </c>
      <c r="H51" s="330">
        <v>0.01</v>
      </c>
      <c r="I51" s="116" t="s">
        <v>27</v>
      </c>
      <c r="J51" s="116"/>
      <c r="K51" s="116" t="s">
        <v>462</v>
      </c>
      <c r="L51" s="112"/>
      <c r="M51" s="116"/>
      <c r="N51" s="116"/>
    </row>
    <row r="52" spans="2:14" ht="20.100000000000001" customHeight="1">
      <c r="B52" s="163" t="str">
        <f t="shared" si="0"/>
        <v>Operating Revenue: Stormwater [SWF1]</v>
      </c>
      <c r="C52" s="41" t="s">
        <v>356</v>
      </c>
      <c r="D52" s="465" t="s">
        <v>860</v>
      </c>
      <c r="E52" s="466" t="s">
        <v>861</v>
      </c>
      <c r="F52" s="467" t="s">
        <v>318</v>
      </c>
      <c r="G52" s="496">
        <f>IF(ISBLANK('Previous years'!I50),"",'Previous years'!I50)</f>
        <v>2932280.79</v>
      </c>
      <c r="H52" s="449">
        <f>'SW P&amp;L'!H13+'SW P&amp;L'!AD51</f>
        <v>3069010.55</v>
      </c>
      <c r="I52" s="9" t="s">
        <v>57</v>
      </c>
      <c r="J52" s="10" t="s">
        <v>363</v>
      </c>
      <c r="K52" s="10" t="s">
        <v>653</v>
      </c>
      <c r="L52" s="10"/>
      <c r="M52" s="10"/>
      <c r="N52" s="10"/>
    </row>
    <row r="53" spans="2:14" ht="20.100000000000001" customHeight="1" thickBot="1">
      <c r="B53" s="163" t="str">
        <f t="shared" si="0"/>
        <v>Development Contribution Revenue: Stormwater [SWF2]</v>
      </c>
      <c r="C53" s="42" t="s">
        <v>356</v>
      </c>
      <c r="D53" s="468" t="s">
        <v>862</v>
      </c>
      <c r="E53" s="490" t="s">
        <v>863</v>
      </c>
      <c r="F53" s="482" t="s">
        <v>318</v>
      </c>
      <c r="G53" s="497">
        <f>IF(ISBLANK('Previous years'!I51),"",'Previous years'!I51)</f>
        <v>672635.84</v>
      </c>
      <c r="H53" s="498">
        <f>'SW P&amp;L'!H38</f>
        <v>571882.6</v>
      </c>
      <c r="I53" s="9" t="s">
        <v>57</v>
      </c>
      <c r="J53" s="10" t="s">
        <v>363</v>
      </c>
      <c r="K53" s="12" t="s">
        <v>653</v>
      </c>
      <c r="L53" s="10"/>
      <c r="M53" s="10"/>
      <c r="N53" s="10"/>
    </row>
    <row r="54" spans="2:14" ht="20.100000000000001" customHeight="1">
      <c r="B54" s="163" t="str">
        <f t="shared" si="0"/>
        <v>Total Revenue: Stormwater [SWF3]</v>
      </c>
      <c r="C54" s="42" t="s">
        <v>356</v>
      </c>
      <c r="D54" s="67" t="s">
        <v>864</v>
      </c>
      <c r="E54" s="68" t="s">
        <v>865</v>
      </c>
      <c r="F54" s="45" t="s">
        <v>318</v>
      </c>
      <c r="G54" s="181">
        <f>IF(ISBLANK('Previous years'!I52),"",'Previous years'!I52)</f>
        <v>3604916.63</v>
      </c>
      <c r="H54" s="230">
        <f>IF(NOT(COUNTA(H52:H53)),"",SUM(H52:H53))</f>
        <v>3640893.15</v>
      </c>
      <c r="I54" s="25" t="s">
        <v>66</v>
      </c>
      <c r="J54" s="25"/>
      <c r="K54" s="24"/>
      <c r="L54" s="25"/>
      <c r="M54" s="25"/>
      <c r="N54" s="25"/>
    </row>
    <row r="55" spans="2:14" ht="20.100000000000001" customHeight="1">
      <c r="B55" s="163" t="str">
        <f t="shared" si="0"/>
        <v>Total Revenue per Property: Stormwater [SWF4]</v>
      </c>
      <c r="C55" s="42" t="s">
        <v>356</v>
      </c>
      <c r="D55" s="43" t="s">
        <v>866</v>
      </c>
      <c r="E55" s="47" t="s">
        <v>867</v>
      </c>
      <c r="F55" s="44" t="s">
        <v>370</v>
      </c>
      <c r="G55" s="184">
        <f>IF(ISBLANK('Previous years'!I53),"",'Previous years'!I53)</f>
        <v>135.26891669793622</v>
      </c>
      <c r="H55" s="183">
        <f>IFERROR(H54/H9,"")</f>
        <v>131.53990931753316</v>
      </c>
      <c r="I55" s="24" t="s">
        <v>66</v>
      </c>
      <c r="J55" s="24"/>
      <c r="K55" s="24"/>
      <c r="L55" s="24"/>
      <c r="M55" s="24"/>
      <c r="N55" s="24"/>
    </row>
    <row r="56" spans="2:14" ht="20.100000000000001" customHeight="1" thickBot="1">
      <c r="B56" s="163" t="str">
        <f t="shared" si="0"/>
        <v>Debt funding: Stormwater [SWF5]</v>
      </c>
      <c r="C56" s="110" t="s">
        <v>356</v>
      </c>
      <c r="D56" s="111" t="s">
        <v>868</v>
      </c>
      <c r="E56" s="112" t="s">
        <v>869</v>
      </c>
      <c r="F56" s="115" t="s">
        <v>318</v>
      </c>
      <c r="G56" s="185">
        <f>IF(ISBLANK('Previous years'!I54),"",'Previous years'!I54)</f>
        <v>489730</v>
      </c>
      <c r="H56" s="186">
        <v>49771</v>
      </c>
      <c r="I56" s="116" t="s">
        <v>57</v>
      </c>
      <c r="J56" s="116"/>
      <c r="K56" s="116" t="s">
        <v>703</v>
      </c>
      <c r="L56" s="116"/>
      <c r="M56" s="116"/>
      <c r="N56" s="116"/>
    </row>
    <row r="57" spans="2:14" ht="20.100000000000001" customHeight="1">
      <c r="B57" s="163" t="str">
        <f t="shared" si="0"/>
        <v>Routine maintenance: Stormwater  [SWF6a]</v>
      </c>
      <c r="C57" s="41" t="s">
        <v>374</v>
      </c>
      <c r="D57" s="268" t="s">
        <v>870</v>
      </c>
      <c r="E57" s="269" t="s">
        <v>871</v>
      </c>
      <c r="F57" s="270" t="s">
        <v>318</v>
      </c>
      <c r="G57" s="181">
        <f>IF(ISBLANK('Previous years'!I55),"",'Previous years'!I55)</f>
        <v>686291</v>
      </c>
      <c r="H57" s="182">
        <v>513591.98</v>
      </c>
      <c r="I57" s="10" t="s">
        <v>57</v>
      </c>
      <c r="J57" s="10"/>
      <c r="K57" s="10" t="s">
        <v>706</v>
      </c>
      <c r="L57" s="10"/>
      <c r="M57" s="10"/>
      <c r="N57" s="10"/>
    </row>
    <row r="58" spans="2:14" ht="20.100000000000001" customHeight="1">
      <c r="B58" s="163" t="str">
        <f t="shared" si="0"/>
        <v>Reactive maintenance: Stormwater  [SWF6b]</v>
      </c>
      <c r="C58" s="42" t="s">
        <v>374</v>
      </c>
      <c r="D58" s="271" t="s">
        <v>872</v>
      </c>
      <c r="E58" s="272" t="s">
        <v>873</v>
      </c>
      <c r="F58" s="219" t="s">
        <v>318</v>
      </c>
      <c r="G58" s="187">
        <f>IF(ISBLANK('Previous years'!I56),"",'Previous years'!I56)</f>
        <v>421117</v>
      </c>
      <c r="H58" s="188">
        <v>210544.4</v>
      </c>
      <c r="I58" s="10" t="s">
        <v>57</v>
      </c>
      <c r="J58" s="9"/>
      <c r="K58" s="12" t="s">
        <v>706</v>
      </c>
      <c r="L58" s="9"/>
      <c r="M58" s="9"/>
      <c r="N58" s="9"/>
    </row>
    <row r="59" spans="2:14" ht="20.100000000000001" customHeight="1">
      <c r="B59" s="163" t="str">
        <f t="shared" si="0"/>
        <v>Management Costs: Stormwater [SWF7]</v>
      </c>
      <c r="C59" s="42" t="s">
        <v>374</v>
      </c>
      <c r="D59" s="271" t="s">
        <v>874</v>
      </c>
      <c r="E59" s="273" t="s">
        <v>875</v>
      </c>
      <c r="F59" s="219" t="s">
        <v>318</v>
      </c>
      <c r="G59" s="184">
        <f>IF(ISBLANK('Previous years'!I57),"",'Previous years'!I57)</f>
        <v>103205</v>
      </c>
      <c r="H59" s="189">
        <v>123868.17</v>
      </c>
      <c r="I59" s="10" t="s">
        <v>57</v>
      </c>
      <c r="J59" s="11"/>
      <c r="K59" s="12" t="s">
        <v>706</v>
      </c>
      <c r="L59" s="11"/>
      <c r="M59" s="11"/>
      <c r="N59" s="11"/>
    </row>
    <row r="60" spans="2:14" ht="20.100000000000001" customHeight="1" thickBot="1">
      <c r="B60" s="163" t="str">
        <f t="shared" si="0"/>
        <v>Council Contract Management Costs: Stormwater [SWF8]</v>
      </c>
      <c r="C60" s="42" t="s">
        <v>374</v>
      </c>
      <c r="D60" s="499" t="s">
        <v>876</v>
      </c>
      <c r="E60" s="500" t="s">
        <v>877</v>
      </c>
      <c r="F60" s="501" t="s">
        <v>318</v>
      </c>
      <c r="G60" s="502">
        <f>IF(ISBLANK('Previous years'!I58),"",'Previous years'!I58)</f>
        <v>66666.666666666672</v>
      </c>
      <c r="H60" s="440">
        <v>0</v>
      </c>
      <c r="I60" s="10" t="s">
        <v>57</v>
      </c>
      <c r="J60" s="12"/>
      <c r="K60" s="12" t="s">
        <v>717</v>
      </c>
      <c r="L60" s="12" t="s">
        <v>878</v>
      </c>
      <c r="M60" s="12"/>
      <c r="N60" s="12"/>
    </row>
    <row r="61" spans="2:14" ht="20.100000000000001" customHeight="1" thickBot="1">
      <c r="B61" s="163" t="str">
        <f t="shared" si="0"/>
        <v>Operating Cost: Stormwater [SWF9]</v>
      </c>
      <c r="C61" s="42" t="s">
        <v>374</v>
      </c>
      <c r="D61" s="471" t="s">
        <v>879</v>
      </c>
      <c r="E61" s="472" t="s">
        <v>880</v>
      </c>
      <c r="F61" s="473" t="s">
        <v>318</v>
      </c>
      <c r="G61" s="503">
        <f>IF(ISBLANK('Previous years'!I59),"",'Previous years'!I59)</f>
        <v>1277279.6666666667</v>
      </c>
      <c r="H61" s="364">
        <f>IF(NOT(COUNTA(H57:H60)),"",SUM(H57:H60))</f>
        <v>848004.55</v>
      </c>
      <c r="I61" s="25" t="s">
        <v>66</v>
      </c>
      <c r="J61" s="24"/>
      <c r="K61" s="24"/>
      <c r="L61" s="24"/>
      <c r="M61" s="24"/>
      <c r="N61" s="24"/>
    </row>
    <row r="62" spans="2:14" ht="20.100000000000001" customHeight="1" thickBot="1">
      <c r="B62" s="163" t="str">
        <f t="shared" si="0"/>
        <v>Operating Cost per Property: Stormwater [SWF10]</v>
      </c>
      <c r="C62" s="42" t="s">
        <v>374</v>
      </c>
      <c r="D62" s="459" t="s">
        <v>881</v>
      </c>
      <c r="E62" s="460" t="s">
        <v>882</v>
      </c>
      <c r="F62" s="461" t="s">
        <v>370</v>
      </c>
      <c r="G62" s="504">
        <f>IF(ISBLANK('Previous years'!I60),"",'Previous years'!I60)</f>
        <v>47.927942464040029</v>
      </c>
      <c r="H62" s="366">
        <f>IFERROR(H61/H9,"")</f>
        <v>30.637109360887315</v>
      </c>
      <c r="I62" s="23" t="s">
        <v>66</v>
      </c>
      <c r="J62" s="23"/>
      <c r="K62" s="24"/>
      <c r="L62" s="23"/>
      <c r="M62" s="23"/>
      <c r="N62" s="23"/>
    </row>
    <row r="63" spans="2:14" ht="20.100000000000001" customHeight="1">
      <c r="B63" s="163" t="str">
        <f t="shared" si="0"/>
        <v>Annual Depreciation: Stormwater [SWF11]</v>
      </c>
      <c r="C63" s="42" t="s">
        <v>374</v>
      </c>
      <c r="D63" s="465" t="s">
        <v>883</v>
      </c>
      <c r="E63" s="505" t="s">
        <v>884</v>
      </c>
      <c r="F63" s="467" t="s">
        <v>318</v>
      </c>
      <c r="G63" s="496">
        <f>IF(ISBLANK('Previous years'!I61),"",'Previous years'!I61)</f>
        <v>4237954</v>
      </c>
      <c r="H63" s="357">
        <f>'SW P&amp;L'!H19</f>
        <v>4552947.6500000004</v>
      </c>
      <c r="I63" s="11" t="s">
        <v>57</v>
      </c>
      <c r="J63" s="11" t="s">
        <v>363</v>
      </c>
      <c r="K63" s="12" t="s">
        <v>653</v>
      </c>
      <c r="L63" s="11"/>
      <c r="M63" s="11"/>
      <c r="N63" s="11"/>
    </row>
    <row r="64" spans="2:14" ht="20.100000000000001" customHeight="1" thickBot="1">
      <c r="B64" s="163" t="str">
        <f t="shared" si="0"/>
        <v>Interest: Stormwater [SWF12a]</v>
      </c>
      <c r="C64" s="42" t="s">
        <v>374</v>
      </c>
      <c r="D64" s="468" t="s">
        <v>885</v>
      </c>
      <c r="E64" s="469" t="s">
        <v>886</v>
      </c>
      <c r="F64" s="482" t="s">
        <v>318</v>
      </c>
      <c r="G64" s="497">
        <f>IF(ISBLANK('Previous years'!I62),"",'Previous years'!I62)</f>
        <v>313302</v>
      </c>
      <c r="H64" s="452">
        <f>'SW P&amp;L'!H30</f>
        <v>391257.15</v>
      </c>
      <c r="I64" s="11" t="s">
        <v>57</v>
      </c>
      <c r="J64" s="12" t="s">
        <v>363</v>
      </c>
      <c r="K64" s="12" t="s">
        <v>653</v>
      </c>
      <c r="L64" s="12"/>
      <c r="M64" s="12"/>
      <c r="N64" s="12"/>
    </row>
    <row r="65" spans="2:14" ht="20.100000000000001" customHeight="1">
      <c r="B65" s="163" t="str">
        <f t="shared" si="0"/>
        <v>Debt Affordability: Stormwater [SWF12b]</v>
      </c>
      <c r="C65" s="42" t="s">
        <v>374</v>
      </c>
      <c r="D65" s="67" t="s">
        <v>887</v>
      </c>
      <c r="E65" s="48" t="s">
        <v>888</v>
      </c>
      <c r="F65" s="45" t="s">
        <v>111</v>
      </c>
      <c r="G65" s="146">
        <f>IF(ISBLANK('Previous years'!I63),"",'Previous years'!I63)</f>
        <v>8.6909638184891946E-2</v>
      </c>
      <c r="H65" s="332">
        <f>IFERROR(H64/H54,"")</f>
        <v>0.10746186001091519</v>
      </c>
      <c r="I65" s="24" t="s">
        <v>66</v>
      </c>
      <c r="J65" s="24"/>
      <c r="K65" s="24"/>
      <c r="L65" s="24"/>
      <c r="M65" s="24"/>
      <c r="N65" s="24"/>
    </row>
    <row r="66" spans="2:14" ht="20.100000000000001" customHeight="1">
      <c r="B66" s="163" t="str">
        <f t="shared" si="0"/>
        <v>Operational Cost Coverage: Stormwater [SWF13]</v>
      </c>
      <c r="C66" s="42" t="s">
        <v>374</v>
      </c>
      <c r="D66" s="43" t="s">
        <v>889</v>
      </c>
      <c r="E66" s="48" t="s">
        <v>890</v>
      </c>
      <c r="F66" s="44" t="s">
        <v>111</v>
      </c>
      <c r="G66" s="145">
        <f>IF(ISBLANK('Previous years'!I64),"",'Previous years'!I64)</f>
        <v>1.9877140301651217</v>
      </c>
      <c r="H66" s="141">
        <f>IFERROR(H52/(H64+H63+H61),"")</f>
        <v>0.52985145469578021</v>
      </c>
      <c r="I66" s="23" t="s">
        <v>66</v>
      </c>
      <c r="J66" s="23"/>
      <c r="K66" s="24"/>
      <c r="L66" s="23"/>
      <c r="M66" s="23"/>
      <c r="N66" s="23"/>
    </row>
    <row r="67" spans="2:14" ht="20.100000000000001" customHeight="1">
      <c r="B67" s="163" t="str">
        <f t="shared" si="0"/>
        <v>Total Cost: Stormwater [SWF14]</v>
      </c>
      <c r="C67" s="42" t="s">
        <v>374</v>
      </c>
      <c r="D67" s="43" t="s">
        <v>891</v>
      </c>
      <c r="E67" s="49" t="s">
        <v>892</v>
      </c>
      <c r="F67" s="44" t="s">
        <v>318</v>
      </c>
      <c r="G67" s="184">
        <f>IF(ISBLANK('Previous years'!I65),"",'Previous years'!I65)</f>
        <v>13880710.706666667</v>
      </c>
      <c r="H67" s="183">
        <f>IF(NOT(COUNTA(H61,H63,H64,H73)),"",SUM(H61,H63,H64,H73))</f>
        <v>10363053.32</v>
      </c>
      <c r="I67" s="25" t="s">
        <v>66</v>
      </c>
      <c r="J67" s="25"/>
      <c r="K67" s="24"/>
      <c r="L67" s="25"/>
      <c r="M67" s="25"/>
      <c r="N67" s="25"/>
    </row>
    <row r="68" spans="2:14" ht="20.100000000000001" customHeight="1" thickBot="1">
      <c r="B68" s="163" t="str">
        <f t="shared" si="0"/>
        <v>Total Cost per Property: Stormwater [SWF15]</v>
      </c>
      <c r="C68" s="42" t="s">
        <v>374</v>
      </c>
      <c r="D68" s="475" t="s">
        <v>893</v>
      </c>
      <c r="E68" s="476" t="s">
        <v>894</v>
      </c>
      <c r="F68" s="477" t="s">
        <v>370</v>
      </c>
      <c r="G68" s="502">
        <f>IF(ISBLANK('Previous years'!I66),"",'Previous years'!I66)</f>
        <v>520.85218411507196</v>
      </c>
      <c r="H68" s="367">
        <f>IFERROR(H67/H9,"")</f>
        <v>374.40129050905017</v>
      </c>
      <c r="I68" s="24" t="s">
        <v>66</v>
      </c>
      <c r="J68" s="24"/>
      <c r="K68" s="24"/>
      <c r="L68" s="24"/>
      <c r="M68" s="24"/>
      <c r="N68" s="24"/>
    </row>
    <row r="69" spans="2:14" ht="20.100000000000001" customHeight="1" thickBot="1">
      <c r="B69" s="163" t="str">
        <f t="shared" si="0"/>
        <v>Budgeted Capital Expenditure: Stormwater [SWF16]</v>
      </c>
      <c r="C69" s="42" t="s">
        <v>374</v>
      </c>
      <c r="D69" s="471" t="s">
        <v>895</v>
      </c>
      <c r="E69" s="472" t="s">
        <v>896</v>
      </c>
      <c r="F69" s="473" t="s">
        <v>318</v>
      </c>
      <c r="G69" s="503">
        <f>IF(ISBLANK('Previous years'!I67),"",'Previous years'!I67)</f>
        <v>10287087.01723169</v>
      </c>
      <c r="H69" s="364">
        <f>IF(NOT(COUNTA(H70:H72)),"",SUM(H70:H72))</f>
        <v>11016701.539999999</v>
      </c>
      <c r="I69" s="25" t="s">
        <v>66</v>
      </c>
      <c r="J69" s="24"/>
      <c r="K69" s="24"/>
      <c r="L69" s="24"/>
      <c r="M69" s="24"/>
      <c r="N69" s="24"/>
    </row>
    <row r="70" spans="2:14" ht="20.100000000000001" customHeight="1">
      <c r="B70" s="163" t="str">
        <f t="shared" si="0"/>
        <v>Budgeted capital to meet additional demand [SWF16a]</v>
      </c>
      <c r="C70" s="42" t="s">
        <v>374</v>
      </c>
      <c r="D70" s="67" t="s">
        <v>897</v>
      </c>
      <c r="E70" s="59" t="s">
        <v>409</v>
      </c>
      <c r="F70" s="45" t="s">
        <v>318</v>
      </c>
      <c r="G70" s="181">
        <f>IF(ISBLANK('Previous years'!I68),"",'Previous years'!I68)</f>
        <v>6701138.3803131841</v>
      </c>
      <c r="H70" s="182">
        <f>SUMIF(PROJECT_FINANCIAL_SUMMARY!$B:$B,"Storm Water",PROJECT_FINANCIAL_SUMMARY!$AD:$AD)</f>
        <v>5713617.0042369999</v>
      </c>
      <c r="I70" s="10" t="s">
        <v>57</v>
      </c>
      <c r="J70" s="10" t="s">
        <v>410</v>
      </c>
      <c r="K70" s="12" t="s">
        <v>653</v>
      </c>
      <c r="L70" s="10"/>
      <c r="M70" s="10"/>
      <c r="N70" s="10"/>
    </row>
    <row r="71" spans="2:14" ht="20.100000000000001" customHeight="1">
      <c r="B71" s="163" t="str">
        <f t="shared" ref="B71:B81" si="1">E71&amp;" ["&amp;D71&amp;"]"</f>
        <v>Budgeted capital to improve the level of service [SWF16b]</v>
      </c>
      <c r="C71" s="42" t="s">
        <v>374</v>
      </c>
      <c r="D71" s="43" t="s">
        <v>898</v>
      </c>
      <c r="E71" s="65" t="s">
        <v>412</v>
      </c>
      <c r="F71" s="44" t="s">
        <v>318</v>
      </c>
      <c r="G71" s="184">
        <f>IF(ISBLANK('Previous years'!I69),"",'Previous years'!I69)</f>
        <v>2717408.7310212324</v>
      </c>
      <c r="H71" s="189">
        <f>SUMIF(PROJECT_FINANCIAL_SUMMARY!$B:$B,"Storm Water",PROJECT_FINANCIAL_SUMMARY!$AE:$AE)</f>
        <v>4066849.4151630001</v>
      </c>
      <c r="I71" s="11" t="s">
        <v>57</v>
      </c>
      <c r="J71" s="11" t="s">
        <v>410</v>
      </c>
      <c r="K71" s="12" t="s">
        <v>653</v>
      </c>
      <c r="L71" s="11"/>
      <c r="M71" s="11"/>
      <c r="N71" s="11"/>
    </row>
    <row r="72" spans="2:14" ht="20.100000000000001" customHeight="1" thickBot="1">
      <c r="B72" s="163" t="str">
        <f t="shared" si="1"/>
        <v>Budgeted capital to replace existing assets [SWF16c]</v>
      </c>
      <c r="C72" s="42" t="s">
        <v>374</v>
      </c>
      <c r="D72" s="475" t="s">
        <v>899</v>
      </c>
      <c r="E72" s="506" t="s">
        <v>414</v>
      </c>
      <c r="F72" s="477" t="s">
        <v>318</v>
      </c>
      <c r="G72" s="502">
        <f>IF(ISBLANK('Previous years'!I70),"",'Previous years'!I70)</f>
        <v>868539.90589727205</v>
      </c>
      <c r="H72" s="440">
        <f>SUMIF(PROJECT_FINANCIAL_SUMMARY!$B:$B,"Storm Water",PROJECT_FINANCIAL_SUMMARY!$AF:$AF)</f>
        <v>1236235.1206</v>
      </c>
      <c r="I72" s="12" t="s">
        <v>57</v>
      </c>
      <c r="J72" s="12" t="s">
        <v>410</v>
      </c>
      <c r="K72" s="12" t="s">
        <v>653</v>
      </c>
      <c r="L72" s="12"/>
      <c r="M72" s="12"/>
      <c r="N72" s="12"/>
    </row>
    <row r="73" spans="2:14" ht="20.100000000000001" customHeight="1" thickBot="1">
      <c r="B73" s="163" t="str">
        <f t="shared" si="1"/>
        <v>Actual Capital Expenditure: Stormwater [SWF17]</v>
      </c>
      <c r="C73" s="42" t="s">
        <v>374</v>
      </c>
      <c r="D73" s="471" t="s">
        <v>900</v>
      </c>
      <c r="E73" s="472" t="s">
        <v>901</v>
      </c>
      <c r="F73" s="473" t="s">
        <v>318</v>
      </c>
      <c r="G73" s="503">
        <f>IF(ISBLANK('Previous years'!I71),"",'Previous years'!I71)</f>
        <v>8052175.04</v>
      </c>
      <c r="H73" s="364">
        <f>IF(NOT(COUNTA(H74:H76)),"",SUM(H74:H76))</f>
        <v>4570843.97</v>
      </c>
      <c r="I73" s="25" t="s">
        <v>66</v>
      </c>
      <c r="J73" s="24"/>
      <c r="K73" s="24"/>
      <c r="L73" s="24"/>
      <c r="M73" s="24"/>
      <c r="N73" s="24"/>
    </row>
    <row r="74" spans="2:14" ht="20.100000000000001" customHeight="1">
      <c r="B74" s="163" t="str">
        <f t="shared" si="1"/>
        <v>Actual capital to meet additional demand [SWF17a]</v>
      </c>
      <c r="C74" s="42" t="s">
        <v>374</v>
      </c>
      <c r="D74" s="67" t="s">
        <v>902</v>
      </c>
      <c r="E74" s="59" t="s">
        <v>418</v>
      </c>
      <c r="F74" s="45" t="s">
        <v>318</v>
      </c>
      <c r="G74" s="181">
        <f>IF(ISBLANK('Previous years'!I72),"",'Previous years'!I72)</f>
        <v>5420587.2830480002</v>
      </c>
      <c r="H74" s="182">
        <f>SUMIF(PROJECT_FINANCIAL_SUMMARY!$B:$B,"Storm Water",PROJECT_FINANCIAL_SUMMARY!$S:$S)</f>
        <v>3537339.6872130004</v>
      </c>
      <c r="I74" s="10" t="s">
        <v>57</v>
      </c>
      <c r="J74" s="10" t="s">
        <v>410</v>
      </c>
      <c r="K74" s="12" t="s">
        <v>653</v>
      </c>
      <c r="L74" s="10"/>
      <c r="M74" s="10"/>
      <c r="N74" s="10"/>
    </row>
    <row r="75" spans="2:14" ht="20.100000000000001" customHeight="1">
      <c r="B75" s="163" t="str">
        <f t="shared" si="1"/>
        <v>Actual capital to improve the level of service [SWF17b]</v>
      </c>
      <c r="C75" s="42" t="s">
        <v>374</v>
      </c>
      <c r="D75" s="43" t="s">
        <v>903</v>
      </c>
      <c r="E75" s="65" t="s">
        <v>420</v>
      </c>
      <c r="F75" s="44" t="s">
        <v>318</v>
      </c>
      <c r="G75" s="184">
        <f>IF(ISBLANK('Previous years'!I73),"",'Previous years'!I73)</f>
        <v>2026671.3486859996</v>
      </c>
      <c r="H75" s="189">
        <f>SUMIF(PROJECT_FINANCIAL_SUMMARY!$B:$B,"Storm Water",PROJECT_FINANCIAL_SUMMARY!$U:$U)</f>
        <v>697836.26243799995</v>
      </c>
      <c r="I75" s="11" t="s">
        <v>57</v>
      </c>
      <c r="J75" s="11" t="s">
        <v>410</v>
      </c>
      <c r="K75" s="12" t="s">
        <v>653</v>
      </c>
      <c r="L75" s="11"/>
      <c r="M75" s="11"/>
      <c r="N75" s="11"/>
    </row>
    <row r="76" spans="2:14" ht="20.100000000000001" customHeight="1">
      <c r="B76" s="163" t="str">
        <f t="shared" si="1"/>
        <v>Actual capital to replace existing assets [SWF17c]</v>
      </c>
      <c r="C76" s="42" t="s">
        <v>374</v>
      </c>
      <c r="D76" s="43" t="s">
        <v>904</v>
      </c>
      <c r="E76" s="55" t="s">
        <v>422</v>
      </c>
      <c r="F76" s="44" t="s">
        <v>318</v>
      </c>
      <c r="G76" s="184">
        <f>IF(ISBLANK('Previous years'!I74),"",'Previous years'!I74)</f>
        <v>604916.4082660001</v>
      </c>
      <c r="H76" s="190">
        <f>SUMIF(PROJECT_FINANCIAL_SUMMARY!$B:$B,"Storm Water",PROJECT_FINANCIAL_SUMMARY!$T:$T)</f>
        <v>335668.020349</v>
      </c>
      <c r="I76" s="12" t="s">
        <v>57</v>
      </c>
      <c r="J76" s="12" t="s">
        <v>410</v>
      </c>
      <c r="K76" s="12" t="s">
        <v>653</v>
      </c>
      <c r="L76" s="12"/>
      <c r="M76" s="12"/>
      <c r="N76" s="12"/>
    </row>
    <row r="77" spans="2:14" ht="20.100000000000001" customHeight="1" thickBot="1">
      <c r="B77" s="163" t="str">
        <f t="shared" si="1"/>
        <v>Actual Capital Expenditure per Property: Stormwater [SWF18]</v>
      </c>
      <c r="C77" s="110" t="s">
        <v>374</v>
      </c>
      <c r="D77" s="475" t="s">
        <v>905</v>
      </c>
      <c r="E77" s="476" t="s">
        <v>906</v>
      </c>
      <c r="F77" s="477" t="s">
        <v>370</v>
      </c>
      <c r="G77" s="502">
        <f>IF(ISBLANK('Previous years'!I75),"",'Previous years'!I75)</f>
        <v>302.14540487804879</v>
      </c>
      <c r="H77" s="456">
        <f>IFERROR(H73/H9,"")</f>
        <v>165.13761226922938</v>
      </c>
      <c r="I77" s="113" t="s">
        <v>66</v>
      </c>
      <c r="J77" s="113"/>
      <c r="K77" s="113"/>
      <c r="L77" s="113"/>
      <c r="M77" s="113"/>
      <c r="N77" s="113"/>
    </row>
    <row r="78" spans="2:14" ht="20.100000000000001" customHeight="1">
      <c r="B78" s="163" t="str">
        <f t="shared" si="1"/>
        <v>Development Contributions: Stormwater assets [SWF19]</v>
      </c>
      <c r="C78" s="41" t="s">
        <v>425</v>
      </c>
      <c r="D78" s="465" t="s">
        <v>907</v>
      </c>
      <c r="E78" s="509" t="s">
        <v>908</v>
      </c>
      <c r="F78" s="467" t="s">
        <v>318</v>
      </c>
      <c r="G78" s="496">
        <f>IF(ISBLANK('Previous years'!I76),"",'Previous years'!I76)</f>
        <v>14202013</v>
      </c>
      <c r="H78" s="449">
        <f>'SW P&amp;L'!H39</f>
        <v>15366381.58</v>
      </c>
      <c r="I78" s="9" t="s">
        <v>57</v>
      </c>
      <c r="J78" s="10" t="s">
        <v>363</v>
      </c>
      <c r="K78" s="10" t="s">
        <v>653</v>
      </c>
      <c r="L78" s="10" t="s">
        <v>428</v>
      </c>
      <c r="M78" s="10"/>
      <c r="N78" s="10"/>
    </row>
    <row r="79" spans="2:14" ht="20.100000000000001" customHeight="1" thickBot="1">
      <c r="B79" s="163" t="str">
        <f t="shared" si="1"/>
        <v>Stormwater asset value at end of reporting year [SWF20]</v>
      </c>
      <c r="C79" s="42" t="s">
        <v>425</v>
      </c>
      <c r="D79" s="468" t="s">
        <v>909</v>
      </c>
      <c r="E79" s="510" t="s">
        <v>910</v>
      </c>
      <c r="F79" s="482" t="s">
        <v>318</v>
      </c>
      <c r="G79" s="497">
        <f>IF(ISBLANK('Previous years'!I77),"",'Previous years'!I77)</f>
        <v>272505435.80000001</v>
      </c>
      <c r="H79" s="360">
        <v>294308380</v>
      </c>
      <c r="I79" s="11" t="s">
        <v>57</v>
      </c>
      <c r="J79" s="11"/>
      <c r="K79" s="12" t="s">
        <v>527</v>
      </c>
      <c r="L79" s="11"/>
      <c r="M79" s="11"/>
      <c r="N79" s="11"/>
    </row>
    <row r="80" spans="2:14" ht="20.100000000000001" customHeight="1" thickBot="1">
      <c r="B80" s="163" t="str">
        <f t="shared" si="1"/>
        <v>Decline in Service Potential: Stormwater [SWF21]</v>
      </c>
      <c r="C80" s="110" t="s">
        <v>425</v>
      </c>
      <c r="D80" s="464" t="s">
        <v>911</v>
      </c>
      <c r="E80" s="120" t="s">
        <v>912</v>
      </c>
      <c r="F80" s="507" t="s">
        <v>54</v>
      </c>
      <c r="G80" s="508">
        <f>IF(ISBLANK('Previous years'!I78),"",'Previous years'!I78)</f>
        <v>0.14273784195533978</v>
      </c>
      <c r="H80" s="230">
        <f>IFERROR(H76/H63,"")</f>
        <v>7.3725429359812647E-2</v>
      </c>
      <c r="I80" s="113" t="s">
        <v>66</v>
      </c>
      <c r="J80" s="113"/>
      <c r="K80" s="113"/>
      <c r="L80" s="113"/>
      <c r="M80" s="113"/>
      <c r="N80" s="113"/>
    </row>
    <row r="81" spans="2:14" ht="20.100000000000001" customHeight="1" thickBot="1">
      <c r="B81" s="163" t="str">
        <f t="shared" si="1"/>
        <v>External Grants: Stormwater [SWF22]</v>
      </c>
      <c r="C81" s="122" t="s">
        <v>435</v>
      </c>
      <c r="D81" s="123" t="s">
        <v>913</v>
      </c>
      <c r="E81" s="124" t="s">
        <v>914</v>
      </c>
      <c r="F81" s="125" t="s">
        <v>318</v>
      </c>
      <c r="G81" s="242">
        <f>IF(ISBLANK('Previous years'!I79),"",'Previous years'!I79)</f>
        <v>0</v>
      </c>
      <c r="H81" s="243">
        <v>0</v>
      </c>
      <c r="I81" s="126"/>
      <c r="J81" s="126"/>
      <c r="K81" s="126"/>
      <c r="L81" s="126"/>
      <c r="M81" s="126"/>
      <c r="N81" s="126"/>
    </row>
  </sheetData>
  <dataValidations xWindow="1092" yWindow="419" count="58">
    <dataValidation allowBlank="1" showInputMessage="1" showErrorMessage="1" prompt="Number of direct discharges from the piped network which discharge directly to open watercourses drains, rivers, coastal areas. This may also include discharge to soakage where quality/volume results in an environmental impact." sqref="H26" xr:uid="{00000000-0002-0000-0400-000000000000}"/>
    <dataValidation allowBlank="1" showInputMessage="1" showErrorMessage="1" prompt="The number of stormwater discharges (listed in SWE1a) covered by resource consents. If multiple discharges are covered by a smaller number of consents, provide details in the comments field." sqref="H27" xr:uid="{00000000-0002-0000-0400-000001000000}"/>
    <dataValidation allowBlank="1" showInputMessage="1" showErrorMessage="1" prompt="Weighted average age of all pipelines within the total stormwater serviced area." sqref="H20" xr:uid="{00000000-0002-0000-0400-000002000000}"/>
    <dataValidation allowBlank="1" showInputMessage="1" showErrorMessage="1" prompt="This cell is automatically calculated based on other supplied data. It can be overwritten if a more accurage value is available." sqref="H6" xr:uid="{00000000-0002-0000-0400-000003000000}"/>
    <dataValidation allowBlank="1" showInputMessage="1" showErrorMessage="1" prompt="This cell is automatically calculated based on other supplied data." sqref="H9 H43 H80 H54:H55 H61:H62 H65:H69 H73 H77 H46" xr:uid="{00000000-0002-0000-0400-000004000000}"/>
    <dataValidation allowBlank="1" showInputMessage="1" showErrorMessage="1" prompt="Stormwater serviced properties are defined as those billed for stormwater services. This includes properties that do not have an explicit stormwater charge but are billed through other means. Further detail is in the definitions guidelines." sqref="H7" xr:uid="{00000000-0002-0000-0400-000005000000}"/>
    <dataValidation allowBlank="1" showInputMessage="1" showErrorMessage="1" prompt="Stormwater serviced properties are defined as those billed for stormwater services. Non-residential is defined as any business or other property that is not identified as a residential connection. Further detail is in the definitions guidelines." sqref="H8" xr:uid="{00000000-0002-0000-0400-000006000000}"/>
    <dataValidation allowBlank="1" showInputMessage="1" showErrorMessage="1" prompt="This includes all pipes, culverts and lined channels that form part of the primary stormwater reticulation network. It does not include pipes associated with  house branch connections, ditches, unlined channels, swales and streams._x000a_" sqref="H10" xr:uid="{00000000-0002-0000-0400-000007000000}"/>
    <dataValidation allowBlank="1" showInputMessage="1" showErrorMessage="1" prompt="Length of new stormwater mains renewed using internal CAPEX " sqref="H11" xr:uid="{00000000-0002-0000-0400-000008000000}"/>
    <dataValidation allowBlank="1" showInputMessage="1" showErrorMessage="1" prompt="Lengths of stormwater mains constructed using internal CAPEX (NOT vested to the organisation by developers)." sqref="H12" xr:uid="{00000000-0002-0000-0400-000009000000}"/>
    <dataValidation allowBlank="1" showInputMessage="1" showErrorMessage="1" prompt="Percentage of stormwater pipes that have received a condition grading of 1." sqref="H13" xr:uid="{00000000-0002-0000-0400-00000A000000}"/>
    <dataValidation allowBlank="1" showInputMessage="1" showErrorMessage="1" prompt="Percentage of stormwater pipelines that have received a condition grading of 2." sqref="H14" xr:uid="{00000000-0002-0000-0400-00000B000000}"/>
    <dataValidation allowBlank="1" showInputMessage="1" showErrorMessage="1" prompt="Percentage of stormwater pipelines that have received a condition grading of 3." sqref="H15" xr:uid="{00000000-0002-0000-0400-00000C000000}"/>
    <dataValidation allowBlank="1" showInputMessage="1" showErrorMessage="1" prompt="Percentage of stormwater pipelines that have received a condition grading of 4." sqref="H16" xr:uid="{00000000-0002-0000-0400-00000D000000}"/>
    <dataValidation allowBlank="1" showInputMessage="1" showErrorMessage="1" prompt="Percentage of stormwater pipelines that have received a condition grading of 5." sqref="H17" xr:uid="{00000000-0002-0000-0400-00000E000000}"/>
    <dataValidation allowBlank="1" showInputMessage="1" showErrorMessage="1" prompt="Percentage of stormwater pipelines that have yet to recieve a condition grading." sqref="H18" xr:uid="{00000000-0002-0000-0400-00000F000000}"/>
    <dataValidation type="list" allowBlank="1" showInputMessage="1" showErrorMessage="1" sqref="I7:I8 I10:I18 I81 I41:I42 I44:I45 I23:I39 I63:I64 I70:I72 I74:I76 I78:I79 I20 I47:I53 I56:I60" xr:uid="{00000000-0002-0000-0400-000010000000}">
      <formula1>Data_confidence</formula1>
    </dataValidation>
    <dataValidation type="list" allowBlank="1" showErrorMessage="1" sqref="H22" xr:uid="{00000000-0002-0000-0400-000011000000}">
      <formula1>Above_ground_condition_assessment</formula1>
    </dataValidation>
    <dataValidation allowBlank="1" showInputMessage="1" showErrorMessage="1" prompt="Percent of network that has had CCTV completed in the last 5 years." sqref="H24" xr:uid="{00000000-0002-0000-0400-000012000000}"/>
    <dataValidation allowBlank="1" showInputMessage="1" showErrorMessage="1" prompt="The percentage of above ground assets assessed within 3 years." sqref="H23" xr:uid="{00000000-0002-0000-0400-000013000000}"/>
    <dataValidation allowBlank="1" showInputMessage="1" showErrorMessage="1" prompt="The number of stormwater pump stations. If not applicable to the organisation leave blank." sqref="H25" xr:uid="{00000000-0002-0000-0400-000014000000}"/>
    <dataValidation allowBlank="1" showInputMessage="1" showErrorMessage="1" prompt="The number of abatement notices received by the organisation in relation to stormwater discharge consents." sqref="H28" xr:uid="{00000000-0002-0000-0400-000015000000}"/>
    <dataValidation allowBlank="1" showInputMessage="1" showErrorMessage="1" prompt="The number of infringement notices received by the organisation in relation to stormwater discharge consents." sqref="H29" xr:uid="{00000000-0002-0000-0400-000016000000}"/>
    <dataValidation allowBlank="1" showInputMessage="1" showErrorMessage="1" prompt="The number of enforcement orders received by the organisation in relation to stormwater discharge consents." sqref="H30" xr:uid="{00000000-0002-0000-0400-000017000000}"/>
    <dataValidation allowBlank="1" showInputMessage="1" showErrorMessage="1" prompt="The number of successful prosecutions received by the organisation in relation to stormwater discharge consents." sqref="H31" xr:uid="{00000000-0002-0000-0400-000018000000}"/>
    <dataValidation allowBlank="1" showInputMessage="1" showErrorMessage="1" prompt="Average annual targeted stormwater charge (GST included) for a urban residential property. If no stormwater charges apply, detail how customers contribute to costs in the comments field (e.g. stormwater included in roading rate or wastewater rate). " sqref="H38" xr:uid="{00000000-0002-0000-0400-000019000000}"/>
    <dataValidation type="list" allowBlank="1" showInputMessage="1" showErrorMessage="1" prompt="The manner in which the charge for stormwater services is levied. " sqref="H39" xr:uid="{00000000-0002-0000-0400-00001A000000}">
      <formula1>Charge_type</formula1>
    </dataValidation>
    <dataValidation allowBlank="1" showInputMessage="1" showErrorMessage="1" prompt="Automatically calculated by summing complaints by type. The value can be overwritten if a breakdown of stormwater complaints by type is not known or other complaints are recorded. The defintion of a complaint is detailed in the definition guidelines." sqref="H40" xr:uid="{00000000-0002-0000-0400-00001B000000}"/>
    <dataValidation allowBlank="1" showInputMessage="1" showErrorMessage="1" prompt="Number of flooding events that occured as a result of the capacity of the stormwater system (including primary and secondary networks) being exceeded." sqref="H44" xr:uid="{00000000-0002-0000-0400-00001C000000}"/>
    <dataValidation allowBlank="1" showInputMessage="1" showErrorMessage="1" prompt="Number of habitable floors flooded as a result of the capacity of the stormwater system (including primary and secondary networks) being exceeded._x000a_" sqref="H45" xr:uid="{00000000-0002-0000-0400-00001D000000}"/>
    <dataValidation allowBlank="1" showInputMessage="1" showErrorMessage="1" prompt="Median time taken for the local authority to attend call-outs in response to a flooding event, measured from the time that the territorial authority receives notification to the time that service personnel reach the site." sqref="H49" xr:uid="{00000000-0002-0000-0400-00001E000000}"/>
    <dataValidation allowBlank="1" showInputMessage="1" showErrorMessage="1" prompt="The level of service targeted during primary (typically piped) stormwater network design as an annual exceedance probability (i.e. the probability of a flooding even occuring annually). Definitions guidelines contain further detail." sqref="H50" xr:uid="{00000000-0002-0000-0400-00001F000000}"/>
    <dataValidation allowBlank="1" showInputMessage="1" showErrorMessage="1" prompt="The level of service targeted during secondary stormwater network design as an annual exceedance probability (i.e. the probability of a flooding even occuring annually). Definitions guidelines contain further detail." sqref="H51" xr:uid="{00000000-0002-0000-0400-000020000000}"/>
    <dataValidation allowBlank="1" showInputMessage="1" showErrorMessage="1" prompt="Operating revenue (income) for the reporting year relating to the total stormwater serviced area.  Further detail is provided in the definition guidelines." sqref="H52" xr:uid="{00000000-0002-0000-0400-000021000000}"/>
    <dataValidation allowBlank="1" showInputMessage="1" showErrorMessage="1" prompt="Developer revenue (income) for the reporting year. This includes all developer cash contributions. It excludes developer asset contributions." sqref="H53" xr:uid="{00000000-0002-0000-0400-000022000000}"/>
    <dataValidation allowBlank="1" showInputMessage="1" showErrorMessage="1" prompt="Increase in debt related to stormwater (negative value to indicate decrease in debt). Debt is considered any funding that is required to be repayed including internal loans. Funding from reserves or developer contributions is not to be included" sqref="H56" xr:uid="{00000000-0002-0000-0400-000023000000}"/>
    <dataValidation allowBlank="1" showInputMessage="1" showErrorMessage="1" prompt="Cost of scheduled operational and maintenance works and external consultants and contractors used for such works.  If reactive maintenance cannot be separated out, include total here." sqref="H57" xr:uid="{00000000-0002-0000-0400-000024000000}"/>
    <dataValidation allowBlank="1" showInputMessage="1" showErrorMessage="1" prompt="The costs (including consultant and contractor costs) associated with operation and maintenance of the stormwater network, not included as routine maintenance." sqref="H58" xr:uid="{00000000-0002-0000-0400-000025000000}"/>
    <dataValidation allowBlank="1" showInputMessage="1" showErrorMessage="1" prompt="Organisational costs including costs related to salaries, accommodation, rate payment, IT,training, etc. Does not include contract management costs listed in WWF12." sqref="H59" xr:uid="{00000000-0002-0000-0400-000026000000}"/>
    <dataValidation allowBlank="1" showInputMessage="1" showErrorMessage="1" prompt="Council's contract management costs where management of the network is carried out by a  Council Controlled Organisation or an external maintenance contractor.  " sqref="H60" xr:uid="{00000000-0002-0000-0400-000027000000}"/>
    <dataValidation allowBlank="1" showInputMessage="1" showErrorMessage="1" prompt="The depreciation cost in the reporting year as reported in the latest replacement cost valuation." sqref="H63" xr:uid="{00000000-0002-0000-0400-000028000000}"/>
    <dataValidation allowBlank="1" showInputMessage="1" showErrorMessage="1" prompt="The interest cost for the reporting year. " sqref="H64" xr:uid="{00000000-0002-0000-0400-000029000000}"/>
    <dataValidation allowBlank="1" showInputMessage="1" showErrorMessage="1" prompt="Budgeted capital expenditure related to growth in the stotmwater system including new works and subdivisions." sqref="H70" xr:uid="{00000000-0002-0000-0400-00002A000000}"/>
    <dataValidation allowBlank="1" showInputMessage="1" showErrorMessage="1" prompt="Budgeted capital expenditure on existing stormwater assets that is not driven by asset condition or age." sqref="H71" xr:uid="{00000000-0002-0000-0400-00002B000000}"/>
    <dataValidation allowBlank="1" showInputMessage="1" showErrorMessage="1" prompt="Budgeted capital expenditure related to renewals or replacements or other expenditure." sqref="H72" xr:uid="{00000000-0002-0000-0400-00002C000000}"/>
    <dataValidation allowBlank="1" showInputMessage="1" showErrorMessage="1" prompt="Capital expenditure related to growth in the stotmwater system including new works and subdivisions." sqref="H74" xr:uid="{00000000-0002-0000-0400-00002D000000}"/>
    <dataValidation allowBlank="1" showInputMessage="1" showErrorMessage="1" prompt="Capital expenditure on existing stormwater assets that is not driven by asset condition or age." sqref="H75" xr:uid="{00000000-0002-0000-0400-00002E000000}"/>
    <dataValidation allowBlank="1" showInputMessage="1" showErrorMessage="1" prompt="Capital expenditure related to renewals or replacements or other expenditure on stormwater assets that would otherwise be referred to as capital." sqref="H76" xr:uid="{00000000-0002-0000-0400-00002F000000}"/>
    <dataValidation allowBlank="1" showInputMessage="1" showErrorMessage="1" prompt="Value of assets vested in the council during the reporting year as part of development contributions (excludes cash payments)." sqref="H78" xr:uid="{00000000-0002-0000-0400-000030000000}"/>
    <dataValidation allowBlank="1" showInputMessage="1" showErrorMessage="1" prompt="The closing book value of stormwater assets." sqref="H79" xr:uid="{00000000-0002-0000-0400-000031000000}"/>
    <dataValidation allowBlank="1" showInputMessage="1" showErrorMessage="1" prompt="Any external grants received (not awarded) during the financial year for capital or operational costs related to the stormwater scheme." sqref="H81" xr:uid="{00000000-0002-0000-0400-000032000000}"/>
    <dataValidation allowBlank="1" showInputMessage="1" showErrorMessage="1" prompt="The number of breaches of stormwater discharge consent conditions. Include an outline of non-conformances in the comments field. Further detail in the definition guide." sqref="H32" xr:uid="{00000000-0002-0000-0400-000033000000}"/>
    <dataValidation allowBlank="1" showInputMessage="1" showErrorMessage="1" prompt="The number of flooding events that occured as a result of events not related to stormwater capacity (e.g. tidal innundation or a river bursting flood banks)." sqref="H47" xr:uid="{00000000-0002-0000-0400-000034000000}"/>
    <dataValidation allowBlank="1" showInputMessage="1" showErrorMessage="1" prompt="The number of habitable floors flooded as a result of events not related to stormwater capacity (e.g. tidal innundation or a river bursting flood banks)." sqref="H48" xr:uid="{00000000-0002-0000-0400-000035000000}"/>
    <dataValidation allowBlank="1" showInputMessage="1" showErrorMessage="1" prompt="Detail on complaints definitions is included in the defintion guide." sqref="H41:H42" xr:uid="{00000000-0002-0000-0400-000036000000}"/>
    <dataValidation allowBlank="1" showInputMessage="1" showErrorMessage="1" prompt="The total energy consumed by stormwater pumps and treatment devices. Do not include office or fleet related energy consumption. Joules of energy provided by all energy sources including electricity, diesel, gas and biogas should be included." sqref="H37" xr:uid="{00000000-0002-0000-0400-000037000000}"/>
    <dataValidation allowBlank="1" showInputMessage="1" showErrorMessage="1" prompt="The number of letters of direction recieved in relation to stormwater discharge consent non-compliance." sqref="H33" xr:uid="{00000000-0002-0000-0400-000038000000}"/>
    <dataValidation allowBlank="1" showInputMessage="1" showErrorMessage="1" prompt="The number of formal warnings recieved in relation to stormwater discharge consent non-compliance." sqref="H34" xr:uid="{00000000-0002-0000-0400-000039000000}"/>
  </dataValidations>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xWindow="1092" yWindow="419" count="4">
        <x14:dataValidation type="list" allowBlank="1" showInputMessage="1" showErrorMessage="1" prompt="Is stormwater quality regularly monitored. If so, include details in the comments field." xr:uid="{00000000-0002-0000-0400-00003A000000}">
          <x14:formula1>
            <xm:f>'Data lists'!$C$1:$C$2</xm:f>
          </x14:formula1>
          <xm:sqref>H35</xm:sqref>
        </x14:dataValidation>
        <x14:dataValidation type="list" allowBlank="1" showInputMessage="1" showErrorMessage="1" prompt="Is there a plan (or similar document) implemented to manage stormwater quality. If so, include details in the comments field." xr:uid="{00000000-0002-0000-0400-00003B000000}">
          <x14:formula1>
            <xm:f>'Data lists'!$C$1:$C$2</xm:f>
          </x14:formula1>
          <xm:sqref>H36</xm:sqref>
        </x14:dataValidation>
        <x14:dataValidation type="list" allowBlank="1" showInputMessage="1" showErrorMessage="1" prompt="The condition grading approached used for SWA2" xr:uid="{00000000-0002-0000-0400-00003C000000}">
          <x14:formula1>
            <xm:f>'Data lists'!$B$2:$B$9</xm:f>
          </x14:formula1>
          <xm:sqref>H19</xm:sqref>
        </x14:dataValidation>
        <x14:dataValidation type="list" allowBlank="1" showInputMessage="1" showErrorMessage="1" prompt="A yes or no response to clarify if a regular conditions assessment programme is in place for above ground stormwater assets.  " xr:uid="{00000000-0002-0000-0400-00003D000000}">
          <x14:formula1>
            <xm:f>'Data lists'!$C$1:$C$2</xm:f>
          </x14:formula1>
          <xm:sqref>H21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0" tint="-0.34998626667073579"/>
  </sheetPr>
  <dimension ref="A9:AJ570"/>
  <sheetViews>
    <sheetView showGridLines="0" zoomScale="55" zoomScaleNormal="55" workbookViewId="0">
      <selection activeCell="M43" sqref="M43"/>
    </sheetView>
  </sheetViews>
  <sheetFormatPr defaultColWidth="8.7109375" defaultRowHeight="15" outlineLevelRow="1" outlineLevelCol="1"/>
  <cols>
    <col min="1" max="1" width="11.42578125" customWidth="1"/>
    <col min="2" max="2" width="10" customWidth="1"/>
    <col min="3" max="3" width="16.42578125" customWidth="1"/>
    <col min="4" max="4" width="15.140625" customWidth="1"/>
    <col min="5" max="5" width="2.42578125" customWidth="1"/>
    <col min="6" max="6" width="15.140625" customWidth="1"/>
    <col min="7" max="7" width="12.140625" customWidth="1"/>
    <col min="8" max="8" width="3.140625" bestFit="1" customWidth="1"/>
    <col min="9" max="9" width="14.140625" bestFit="1" customWidth="1"/>
    <col min="10" max="10" width="2.42578125" customWidth="1"/>
    <col min="11" max="11" width="14.140625" bestFit="1" customWidth="1"/>
    <col min="12" max="12" width="11.140625" bestFit="1" customWidth="1"/>
    <col min="13" max="13" width="3.140625" bestFit="1" customWidth="1"/>
    <col min="14" max="14" width="14.42578125" customWidth="1" outlineLevel="1"/>
    <col min="15" max="15" width="2.140625" customWidth="1" outlineLevel="1"/>
    <col min="16" max="17" width="14.42578125" customWidth="1" outlineLevel="1"/>
    <col min="18" max="18" width="25.5703125" customWidth="1"/>
    <col min="19" max="19" width="26.140625" customWidth="1" outlineLevel="1"/>
    <col min="20" max="20" width="12" customWidth="1" outlineLevel="1"/>
    <col min="21" max="21" width="21.5703125" customWidth="1" outlineLevel="1"/>
    <col min="22" max="22" width="9" customWidth="1" outlineLevel="1"/>
    <col min="23" max="23" width="11.42578125" style="1" customWidth="1" outlineLevel="1"/>
    <col min="24" max="24" width="6.7109375" bestFit="1" customWidth="1" outlineLevel="1"/>
    <col min="25" max="26" width="8.42578125" customWidth="1" outlineLevel="1"/>
    <col min="27" max="27" width="9.140625" customWidth="1" outlineLevel="1"/>
    <col min="28" max="28" width="22.5703125" customWidth="1" outlineLevel="1"/>
    <col min="29" max="34" width="13.5703125" customWidth="1" outlineLevel="1"/>
    <col min="35" max="36" width="13.42578125" customWidth="1" outlineLevel="1"/>
  </cols>
  <sheetData>
    <row r="9" spans="1:17" ht="18">
      <c r="A9" s="513" t="s">
        <v>915</v>
      </c>
      <c r="B9" s="514"/>
      <c r="C9" s="514"/>
      <c r="D9" s="515"/>
      <c r="E9" s="514"/>
      <c r="F9" s="515"/>
      <c r="G9" s="515"/>
      <c r="H9" s="515"/>
      <c r="I9" s="515"/>
      <c r="J9" s="515"/>
      <c r="K9" s="515"/>
      <c r="L9" s="515"/>
      <c r="M9" s="515"/>
      <c r="N9" s="515"/>
      <c r="O9" s="515"/>
      <c r="P9" s="515"/>
      <c r="Q9" s="515"/>
    </row>
    <row r="10" spans="1:17">
      <c r="A10" s="515"/>
      <c r="B10" s="514"/>
      <c r="C10" s="514"/>
      <c r="E10" s="514"/>
      <c r="F10" s="515"/>
      <c r="G10" s="515"/>
      <c r="H10" s="515"/>
      <c r="I10" s="515"/>
      <c r="J10" s="515"/>
      <c r="K10" s="515"/>
      <c r="L10" s="515"/>
      <c r="M10" s="515"/>
      <c r="N10" s="515"/>
      <c r="O10" s="515"/>
      <c r="P10" s="515"/>
      <c r="Q10" s="515"/>
    </row>
    <row r="11" spans="1:17">
      <c r="D11" s="516" t="s">
        <v>916</v>
      </c>
      <c r="E11" s="516"/>
      <c r="F11">
        <v>1</v>
      </c>
      <c r="G11" s="516"/>
      <c r="H11" s="516"/>
      <c r="I11" s="516" t="s">
        <v>917</v>
      </c>
      <c r="J11" s="516"/>
      <c r="K11">
        <v>1</v>
      </c>
      <c r="L11" s="516"/>
      <c r="M11" s="516"/>
      <c r="N11" s="516" t="s">
        <v>918</v>
      </c>
      <c r="P11">
        <v>1</v>
      </c>
    </row>
    <row r="12" spans="1:17">
      <c r="B12" s="1"/>
      <c r="D12" s="819" t="s">
        <v>919</v>
      </c>
      <c r="E12" s="820"/>
      <c r="F12" s="820" t="s">
        <v>920</v>
      </c>
      <c r="G12" s="821" t="s">
        <v>921</v>
      </c>
      <c r="H12" s="517"/>
      <c r="I12" s="819" t="s">
        <v>919</v>
      </c>
      <c r="J12" s="820"/>
      <c r="K12" s="820" t="s">
        <v>920</v>
      </c>
      <c r="L12" s="821" t="s">
        <v>921</v>
      </c>
      <c r="M12" s="517"/>
      <c r="N12" s="819" t="s">
        <v>919</v>
      </c>
      <c r="O12" s="820"/>
      <c r="P12" s="820" t="s">
        <v>920</v>
      </c>
      <c r="Q12" s="821" t="s">
        <v>921</v>
      </c>
    </row>
    <row r="13" spans="1:17">
      <c r="B13" s="1"/>
      <c r="D13" s="518"/>
      <c r="E13" s="519"/>
      <c r="F13" s="519"/>
      <c r="G13" s="520"/>
      <c r="H13" s="517"/>
      <c r="I13" s="518"/>
      <c r="J13" s="519"/>
      <c r="K13" s="519"/>
      <c r="L13" s="520"/>
      <c r="M13" s="517"/>
      <c r="N13" s="518"/>
      <c r="O13" s="519"/>
      <c r="P13" s="519"/>
      <c r="Q13" s="520"/>
    </row>
    <row r="14" spans="1:17">
      <c r="B14" s="1"/>
      <c r="D14" s="521"/>
      <c r="G14" s="522"/>
      <c r="I14" s="521"/>
      <c r="L14" s="522"/>
      <c r="N14" s="521"/>
      <c r="Q14" s="522"/>
    </row>
    <row r="15" spans="1:17">
      <c r="A15" t="s">
        <v>922</v>
      </c>
      <c r="D15" s="523">
        <v>1090000</v>
      </c>
      <c r="E15" s="524"/>
      <c r="F15" s="524">
        <v>1090000</v>
      </c>
      <c r="G15" s="525">
        <v>0</v>
      </c>
      <c r="H15" s="526"/>
      <c r="I15" s="523">
        <v>845000</v>
      </c>
      <c r="J15" s="524"/>
      <c r="K15" s="524">
        <v>845000</v>
      </c>
      <c r="L15" s="525">
        <v>0</v>
      </c>
      <c r="M15" s="526"/>
      <c r="N15" s="523">
        <v>890000</v>
      </c>
      <c r="O15" s="524"/>
      <c r="P15" s="524">
        <v>890000</v>
      </c>
      <c r="Q15" s="525">
        <v>0</v>
      </c>
    </row>
    <row r="16" spans="1:17">
      <c r="D16" s="527"/>
      <c r="E16" s="528"/>
      <c r="F16" s="528"/>
      <c r="G16" s="522"/>
      <c r="I16" s="527"/>
      <c r="J16" s="528"/>
      <c r="K16" s="528"/>
      <c r="L16" s="522"/>
      <c r="N16" s="527"/>
      <c r="O16" s="528"/>
      <c r="P16" s="528"/>
      <c r="Q16" s="522"/>
    </row>
    <row r="17" spans="1:19">
      <c r="A17" t="s">
        <v>923</v>
      </c>
      <c r="D17" s="529">
        <v>56</v>
      </c>
      <c r="E17" s="528"/>
      <c r="F17" s="530">
        <v>65</v>
      </c>
      <c r="G17" s="531"/>
      <c r="I17" s="532">
        <v>56</v>
      </c>
      <c r="J17" s="528"/>
      <c r="K17" s="530">
        <v>65</v>
      </c>
      <c r="L17" s="531"/>
      <c r="N17" s="532">
        <v>56</v>
      </c>
      <c r="O17" s="528"/>
      <c r="P17" s="530">
        <v>65</v>
      </c>
      <c r="Q17" s="525"/>
    </row>
    <row r="18" spans="1:19">
      <c r="A18" s="533" t="s">
        <v>924</v>
      </c>
      <c r="C18" s="534"/>
      <c r="D18" s="529">
        <v>358</v>
      </c>
      <c r="E18" s="535"/>
      <c r="F18" s="530">
        <v>387</v>
      </c>
      <c r="G18" s="531"/>
      <c r="I18" s="532">
        <v>358</v>
      </c>
      <c r="J18" s="535"/>
      <c r="K18" s="530">
        <v>387</v>
      </c>
      <c r="L18" s="531"/>
      <c r="N18" s="532">
        <v>358</v>
      </c>
      <c r="O18" s="535"/>
      <c r="P18" s="530">
        <v>387</v>
      </c>
      <c r="Q18" s="525"/>
    </row>
    <row r="19" spans="1:19">
      <c r="A19" s="533" t="s">
        <v>925</v>
      </c>
      <c r="C19" s="534"/>
      <c r="D19" s="529">
        <v>276.96344633332882</v>
      </c>
      <c r="E19" s="535"/>
      <c r="F19" s="530">
        <v>304.51157242642466</v>
      </c>
      <c r="G19" s="531"/>
      <c r="I19" s="532">
        <v>276.96344633332882</v>
      </c>
      <c r="J19" s="535"/>
      <c r="K19" s="530">
        <v>304.51157242642466</v>
      </c>
      <c r="L19" s="531"/>
      <c r="N19" s="532">
        <v>276.96344633332882</v>
      </c>
      <c r="O19" s="535"/>
      <c r="P19" s="530">
        <v>304.51157242642466</v>
      </c>
      <c r="Q19" s="525"/>
    </row>
    <row r="20" spans="1:19">
      <c r="A20" t="s">
        <v>926</v>
      </c>
      <c r="C20" s="534"/>
      <c r="D20" s="529">
        <v>106</v>
      </c>
      <c r="E20" s="536"/>
      <c r="F20" s="530">
        <v>136</v>
      </c>
      <c r="G20" s="531"/>
      <c r="I20" s="532">
        <v>186</v>
      </c>
      <c r="J20" s="535"/>
      <c r="K20" s="537">
        <v>190</v>
      </c>
      <c r="L20" s="531"/>
      <c r="N20" s="532">
        <v>106</v>
      </c>
      <c r="O20" s="535"/>
      <c r="P20" s="530">
        <v>136</v>
      </c>
      <c r="Q20" s="525"/>
    </row>
    <row r="21" spans="1:19">
      <c r="A21" t="s">
        <v>927</v>
      </c>
      <c r="C21" s="534"/>
      <c r="D21" s="529">
        <v>39.096098896832913</v>
      </c>
      <c r="E21" s="536"/>
      <c r="F21" s="530">
        <v>27.978685640162894</v>
      </c>
      <c r="G21" s="531"/>
      <c r="I21" s="532">
        <v>30.308443640205329</v>
      </c>
      <c r="J21" s="535"/>
      <c r="K21" s="530">
        <v>21.689898500860224</v>
      </c>
      <c r="L21" s="531"/>
      <c r="N21" s="532">
        <v>31.922502768973661</v>
      </c>
      <c r="O21" s="535"/>
      <c r="P21" s="530">
        <v>22.844981852977043</v>
      </c>
      <c r="Q21" s="525"/>
    </row>
    <row r="22" spans="1:19">
      <c r="A22" s="533" t="s">
        <v>928</v>
      </c>
      <c r="C22" s="534"/>
      <c r="D22" s="529">
        <v>187.84203835269136</v>
      </c>
      <c r="E22" s="538"/>
      <c r="F22" s="530">
        <v>205.53616787524743</v>
      </c>
      <c r="G22" s="531"/>
      <c r="I22" s="532">
        <v>145.62066275965523</v>
      </c>
      <c r="J22" s="539"/>
      <c r="K22" s="530">
        <v>159.33767142622392</v>
      </c>
      <c r="L22" s="531"/>
      <c r="N22" s="532">
        <v>153.37560929715164</v>
      </c>
      <c r="O22" s="539"/>
      <c r="P22" s="530">
        <v>167.82310954951396</v>
      </c>
      <c r="Q22" s="525"/>
    </row>
    <row r="23" spans="1:19">
      <c r="A23" s="533" t="s">
        <v>929</v>
      </c>
      <c r="C23" s="534"/>
      <c r="D23" s="529">
        <v>171.18605233890318</v>
      </c>
      <c r="E23" s="538"/>
      <c r="F23" s="530">
        <v>146.81291141799559</v>
      </c>
      <c r="G23" s="531"/>
      <c r="I23" s="532">
        <v>132.70845341869099</v>
      </c>
      <c r="J23" s="539"/>
      <c r="K23" s="530">
        <v>113.81367903505163</v>
      </c>
      <c r="L23" s="531"/>
      <c r="N23" s="532">
        <v>139.7757675060769</v>
      </c>
      <c r="O23" s="539"/>
      <c r="P23" s="530">
        <v>119.87476253395971</v>
      </c>
      <c r="Q23" s="525"/>
    </row>
    <row r="24" spans="1:19">
      <c r="A24" s="533" t="s">
        <v>930</v>
      </c>
      <c r="C24" s="534"/>
      <c r="D24" s="529">
        <v>202.08441161336856</v>
      </c>
      <c r="E24" s="538"/>
      <c r="F24" s="530">
        <v>251.95189937092641</v>
      </c>
      <c r="G24" s="531"/>
      <c r="I24" s="532">
        <v>156.66176863605179</v>
      </c>
      <c r="J24" s="539"/>
      <c r="K24" s="530">
        <v>195.3205091453512</v>
      </c>
      <c r="L24" s="531"/>
      <c r="N24" s="532">
        <v>165.0047030604569</v>
      </c>
      <c r="O24" s="539"/>
      <c r="P24" s="530">
        <v>205.72219306433442</v>
      </c>
      <c r="Q24" s="525"/>
    </row>
    <row r="25" spans="1:19">
      <c r="A25" t="s">
        <v>931</v>
      </c>
      <c r="C25" s="534"/>
      <c r="D25" s="529">
        <v>237.03549108193846</v>
      </c>
      <c r="E25" s="536"/>
      <c r="F25" s="530">
        <v>196.32720921990415</v>
      </c>
      <c r="G25" s="531"/>
      <c r="I25" s="532">
        <v>308.4264411923167</v>
      </c>
      <c r="J25" s="535"/>
      <c r="K25" s="530">
        <v>266.49871400848411</v>
      </c>
      <c r="L25" s="531"/>
      <c r="N25" s="532">
        <v>193.54274042470203</v>
      </c>
      <c r="O25" s="535"/>
      <c r="P25" s="530">
        <v>160.30386807863732</v>
      </c>
      <c r="Q25" s="525"/>
    </row>
    <row r="26" spans="1:19">
      <c r="A26" t="s">
        <v>932</v>
      </c>
      <c r="C26" s="534"/>
      <c r="D26" s="529">
        <v>125.94981244999512</v>
      </c>
      <c r="E26" s="536"/>
      <c r="F26" s="629">
        <v>138.63168914572606</v>
      </c>
      <c r="G26" s="531"/>
      <c r="I26" s="532">
        <v>133.14150534061881</v>
      </c>
      <c r="J26" s="535"/>
      <c r="K26" s="530">
        <v>133.71707337985012</v>
      </c>
      <c r="L26" s="531"/>
      <c r="N26" s="532">
        <v>102.83975511972079</v>
      </c>
      <c r="O26" s="535"/>
      <c r="P26" s="530">
        <v>113.19468196302401</v>
      </c>
      <c r="Q26" s="525"/>
    </row>
    <row r="27" spans="1:19">
      <c r="C27" s="534"/>
      <c r="D27" s="529"/>
      <c r="E27" s="536"/>
      <c r="F27" s="530"/>
      <c r="G27" s="531"/>
      <c r="I27" s="532"/>
      <c r="J27" s="535"/>
      <c r="K27" s="530"/>
      <c r="L27" s="531"/>
      <c r="N27" s="532"/>
      <c r="O27" s="535"/>
      <c r="P27" s="530"/>
      <c r="Q27" s="525"/>
    </row>
    <row r="28" spans="1:19">
      <c r="A28" s="533" t="s">
        <v>933</v>
      </c>
      <c r="C28" s="534"/>
      <c r="D28" s="540">
        <v>1760.1573510670585</v>
      </c>
      <c r="E28" s="541"/>
      <c r="F28" s="542">
        <v>1859.7501350963873</v>
      </c>
      <c r="G28" s="531">
        <v>5.6581750471884136E-2</v>
      </c>
      <c r="I28" s="543">
        <v>1783.830721320868</v>
      </c>
      <c r="J28" s="528"/>
      <c r="K28" s="542">
        <v>1836.8891179222458</v>
      </c>
      <c r="L28" s="531">
        <v>2.9744076030986735E-2</v>
      </c>
      <c r="N28" s="543">
        <v>1583.4245245104109</v>
      </c>
      <c r="O28" s="528"/>
      <c r="P28" s="542">
        <v>1682.2751694688714</v>
      </c>
      <c r="Q28" s="525">
        <v>6.2428390762120263E-2</v>
      </c>
    </row>
    <row r="29" spans="1:19">
      <c r="C29" s="534"/>
      <c r="D29" s="527"/>
      <c r="E29" s="528"/>
      <c r="F29" s="528"/>
      <c r="G29" s="531"/>
      <c r="I29" s="527"/>
      <c r="J29" s="528"/>
      <c r="K29" s="528"/>
      <c r="L29" s="531"/>
      <c r="N29" s="527"/>
      <c r="O29" s="528"/>
      <c r="P29" s="528"/>
      <c r="Q29" s="525"/>
    </row>
    <row r="30" spans="1:19">
      <c r="A30" t="s">
        <v>934</v>
      </c>
      <c r="D30" s="527"/>
      <c r="E30" s="528"/>
      <c r="F30" s="528"/>
      <c r="G30" s="531"/>
      <c r="I30" s="527"/>
      <c r="J30" s="528"/>
      <c r="K30" s="528"/>
      <c r="L30" s="531"/>
      <c r="N30" s="527"/>
      <c r="O30" s="528"/>
      <c r="P30" s="528"/>
      <c r="Q30" s="525"/>
      <c r="S30" s="533"/>
    </row>
    <row r="31" spans="1:19">
      <c r="B31" t="s">
        <v>935</v>
      </c>
      <c r="D31" s="529">
        <v>280</v>
      </c>
      <c r="E31" s="528"/>
      <c r="F31" s="528">
        <v>280</v>
      </c>
      <c r="G31" s="531"/>
      <c r="I31" s="532">
        <v>180</v>
      </c>
      <c r="J31" s="528"/>
      <c r="K31" s="528">
        <v>180</v>
      </c>
      <c r="L31" s="531"/>
      <c r="N31" s="532">
        <v>250</v>
      </c>
      <c r="O31" s="528"/>
      <c r="P31" s="528">
        <v>250</v>
      </c>
      <c r="Q31" s="525"/>
    </row>
    <row r="32" spans="1:19">
      <c r="B32" t="s">
        <v>936</v>
      </c>
      <c r="C32" s="534"/>
      <c r="D32" s="529">
        <v>218.81162652317204</v>
      </c>
      <c r="E32" s="528"/>
      <c r="F32" s="530">
        <v>201.78551731985988</v>
      </c>
      <c r="G32" s="531"/>
      <c r="I32" s="532">
        <v>143.14799925211631</v>
      </c>
      <c r="J32" s="528"/>
      <c r="K32" s="530">
        <v>137.90791282692749</v>
      </c>
      <c r="L32" s="531"/>
      <c r="N32" s="532">
        <v>231.87914749840584</v>
      </c>
      <c r="O32" s="528"/>
      <c r="P32" s="530">
        <v>218.00515749546074</v>
      </c>
      <c r="Q32" s="525"/>
    </row>
    <row r="33" spans="1:20">
      <c r="D33" s="544">
        <v>498.81162652317204</v>
      </c>
      <c r="E33" s="528"/>
      <c r="F33" s="630">
        <v>481.78551731985988</v>
      </c>
      <c r="G33" s="531">
        <v>-3.4133344729728787E-2</v>
      </c>
      <c r="I33" s="544">
        <v>323.14799925211628</v>
      </c>
      <c r="J33" s="528"/>
      <c r="K33" s="545">
        <v>317.90791282692749</v>
      </c>
      <c r="L33" s="531">
        <v>-1.6215747698628141E-2</v>
      </c>
      <c r="N33" s="544">
        <v>481.87914749840581</v>
      </c>
      <c r="O33" s="528"/>
      <c r="P33" s="545">
        <v>468.00515749546071</v>
      </c>
      <c r="Q33" s="525">
        <v>-2.8791430538070761E-2</v>
      </c>
    </row>
    <row r="34" spans="1:20">
      <c r="D34" s="527"/>
      <c r="E34" s="528"/>
      <c r="F34" s="528"/>
      <c r="G34" s="531"/>
      <c r="I34" s="527"/>
      <c r="J34" s="528"/>
      <c r="K34" s="528"/>
      <c r="L34" s="531"/>
      <c r="N34" s="527"/>
      <c r="O34" s="528"/>
      <c r="P34" s="528"/>
      <c r="Q34" s="525"/>
    </row>
    <row r="35" spans="1:20">
      <c r="A35" t="s">
        <v>937</v>
      </c>
      <c r="D35" s="527"/>
      <c r="E35" s="528"/>
      <c r="F35" s="528"/>
      <c r="G35" s="531"/>
      <c r="I35" s="527"/>
      <c r="J35" s="528"/>
      <c r="K35" s="528"/>
      <c r="L35" s="531"/>
      <c r="N35" s="527"/>
      <c r="O35" s="528"/>
      <c r="P35" s="528"/>
      <c r="Q35" s="525"/>
    </row>
    <row r="36" spans="1:20">
      <c r="B36" t="s">
        <v>935</v>
      </c>
      <c r="D36" s="529">
        <v>678</v>
      </c>
      <c r="E36" s="528"/>
      <c r="F36" s="528">
        <v>664</v>
      </c>
      <c r="G36" s="531"/>
      <c r="I36" s="532">
        <v>640</v>
      </c>
      <c r="J36" s="528"/>
      <c r="K36" s="528">
        <v>648</v>
      </c>
      <c r="L36" s="531"/>
      <c r="N36" s="532">
        <v>708</v>
      </c>
      <c r="O36" s="528"/>
      <c r="P36" s="528">
        <v>690</v>
      </c>
      <c r="Q36" s="525"/>
    </row>
    <row r="37" spans="1:20">
      <c r="B37" t="s">
        <v>938</v>
      </c>
      <c r="C37" s="546">
        <v>0</v>
      </c>
      <c r="D37" s="529">
        <v>0</v>
      </c>
      <c r="E37" s="536"/>
      <c r="F37" s="528">
        <v>0</v>
      </c>
      <c r="G37" s="531"/>
      <c r="I37" s="532">
        <v>0</v>
      </c>
      <c r="J37" s="535"/>
      <c r="K37" s="528">
        <v>0</v>
      </c>
      <c r="L37" s="531"/>
      <c r="N37" s="532">
        <v>0</v>
      </c>
      <c r="O37" s="535"/>
      <c r="P37" s="528">
        <v>0</v>
      </c>
      <c r="Q37" s="525"/>
    </row>
    <row r="38" spans="1:20">
      <c r="D38" s="544">
        <v>678</v>
      </c>
      <c r="E38" s="528"/>
      <c r="F38" s="630">
        <v>664</v>
      </c>
      <c r="G38" s="531">
        <v>-2.0648967551622419E-2</v>
      </c>
      <c r="I38" s="544">
        <v>640</v>
      </c>
      <c r="J38" s="528"/>
      <c r="K38" s="545">
        <v>648</v>
      </c>
      <c r="L38" s="531">
        <v>1.2500000000000001E-2</v>
      </c>
      <c r="N38" s="544">
        <v>708</v>
      </c>
      <c r="O38" s="528"/>
      <c r="P38" s="545">
        <v>690</v>
      </c>
      <c r="Q38" s="525">
        <v>-2.5423728813559324E-2</v>
      </c>
      <c r="S38" s="528"/>
      <c r="T38" s="528"/>
    </row>
    <row r="39" spans="1:20">
      <c r="D39" s="527"/>
      <c r="E39" s="528"/>
      <c r="F39" s="528"/>
      <c r="G39" s="531"/>
      <c r="I39" s="527"/>
      <c r="J39" s="528"/>
      <c r="K39" s="528"/>
      <c r="L39" s="531"/>
      <c r="N39" s="527"/>
      <c r="O39" s="528"/>
      <c r="P39" s="528"/>
      <c r="Q39" s="525"/>
    </row>
    <row r="40" spans="1:20">
      <c r="A40" s="533" t="s">
        <v>939</v>
      </c>
      <c r="D40" s="529">
        <v>302</v>
      </c>
      <c r="E40" s="528"/>
      <c r="F40" s="530">
        <v>313</v>
      </c>
      <c r="G40" s="531"/>
      <c r="I40" s="532">
        <v>302</v>
      </c>
      <c r="J40" s="528"/>
      <c r="K40" s="530">
        <v>313</v>
      </c>
      <c r="L40" s="531"/>
      <c r="N40" s="532">
        <v>302</v>
      </c>
      <c r="O40" s="528"/>
      <c r="P40" s="530">
        <v>313</v>
      </c>
      <c r="Q40" s="525"/>
    </row>
    <row r="41" spans="1:20">
      <c r="A41" s="533"/>
      <c r="D41" s="544">
        <v>302</v>
      </c>
      <c r="E41" s="528"/>
      <c r="F41" s="545">
        <v>313</v>
      </c>
      <c r="G41" s="531">
        <v>3.6423841059602648E-2</v>
      </c>
      <c r="I41" s="544">
        <v>302</v>
      </c>
      <c r="J41" s="528"/>
      <c r="K41" s="545">
        <v>313</v>
      </c>
      <c r="L41" s="531">
        <v>3.6423841059602648E-2</v>
      </c>
      <c r="N41" s="544">
        <v>302</v>
      </c>
      <c r="O41" s="528"/>
      <c r="P41" s="545">
        <v>313</v>
      </c>
      <c r="Q41" s="525">
        <v>3.6423841059602648E-2</v>
      </c>
    </row>
    <row r="42" spans="1:20">
      <c r="D42" s="544"/>
      <c r="E42" s="528"/>
      <c r="F42" s="545"/>
      <c r="G42" s="531"/>
      <c r="I42" s="544"/>
      <c r="J42" s="528"/>
      <c r="K42" s="545"/>
      <c r="L42" s="531"/>
      <c r="N42" s="544"/>
      <c r="O42" s="528"/>
      <c r="P42" s="545"/>
      <c r="Q42" s="525"/>
    </row>
    <row r="43" spans="1:20" ht="16.5">
      <c r="A43" t="s">
        <v>940</v>
      </c>
      <c r="D43" s="547">
        <v>3238.9689775902307</v>
      </c>
      <c r="E43" s="528"/>
      <c r="F43" s="548">
        <v>3318.5356524162471</v>
      </c>
      <c r="G43" s="549">
        <v>2.4565432820296246E-2</v>
      </c>
      <c r="I43" s="547">
        <v>3048.9787205729845</v>
      </c>
      <c r="J43" s="528"/>
      <c r="K43" s="548">
        <v>3115.7970307491732</v>
      </c>
      <c r="L43" s="549">
        <v>2.1914980818112054E-2</v>
      </c>
      <c r="N43" s="547">
        <v>3075.3036720088166</v>
      </c>
      <c r="O43" s="528"/>
      <c r="P43" s="548">
        <v>3153.2803269643318</v>
      </c>
      <c r="Q43" s="550">
        <v>2.5355757763128518E-2</v>
      </c>
    </row>
    <row r="44" spans="1:20">
      <c r="D44" s="551"/>
      <c r="E44" s="552"/>
      <c r="F44" s="552"/>
      <c r="G44" s="553">
        <v>79.566674826016424</v>
      </c>
      <c r="I44" s="554"/>
      <c r="J44" s="555"/>
      <c r="K44" s="555"/>
      <c r="L44" s="553">
        <v>66.818310176188788</v>
      </c>
      <c r="N44" s="554"/>
      <c r="O44" s="555"/>
      <c r="P44" s="555"/>
      <c r="Q44" s="553">
        <v>77.976654955515187</v>
      </c>
    </row>
    <row r="45" spans="1:20">
      <c r="F45" s="528"/>
      <c r="G45" s="528"/>
      <c r="I45" s="528"/>
      <c r="J45" s="528"/>
      <c r="K45" s="528"/>
      <c r="L45" s="528"/>
      <c r="N45" s="528"/>
      <c r="O45" s="528"/>
      <c r="P45" s="528"/>
      <c r="Q45" s="528"/>
    </row>
    <row r="46" spans="1:20" ht="18">
      <c r="A46" s="513" t="s">
        <v>941</v>
      </c>
      <c r="B46" s="514"/>
      <c r="C46" s="514"/>
      <c r="D46" s="515"/>
      <c r="E46" s="514"/>
      <c r="F46" s="515"/>
      <c r="G46" s="515"/>
      <c r="H46" s="515"/>
      <c r="I46" s="515"/>
      <c r="J46" s="515"/>
      <c r="K46" s="515"/>
      <c r="L46" s="515"/>
      <c r="M46" s="515"/>
      <c r="N46" s="515"/>
      <c r="O46" s="515"/>
      <c r="P46" s="515"/>
      <c r="Q46" s="515"/>
    </row>
    <row r="47" spans="1:20">
      <c r="A47" s="515"/>
      <c r="B47" s="514"/>
      <c r="C47" s="514"/>
      <c r="D47" s="515"/>
      <c r="E47" s="514"/>
      <c r="F47" s="515"/>
      <c r="G47" s="515"/>
      <c r="H47" s="515"/>
      <c r="I47" s="515"/>
      <c r="J47" s="515"/>
      <c r="K47" s="515"/>
      <c r="L47" s="515"/>
      <c r="M47" s="515"/>
      <c r="N47" s="515"/>
      <c r="O47" s="515"/>
      <c r="P47" s="515"/>
      <c r="Q47" s="515"/>
    </row>
    <row r="48" spans="1:20">
      <c r="D48" s="516" t="s">
        <v>916</v>
      </c>
      <c r="E48" s="516"/>
      <c r="F48">
        <v>1</v>
      </c>
      <c r="G48" s="516"/>
      <c r="H48" s="516"/>
      <c r="I48" s="516" t="s">
        <v>917</v>
      </c>
      <c r="J48" s="516"/>
      <c r="K48">
        <v>1</v>
      </c>
      <c r="L48" s="516"/>
      <c r="M48" s="516"/>
      <c r="N48" s="516" t="s">
        <v>918</v>
      </c>
      <c r="P48">
        <v>1</v>
      </c>
    </row>
    <row r="49" spans="1:17">
      <c r="B49" s="1"/>
      <c r="D49" s="820" t="s">
        <v>919</v>
      </c>
      <c r="E49" s="820"/>
      <c r="F49" s="820" t="s">
        <v>920</v>
      </c>
      <c r="G49" s="821" t="s">
        <v>921</v>
      </c>
      <c r="H49" s="517"/>
      <c r="I49" s="820" t="s">
        <v>919</v>
      </c>
      <c r="J49" s="820"/>
      <c r="K49" s="820" t="s">
        <v>920</v>
      </c>
      <c r="L49" s="821" t="s">
        <v>921</v>
      </c>
      <c r="M49" s="517"/>
      <c r="N49" s="820" t="s">
        <v>919</v>
      </c>
      <c r="O49" s="820"/>
      <c r="P49" s="820" t="s">
        <v>920</v>
      </c>
      <c r="Q49" s="821" t="s">
        <v>921</v>
      </c>
    </row>
    <row r="50" spans="1:17">
      <c r="B50" s="1"/>
      <c r="D50" s="521"/>
      <c r="G50" s="522"/>
      <c r="I50" s="521"/>
      <c r="L50" s="522"/>
      <c r="N50" s="521"/>
      <c r="Q50" s="522"/>
    </row>
    <row r="51" spans="1:17">
      <c r="A51" t="s">
        <v>922</v>
      </c>
      <c r="D51" s="523">
        <v>1890000</v>
      </c>
      <c r="E51" s="524"/>
      <c r="F51" s="524">
        <v>1890000</v>
      </c>
      <c r="G51" s="525">
        <v>0</v>
      </c>
      <c r="H51" s="526"/>
      <c r="I51" s="523">
        <v>1045000</v>
      </c>
      <c r="J51" s="524"/>
      <c r="K51" s="524">
        <v>1045000</v>
      </c>
      <c r="L51" s="525">
        <v>0</v>
      </c>
      <c r="M51" s="526"/>
      <c r="N51" s="523">
        <v>1650000</v>
      </c>
      <c r="O51" s="524"/>
      <c r="P51" s="524">
        <v>1650000</v>
      </c>
      <c r="Q51" s="525">
        <v>0</v>
      </c>
    </row>
    <row r="52" spans="1:17">
      <c r="D52" s="527"/>
      <c r="E52" s="528"/>
      <c r="F52" s="528"/>
      <c r="G52" s="522"/>
      <c r="I52" s="527"/>
      <c r="J52" s="528"/>
      <c r="K52" s="528"/>
      <c r="L52" s="522"/>
      <c r="N52" s="527"/>
      <c r="O52" s="528"/>
      <c r="P52" s="528"/>
      <c r="Q52" s="522"/>
    </row>
    <row r="53" spans="1:17">
      <c r="A53" t="s">
        <v>923</v>
      </c>
      <c r="D53" s="529">
        <v>56</v>
      </c>
      <c r="E53" s="528"/>
      <c r="F53" s="556">
        <v>65</v>
      </c>
      <c r="G53" s="531"/>
      <c r="I53" s="529">
        <v>56</v>
      </c>
      <c r="J53" s="528"/>
      <c r="K53" s="556">
        <v>65</v>
      </c>
      <c r="L53" s="531"/>
      <c r="N53" s="529">
        <v>56</v>
      </c>
      <c r="O53" s="528"/>
      <c r="P53" s="556">
        <v>65</v>
      </c>
      <c r="Q53" s="525"/>
    </row>
    <row r="54" spans="1:17">
      <c r="A54" s="533" t="s">
        <v>924</v>
      </c>
      <c r="C54" s="534"/>
      <c r="D54" s="529">
        <v>0</v>
      </c>
      <c r="E54" s="535"/>
      <c r="F54" s="556">
        <v>0</v>
      </c>
      <c r="G54" s="531"/>
      <c r="I54" s="529">
        <v>0</v>
      </c>
      <c r="J54" s="535"/>
      <c r="K54" s="556">
        <v>0</v>
      </c>
      <c r="L54" s="531"/>
      <c r="N54" s="529">
        <v>0</v>
      </c>
      <c r="O54" s="535"/>
      <c r="P54" s="556">
        <v>0</v>
      </c>
      <c r="Q54" s="525"/>
    </row>
    <row r="55" spans="1:17">
      <c r="A55" s="533" t="s">
        <v>942</v>
      </c>
      <c r="C55" s="534"/>
      <c r="D55" s="529">
        <v>495.76033261590459</v>
      </c>
      <c r="E55" s="535"/>
      <c r="F55" s="530">
        <v>560.80167156179755</v>
      </c>
      <c r="G55" s="531"/>
      <c r="I55" s="532">
        <v>495.76033261590459</v>
      </c>
      <c r="J55" s="535"/>
      <c r="K55" s="530">
        <v>560.80167156179755</v>
      </c>
      <c r="L55" s="531"/>
      <c r="N55" s="532">
        <v>495.76033261590459</v>
      </c>
      <c r="O55" s="535"/>
      <c r="P55" s="530">
        <v>560.80167156179755</v>
      </c>
      <c r="Q55" s="525"/>
    </row>
    <row r="56" spans="1:17">
      <c r="A56" t="s">
        <v>926</v>
      </c>
      <c r="C56" s="534"/>
      <c r="D56" s="529">
        <v>0</v>
      </c>
      <c r="E56" s="536"/>
      <c r="F56" s="556">
        <v>0</v>
      </c>
      <c r="G56" s="525"/>
      <c r="I56" s="529">
        <v>0</v>
      </c>
      <c r="J56" s="536"/>
      <c r="K56" s="556">
        <v>0</v>
      </c>
      <c r="L56" s="525"/>
      <c r="N56" s="529">
        <v>0</v>
      </c>
      <c r="O56" s="536"/>
      <c r="P56" s="556">
        <v>0</v>
      </c>
      <c r="Q56" s="525"/>
    </row>
    <row r="57" spans="1:17">
      <c r="A57" t="s">
        <v>927</v>
      </c>
      <c r="C57" s="534"/>
      <c r="D57" s="529">
        <v>67.790483408269907</v>
      </c>
      <c r="E57" s="536"/>
      <c r="F57" s="556">
        <v>48.513500788906306</v>
      </c>
      <c r="G57" s="525"/>
      <c r="I57" s="529">
        <v>37.482039768064581</v>
      </c>
      <c r="J57" s="536"/>
      <c r="K57" s="556">
        <v>26.823602288046079</v>
      </c>
      <c r="L57" s="525"/>
      <c r="N57" s="529">
        <v>59.182168054838812</v>
      </c>
      <c r="O57" s="536"/>
      <c r="P57" s="556">
        <v>42.35305624428328</v>
      </c>
      <c r="Q57" s="525"/>
    </row>
    <row r="58" spans="1:17">
      <c r="A58" s="533" t="s">
        <v>928</v>
      </c>
      <c r="C58" s="534"/>
      <c r="D58" s="529">
        <v>325.70775457485013</v>
      </c>
      <c r="E58" s="538"/>
      <c r="F58" s="556">
        <v>356.38840117818131</v>
      </c>
      <c r="G58" s="525"/>
      <c r="I58" s="529">
        <v>180.08709181519492</v>
      </c>
      <c r="J58" s="538"/>
      <c r="K58" s="556">
        <v>197.05072975195739</v>
      </c>
      <c r="L58" s="525"/>
      <c r="N58" s="529">
        <v>284.34803970820252</v>
      </c>
      <c r="O58" s="538"/>
      <c r="P58" s="556">
        <v>311.13273118730115</v>
      </c>
      <c r="Q58" s="525"/>
    </row>
    <row r="59" spans="1:17">
      <c r="A59" s="533" t="s">
        <v>929</v>
      </c>
      <c r="C59" s="534"/>
      <c r="D59" s="529">
        <v>296.82719167020826</v>
      </c>
      <c r="E59" s="538"/>
      <c r="F59" s="556">
        <v>254.56550695413915</v>
      </c>
      <c r="G59" s="525"/>
      <c r="I59" s="529">
        <v>164.11873825151727</v>
      </c>
      <c r="J59" s="538"/>
      <c r="K59" s="556">
        <v>140.75182791908753</v>
      </c>
      <c r="L59" s="525"/>
      <c r="N59" s="529">
        <v>259.13484987081671</v>
      </c>
      <c r="O59" s="538"/>
      <c r="P59" s="556">
        <v>222.23972829329608</v>
      </c>
      <c r="Q59" s="525"/>
    </row>
    <row r="60" spans="1:17">
      <c r="A60" s="533" t="s">
        <v>930</v>
      </c>
      <c r="C60" s="534"/>
      <c r="D60" s="529">
        <v>367.92340811626599</v>
      </c>
      <c r="E60" s="538"/>
      <c r="F60" s="556">
        <v>458.71426082715919</v>
      </c>
      <c r="G60" s="525"/>
      <c r="I60" s="529">
        <v>203.42855104841163</v>
      </c>
      <c r="J60" s="538"/>
      <c r="K60" s="556">
        <v>253.6277262245404</v>
      </c>
      <c r="L60" s="525"/>
      <c r="N60" s="529">
        <v>321.20297533959734</v>
      </c>
      <c r="O60" s="538"/>
      <c r="P60" s="556">
        <v>400.46483088085324</v>
      </c>
      <c r="Q60" s="525"/>
    </row>
    <row r="61" spans="1:17">
      <c r="A61" t="s">
        <v>943</v>
      </c>
      <c r="C61" s="534"/>
      <c r="D61" s="529">
        <v>1541.2743514158155</v>
      </c>
      <c r="E61" s="536"/>
      <c r="F61" s="530">
        <v>1276.5771516936427</v>
      </c>
      <c r="G61" s="531"/>
      <c r="I61" s="532">
        <v>1430.3504336359658</v>
      </c>
      <c r="J61" s="535"/>
      <c r="K61" s="530">
        <v>1235.9074976576887</v>
      </c>
      <c r="L61" s="531"/>
      <c r="N61" s="532">
        <v>1345.5569734582516</v>
      </c>
      <c r="O61" s="535"/>
      <c r="P61" s="530">
        <v>1114.4721165579419</v>
      </c>
      <c r="Q61" s="525"/>
    </row>
    <row r="62" spans="1:17">
      <c r="A62" t="s">
        <v>944</v>
      </c>
      <c r="C62" s="534"/>
      <c r="D62" s="529">
        <v>218.39004177109246</v>
      </c>
      <c r="E62" s="536"/>
      <c r="F62" s="530">
        <v>240.37971787653416</v>
      </c>
      <c r="G62" s="531"/>
      <c r="I62" s="532">
        <v>164.65428766975936</v>
      </c>
      <c r="J62" s="535"/>
      <c r="K62" s="530">
        <v>165.36608483070222</v>
      </c>
      <c r="L62" s="531"/>
      <c r="N62" s="532">
        <v>190.65797297476325</v>
      </c>
      <c r="O62" s="535"/>
      <c r="P62" s="530">
        <v>209.85530925729171</v>
      </c>
      <c r="Q62" s="525"/>
    </row>
    <row r="63" spans="1:17">
      <c r="A63" t="s">
        <v>945</v>
      </c>
      <c r="C63" s="534"/>
      <c r="D63" s="529">
        <v>1654.0725650734171</v>
      </c>
      <c r="E63" s="536"/>
      <c r="F63" s="530">
        <v>1546.0411732434902</v>
      </c>
      <c r="G63" s="531"/>
      <c r="I63" s="532">
        <v>1131.5268692118043</v>
      </c>
      <c r="J63" s="535"/>
      <c r="K63" s="530">
        <v>1046.9720087251296</v>
      </c>
      <c r="L63" s="531"/>
      <c r="N63" s="532">
        <v>1379.12242658738</v>
      </c>
      <c r="O63" s="535"/>
      <c r="P63" s="530">
        <v>1278.3343033472938</v>
      </c>
      <c r="Q63" s="525"/>
    </row>
    <row r="64" spans="1:17">
      <c r="C64" s="534"/>
      <c r="D64" s="529"/>
      <c r="E64" s="536"/>
      <c r="F64" s="530"/>
      <c r="G64" s="531"/>
      <c r="I64" s="532"/>
      <c r="J64" s="535"/>
      <c r="K64" s="530"/>
      <c r="L64" s="531"/>
      <c r="N64" s="532"/>
      <c r="O64" s="535"/>
      <c r="P64" s="530"/>
      <c r="Q64" s="525"/>
    </row>
    <row r="65" spans="1:17">
      <c r="A65" t="s">
        <v>946</v>
      </c>
      <c r="C65" s="534"/>
      <c r="D65" s="540">
        <v>5023.7461286458238</v>
      </c>
      <c r="E65" s="528"/>
      <c r="F65" s="542">
        <v>4806.9813841238501</v>
      </c>
      <c r="G65" s="531">
        <v>-4.3148029174078444E-2</v>
      </c>
      <c r="I65" s="543">
        <v>3863.4083440166228</v>
      </c>
      <c r="J65" s="528"/>
      <c r="K65" s="542">
        <v>3692.3011489589499</v>
      </c>
      <c r="L65" s="531">
        <v>-4.4289181940260547E-2</v>
      </c>
      <c r="N65" s="543">
        <v>4390.9657386097551</v>
      </c>
      <c r="O65" s="528"/>
      <c r="P65" s="542">
        <v>4204.6537473300586</v>
      </c>
      <c r="Q65" s="525">
        <v>-4.2430754957037221E-2</v>
      </c>
    </row>
    <row r="66" spans="1:17">
      <c r="D66" s="527"/>
      <c r="E66" s="528"/>
      <c r="F66" s="528"/>
      <c r="G66" s="531"/>
      <c r="I66" s="527"/>
      <c r="J66" s="528"/>
      <c r="K66" s="528"/>
      <c r="L66" s="531"/>
      <c r="N66" s="527"/>
      <c r="O66" s="528"/>
      <c r="P66" s="528"/>
      <c r="Q66" s="525"/>
    </row>
    <row r="67" spans="1:17">
      <c r="A67" t="s">
        <v>934</v>
      </c>
      <c r="D67" s="527"/>
      <c r="E67" s="528"/>
      <c r="F67" s="528"/>
      <c r="G67" s="531"/>
      <c r="I67" s="527"/>
      <c r="J67" s="528"/>
      <c r="K67" s="528"/>
      <c r="L67" s="531"/>
      <c r="N67" s="527"/>
      <c r="O67" s="528"/>
      <c r="P67" s="528"/>
      <c r="Q67" s="525"/>
    </row>
    <row r="68" spans="1:17">
      <c r="B68" t="s">
        <v>935</v>
      </c>
      <c r="D68" s="529">
        <v>280</v>
      </c>
      <c r="E68" s="528"/>
      <c r="F68" s="528">
        <v>280</v>
      </c>
      <c r="G68" s="531"/>
      <c r="I68" s="532">
        <v>180</v>
      </c>
      <c r="J68" s="528"/>
      <c r="K68" s="528">
        <v>180</v>
      </c>
      <c r="L68" s="531"/>
      <c r="N68" s="532">
        <v>250</v>
      </c>
      <c r="O68" s="528"/>
      <c r="P68" s="528">
        <v>250</v>
      </c>
      <c r="Q68" s="525"/>
    </row>
    <row r="69" spans="1:17">
      <c r="B69" t="s">
        <v>936</v>
      </c>
      <c r="C69" s="534"/>
      <c r="D69" s="529">
        <v>607.0517051431857</v>
      </c>
      <c r="E69" s="528"/>
      <c r="F69" s="530">
        <v>559.81596731674881</v>
      </c>
      <c r="G69" s="531"/>
      <c r="I69" s="532">
        <v>283.24669201128813</v>
      </c>
      <c r="J69" s="528"/>
      <c r="K69" s="530">
        <v>272.87814230369554</v>
      </c>
      <c r="L69" s="531"/>
      <c r="N69" s="532">
        <v>687.82129145594547</v>
      </c>
      <c r="O69" s="528"/>
      <c r="P69" s="530">
        <v>646.66698403147905</v>
      </c>
      <c r="Q69" s="525"/>
    </row>
    <row r="70" spans="1:17">
      <c r="D70" s="544">
        <v>887.0517051431857</v>
      </c>
      <c r="E70" s="528"/>
      <c r="F70" s="545">
        <v>839.81596731674881</v>
      </c>
      <c r="G70" s="531">
        <v>-5.3250264389957079E-2</v>
      </c>
      <c r="I70" s="544">
        <v>463.24669201128813</v>
      </c>
      <c r="J70" s="528"/>
      <c r="K70" s="545">
        <v>452.87814230369554</v>
      </c>
      <c r="L70" s="531">
        <v>-2.2382350238865683E-2</v>
      </c>
      <c r="N70" s="544">
        <v>937.82129145594547</v>
      </c>
      <c r="O70" s="528"/>
      <c r="P70" s="545">
        <v>896.66698403147905</v>
      </c>
      <c r="Q70" s="525">
        <v>-4.3882888775723286E-2</v>
      </c>
    </row>
    <row r="71" spans="1:17">
      <c r="D71" s="527"/>
      <c r="E71" s="528"/>
      <c r="F71" s="528"/>
      <c r="G71" s="531"/>
      <c r="I71" s="527"/>
      <c r="J71" s="528"/>
      <c r="K71" s="528"/>
      <c r="L71" s="531"/>
      <c r="N71" s="527"/>
      <c r="O71" s="528"/>
      <c r="P71" s="528"/>
      <c r="Q71" s="525"/>
    </row>
    <row r="72" spans="1:17">
      <c r="A72" t="s">
        <v>937</v>
      </c>
      <c r="D72" s="527"/>
      <c r="E72" s="528"/>
      <c r="F72" s="528"/>
      <c r="G72" s="531"/>
      <c r="I72" s="527"/>
      <c r="J72" s="528"/>
      <c r="K72" s="528"/>
      <c r="L72" s="531"/>
      <c r="N72" s="527"/>
      <c r="O72" s="528"/>
      <c r="P72" s="528"/>
      <c r="Q72" s="525"/>
    </row>
    <row r="73" spans="1:17">
      <c r="B73" t="s">
        <v>935</v>
      </c>
      <c r="D73" s="529">
        <v>678</v>
      </c>
      <c r="E73" s="528"/>
      <c r="F73" s="528">
        <v>664</v>
      </c>
      <c r="G73" s="531"/>
      <c r="I73" s="532">
        <v>640</v>
      </c>
      <c r="J73" s="528"/>
      <c r="K73" s="557">
        <v>648</v>
      </c>
      <c r="L73" s="531"/>
      <c r="N73" s="532">
        <v>708</v>
      </c>
      <c r="O73" s="528"/>
      <c r="P73" s="528">
        <v>690</v>
      </c>
      <c r="Q73" s="525"/>
    </row>
    <row r="74" spans="1:17">
      <c r="B74" t="s">
        <v>938</v>
      </c>
      <c r="C74" s="546">
        <v>0</v>
      </c>
      <c r="D74" s="527">
        <v>0</v>
      </c>
      <c r="E74" s="536"/>
      <c r="F74" s="528">
        <v>0</v>
      </c>
      <c r="G74" s="531"/>
      <c r="H74">
        <v>0</v>
      </c>
      <c r="I74" s="532">
        <v>0</v>
      </c>
      <c r="J74" s="535"/>
      <c r="K74" s="528">
        <v>0</v>
      </c>
      <c r="L74" s="531"/>
      <c r="N74" s="532">
        <v>0</v>
      </c>
      <c r="O74" s="535"/>
      <c r="P74" s="528">
        <v>0</v>
      </c>
      <c r="Q74" s="525"/>
    </row>
    <row r="75" spans="1:17">
      <c r="D75" s="544">
        <v>678</v>
      </c>
      <c r="E75" s="528"/>
      <c r="F75" s="545">
        <v>664</v>
      </c>
      <c r="G75" s="531">
        <v>-2.0648967551622419E-2</v>
      </c>
      <c r="I75" s="544">
        <v>640</v>
      </c>
      <c r="J75" s="528"/>
      <c r="K75" s="545">
        <v>648</v>
      </c>
      <c r="L75" s="531">
        <v>1.2500000000000001E-2</v>
      </c>
      <c r="N75" s="544">
        <v>708</v>
      </c>
      <c r="O75" s="528"/>
      <c r="P75" s="545">
        <v>690</v>
      </c>
      <c r="Q75" s="525">
        <v>-2.5423728813559324E-2</v>
      </c>
    </row>
    <row r="76" spans="1:17">
      <c r="D76" s="527"/>
      <c r="E76" s="528"/>
      <c r="F76" s="528"/>
      <c r="G76" s="531"/>
      <c r="I76" s="527"/>
      <c r="J76" s="528"/>
      <c r="K76" s="528"/>
      <c r="L76" s="531"/>
      <c r="N76" s="527"/>
      <c r="O76" s="528"/>
      <c r="P76" s="528"/>
      <c r="Q76" s="525"/>
    </row>
    <row r="77" spans="1:17">
      <c r="B77" t="s">
        <v>947</v>
      </c>
      <c r="D77" s="529">
        <v>122</v>
      </c>
      <c r="E77" s="528"/>
      <c r="F77" s="558">
        <v>148</v>
      </c>
      <c r="G77" s="531"/>
      <c r="I77" s="532">
        <v>122</v>
      </c>
      <c r="J77" s="528"/>
      <c r="K77" s="558">
        <v>148</v>
      </c>
      <c r="L77" s="531"/>
      <c r="N77" s="532">
        <v>122</v>
      </c>
      <c r="O77" s="528"/>
      <c r="P77" s="558">
        <v>148</v>
      </c>
      <c r="Q77" s="525"/>
    </row>
    <row r="78" spans="1:17">
      <c r="D78" s="544">
        <v>122</v>
      </c>
      <c r="E78" s="528"/>
      <c r="F78" s="545">
        <v>148</v>
      </c>
      <c r="G78" s="531">
        <v>0.21311475409836064</v>
      </c>
      <c r="I78" s="544">
        <v>122</v>
      </c>
      <c r="J78" s="528"/>
      <c r="K78" s="545">
        <v>148</v>
      </c>
      <c r="L78" s="531">
        <v>0.21311475409836064</v>
      </c>
      <c r="N78" s="544">
        <v>122</v>
      </c>
      <c r="O78" s="528"/>
      <c r="P78" s="545">
        <v>148</v>
      </c>
      <c r="Q78" s="525">
        <v>0.21311475409836064</v>
      </c>
    </row>
    <row r="79" spans="1:17">
      <c r="D79" s="544"/>
      <c r="E79" s="528"/>
      <c r="F79" s="545"/>
      <c r="G79" s="531"/>
      <c r="I79" s="544"/>
      <c r="J79" s="528"/>
      <c r="K79" s="545"/>
      <c r="L79" s="531"/>
      <c r="N79" s="544"/>
      <c r="O79" s="528"/>
      <c r="P79" s="545"/>
      <c r="Q79" s="525"/>
    </row>
    <row r="80" spans="1:17" ht="16.5">
      <c r="A80" t="s">
        <v>940</v>
      </c>
      <c r="D80" s="547">
        <v>6710.797833789009</v>
      </c>
      <c r="E80" s="528"/>
      <c r="F80" s="548">
        <v>6458.7973514405985</v>
      </c>
      <c r="G80" s="549">
        <v>-3.7551493665862315E-2</v>
      </c>
      <c r="I80" s="547">
        <v>5088.6550360279107</v>
      </c>
      <c r="J80" s="528"/>
      <c r="K80" s="548">
        <v>4941.1792912626452</v>
      </c>
      <c r="L80" s="549">
        <v>-2.8981281639476539E-2</v>
      </c>
      <c r="N80" s="547">
        <v>6158.7870300657005</v>
      </c>
      <c r="O80" s="528"/>
      <c r="P80" s="548">
        <v>5939.3207313615376</v>
      </c>
      <c r="Q80" s="550">
        <v>-3.5634662740046348E-2</v>
      </c>
    </row>
    <row r="81" spans="1:32">
      <c r="D81" s="551"/>
      <c r="E81" s="552"/>
      <c r="F81" s="552"/>
      <c r="G81" s="553">
        <v>-252.00048234841051</v>
      </c>
      <c r="I81" s="554"/>
      <c r="J81" s="555"/>
      <c r="K81" s="555"/>
      <c r="L81" s="553">
        <v>-147.47574476526552</v>
      </c>
      <c r="N81" s="554"/>
      <c r="O81" s="555"/>
      <c r="P81" s="555"/>
      <c r="Q81" s="553">
        <v>-219.46629870416291</v>
      </c>
    </row>
    <row r="82" spans="1:32">
      <c r="F82" s="528"/>
      <c r="K82" s="528"/>
      <c r="P82" s="528"/>
    </row>
    <row r="83" spans="1:32" ht="18" outlineLevel="1">
      <c r="A83" s="513" t="s">
        <v>948</v>
      </c>
      <c r="B83" s="514"/>
      <c r="C83" s="514"/>
      <c r="D83" s="515"/>
      <c r="E83" s="514"/>
      <c r="F83" s="515"/>
      <c r="G83" s="515"/>
      <c r="H83" s="515"/>
      <c r="I83" s="515"/>
      <c r="J83" s="515"/>
      <c r="K83" s="515"/>
      <c r="L83" s="515"/>
      <c r="M83" s="515"/>
      <c r="N83" s="515"/>
      <c r="O83" s="515"/>
      <c r="P83" s="515"/>
      <c r="Q83" s="515"/>
    </row>
    <row r="84" spans="1:32" outlineLevel="1">
      <c r="A84" s="515"/>
      <c r="B84" s="514"/>
      <c r="C84" s="514"/>
      <c r="D84" s="515"/>
      <c r="E84" s="514"/>
      <c r="F84" s="515"/>
      <c r="G84" s="515"/>
      <c r="H84" s="515"/>
      <c r="I84" s="515"/>
      <c r="J84" s="515"/>
      <c r="K84" s="515"/>
      <c r="L84" s="515"/>
      <c r="M84" s="515"/>
      <c r="N84" s="515"/>
      <c r="O84" s="515"/>
      <c r="P84" s="515"/>
      <c r="Q84" s="515"/>
    </row>
    <row r="85" spans="1:32" outlineLevel="1">
      <c r="D85" s="516" t="s">
        <v>948</v>
      </c>
      <c r="E85" s="516"/>
      <c r="F85">
        <v>1</v>
      </c>
      <c r="G85" s="516"/>
      <c r="H85" s="516"/>
      <c r="I85" s="516" t="s">
        <v>949</v>
      </c>
      <c r="J85" s="516"/>
      <c r="K85">
        <v>1</v>
      </c>
      <c r="L85" s="516"/>
      <c r="M85" s="516"/>
      <c r="AB85" s="822" t="s">
        <v>950</v>
      </c>
      <c r="AC85" s="823" t="s">
        <v>951</v>
      </c>
      <c r="AD85" s="823" t="s">
        <v>951</v>
      </c>
      <c r="AE85" s="823" t="s">
        <v>952</v>
      </c>
      <c r="AF85" s="824" t="s">
        <v>952</v>
      </c>
    </row>
    <row r="86" spans="1:32" outlineLevel="1">
      <c r="B86" s="1"/>
      <c r="D86" s="819" t="s">
        <v>919</v>
      </c>
      <c r="E86" s="820"/>
      <c r="F86" s="820" t="s">
        <v>920</v>
      </c>
      <c r="G86" s="821" t="s">
        <v>921</v>
      </c>
      <c r="H86" s="517"/>
      <c r="I86" s="819" t="s">
        <v>919</v>
      </c>
      <c r="J86" s="820"/>
      <c r="K86" s="820" t="s">
        <v>920</v>
      </c>
      <c r="L86" s="821" t="s">
        <v>921</v>
      </c>
      <c r="M86" s="517"/>
      <c r="N86" s="519"/>
      <c r="O86" s="519"/>
      <c r="P86" s="519"/>
      <c r="Q86" s="519"/>
    </row>
    <row r="87" spans="1:32" outlineLevel="1">
      <c r="B87" s="1"/>
      <c r="D87" s="521"/>
      <c r="G87" s="522"/>
      <c r="I87" s="521"/>
      <c r="L87" s="522"/>
    </row>
    <row r="88" spans="1:32" outlineLevel="1">
      <c r="A88" t="s">
        <v>922</v>
      </c>
      <c r="D88" s="523">
        <v>136840000</v>
      </c>
      <c r="E88" s="524"/>
      <c r="F88" s="524">
        <v>136840000</v>
      </c>
      <c r="G88" s="525">
        <v>0</v>
      </c>
      <c r="H88" s="526"/>
      <c r="I88" s="523">
        <v>16000000</v>
      </c>
      <c r="J88" s="524"/>
      <c r="K88" s="524">
        <v>16000000</v>
      </c>
      <c r="L88" s="525">
        <v>0</v>
      </c>
      <c r="M88" s="526"/>
      <c r="N88" s="559"/>
      <c r="O88" s="524"/>
      <c r="P88" s="524"/>
    </row>
    <row r="89" spans="1:32" outlineLevel="1">
      <c r="D89" s="527"/>
      <c r="E89" s="528"/>
      <c r="F89" s="528"/>
      <c r="G89" s="522"/>
      <c r="I89" s="527"/>
      <c r="J89" s="528"/>
      <c r="K89" s="528"/>
      <c r="L89" s="522"/>
      <c r="N89" s="528"/>
      <c r="O89" s="528"/>
      <c r="P89" s="528"/>
    </row>
    <row r="90" spans="1:32">
      <c r="A90" t="s">
        <v>923</v>
      </c>
      <c r="D90" s="529">
        <v>56</v>
      </c>
      <c r="E90" s="528"/>
      <c r="F90" s="556">
        <v>65</v>
      </c>
      <c r="G90" s="531"/>
      <c r="I90" s="529">
        <v>56</v>
      </c>
      <c r="J90" s="528"/>
      <c r="K90" s="556">
        <v>65</v>
      </c>
      <c r="L90" s="531"/>
      <c r="N90" s="560"/>
      <c r="O90" s="528"/>
      <c r="P90" s="560"/>
      <c r="Q90" s="561"/>
    </row>
    <row r="91" spans="1:32">
      <c r="A91" s="533" t="s">
        <v>924</v>
      </c>
      <c r="C91" s="534"/>
      <c r="D91" s="529">
        <v>0</v>
      </c>
      <c r="E91" s="535"/>
      <c r="F91" s="556">
        <v>0</v>
      </c>
      <c r="G91" s="531"/>
      <c r="I91" s="529">
        <v>0</v>
      </c>
      <c r="J91" s="535"/>
      <c r="K91" s="556">
        <v>0</v>
      </c>
      <c r="L91" s="531"/>
      <c r="N91" s="562"/>
      <c r="O91" s="535"/>
      <c r="P91" s="562"/>
      <c r="Q91" s="561"/>
    </row>
    <row r="92" spans="1:32">
      <c r="A92" s="533" t="s">
        <v>942</v>
      </c>
      <c r="C92" s="534"/>
      <c r="D92" s="529">
        <v>495.76033261590459</v>
      </c>
      <c r="E92" s="535"/>
      <c r="F92" s="530">
        <v>560.80167156179755</v>
      </c>
      <c r="G92" s="531"/>
      <c r="I92" s="532">
        <v>495.76033261590459</v>
      </c>
      <c r="J92" s="535"/>
      <c r="K92" s="530">
        <v>560.80167156179755</v>
      </c>
      <c r="L92" s="531"/>
      <c r="N92" s="562"/>
      <c r="O92" s="535"/>
      <c r="P92" s="562"/>
      <c r="Q92" s="561"/>
    </row>
    <row r="93" spans="1:32" outlineLevel="1">
      <c r="A93" t="s">
        <v>926</v>
      </c>
      <c r="C93" s="534"/>
      <c r="D93" s="529">
        <v>0</v>
      </c>
      <c r="E93" s="536"/>
      <c r="F93" s="556">
        <v>0</v>
      </c>
      <c r="G93" s="525"/>
      <c r="I93" s="529">
        <v>0</v>
      </c>
      <c r="J93" s="536"/>
      <c r="K93" s="556">
        <v>0</v>
      </c>
      <c r="L93" s="525"/>
      <c r="N93" s="560"/>
      <c r="O93" s="536"/>
      <c r="P93" s="560"/>
      <c r="Q93" s="561"/>
    </row>
    <row r="94" spans="1:32" outlineLevel="1">
      <c r="A94" t="s">
        <v>927</v>
      </c>
      <c r="C94" s="534"/>
      <c r="D94" s="529">
        <v>2454.0872353406494</v>
      </c>
      <c r="E94" s="536"/>
      <c r="F94" s="556">
        <v>1756.2400655962801</v>
      </c>
      <c r="G94" s="525"/>
      <c r="I94" s="529">
        <v>286.94384511436999</v>
      </c>
      <c r="J94" s="536"/>
      <c r="K94" s="556">
        <v>205.34815148743408</v>
      </c>
      <c r="L94" s="525"/>
      <c r="N94" s="560"/>
      <c r="O94" s="536"/>
      <c r="P94" s="560"/>
      <c r="Q94" s="561"/>
    </row>
    <row r="95" spans="1:32">
      <c r="A95" s="533" t="s">
        <v>928</v>
      </c>
      <c r="C95" s="534"/>
      <c r="D95" s="529">
        <v>11790.96537990013</v>
      </c>
      <c r="E95" s="538"/>
      <c r="F95" s="556">
        <v>12901.637253233421</v>
      </c>
      <c r="G95" s="525"/>
      <c r="I95" s="529">
        <v>1378.6571622215879</v>
      </c>
      <c r="J95" s="538"/>
      <c r="K95" s="556">
        <v>1508.5223330293388</v>
      </c>
      <c r="L95" s="525"/>
      <c r="N95" s="560"/>
      <c r="O95" s="536"/>
      <c r="P95" s="560"/>
      <c r="Q95" s="561"/>
    </row>
    <row r="96" spans="1:32">
      <c r="A96" s="533" t="s">
        <v>929</v>
      </c>
      <c r="C96" s="534"/>
      <c r="D96" s="529">
        <v>10745.458441309867</v>
      </c>
      <c r="E96" s="538"/>
      <c r="F96" s="556">
        <v>9215.5407332286777</v>
      </c>
      <c r="G96" s="525"/>
      <c r="I96" s="529">
        <v>1256.4113933130507</v>
      </c>
      <c r="J96" s="538"/>
      <c r="K96" s="556">
        <v>1077.5259553614355</v>
      </c>
      <c r="L96" s="525"/>
      <c r="N96" s="560"/>
      <c r="O96" s="536"/>
      <c r="P96" s="560"/>
      <c r="Q96" s="561"/>
    </row>
    <row r="97" spans="1:17">
      <c r="A97" s="533" t="s">
        <v>930</v>
      </c>
      <c r="C97" s="534"/>
      <c r="D97" s="529">
        <v>13319.216710748633</v>
      </c>
      <c r="E97" s="538"/>
      <c r="F97" s="556">
        <v>16605.94165385938</v>
      </c>
      <c r="G97" s="525"/>
      <c r="I97" s="529">
        <v>1557.3477592222901</v>
      </c>
      <c r="J97" s="538"/>
      <c r="K97" s="556">
        <v>1941.6476648768642</v>
      </c>
      <c r="L97" s="525"/>
      <c r="N97" s="560"/>
      <c r="O97" s="536"/>
      <c r="P97" s="560"/>
      <c r="Q97" s="561"/>
    </row>
    <row r="98" spans="1:17" outlineLevel="1">
      <c r="A98" t="s">
        <v>943</v>
      </c>
      <c r="C98" s="534"/>
      <c r="D98" s="529">
        <v>8959.3900996071043</v>
      </c>
      <c r="E98" s="536"/>
      <c r="F98" s="556">
        <v>7554.8995345832082</v>
      </c>
      <c r="G98" s="525"/>
      <c r="I98" s="529">
        <v>1460.9482025410964</v>
      </c>
      <c r="J98" s="536"/>
      <c r="K98" s="556">
        <v>1262.3457823690235</v>
      </c>
      <c r="L98" s="525"/>
      <c r="N98" s="560"/>
      <c r="O98" s="536"/>
      <c r="P98" s="560"/>
      <c r="Q98" s="561"/>
    </row>
    <row r="99" spans="1:17" outlineLevel="1">
      <c r="A99" t="s">
        <v>944</v>
      </c>
      <c r="C99" s="534"/>
      <c r="D99" s="529">
        <v>4386.9879504620967</v>
      </c>
      <c r="E99" s="536"/>
      <c r="F99" s="556">
        <v>4672.780042147986</v>
      </c>
      <c r="G99" s="525"/>
      <c r="I99" s="529">
        <v>630.66202157974533</v>
      </c>
      <c r="J99" s="536"/>
      <c r="K99" s="556">
        <v>633.38836076488269</v>
      </c>
      <c r="L99" s="525"/>
      <c r="N99" s="560"/>
      <c r="O99" s="536"/>
      <c r="P99" s="560"/>
      <c r="Q99" s="561"/>
    </row>
    <row r="100" spans="1:17" outlineLevel="1">
      <c r="A100" t="s">
        <v>945</v>
      </c>
      <c r="C100" s="534"/>
      <c r="D100" s="529">
        <v>32070.496955523617</v>
      </c>
      <c r="E100" s="536"/>
      <c r="F100" s="556">
        <v>29871.281474316391</v>
      </c>
      <c r="G100" s="525"/>
      <c r="I100" s="529">
        <v>4331.2033271265236</v>
      </c>
      <c r="J100" s="536"/>
      <c r="K100" s="556">
        <v>4007.5483587564772</v>
      </c>
      <c r="L100" s="525"/>
      <c r="N100" s="560"/>
      <c r="O100" s="536"/>
      <c r="P100" s="560"/>
      <c r="Q100" s="561"/>
    </row>
    <row r="101" spans="1:17" outlineLevel="1">
      <c r="C101" s="534"/>
      <c r="D101" s="529"/>
      <c r="E101" s="536"/>
      <c r="F101" s="556"/>
      <c r="G101" s="525"/>
      <c r="I101" s="529"/>
      <c r="J101" s="536"/>
      <c r="K101" s="556"/>
      <c r="L101" s="525"/>
      <c r="N101" s="541"/>
      <c r="O101" s="528"/>
      <c r="P101" s="541"/>
      <c r="Q101" s="561"/>
    </row>
    <row r="102" spans="1:17" outlineLevel="1">
      <c r="A102" t="s">
        <v>946</v>
      </c>
      <c r="C102" s="534"/>
      <c r="D102" s="540">
        <v>84278.363105508004</v>
      </c>
      <c r="E102" s="528"/>
      <c r="F102" s="563">
        <v>83204.122428527131</v>
      </c>
      <c r="G102" s="525">
        <v>-1.2746340073501809E-2</v>
      </c>
      <c r="I102" s="540">
        <v>11453.934043734569</v>
      </c>
      <c r="J102" s="528"/>
      <c r="K102" s="563">
        <v>11262.128278207254</v>
      </c>
      <c r="L102" s="525">
        <v>-1.6745841629168014E-2</v>
      </c>
      <c r="N102" s="528"/>
      <c r="O102" s="528"/>
      <c r="P102" s="528"/>
      <c r="Q102" s="561"/>
    </row>
    <row r="103" spans="1:17" outlineLevel="1">
      <c r="D103" s="527"/>
      <c r="E103" s="528"/>
      <c r="F103" s="528"/>
      <c r="G103" s="525"/>
      <c r="I103" s="527"/>
      <c r="J103" s="528"/>
      <c r="K103" s="528"/>
      <c r="L103" s="525"/>
      <c r="N103" s="528"/>
      <c r="O103" s="528"/>
      <c r="P103" s="528"/>
      <c r="Q103" s="561"/>
    </row>
    <row r="104" spans="1:17" outlineLevel="1">
      <c r="A104" t="s">
        <v>934</v>
      </c>
      <c r="D104" s="527"/>
      <c r="E104" s="528"/>
      <c r="F104" s="528"/>
      <c r="G104" s="525"/>
      <c r="I104" s="527"/>
      <c r="J104" s="528"/>
      <c r="K104" s="528"/>
      <c r="L104" s="525"/>
      <c r="N104" s="528"/>
      <c r="O104" s="528"/>
      <c r="P104" s="528"/>
      <c r="Q104" s="561"/>
    </row>
    <row r="105" spans="1:17" outlineLevel="1">
      <c r="B105" t="s">
        <v>935</v>
      </c>
      <c r="D105" s="527">
        <v>0</v>
      </c>
      <c r="E105" s="528"/>
      <c r="F105" s="528">
        <v>0</v>
      </c>
      <c r="G105" s="525"/>
      <c r="I105" s="527">
        <v>0</v>
      </c>
      <c r="J105" s="528"/>
      <c r="K105" s="528">
        <v>0</v>
      </c>
      <c r="L105" s="525"/>
      <c r="N105" s="560"/>
      <c r="O105" s="528"/>
      <c r="P105" s="560"/>
      <c r="Q105" s="561"/>
    </row>
    <row r="106" spans="1:17" outlineLevel="1">
      <c r="B106" t="s">
        <v>936</v>
      </c>
      <c r="C106" s="534"/>
      <c r="D106" s="529">
        <v>0</v>
      </c>
      <c r="E106" s="528"/>
      <c r="F106" s="556">
        <v>0</v>
      </c>
      <c r="G106" s="525"/>
      <c r="I106" s="529">
        <v>0</v>
      </c>
      <c r="J106" s="528"/>
      <c r="K106" s="556">
        <v>0</v>
      </c>
      <c r="L106" s="525"/>
      <c r="N106" s="545"/>
      <c r="O106" s="528"/>
      <c r="P106" s="545"/>
      <c r="Q106" s="561"/>
    </row>
    <row r="107" spans="1:17" outlineLevel="1">
      <c r="D107" s="544">
        <v>0</v>
      </c>
      <c r="E107" s="528"/>
      <c r="F107" s="545">
        <v>0</v>
      </c>
      <c r="G107" s="525">
        <v>0</v>
      </c>
      <c r="I107" s="544">
        <v>0</v>
      </c>
      <c r="J107" s="528"/>
      <c r="K107" s="545">
        <v>0</v>
      </c>
      <c r="L107" s="525">
        <v>0</v>
      </c>
      <c r="N107" s="528"/>
      <c r="O107" s="528"/>
      <c r="P107" s="528"/>
      <c r="Q107" s="561"/>
    </row>
    <row r="108" spans="1:17" outlineLevel="1">
      <c r="D108" s="527"/>
      <c r="E108" s="528"/>
      <c r="F108" s="528"/>
      <c r="G108" s="525"/>
      <c r="I108" s="527"/>
      <c r="J108" s="528"/>
      <c r="K108" s="528"/>
      <c r="L108" s="525"/>
      <c r="N108" s="528"/>
      <c r="O108" s="528"/>
      <c r="P108" s="528"/>
      <c r="Q108" s="561"/>
    </row>
    <row r="109" spans="1:17" outlineLevel="1">
      <c r="A109" t="s">
        <v>937</v>
      </c>
      <c r="D109" s="527"/>
      <c r="E109" s="528"/>
      <c r="F109" s="528"/>
      <c r="G109" s="525"/>
      <c r="I109" s="527"/>
      <c r="J109" s="528"/>
      <c r="K109" s="528"/>
      <c r="L109" s="525"/>
      <c r="N109" s="528"/>
      <c r="O109" s="528"/>
      <c r="P109" s="528"/>
      <c r="Q109" s="561"/>
    </row>
    <row r="110" spans="1:17" outlineLevel="1">
      <c r="B110" t="s">
        <v>935</v>
      </c>
      <c r="D110" s="527">
        <v>0</v>
      </c>
      <c r="E110" s="528"/>
      <c r="F110" s="528">
        <v>0</v>
      </c>
      <c r="G110" s="525"/>
      <c r="I110" s="527">
        <v>0</v>
      </c>
      <c r="J110" s="528"/>
      <c r="K110" s="528">
        <v>0</v>
      </c>
      <c r="L110" s="525"/>
      <c r="N110" s="528"/>
      <c r="O110" s="536"/>
      <c r="P110" s="528"/>
      <c r="Q110" s="561"/>
    </row>
    <row r="111" spans="1:17" outlineLevel="1">
      <c r="B111" t="s">
        <v>938</v>
      </c>
      <c r="C111" s="546">
        <v>0</v>
      </c>
      <c r="D111" s="527">
        <v>0</v>
      </c>
      <c r="E111" s="536"/>
      <c r="F111" s="528">
        <v>0</v>
      </c>
      <c r="G111" s="525"/>
      <c r="I111" s="527">
        <v>0</v>
      </c>
      <c r="J111" s="536"/>
      <c r="K111" s="528">
        <v>0</v>
      </c>
      <c r="L111" s="525"/>
      <c r="N111" s="545"/>
      <c r="O111" s="528"/>
      <c r="P111" s="545"/>
      <c r="Q111" s="561"/>
    </row>
    <row r="112" spans="1:17" outlineLevel="1">
      <c r="D112" s="544">
        <v>0</v>
      </c>
      <c r="E112" s="528"/>
      <c r="F112" s="545">
        <v>0</v>
      </c>
      <c r="G112" s="525">
        <v>0</v>
      </c>
      <c r="I112" s="544">
        <v>0</v>
      </c>
      <c r="J112" s="528"/>
      <c r="K112" s="545">
        <v>0</v>
      </c>
      <c r="L112" s="525">
        <v>0</v>
      </c>
      <c r="N112" s="528"/>
      <c r="O112" s="528"/>
      <c r="P112" s="528"/>
      <c r="Q112" s="561"/>
    </row>
    <row r="113" spans="1:17" outlineLevel="1">
      <c r="D113" s="527"/>
      <c r="E113" s="528"/>
      <c r="F113" s="528"/>
      <c r="G113" s="525"/>
      <c r="I113" s="527"/>
      <c r="J113" s="528"/>
      <c r="K113" s="528"/>
      <c r="L113" s="525"/>
      <c r="N113" s="564"/>
      <c r="O113" s="528"/>
      <c r="P113" s="564"/>
      <c r="Q113" s="561"/>
    </row>
    <row r="114" spans="1:17" outlineLevel="1">
      <c r="B114" t="s">
        <v>947</v>
      </c>
      <c r="D114" s="529">
        <v>122</v>
      </c>
      <c r="E114" s="528"/>
      <c r="F114" s="556">
        <v>148</v>
      </c>
      <c r="G114" s="525"/>
      <c r="I114" s="529">
        <v>122</v>
      </c>
      <c r="J114" s="528"/>
      <c r="K114" s="556">
        <v>148</v>
      </c>
      <c r="L114" s="525"/>
      <c r="N114" s="545"/>
      <c r="O114" s="528"/>
      <c r="P114" s="545"/>
      <c r="Q114" s="561"/>
    </row>
    <row r="115" spans="1:17" outlineLevel="1">
      <c r="D115" s="544">
        <v>122</v>
      </c>
      <c r="E115" s="528"/>
      <c r="F115" s="545">
        <v>148</v>
      </c>
      <c r="G115" s="525">
        <v>0.21311475409836064</v>
      </c>
      <c r="I115" s="544">
        <v>122</v>
      </c>
      <c r="J115" s="528"/>
      <c r="K115" s="545">
        <v>148</v>
      </c>
      <c r="L115" s="525">
        <v>0.21311475409836064</v>
      </c>
      <c r="N115" s="545"/>
      <c r="O115" s="528"/>
      <c r="P115" s="545"/>
      <c r="Q115" s="561"/>
    </row>
    <row r="116" spans="1:17" ht="16.5" outlineLevel="1">
      <c r="D116" s="544"/>
      <c r="E116" s="528"/>
      <c r="F116" s="545"/>
      <c r="G116" s="525"/>
      <c r="I116" s="544"/>
      <c r="J116" s="528"/>
      <c r="K116" s="545"/>
      <c r="L116" s="525"/>
      <c r="N116" s="548"/>
      <c r="O116" s="528"/>
      <c r="P116" s="548"/>
      <c r="Q116" s="565"/>
    </row>
    <row r="117" spans="1:17" ht="16.5" outlineLevel="1">
      <c r="A117" t="s">
        <v>940</v>
      </c>
      <c r="D117" s="547">
        <v>84400.363105508004</v>
      </c>
      <c r="E117" s="528"/>
      <c r="F117" s="548">
        <v>83352.122428527131</v>
      </c>
      <c r="G117" s="550">
        <v>-1.2419859801675006E-2</v>
      </c>
      <c r="I117" s="547">
        <v>11575.934043734569</v>
      </c>
      <c r="J117" s="528"/>
      <c r="K117" s="548">
        <v>11410.128278207254</v>
      </c>
      <c r="L117" s="550">
        <v>-1.4323316364873108E-2</v>
      </c>
      <c r="N117" s="528"/>
      <c r="O117" s="528"/>
      <c r="P117" s="528"/>
      <c r="Q117" s="528"/>
    </row>
    <row r="118" spans="1:17" outlineLevel="1">
      <c r="D118" s="551"/>
      <c r="E118" s="552"/>
      <c r="F118" s="552"/>
      <c r="G118" s="553">
        <v>-1048.2406769808731</v>
      </c>
      <c r="I118" s="554"/>
      <c r="J118" s="555"/>
      <c r="K118" s="555"/>
      <c r="L118" s="553">
        <v>-165.80576552731509</v>
      </c>
    </row>
    <row r="119" spans="1:17" outlineLevel="1">
      <c r="M119" s="515"/>
      <c r="N119" s="515"/>
      <c r="O119" s="515"/>
      <c r="P119" s="515"/>
      <c r="Q119" s="515"/>
    </row>
    <row r="120" spans="1:17" ht="18">
      <c r="A120" s="513" t="s">
        <v>953</v>
      </c>
      <c r="B120" s="514"/>
      <c r="C120" s="514"/>
      <c r="D120" s="515"/>
      <c r="E120" s="514"/>
      <c r="F120" s="515"/>
      <c r="G120" s="515"/>
      <c r="H120" s="515"/>
      <c r="I120" s="515"/>
      <c r="J120" s="515"/>
      <c r="K120" s="515"/>
      <c r="L120" s="515"/>
      <c r="M120" s="515"/>
      <c r="N120" s="515"/>
      <c r="O120" s="515"/>
      <c r="P120" s="515"/>
      <c r="Q120" s="515"/>
    </row>
    <row r="121" spans="1:17">
      <c r="A121" s="515"/>
      <c r="B121" s="514"/>
      <c r="C121" s="514"/>
      <c r="D121" s="515"/>
      <c r="E121" s="514"/>
      <c r="F121" s="515"/>
      <c r="G121" s="515"/>
      <c r="H121" s="515"/>
      <c r="I121" s="515"/>
      <c r="J121" s="515"/>
      <c r="K121" s="515"/>
      <c r="L121" s="515"/>
      <c r="M121" s="516"/>
      <c r="N121" s="515"/>
      <c r="O121" s="515"/>
      <c r="P121" s="515"/>
      <c r="Q121" s="515"/>
    </row>
    <row r="122" spans="1:17">
      <c r="D122" s="516" t="s">
        <v>916</v>
      </c>
      <c r="E122" s="516"/>
      <c r="F122">
        <v>1</v>
      </c>
      <c r="G122" s="516"/>
      <c r="H122" s="516"/>
      <c r="I122" s="516" t="s">
        <v>917</v>
      </c>
      <c r="J122" s="516"/>
      <c r="K122">
        <v>1</v>
      </c>
      <c r="L122" s="516"/>
      <c r="M122" s="516"/>
      <c r="N122" s="516" t="s">
        <v>918</v>
      </c>
      <c r="P122">
        <v>1</v>
      </c>
    </row>
    <row r="123" spans="1:17">
      <c r="B123" s="1"/>
      <c r="D123" s="819" t="s">
        <v>919</v>
      </c>
      <c r="E123" s="820"/>
      <c r="F123" s="820" t="s">
        <v>920</v>
      </c>
      <c r="G123" s="821" t="s">
        <v>921</v>
      </c>
      <c r="H123" s="517"/>
      <c r="I123" s="819" t="s">
        <v>919</v>
      </c>
      <c r="J123" s="820"/>
      <c r="K123" s="820" t="s">
        <v>920</v>
      </c>
      <c r="L123" s="821" t="s">
        <v>921</v>
      </c>
      <c r="N123" s="819" t="s">
        <v>919</v>
      </c>
      <c r="O123" s="820"/>
      <c r="P123" s="820" t="s">
        <v>920</v>
      </c>
      <c r="Q123" s="821" t="s">
        <v>921</v>
      </c>
    </row>
    <row r="124" spans="1:17">
      <c r="B124" s="1"/>
      <c r="D124" s="521"/>
      <c r="G124" s="522"/>
      <c r="I124" s="521"/>
      <c r="L124" s="522"/>
      <c r="M124" s="526"/>
      <c r="N124" s="521"/>
      <c r="Q124" s="522"/>
    </row>
    <row r="125" spans="1:17">
      <c r="A125" t="s">
        <v>922</v>
      </c>
      <c r="D125" s="523">
        <v>2081000</v>
      </c>
      <c r="E125" s="559"/>
      <c r="F125" s="524">
        <v>2081000</v>
      </c>
      <c r="G125" s="566">
        <v>0</v>
      </c>
      <c r="H125" s="526"/>
      <c r="I125" s="523">
        <v>1100000</v>
      </c>
      <c r="J125" s="559"/>
      <c r="K125" s="524">
        <v>1100000</v>
      </c>
      <c r="L125" s="566">
        <v>0</v>
      </c>
      <c r="N125" s="523">
        <v>1700000</v>
      </c>
      <c r="O125" s="559"/>
      <c r="P125" s="524">
        <v>1700000</v>
      </c>
      <c r="Q125" s="566">
        <v>0</v>
      </c>
    </row>
    <row r="126" spans="1:17">
      <c r="D126" s="527"/>
      <c r="E126" s="528"/>
      <c r="F126" s="528"/>
      <c r="G126" s="522"/>
      <c r="I126" s="527"/>
      <c r="J126" s="528"/>
      <c r="K126" s="528"/>
      <c r="L126" s="522"/>
      <c r="N126" s="527"/>
      <c r="O126" s="528"/>
      <c r="P126" s="528"/>
      <c r="Q126" s="522"/>
    </row>
    <row r="127" spans="1:17">
      <c r="A127" t="s">
        <v>923</v>
      </c>
      <c r="D127" s="529">
        <v>56</v>
      </c>
      <c r="E127" s="528"/>
      <c r="F127" s="556">
        <v>65</v>
      </c>
      <c r="G127" s="531"/>
      <c r="I127" s="529">
        <v>56</v>
      </c>
      <c r="J127" s="528"/>
      <c r="K127" s="556">
        <v>65</v>
      </c>
      <c r="L127" s="531"/>
      <c r="N127" s="529">
        <v>56</v>
      </c>
      <c r="O127" s="528"/>
      <c r="P127" s="556">
        <v>65</v>
      </c>
      <c r="Q127" s="525"/>
    </row>
    <row r="128" spans="1:17">
      <c r="A128" s="533" t="s">
        <v>924</v>
      </c>
      <c r="C128" s="534"/>
      <c r="D128" s="529">
        <v>0</v>
      </c>
      <c r="E128" s="535"/>
      <c r="F128" s="556">
        <v>0</v>
      </c>
      <c r="G128" s="531"/>
      <c r="I128" s="529">
        <v>0</v>
      </c>
      <c r="J128" s="535"/>
      <c r="K128" s="556">
        <v>0</v>
      </c>
      <c r="L128" s="531"/>
      <c r="N128" s="529">
        <v>0</v>
      </c>
      <c r="O128" s="535"/>
      <c r="P128" s="556">
        <v>0</v>
      </c>
      <c r="Q128" s="525"/>
    </row>
    <row r="129" spans="1:17">
      <c r="A129" s="533" t="s">
        <v>942</v>
      </c>
      <c r="C129" s="534"/>
      <c r="D129" s="529">
        <v>898.51232574452615</v>
      </c>
      <c r="E129" s="535"/>
      <c r="F129" s="530">
        <v>953.26611009954865</v>
      </c>
      <c r="G129" s="531"/>
      <c r="I129" s="532">
        <v>898.51232574452615</v>
      </c>
      <c r="J129" s="535"/>
      <c r="K129" s="530">
        <v>953.26611009954865</v>
      </c>
      <c r="L129" s="531"/>
      <c r="N129" s="532">
        <v>898.51232574452615</v>
      </c>
      <c r="O129" s="535"/>
      <c r="P129" s="530">
        <v>953.26611009954865</v>
      </c>
      <c r="Q129" s="525"/>
    </row>
    <row r="130" spans="1:17">
      <c r="A130" t="s">
        <v>926</v>
      </c>
      <c r="C130" s="534"/>
      <c r="D130" s="529">
        <v>0</v>
      </c>
      <c r="E130" s="536"/>
      <c r="F130" s="556">
        <v>0</v>
      </c>
      <c r="G130" s="525"/>
      <c r="I130" s="529">
        <v>0</v>
      </c>
      <c r="J130" s="536"/>
      <c r="K130" s="556">
        <v>0</v>
      </c>
      <c r="L130" s="525"/>
      <c r="N130" s="529">
        <v>0</v>
      </c>
      <c r="O130" s="536"/>
      <c r="P130" s="556">
        <v>0</v>
      </c>
      <c r="Q130" s="525"/>
    </row>
    <row r="131" spans="1:17">
      <c r="A131" t="s">
        <v>927</v>
      </c>
      <c r="C131" s="534"/>
      <c r="D131" s="529">
        <v>89.569521252450585</v>
      </c>
      <c r="E131" s="536"/>
      <c r="F131" s="556">
        <v>64.099425486802545</v>
      </c>
      <c r="G131" s="525"/>
      <c r="I131" s="529">
        <v>47.345734443871045</v>
      </c>
      <c r="J131" s="536"/>
      <c r="K131" s="556">
        <v>33.882444995426624</v>
      </c>
      <c r="L131" s="525"/>
      <c r="N131" s="529">
        <v>73.170680504164338</v>
      </c>
      <c r="O131" s="536"/>
      <c r="P131" s="556">
        <v>52.363778629295687</v>
      </c>
      <c r="Q131" s="525"/>
    </row>
    <row r="132" spans="1:17">
      <c r="A132" s="533" t="s">
        <v>928</v>
      </c>
      <c r="C132" s="534"/>
      <c r="D132" s="529">
        <v>1255.1811801301169</v>
      </c>
      <c r="E132" s="538"/>
      <c r="F132" s="556">
        <v>1373.4153015773986</v>
      </c>
      <c r="G132" s="525"/>
      <c r="I132" s="529">
        <v>663.47875931913916</v>
      </c>
      <c r="J132" s="538"/>
      <c r="K132" s="556">
        <v>725.97637277036927</v>
      </c>
      <c r="L132" s="525"/>
      <c r="N132" s="529">
        <v>1025.3762644023061</v>
      </c>
      <c r="O132" s="538"/>
      <c r="P132" s="556">
        <v>1121.9634851905707</v>
      </c>
      <c r="Q132" s="525"/>
    </row>
    <row r="133" spans="1:17">
      <c r="A133" s="533" t="s">
        <v>929</v>
      </c>
      <c r="C133" s="534"/>
      <c r="D133" s="529">
        <v>326.82401368555736</v>
      </c>
      <c r="E133" s="538"/>
      <c r="F133" s="556">
        <v>280.2914391383934</v>
      </c>
      <c r="G133" s="525"/>
      <c r="I133" s="529">
        <v>172.75656658054447</v>
      </c>
      <c r="J133" s="538"/>
      <c r="K133" s="556">
        <v>148.1598188621974</v>
      </c>
      <c r="L133" s="525"/>
      <c r="N133" s="529">
        <v>266.98742107902331</v>
      </c>
      <c r="O133" s="538"/>
      <c r="P133" s="556">
        <v>228.97426551430505</v>
      </c>
      <c r="Q133" s="525"/>
    </row>
    <row r="134" spans="1:17">
      <c r="A134" s="533" t="s">
        <v>930</v>
      </c>
      <c r="C134" s="534"/>
      <c r="D134" s="529">
        <v>406.74301462615716</v>
      </c>
      <c r="E134" s="538"/>
      <c r="F134" s="556">
        <v>507.11321211149482</v>
      </c>
      <c r="G134" s="525"/>
      <c r="I134" s="529">
        <v>215.00111296913644</v>
      </c>
      <c r="J134" s="538"/>
      <c r="K134" s="556">
        <v>268.05599871342832</v>
      </c>
      <c r="L134" s="525"/>
      <c r="N134" s="529">
        <v>332.27444731593812</v>
      </c>
      <c r="O134" s="538"/>
      <c r="P134" s="556">
        <v>414.26836164802558</v>
      </c>
      <c r="Q134" s="525"/>
    </row>
    <row r="135" spans="1:17">
      <c r="A135" t="s">
        <v>943</v>
      </c>
      <c r="C135" s="534"/>
      <c r="D135" s="529">
        <v>1697.0327647070433</v>
      </c>
      <c r="E135" s="536"/>
      <c r="F135" s="556">
        <v>1405.5857421558044</v>
      </c>
      <c r="G135" s="525"/>
      <c r="I135" s="529">
        <v>1505.6320354062798</v>
      </c>
      <c r="J135" s="536"/>
      <c r="K135" s="556">
        <v>1300.9552606923039</v>
      </c>
      <c r="L135" s="525"/>
      <c r="N135" s="529">
        <v>1386.3314271994107</v>
      </c>
      <c r="O135" s="536"/>
      <c r="P135" s="556">
        <v>1148.2439988778797</v>
      </c>
      <c r="Q135" s="525"/>
    </row>
    <row r="136" spans="1:17" ht="11.25" customHeight="1">
      <c r="A136" t="s">
        <v>944</v>
      </c>
      <c r="C136" s="534"/>
      <c r="D136" s="529">
        <v>240.46014652150444</v>
      </c>
      <c r="E136" s="536"/>
      <c r="F136" s="556">
        <v>264.6720597360146</v>
      </c>
      <c r="G136" s="525"/>
      <c r="I136" s="529">
        <v>173.32030281027301</v>
      </c>
      <c r="J136" s="536"/>
      <c r="K136" s="556">
        <v>174.06956297968654</v>
      </c>
      <c r="L136" s="525"/>
      <c r="N136" s="529">
        <v>196.43548730733184</v>
      </c>
      <c r="O136" s="536"/>
      <c r="P136" s="556">
        <v>216.21456105296721</v>
      </c>
      <c r="Q136" s="525"/>
    </row>
    <row r="137" spans="1:17">
      <c r="A137" t="s">
        <v>945</v>
      </c>
      <c r="C137" s="534"/>
      <c r="D137" s="529">
        <v>1821.230162919461</v>
      </c>
      <c r="E137" s="536"/>
      <c r="F137" s="556">
        <v>1702.2813129733879</v>
      </c>
      <c r="G137" s="525"/>
      <c r="I137" s="529">
        <v>1191.080914959794</v>
      </c>
      <c r="J137" s="536"/>
      <c r="K137" s="556">
        <v>1102.0757986580313</v>
      </c>
      <c r="L137" s="525"/>
      <c r="N137" s="529">
        <v>1420.914015271846</v>
      </c>
      <c r="O137" s="536"/>
      <c r="P137" s="556">
        <v>1317.0717064790301</v>
      </c>
      <c r="Q137" s="525"/>
    </row>
    <row r="138" spans="1:17">
      <c r="C138" s="534"/>
      <c r="D138" s="529"/>
      <c r="E138" s="536"/>
      <c r="F138" s="556"/>
      <c r="G138" s="525"/>
      <c r="I138" s="529"/>
      <c r="J138" s="536"/>
      <c r="K138" s="556"/>
      <c r="L138" s="525"/>
      <c r="N138" s="529"/>
      <c r="O138" s="536"/>
      <c r="P138" s="556"/>
      <c r="Q138" s="525"/>
    </row>
    <row r="139" spans="1:17">
      <c r="A139" t="s">
        <v>946</v>
      </c>
      <c r="C139" s="534"/>
      <c r="D139" s="540">
        <v>6791.5531295868168</v>
      </c>
      <c r="E139" s="528"/>
      <c r="F139" s="563">
        <v>6615.7246032788444</v>
      </c>
      <c r="G139" s="525">
        <v>-2.5889295563630444E-2</v>
      </c>
      <c r="I139" s="540">
        <v>4923.127752233564</v>
      </c>
      <c r="J139" s="528"/>
      <c r="K139" s="563">
        <v>4771.4413677709917</v>
      </c>
      <c r="L139" s="525">
        <v>-3.0810978730696961E-2</v>
      </c>
      <c r="N139" s="540">
        <v>5656.0020688245459</v>
      </c>
      <c r="O139" s="528"/>
      <c r="P139" s="563">
        <v>5517.3662674916231</v>
      </c>
      <c r="Q139" s="525">
        <v>-2.4511271326627112E-2</v>
      </c>
    </row>
    <row r="140" spans="1:17">
      <c r="D140" s="527"/>
      <c r="E140" s="528"/>
      <c r="F140" s="528"/>
      <c r="G140" s="525"/>
      <c r="I140" s="527"/>
      <c r="J140" s="528"/>
      <c r="K140" s="528"/>
      <c r="L140" s="525"/>
      <c r="N140" s="527"/>
      <c r="O140" s="528"/>
      <c r="P140" s="528"/>
      <c r="Q140" s="525"/>
    </row>
    <row r="141" spans="1:17">
      <c r="A141" t="s">
        <v>934</v>
      </c>
      <c r="D141" s="527"/>
      <c r="E141" s="528"/>
      <c r="F141" s="528"/>
      <c r="G141" s="525"/>
      <c r="I141" s="527"/>
      <c r="J141" s="528"/>
      <c r="K141" s="528"/>
      <c r="L141" s="525"/>
      <c r="N141" s="527"/>
      <c r="O141" s="528"/>
      <c r="P141" s="528"/>
      <c r="Q141" s="525"/>
    </row>
    <row r="142" spans="1:17">
      <c r="B142" t="s">
        <v>935</v>
      </c>
      <c r="D142" s="529">
        <v>280</v>
      </c>
      <c r="E142" s="528"/>
      <c r="F142" s="528">
        <v>280</v>
      </c>
      <c r="G142" s="525"/>
      <c r="I142" s="529">
        <v>180</v>
      </c>
      <c r="J142" s="528"/>
      <c r="K142" s="528">
        <v>180</v>
      </c>
      <c r="L142" s="525"/>
      <c r="N142" s="529">
        <v>250</v>
      </c>
      <c r="O142" s="528"/>
      <c r="P142" s="528">
        <v>250</v>
      </c>
      <c r="Q142" s="525"/>
    </row>
    <row r="143" spans="1:17">
      <c r="B143" t="s">
        <v>936</v>
      </c>
      <c r="C143" s="534"/>
      <c r="D143" s="529">
        <v>751.94916571605302</v>
      </c>
      <c r="E143" s="528"/>
      <c r="F143" s="556">
        <v>693.4387071346157</v>
      </c>
      <c r="G143" s="525"/>
      <c r="I143" s="529">
        <v>335.42371422389385</v>
      </c>
      <c r="J143" s="528"/>
      <c r="K143" s="556">
        <v>323.14516851753422</v>
      </c>
      <c r="L143" s="525"/>
      <c r="N143" s="529">
        <v>797.24740600575501</v>
      </c>
      <c r="O143" s="528"/>
      <c r="P143" s="556">
        <v>749.54582240012337</v>
      </c>
      <c r="Q143" s="525"/>
    </row>
    <row r="144" spans="1:17">
      <c r="D144" s="544">
        <v>1031.9491657160529</v>
      </c>
      <c r="E144" s="528"/>
      <c r="F144" s="545">
        <v>973.4387071346157</v>
      </c>
      <c r="G144" s="525">
        <v>-5.6698973675547035E-2</v>
      </c>
      <c r="I144" s="544">
        <v>515.42371422389385</v>
      </c>
      <c r="J144" s="528"/>
      <c r="K144" s="545">
        <v>503.14516851753422</v>
      </c>
      <c r="L144" s="525">
        <v>-2.3822236671528049E-2</v>
      </c>
      <c r="N144" s="544">
        <v>1047.247406005755</v>
      </c>
      <c r="O144" s="528"/>
      <c r="P144" s="545">
        <v>999.54582240012337</v>
      </c>
      <c r="Q144" s="525">
        <v>-4.5549488432315585E-2</v>
      </c>
    </row>
    <row r="145" spans="1:17">
      <c r="D145" s="527"/>
      <c r="E145" s="528"/>
      <c r="F145" s="528"/>
      <c r="G145" s="525"/>
      <c r="I145" s="527"/>
      <c r="J145" s="528"/>
      <c r="K145" s="528"/>
      <c r="L145" s="525"/>
      <c r="N145" s="527"/>
      <c r="O145" s="528"/>
      <c r="P145" s="528"/>
      <c r="Q145" s="525"/>
    </row>
    <row r="146" spans="1:17">
      <c r="A146" t="s">
        <v>937</v>
      </c>
      <c r="D146" s="527"/>
      <c r="E146" s="528"/>
      <c r="F146" s="528"/>
      <c r="G146" s="525"/>
      <c r="I146" s="527"/>
      <c r="J146" s="528"/>
      <c r="K146" s="528"/>
      <c r="L146" s="525"/>
      <c r="N146" s="527"/>
      <c r="O146" s="528"/>
      <c r="P146" s="528"/>
      <c r="Q146" s="525"/>
    </row>
    <row r="147" spans="1:17">
      <c r="B147" t="s">
        <v>935</v>
      </c>
      <c r="D147" s="529">
        <v>678</v>
      </c>
      <c r="E147" s="528"/>
      <c r="F147" s="528">
        <v>664</v>
      </c>
      <c r="G147" s="525"/>
      <c r="I147" s="529">
        <v>640</v>
      </c>
      <c r="J147" s="528"/>
      <c r="K147" s="557">
        <v>648</v>
      </c>
      <c r="L147" s="525"/>
      <c r="M147">
        <v>1</v>
      </c>
      <c r="N147" s="529">
        <v>708</v>
      </c>
      <c r="O147" s="528"/>
      <c r="P147" s="528">
        <v>690</v>
      </c>
      <c r="Q147" s="525"/>
    </row>
    <row r="148" spans="1:17">
      <c r="B148" t="s">
        <v>938</v>
      </c>
      <c r="C148" s="567">
        <v>6</v>
      </c>
      <c r="D148" s="529">
        <v>2034</v>
      </c>
      <c r="E148" s="536"/>
      <c r="F148" s="528">
        <v>1992</v>
      </c>
      <c r="G148" s="525"/>
      <c r="H148">
        <v>4</v>
      </c>
      <c r="I148" s="529">
        <v>1280</v>
      </c>
      <c r="J148" s="536"/>
      <c r="K148" s="528">
        <v>1296</v>
      </c>
      <c r="L148" s="525"/>
      <c r="N148" s="529">
        <v>354</v>
      </c>
      <c r="O148" s="536"/>
      <c r="P148" s="528">
        <v>345</v>
      </c>
      <c r="Q148" s="525"/>
    </row>
    <row r="149" spans="1:17">
      <c r="D149" s="544">
        <v>2712</v>
      </c>
      <c r="E149" s="528"/>
      <c r="F149" s="545">
        <v>2656</v>
      </c>
      <c r="G149" s="525">
        <v>-2.0648967551622419E-2</v>
      </c>
      <c r="I149" s="544">
        <v>1920</v>
      </c>
      <c r="J149" s="528"/>
      <c r="K149" s="545">
        <v>1944</v>
      </c>
      <c r="L149" s="525">
        <v>1.2500000000000001E-2</v>
      </c>
      <c r="N149" s="544">
        <v>1062</v>
      </c>
      <c r="O149" s="528"/>
      <c r="P149" s="545">
        <v>1035</v>
      </c>
      <c r="Q149" s="525">
        <v>-2.5423728813559324E-2</v>
      </c>
    </row>
    <row r="150" spans="1:17">
      <c r="D150" s="527"/>
      <c r="E150" s="528"/>
      <c r="F150" s="528"/>
      <c r="G150" s="525"/>
      <c r="I150" s="527"/>
      <c r="J150" s="528"/>
      <c r="K150" s="528"/>
      <c r="L150" s="525"/>
      <c r="N150" s="527"/>
      <c r="O150" s="528"/>
      <c r="P150" s="528"/>
      <c r="Q150" s="525"/>
    </row>
    <row r="151" spans="1:17">
      <c r="B151" t="s">
        <v>947</v>
      </c>
      <c r="D151" s="529">
        <v>122</v>
      </c>
      <c r="E151" s="528"/>
      <c r="F151" s="568">
        <v>148</v>
      </c>
      <c r="G151" s="525"/>
      <c r="I151" s="529">
        <v>122</v>
      </c>
      <c r="J151" s="528"/>
      <c r="K151" s="568">
        <v>148</v>
      </c>
      <c r="L151" s="525"/>
      <c r="N151" s="529">
        <v>122</v>
      </c>
      <c r="O151" s="528"/>
      <c r="P151" s="568">
        <v>148</v>
      </c>
      <c r="Q151" s="525"/>
    </row>
    <row r="152" spans="1:17">
      <c r="D152" s="544">
        <v>122</v>
      </c>
      <c r="E152" s="528"/>
      <c r="F152" s="545">
        <v>148</v>
      </c>
      <c r="G152" s="525">
        <v>0.21311475409836064</v>
      </c>
      <c r="I152" s="544">
        <v>122</v>
      </c>
      <c r="J152" s="528"/>
      <c r="K152" s="545">
        <v>148</v>
      </c>
      <c r="L152" s="525">
        <v>0.21311475409836064</v>
      </c>
      <c r="N152" s="544">
        <v>122</v>
      </c>
      <c r="O152" s="528"/>
      <c r="P152" s="545">
        <v>148</v>
      </c>
      <c r="Q152" s="525">
        <v>0.21311475409836064</v>
      </c>
    </row>
    <row r="153" spans="1:17">
      <c r="D153" s="544"/>
      <c r="E153" s="528"/>
      <c r="F153" s="545"/>
      <c r="G153" s="525"/>
      <c r="I153" s="544"/>
      <c r="J153" s="528"/>
      <c r="K153" s="545"/>
      <c r="L153" s="525"/>
      <c r="N153" s="544"/>
      <c r="O153" s="528"/>
      <c r="P153" s="545"/>
      <c r="Q153" s="525"/>
    </row>
    <row r="154" spans="1:17" ht="16.5">
      <c r="A154" t="s">
        <v>940</v>
      </c>
      <c r="D154" s="547">
        <v>10657.502295302869</v>
      </c>
      <c r="E154" s="528"/>
      <c r="F154" s="548">
        <v>10393.16331041346</v>
      </c>
      <c r="G154" s="550">
        <v>-2.4803089651307206E-2</v>
      </c>
      <c r="I154" s="547">
        <v>7480.5514664574575</v>
      </c>
      <c r="J154" s="528"/>
      <c r="K154" s="548">
        <v>7366.5865362885261</v>
      </c>
      <c r="L154" s="550">
        <v>-1.5234830036254197E-2</v>
      </c>
      <c r="N154" s="547">
        <v>7887.2494748303006</v>
      </c>
      <c r="O154" s="528"/>
      <c r="P154" s="548">
        <v>7699.9120898917463</v>
      </c>
      <c r="Q154" s="550">
        <v>-2.3751928417680111E-2</v>
      </c>
    </row>
    <row r="155" spans="1:17">
      <c r="D155" s="551"/>
      <c r="E155" s="552"/>
      <c r="F155" s="552"/>
      <c r="G155" s="553">
        <v>-264.3389848894094</v>
      </c>
      <c r="I155" s="554"/>
      <c r="J155" s="555"/>
      <c r="K155" s="555"/>
      <c r="L155" s="553">
        <v>-113.96493016893146</v>
      </c>
      <c r="N155" s="554"/>
      <c r="O155" s="555"/>
      <c r="P155" s="555"/>
      <c r="Q155" s="553">
        <v>-187.33738493855435</v>
      </c>
    </row>
    <row r="156" spans="1:17">
      <c r="M156" s="515"/>
    </row>
    <row r="157" spans="1:17">
      <c r="B157" s="514"/>
      <c r="C157" s="514"/>
      <c r="D157" s="515"/>
      <c r="E157" s="514"/>
      <c r="F157" s="515"/>
      <c r="G157" s="515"/>
      <c r="H157" s="515"/>
      <c r="I157" s="515"/>
      <c r="J157" s="515"/>
      <c r="K157" s="515"/>
      <c r="L157" s="515"/>
      <c r="M157" s="515"/>
      <c r="N157" s="515"/>
      <c r="O157" s="515"/>
      <c r="P157" s="515"/>
      <c r="Q157" s="515"/>
    </row>
    <row r="158" spans="1:17" ht="18">
      <c r="A158" s="513" t="s">
        <v>954</v>
      </c>
      <c r="B158" s="514"/>
      <c r="C158" s="514"/>
      <c r="D158" s="515"/>
      <c r="E158" s="514"/>
      <c r="F158" s="515"/>
      <c r="G158" s="515"/>
      <c r="H158" s="515"/>
      <c r="I158" s="515"/>
      <c r="J158" s="515"/>
      <c r="K158" s="515"/>
      <c r="L158" s="515"/>
      <c r="M158" s="516"/>
      <c r="N158" s="515"/>
      <c r="O158" s="515"/>
      <c r="P158" s="515"/>
      <c r="Q158" s="515"/>
    </row>
    <row r="159" spans="1:17">
      <c r="D159" s="516" t="s">
        <v>916</v>
      </c>
      <c r="E159" s="516"/>
      <c r="F159">
        <v>1</v>
      </c>
      <c r="G159" s="516"/>
      <c r="H159" s="516"/>
      <c r="I159" s="516" t="s">
        <v>917</v>
      </c>
      <c r="J159" s="516"/>
      <c r="K159">
        <v>1</v>
      </c>
      <c r="L159" s="516"/>
      <c r="M159" s="516"/>
      <c r="N159" s="516" t="s">
        <v>918</v>
      </c>
      <c r="P159">
        <v>1</v>
      </c>
    </row>
    <row r="160" spans="1:17">
      <c r="B160" s="1"/>
      <c r="D160" s="819" t="s">
        <v>919</v>
      </c>
      <c r="E160" s="820"/>
      <c r="F160" s="820" t="s">
        <v>920</v>
      </c>
      <c r="G160" s="821" t="s">
        <v>921</v>
      </c>
      <c r="H160" s="517"/>
      <c r="I160" s="819" t="s">
        <v>919</v>
      </c>
      <c r="J160" s="820"/>
      <c r="K160" s="820" t="s">
        <v>920</v>
      </c>
      <c r="L160" s="821" t="s">
        <v>921</v>
      </c>
      <c r="N160" s="819" t="s">
        <v>919</v>
      </c>
      <c r="O160" s="820"/>
      <c r="P160" s="820" t="s">
        <v>920</v>
      </c>
      <c r="Q160" s="821" t="s">
        <v>921</v>
      </c>
    </row>
    <row r="161" spans="1:22">
      <c r="B161" s="1"/>
      <c r="D161" s="521"/>
      <c r="G161" s="522"/>
      <c r="I161" s="521"/>
      <c r="L161" s="522"/>
      <c r="M161" s="526"/>
      <c r="N161" s="521"/>
      <c r="Q161" s="522"/>
    </row>
    <row r="162" spans="1:22">
      <c r="A162" t="s">
        <v>922</v>
      </c>
      <c r="D162" s="523">
        <v>1260000</v>
      </c>
      <c r="E162" s="524"/>
      <c r="F162" s="524">
        <v>1260000</v>
      </c>
      <c r="G162" s="525">
        <v>0</v>
      </c>
      <c r="H162" s="526"/>
      <c r="I162" s="523">
        <v>900000</v>
      </c>
      <c r="J162" s="524"/>
      <c r="K162" s="524">
        <v>900000</v>
      </c>
      <c r="L162" s="525">
        <v>0</v>
      </c>
      <c r="N162" s="523">
        <v>900000</v>
      </c>
      <c r="O162" s="524"/>
      <c r="P162" s="524">
        <v>900000</v>
      </c>
      <c r="Q162" s="525">
        <v>0</v>
      </c>
    </row>
    <row r="163" spans="1:22">
      <c r="D163" s="527"/>
      <c r="E163" s="528"/>
      <c r="F163" s="528"/>
      <c r="G163" s="522"/>
      <c r="I163" s="527"/>
      <c r="J163" s="528"/>
      <c r="K163" s="528"/>
      <c r="L163" s="522"/>
      <c r="N163" s="527"/>
      <c r="O163" s="528"/>
      <c r="P163" s="528"/>
      <c r="Q163" s="522"/>
    </row>
    <row r="164" spans="1:22">
      <c r="A164" t="s">
        <v>923</v>
      </c>
      <c r="D164" s="529">
        <v>56</v>
      </c>
      <c r="E164" s="528"/>
      <c r="F164" s="556">
        <v>65</v>
      </c>
      <c r="G164" s="531"/>
      <c r="I164" s="529">
        <v>56</v>
      </c>
      <c r="J164" s="528"/>
      <c r="K164" s="556">
        <v>65</v>
      </c>
      <c r="L164" s="531"/>
      <c r="N164" s="529">
        <v>56</v>
      </c>
      <c r="O164" s="528"/>
      <c r="P164" s="556">
        <v>65</v>
      </c>
      <c r="Q164" s="525"/>
    </row>
    <row r="165" spans="1:22">
      <c r="A165" s="533" t="s">
        <v>924</v>
      </c>
      <c r="C165" s="534"/>
      <c r="D165" s="529">
        <v>358</v>
      </c>
      <c r="E165" s="535"/>
      <c r="F165" s="556">
        <v>387</v>
      </c>
      <c r="G165" s="531"/>
      <c r="I165" s="529">
        <v>358</v>
      </c>
      <c r="J165" s="535"/>
      <c r="K165" s="556">
        <v>387</v>
      </c>
      <c r="L165" s="531"/>
      <c r="N165" s="529">
        <v>358</v>
      </c>
      <c r="O165" s="535"/>
      <c r="P165" s="556">
        <v>387</v>
      </c>
      <c r="Q165" s="525"/>
    </row>
    <row r="166" spans="1:22">
      <c r="A166" s="533" t="s">
        <v>942</v>
      </c>
      <c r="C166" s="534"/>
      <c r="D166" s="529">
        <v>432.35066618612819</v>
      </c>
      <c r="E166" s="535"/>
      <c r="F166" s="530">
        <v>466.70020684470558</v>
      </c>
      <c r="G166" s="531"/>
      <c r="I166" s="532">
        <v>432.35066618612819</v>
      </c>
      <c r="J166" s="535"/>
      <c r="K166" s="530">
        <v>466.70020684470558</v>
      </c>
      <c r="L166" s="531"/>
      <c r="N166" s="532">
        <v>432.35066618612819</v>
      </c>
      <c r="O166" s="535"/>
      <c r="P166" s="530">
        <v>466.70020684470558</v>
      </c>
      <c r="Q166" s="525"/>
    </row>
    <row r="167" spans="1:22">
      <c r="A167" t="s">
        <v>926</v>
      </c>
      <c r="C167" s="534"/>
      <c r="D167" s="529">
        <v>106</v>
      </c>
      <c r="E167" s="536"/>
      <c r="F167" s="556">
        <v>136</v>
      </c>
      <c r="G167" s="525"/>
      <c r="I167" s="529">
        <v>186</v>
      </c>
      <c r="J167" s="536"/>
      <c r="K167" s="569">
        <v>190</v>
      </c>
      <c r="L167" s="525"/>
      <c r="N167" s="529">
        <v>106</v>
      </c>
      <c r="O167" s="536"/>
      <c r="P167" s="556">
        <v>136</v>
      </c>
      <c r="Q167" s="525"/>
    </row>
    <row r="168" spans="1:22">
      <c r="A168" t="s">
        <v>927</v>
      </c>
      <c r="C168" s="534"/>
      <c r="D168" s="529">
        <v>47.453338385788939</v>
      </c>
      <c r="E168" s="536"/>
      <c r="F168" s="556">
        <v>33.959450552234415</v>
      </c>
      <c r="G168" s="525"/>
      <c r="I168" s="529">
        <v>33.895241704134953</v>
      </c>
      <c r="J168" s="536"/>
      <c r="K168" s="556">
        <v>24.256750394453153</v>
      </c>
      <c r="L168" s="525"/>
      <c r="N168" s="529">
        <v>33.895241704134953</v>
      </c>
      <c r="O168" s="536"/>
      <c r="P168" s="556">
        <v>24.256750394453153</v>
      </c>
      <c r="Q168" s="525"/>
    </row>
    <row r="169" spans="1:22">
      <c r="A169" s="533" t="s">
        <v>928</v>
      </c>
      <c r="C169" s="534"/>
      <c r="D169" s="529">
        <v>352.85006745608763</v>
      </c>
      <c r="E169" s="538"/>
      <c r="F169" s="556">
        <v>386.0874346096964</v>
      </c>
      <c r="G169" s="525"/>
      <c r="I169" s="529">
        <v>252.035762468634</v>
      </c>
      <c r="J169" s="538"/>
      <c r="K169" s="556">
        <v>275.77673900692599</v>
      </c>
      <c r="L169" s="525"/>
      <c r="N169" s="529">
        <v>252.035762468634</v>
      </c>
      <c r="O169" s="538"/>
      <c r="P169" s="556">
        <v>275.77673900692599</v>
      </c>
      <c r="Q169" s="525"/>
    </row>
    <row r="170" spans="1:22">
      <c r="A170" s="533" t="s">
        <v>929</v>
      </c>
      <c r="C170" s="534"/>
      <c r="D170" s="529">
        <v>197.8847944468055</v>
      </c>
      <c r="E170" s="538"/>
      <c r="F170" s="556">
        <v>169.71033796942609</v>
      </c>
      <c r="G170" s="525"/>
      <c r="I170" s="529">
        <v>141.34628174771822</v>
      </c>
      <c r="J170" s="538"/>
      <c r="K170" s="556">
        <v>121.2216699781615</v>
      </c>
      <c r="L170" s="525"/>
      <c r="N170" s="529">
        <v>141.34628174771822</v>
      </c>
      <c r="O170" s="538"/>
      <c r="P170" s="556">
        <v>121.2216699781615</v>
      </c>
      <c r="Q170" s="525"/>
    </row>
    <row r="171" spans="1:22">
      <c r="A171" s="533" t="s">
        <v>930</v>
      </c>
      <c r="C171" s="534"/>
      <c r="D171" s="529">
        <v>236.77012344457847</v>
      </c>
      <c r="E171" s="538"/>
      <c r="F171" s="556">
        <v>295.19685283931074</v>
      </c>
      <c r="G171" s="525"/>
      <c r="I171" s="529">
        <v>169.12151674612747</v>
      </c>
      <c r="J171" s="538"/>
      <c r="K171" s="556">
        <v>210.85489488522197</v>
      </c>
      <c r="L171" s="525"/>
      <c r="N171" s="529">
        <v>169.12151674612747</v>
      </c>
      <c r="O171" s="538"/>
      <c r="P171" s="556">
        <v>210.85489488522197</v>
      </c>
      <c r="Q171" s="525"/>
    </row>
    <row r="172" spans="1:22">
      <c r="A172" t="s">
        <v>943</v>
      </c>
      <c r="C172" s="534"/>
      <c r="D172" s="529">
        <v>462.38230542474463</v>
      </c>
      <c r="E172" s="536"/>
      <c r="F172" s="556">
        <v>382.97314550809278</v>
      </c>
      <c r="G172" s="525"/>
      <c r="I172" s="529">
        <v>554.34634030867574</v>
      </c>
      <c r="J172" s="536"/>
      <c r="K172" s="556">
        <v>478.98807325489372</v>
      </c>
      <c r="L172" s="525"/>
      <c r="N172" s="529">
        <v>330.27307530338902</v>
      </c>
      <c r="O172" s="536"/>
      <c r="P172" s="556">
        <v>273.55224679149484</v>
      </c>
      <c r="Q172" s="525"/>
    </row>
    <row r="173" spans="1:22">
      <c r="A173" t="s">
        <v>944</v>
      </c>
      <c r="C173" s="534"/>
      <c r="D173" s="529">
        <v>145.59336118072829</v>
      </c>
      <c r="E173" s="536"/>
      <c r="F173" s="556">
        <v>160.25314525102277</v>
      </c>
      <c r="G173" s="525"/>
      <c r="I173" s="529">
        <v>141.80752048113246</v>
      </c>
      <c r="J173" s="536"/>
      <c r="K173" s="556">
        <v>142.42055152883444</v>
      </c>
      <c r="L173" s="525"/>
      <c r="N173" s="529">
        <v>103.99525798623451</v>
      </c>
      <c r="O173" s="536"/>
      <c r="P173" s="556">
        <v>114.46653232215913</v>
      </c>
      <c r="Q173" s="525"/>
    </row>
    <row r="174" spans="1:22">
      <c r="A174" t="s">
        <v>945</v>
      </c>
      <c r="C174" s="534"/>
      <c r="D174" s="529">
        <v>275.67876084556951</v>
      </c>
      <c r="E174" s="536"/>
      <c r="F174" s="556">
        <v>257.67352887391502</v>
      </c>
      <c r="G174" s="525"/>
      <c r="I174" s="529">
        <v>243.63018715086693</v>
      </c>
      <c r="J174" s="536"/>
      <c r="K174" s="556">
        <v>225.42459518005185</v>
      </c>
      <c r="L174" s="525"/>
      <c r="N174" s="529">
        <v>188.06214908009727</v>
      </c>
      <c r="O174" s="536"/>
      <c r="P174" s="556">
        <v>174.31831409281281</v>
      </c>
      <c r="Q174" s="525"/>
    </row>
    <row r="175" spans="1:22">
      <c r="C175" s="534"/>
      <c r="D175" s="529"/>
      <c r="E175" s="536"/>
      <c r="F175" s="556"/>
      <c r="G175" s="525"/>
      <c r="I175" s="529"/>
      <c r="J175" s="536"/>
      <c r="K175" s="556"/>
      <c r="L175" s="525"/>
      <c r="N175" s="529"/>
      <c r="O175" s="536"/>
      <c r="P175" s="556"/>
      <c r="Q175" s="525"/>
    </row>
    <row r="176" spans="1:22">
      <c r="A176" t="s">
        <v>946</v>
      </c>
      <c r="C176" s="534"/>
      <c r="D176" s="540">
        <v>2670.9634173704308</v>
      </c>
      <c r="E176" s="528"/>
      <c r="F176" s="563">
        <v>2740.5541024484037</v>
      </c>
      <c r="G176" s="525">
        <v>2.6054525728579653E-2</v>
      </c>
      <c r="I176" s="540">
        <v>2568.5335167934177</v>
      </c>
      <c r="J176" s="528"/>
      <c r="K176" s="563">
        <v>2587.643481073248</v>
      </c>
      <c r="L176" s="525">
        <v>7.4400291664044275E-3</v>
      </c>
      <c r="N176" s="540">
        <v>2171.0799512224639</v>
      </c>
      <c r="O176" s="528"/>
      <c r="P176" s="563">
        <v>2249.1473543159345</v>
      </c>
      <c r="Q176" s="525">
        <v>3.5957866521457861E-2</v>
      </c>
      <c r="T176" s="570"/>
      <c r="V176" s="571"/>
    </row>
    <row r="177" spans="1:17">
      <c r="D177" s="527"/>
      <c r="E177" s="528"/>
      <c r="F177" s="528"/>
      <c r="G177" s="525"/>
      <c r="I177" s="527"/>
      <c r="J177" s="528"/>
      <c r="K177" s="528"/>
      <c r="L177" s="525"/>
      <c r="N177" s="527"/>
      <c r="O177" s="528"/>
      <c r="P177" s="528"/>
      <c r="Q177" s="525"/>
    </row>
    <row r="178" spans="1:17">
      <c r="D178" s="527"/>
      <c r="E178" s="528"/>
      <c r="F178" s="528"/>
      <c r="G178" s="525"/>
      <c r="I178" s="527"/>
      <c r="J178" s="528"/>
      <c r="K178" s="528"/>
      <c r="L178" s="525"/>
      <c r="N178" s="527"/>
      <c r="O178" s="528"/>
      <c r="P178" s="528"/>
      <c r="Q178" s="525"/>
    </row>
    <row r="179" spans="1:17">
      <c r="A179" t="s">
        <v>934</v>
      </c>
      <c r="B179" t="s">
        <v>935</v>
      </c>
      <c r="D179" s="529">
        <v>280</v>
      </c>
      <c r="E179" s="528"/>
      <c r="F179" s="528">
        <v>280</v>
      </c>
      <c r="G179" s="525"/>
      <c r="I179" s="529">
        <v>180</v>
      </c>
      <c r="J179" s="528"/>
      <c r="K179" s="528">
        <v>180</v>
      </c>
      <c r="L179" s="525"/>
      <c r="N179" s="529">
        <v>250</v>
      </c>
      <c r="O179" s="528"/>
      <c r="P179" s="528">
        <v>250</v>
      </c>
      <c r="Q179" s="525"/>
    </row>
    <row r="180" spans="1:17">
      <c r="B180" t="s">
        <v>936</v>
      </c>
      <c r="C180" s="534"/>
      <c r="D180" s="529">
        <v>303.52585257159274</v>
      </c>
      <c r="E180" s="528"/>
      <c r="F180" s="556">
        <v>279.90798365837441</v>
      </c>
      <c r="G180" s="525"/>
      <c r="I180" s="529">
        <v>182.95838957666936</v>
      </c>
      <c r="J180" s="528"/>
      <c r="K180" s="556">
        <v>176.26100100956413</v>
      </c>
      <c r="L180" s="525"/>
      <c r="N180" s="529">
        <v>281.38143741379582</v>
      </c>
      <c r="O180" s="528"/>
      <c r="P180" s="556">
        <v>264.54558437651417</v>
      </c>
      <c r="Q180" s="525"/>
    </row>
    <row r="181" spans="1:17">
      <c r="D181" s="544">
        <v>583.52585257159274</v>
      </c>
      <c r="E181" s="528"/>
      <c r="F181" s="545">
        <v>559.90798365837441</v>
      </c>
      <c r="G181" s="525">
        <v>-4.0474417387223911E-2</v>
      </c>
      <c r="I181" s="544">
        <v>362.95838957666933</v>
      </c>
      <c r="J181" s="528"/>
      <c r="K181" s="545">
        <v>356.2610010095641</v>
      </c>
      <c r="L181" s="525">
        <v>-1.8452221410053718E-2</v>
      </c>
      <c r="N181" s="544">
        <v>531.38143741379577</v>
      </c>
      <c r="O181" s="528"/>
      <c r="P181" s="545">
        <v>514.54558437651417</v>
      </c>
      <c r="Q181" s="525">
        <v>-3.1683178695930299E-2</v>
      </c>
    </row>
    <row r="182" spans="1:17">
      <c r="D182" s="527"/>
      <c r="E182" s="528"/>
      <c r="F182" s="528"/>
      <c r="G182" s="525"/>
      <c r="I182" s="527"/>
      <c r="J182" s="528"/>
      <c r="K182" s="528"/>
      <c r="L182" s="525"/>
      <c r="N182" s="527"/>
      <c r="O182" s="528"/>
      <c r="P182" s="528"/>
      <c r="Q182" s="525"/>
    </row>
    <row r="183" spans="1:17">
      <c r="D183" s="527"/>
      <c r="E183" s="528"/>
      <c r="F183" s="528"/>
      <c r="G183" s="525"/>
      <c r="I183" s="527"/>
      <c r="J183" s="528"/>
      <c r="K183" s="528"/>
      <c r="L183" s="525"/>
      <c r="N183" s="527"/>
      <c r="O183" s="528"/>
      <c r="P183" s="528"/>
      <c r="Q183" s="525"/>
    </row>
    <row r="184" spans="1:17">
      <c r="A184" t="s">
        <v>937</v>
      </c>
      <c r="B184" t="s">
        <v>935</v>
      </c>
      <c r="D184" s="529">
        <v>678</v>
      </c>
      <c r="E184" s="528"/>
      <c r="F184" s="528">
        <v>664</v>
      </c>
      <c r="G184" s="525"/>
      <c r="I184" s="529">
        <v>640</v>
      </c>
      <c r="J184" s="528"/>
      <c r="K184" s="557">
        <v>648</v>
      </c>
      <c r="L184" s="525"/>
      <c r="M184" s="572">
        <v>0</v>
      </c>
      <c r="N184" s="529">
        <v>708</v>
      </c>
      <c r="O184" s="528"/>
      <c r="P184" s="528">
        <v>690</v>
      </c>
      <c r="Q184" s="525"/>
    </row>
    <row r="185" spans="1:17">
      <c r="B185" t="s">
        <v>938</v>
      </c>
      <c r="C185" s="567">
        <v>0</v>
      </c>
      <c r="D185" s="529">
        <v>0</v>
      </c>
      <c r="E185" s="536"/>
      <c r="F185" s="528">
        <v>0</v>
      </c>
      <c r="G185" s="525"/>
      <c r="H185" s="572">
        <v>0</v>
      </c>
      <c r="I185" s="529">
        <v>0</v>
      </c>
      <c r="J185" s="536"/>
      <c r="K185" s="528">
        <v>0</v>
      </c>
      <c r="L185" s="525"/>
      <c r="N185" s="529">
        <v>0</v>
      </c>
      <c r="O185" s="536"/>
      <c r="P185" s="528">
        <v>0</v>
      </c>
      <c r="Q185" s="525"/>
    </row>
    <row r="186" spans="1:17">
      <c r="D186" s="544">
        <v>678</v>
      </c>
      <c r="E186" s="528"/>
      <c r="F186" s="545">
        <v>664</v>
      </c>
      <c r="G186" s="525">
        <v>-2.0648967551622419E-2</v>
      </c>
      <c r="I186" s="544">
        <v>640</v>
      </c>
      <c r="J186" s="528"/>
      <c r="K186" s="545">
        <v>648</v>
      </c>
      <c r="L186" s="525">
        <v>1.2500000000000001E-2</v>
      </c>
      <c r="N186" s="544">
        <v>708</v>
      </c>
      <c r="O186" s="528"/>
      <c r="P186" s="545">
        <v>690</v>
      </c>
      <c r="Q186" s="525">
        <v>-2.5423728813559324E-2</v>
      </c>
    </row>
    <row r="187" spans="1:17">
      <c r="D187" s="527"/>
      <c r="E187" s="528"/>
      <c r="F187" s="528"/>
      <c r="G187" s="525"/>
      <c r="I187" s="527"/>
      <c r="J187" s="528"/>
      <c r="K187" s="528"/>
      <c r="L187" s="525"/>
      <c r="N187" s="527"/>
      <c r="O187" s="528"/>
      <c r="P187" s="528"/>
      <c r="Q187" s="525"/>
    </row>
    <row r="188" spans="1:17">
      <c r="B188" t="s">
        <v>947</v>
      </c>
      <c r="D188" s="529">
        <v>302</v>
      </c>
      <c r="E188" s="528"/>
      <c r="F188" s="556">
        <v>313</v>
      </c>
      <c r="G188" s="525"/>
      <c r="I188" s="529">
        <v>302</v>
      </c>
      <c r="J188" s="528"/>
      <c r="K188" s="556">
        <v>313</v>
      </c>
      <c r="L188" s="525"/>
      <c r="N188" s="529">
        <v>302</v>
      </c>
      <c r="O188" s="528"/>
      <c r="P188" s="556">
        <v>313</v>
      </c>
      <c r="Q188" s="525"/>
    </row>
    <row r="189" spans="1:17">
      <c r="D189" s="544">
        <v>302</v>
      </c>
      <c r="E189" s="528"/>
      <c r="F189" s="545">
        <v>313</v>
      </c>
      <c r="G189" s="525">
        <v>3.6423841059602648E-2</v>
      </c>
      <c r="I189" s="544">
        <v>302</v>
      </c>
      <c r="J189" s="528"/>
      <c r="K189" s="545">
        <v>313</v>
      </c>
      <c r="L189" s="525">
        <v>3.6423841059602648E-2</v>
      </c>
      <c r="N189" s="544">
        <v>302</v>
      </c>
      <c r="O189" s="528"/>
      <c r="P189" s="545">
        <v>313</v>
      </c>
      <c r="Q189" s="525">
        <v>3.6423841059602648E-2</v>
      </c>
    </row>
    <row r="190" spans="1:17">
      <c r="D190" s="544"/>
      <c r="E190" s="528"/>
      <c r="F190" s="545"/>
      <c r="G190" s="525"/>
      <c r="I190" s="544"/>
      <c r="J190" s="528"/>
      <c r="K190" s="545"/>
      <c r="L190" s="525"/>
      <c r="N190" s="544"/>
      <c r="O190" s="528"/>
      <c r="P190" s="545"/>
      <c r="Q190" s="525"/>
    </row>
    <row r="191" spans="1:17" ht="16.5">
      <c r="A191" t="s">
        <v>940</v>
      </c>
      <c r="D191" s="547">
        <v>4234.4892699420234</v>
      </c>
      <c r="E191" s="528"/>
      <c r="F191" s="548">
        <v>4277.4620861067779</v>
      </c>
      <c r="G191" s="550">
        <v>1.0148287886756846E-2</v>
      </c>
      <c r="I191" s="547">
        <v>3873.4919063700872</v>
      </c>
      <c r="J191" s="528"/>
      <c r="K191" s="548">
        <v>3904.9044820828121</v>
      </c>
      <c r="L191" s="550">
        <v>8.1096273006446371E-3</v>
      </c>
      <c r="N191" s="547">
        <v>3712.4613886362595</v>
      </c>
      <c r="O191" s="528"/>
      <c r="P191" s="548">
        <v>3766.6929386924485</v>
      </c>
      <c r="Q191" s="550">
        <v>1.4607976859285396E-2</v>
      </c>
    </row>
    <row r="192" spans="1:17">
      <c r="D192" s="551"/>
      <c r="E192" s="552"/>
      <c r="F192" s="552"/>
      <c r="G192" s="553">
        <v>42.972816164754477</v>
      </c>
      <c r="I192" s="554"/>
      <c r="J192" s="555"/>
      <c r="K192" s="555"/>
      <c r="L192" s="553">
        <v>31.412575712724902</v>
      </c>
      <c r="N192" s="554"/>
      <c r="O192" s="555"/>
      <c r="P192" s="555"/>
      <c r="Q192" s="553">
        <v>54.231550056189008</v>
      </c>
    </row>
    <row r="193" spans="1:17">
      <c r="M193" s="515"/>
    </row>
    <row r="194" spans="1:17" outlineLevel="1">
      <c r="B194" s="514"/>
      <c r="C194" s="514"/>
      <c r="D194" s="515"/>
      <c r="E194" s="514"/>
      <c r="F194" s="515"/>
      <c r="G194" s="515"/>
      <c r="H194" s="515"/>
      <c r="I194" s="515"/>
      <c r="J194" s="515"/>
      <c r="K194" s="515"/>
      <c r="L194" s="515"/>
      <c r="M194" s="515"/>
      <c r="N194" s="515"/>
      <c r="O194" s="515"/>
      <c r="P194" s="515"/>
      <c r="Q194" s="515"/>
    </row>
    <row r="195" spans="1:17" ht="18" outlineLevel="1">
      <c r="A195" s="513" t="s">
        <v>955</v>
      </c>
      <c r="B195" s="514"/>
      <c r="C195" s="514"/>
      <c r="D195" s="515"/>
      <c r="E195" s="514"/>
      <c r="F195" s="515"/>
      <c r="G195" s="515"/>
      <c r="H195" s="515"/>
      <c r="I195" s="515"/>
      <c r="J195" s="515"/>
      <c r="K195" s="515"/>
      <c r="L195" s="515"/>
      <c r="N195" s="515"/>
      <c r="O195" s="515"/>
      <c r="P195" s="515"/>
      <c r="Q195" s="515"/>
    </row>
    <row r="196" spans="1:17" outlineLevel="1">
      <c r="A196" s="515"/>
      <c r="D196" s="516" t="s">
        <v>956</v>
      </c>
      <c r="E196" s="516"/>
      <c r="F196">
        <v>1</v>
      </c>
      <c r="G196" s="516"/>
      <c r="H196" s="516"/>
      <c r="I196" s="516" t="s">
        <v>917</v>
      </c>
      <c r="K196">
        <v>1</v>
      </c>
    </row>
    <row r="197" spans="1:17" outlineLevel="1">
      <c r="B197" s="1"/>
      <c r="D197" s="819" t="s">
        <v>919</v>
      </c>
      <c r="E197" s="820"/>
      <c r="F197" s="820" t="s">
        <v>920</v>
      </c>
      <c r="G197" s="821" t="s">
        <v>921</v>
      </c>
      <c r="H197" s="517"/>
      <c r="I197" s="819" t="s">
        <v>919</v>
      </c>
      <c r="J197" s="820"/>
      <c r="K197" s="820" t="s">
        <v>920</v>
      </c>
      <c r="L197" s="821" t="s">
        <v>921</v>
      </c>
      <c r="N197" s="573"/>
      <c r="O197" s="573"/>
      <c r="P197" s="573"/>
      <c r="Q197" s="573"/>
    </row>
    <row r="198" spans="1:17" outlineLevel="1">
      <c r="B198" s="1"/>
      <c r="D198" s="574"/>
      <c r="E198" s="517"/>
      <c r="F198" s="517"/>
      <c r="G198" s="575"/>
      <c r="H198" s="517"/>
      <c r="I198" s="574"/>
      <c r="J198" s="517"/>
      <c r="K198" s="517"/>
      <c r="L198" s="575"/>
      <c r="M198" s="526"/>
    </row>
    <row r="199" spans="1:17" outlineLevel="1">
      <c r="A199" t="s">
        <v>922</v>
      </c>
      <c r="D199" s="523">
        <v>4100000</v>
      </c>
      <c r="E199" s="524"/>
      <c r="F199" s="524">
        <v>4100000</v>
      </c>
      <c r="G199" s="525">
        <v>0</v>
      </c>
      <c r="H199" s="526"/>
      <c r="I199" s="523">
        <v>5050000</v>
      </c>
      <c r="J199" s="524"/>
      <c r="K199" s="524">
        <v>5050000</v>
      </c>
      <c r="L199" s="525">
        <v>0</v>
      </c>
      <c r="N199" s="559"/>
      <c r="O199" s="524"/>
      <c r="P199" s="524"/>
    </row>
    <row r="200" spans="1:17" outlineLevel="1">
      <c r="D200" s="527"/>
      <c r="E200" s="528"/>
      <c r="F200" s="528"/>
      <c r="G200" s="522"/>
      <c r="I200" s="527"/>
      <c r="J200" s="528"/>
      <c r="K200" s="528"/>
      <c r="L200" s="522"/>
      <c r="N200" s="528"/>
      <c r="O200" s="528"/>
      <c r="P200" s="528"/>
    </row>
    <row r="201" spans="1:17">
      <c r="A201" t="s">
        <v>923</v>
      </c>
      <c r="D201" s="529">
        <v>56</v>
      </c>
      <c r="E201" s="528"/>
      <c r="F201" s="556">
        <v>65</v>
      </c>
      <c r="G201" s="531"/>
      <c r="I201" s="529">
        <v>56</v>
      </c>
      <c r="J201" s="528"/>
      <c r="K201" s="556">
        <v>65</v>
      </c>
      <c r="L201" s="531"/>
      <c r="N201" s="560"/>
      <c r="O201" s="528"/>
      <c r="P201" s="560"/>
      <c r="Q201" s="561"/>
    </row>
    <row r="202" spans="1:17">
      <c r="A202" s="533" t="s">
        <v>924</v>
      </c>
      <c r="C202" s="534"/>
      <c r="D202" s="529">
        <v>358</v>
      </c>
      <c r="E202" s="535"/>
      <c r="F202" s="556">
        <v>387</v>
      </c>
      <c r="G202" s="531"/>
      <c r="I202" s="529">
        <v>358</v>
      </c>
      <c r="J202" s="535"/>
      <c r="K202" s="556">
        <v>387</v>
      </c>
      <c r="L202" s="531"/>
      <c r="N202" s="562"/>
      <c r="O202" s="535"/>
      <c r="P202" s="562"/>
      <c r="Q202" s="561"/>
    </row>
    <row r="203" spans="1:17">
      <c r="A203" s="533" t="s">
        <v>942</v>
      </c>
      <c r="C203" s="534"/>
      <c r="D203" s="529">
        <v>346.0815545389537</v>
      </c>
      <c r="E203" s="535"/>
      <c r="F203" s="530">
        <v>390.78506917580194</v>
      </c>
      <c r="G203" s="531"/>
      <c r="I203" s="532">
        <v>346.0815545389537</v>
      </c>
      <c r="J203" s="535"/>
      <c r="K203" s="530">
        <v>390.78506917580194</v>
      </c>
      <c r="L203" s="531"/>
      <c r="N203" s="562"/>
      <c r="O203" s="535"/>
      <c r="P203" s="562"/>
      <c r="Q203" s="561"/>
    </row>
    <row r="204" spans="1:17" outlineLevel="1">
      <c r="A204" t="s">
        <v>926</v>
      </c>
      <c r="C204" s="534"/>
      <c r="D204" s="529">
        <v>106</v>
      </c>
      <c r="E204" s="536"/>
      <c r="F204" s="556">
        <v>136</v>
      </c>
      <c r="G204" s="525"/>
      <c r="I204" s="529">
        <v>186</v>
      </c>
      <c r="J204" s="536"/>
      <c r="K204" s="569">
        <v>190</v>
      </c>
      <c r="L204" s="525"/>
      <c r="N204" s="560"/>
      <c r="O204" s="536"/>
      <c r="P204" s="560"/>
      <c r="Q204" s="561"/>
    </row>
    <row r="205" spans="1:17" outlineLevel="1">
      <c r="A205" t="s">
        <v>927</v>
      </c>
      <c r="C205" s="534"/>
      <c r="D205" s="529">
        <v>176.47046474533752</v>
      </c>
      <c r="E205" s="536"/>
      <c r="F205" s="556">
        <v>126.28911316477196</v>
      </c>
      <c r="G205" s="525"/>
      <c r="I205" s="529">
        <v>217.35996267413526</v>
      </c>
      <c r="J205" s="536"/>
      <c r="K205" s="556">
        <v>155.55122475173133</v>
      </c>
      <c r="L205" s="525"/>
      <c r="N205" s="560"/>
      <c r="O205" s="536"/>
      <c r="P205" s="560"/>
      <c r="Q205" s="561"/>
    </row>
    <row r="206" spans="1:17">
      <c r="A206" s="533" t="s">
        <v>928</v>
      </c>
      <c r="C206" s="534"/>
      <c r="D206" s="529">
        <v>141.31235912771277</v>
      </c>
      <c r="E206" s="538"/>
      <c r="F206" s="556">
        <v>154.62353913550726</v>
      </c>
      <c r="G206" s="525"/>
      <c r="I206" s="529">
        <v>174.05546673047547</v>
      </c>
      <c r="J206" s="538"/>
      <c r="K206" s="556">
        <v>190.45094454495404</v>
      </c>
      <c r="L206" s="525"/>
      <c r="N206" s="560"/>
      <c r="O206" s="536"/>
      <c r="P206" s="560"/>
      <c r="Q206" s="561"/>
    </row>
    <row r="207" spans="1:17">
      <c r="A207" s="533" t="s">
        <v>929</v>
      </c>
      <c r="C207" s="534"/>
      <c r="D207" s="529">
        <v>482.93312930470393</v>
      </c>
      <c r="E207" s="538"/>
      <c r="F207" s="556">
        <v>414.17403909205177</v>
      </c>
      <c r="G207" s="525"/>
      <c r="I207" s="529">
        <v>594.83226902164745</v>
      </c>
      <c r="J207" s="538"/>
      <c r="K207" s="556">
        <v>510.1411944914297</v>
      </c>
      <c r="L207" s="525"/>
      <c r="N207" s="560"/>
      <c r="O207" s="536"/>
      <c r="P207" s="560"/>
      <c r="Q207" s="561"/>
    </row>
    <row r="208" spans="1:17">
      <c r="A208" s="533" t="s">
        <v>930</v>
      </c>
      <c r="C208" s="534"/>
      <c r="D208" s="529">
        <v>570.10051900101689</v>
      </c>
      <c r="E208" s="538"/>
      <c r="F208" s="556">
        <v>710.78173446385199</v>
      </c>
      <c r="G208" s="525"/>
      <c r="I208" s="529">
        <v>702.19698072076471</v>
      </c>
      <c r="J208" s="538"/>
      <c r="K208" s="556">
        <v>875.47506318108606</v>
      </c>
      <c r="L208" s="525"/>
      <c r="N208" s="560"/>
      <c r="O208" s="536"/>
      <c r="P208" s="560"/>
      <c r="Q208" s="561"/>
    </row>
    <row r="209" spans="1:22" outlineLevel="1">
      <c r="A209" t="s">
        <v>943</v>
      </c>
      <c r="C209" s="534"/>
      <c r="D209" s="529">
        <v>722.1971246634107</v>
      </c>
      <c r="E209" s="536"/>
      <c r="F209" s="556">
        <v>598.16757965073543</v>
      </c>
      <c r="G209" s="525"/>
      <c r="I209" s="529">
        <v>1493.0394765646997</v>
      </c>
      <c r="J209" s="536"/>
      <c r="K209" s="556">
        <v>1290.0745439665138</v>
      </c>
      <c r="L209" s="525"/>
      <c r="N209" s="560"/>
      <c r="O209" s="536"/>
      <c r="P209" s="560"/>
      <c r="Q209" s="561"/>
    </row>
    <row r="210" spans="1:22" outlineLevel="1">
      <c r="A210" t="s">
        <v>944</v>
      </c>
      <c r="C210" s="534"/>
      <c r="D210" s="529">
        <v>0</v>
      </c>
      <c r="E210" s="536"/>
      <c r="F210" s="556">
        <v>0</v>
      </c>
      <c r="G210" s="525"/>
      <c r="I210" s="529">
        <v>0</v>
      </c>
      <c r="J210" s="536"/>
      <c r="K210" s="556">
        <v>0</v>
      </c>
      <c r="L210" s="525"/>
      <c r="N210" s="560"/>
      <c r="O210" s="536"/>
      <c r="P210" s="560"/>
      <c r="Q210" s="561"/>
    </row>
    <row r="211" spans="1:22" outlineLevel="1">
      <c r="C211" s="534"/>
      <c r="D211" s="529"/>
      <c r="E211" s="536"/>
      <c r="F211" s="556"/>
      <c r="G211" s="525"/>
      <c r="I211" s="529"/>
      <c r="J211" s="536"/>
      <c r="K211" s="556"/>
      <c r="L211" s="525"/>
      <c r="N211" s="541"/>
      <c r="O211" s="528"/>
      <c r="P211" s="541"/>
      <c r="Q211" s="561"/>
    </row>
    <row r="212" spans="1:22" outlineLevel="1">
      <c r="A212" t="s">
        <v>946</v>
      </c>
      <c r="C212" s="534"/>
      <c r="D212" s="540">
        <v>2959.0951513811356</v>
      </c>
      <c r="E212" s="528"/>
      <c r="F212" s="563">
        <v>2982.8210746827208</v>
      </c>
      <c r="G212" s="525">
        <v>8.0179656576813106E-3</v>
      </c>
      <c r="I212" s="540">
        <v>4127.5657102506757</v>
      </c>
      <c r="J212" s="528"/>
      <c r="K212" s="563">
        <v>4054.4780401115172</v>
      </c>
      <c r="L212" s="525">
        <v>-1.7707209350452648E-2</v>
      </c>
      <c r="N212" s="528"/>
      <c r="O212" s="528"/>
      <c r="P212" s="528"/>
    </row>
    <row r="213" spans="1:22" outlineLevel="1">
      <c r="D213" s="527"/>
      <c r="E213" s="528"/>
      <c r="F213" s="528"/>
      <c r="G213" s="525"/>
      <c r="I213" s="527"/>
      <c r="J213" s="528"/>
      <c r="K213" s="528"/>
      <c r="L213" s="525"/>
      <c r="N213" s="528"/>
      <c r="O213" s="528"/>
      <c r="P213" s="528"/>
      <c r="T213" s="570"/>
      <c r="V213" s="571"/>
    </row>
    <row r="214" spans="1:22" outlineLevel="1">
      <c r="D214" s="527"/>
      <c r="E214" s="528"/>
      <c r="F214" s="528"/>
      <c r="G214" s="525"/>
      <c r="I214" s="527"/>
      <c r="J214" s="528"/>
      <c r="K214" s="528"/>
      <c r="L214" s="525"/>
      <c r="N214" s="528"/>
      <c r="O214" s="528"/>
      <c r="P214" s="528"/>
    </row>
    <row r="215" spans="1:22" outlineLevel="1">
      <c r="A215" t="s">
        <v>934</v>
      </c>
      <c r="B215" t="s">
        <v>935</v>
      </c>
      <c r="D215" s="529">
        <v>0</v>
      </c>
      <c r="E215" s="528"/>
      <c r="F215" s="528">
        <v>0</v>
      </c>
      <c r="G215" s="525"/>
      <c r="I215" s="527">
        <v>0</v>
      </c>
      <c r="J215" s="528"/>
      <c r="K215" s="528">
        <v>0</v>
      </c>
      <c r="L215" s="525"/>
      <c r="N215" s="560"/>
      <c r="O215" s="528"/>
      <c r="P215" s="560"/>
    </row>
    <row r="216" spans="1:22" outlineLevel="1">
      <c r="B216" t="s">
        <v>936</v>
      </c>
      <c r="C216" s="534"/>
      <c r="D216" s="529">
        <v>0</v>
      </c>
      <c r="E216" s="528"/>
      <c r="F216" s="556">
        <v>0</v>
      </c>
      <c r="G216" s="525"/>
      <c r="I216" s="529">
        <v>0</v>
      </c>
      <c r="J216" s="528"/>
      <c r="K216" s="556">
        <v>0</v>
      </c>
      <c r="L216" s="525"/>
      <c r="N216" s="545"/>
      <c r="O216" s="528"/>
      <c r="P216" s="545"/>
      <c r="Q216" s="576"/>
    </row>
    <row r="217" spans="1:22" outlineLevel="1">
      <c r="D217" s="544">
        <v>0</v>
      </c>
      <c r="E217" s="528"/>
      <c r="F217" s="545">
        <v>0</v>
      </c>
      <c r="G217" s="525"/>
      <c r="I217" s="544">
        <v>0</v>
      </c>
      <c r="J217" s="528"/>
      <c r="K217" s="545">
        <v>0</v>
      </c>
      <c r="L217" s="525"/>
      <c r="N217" s="528"/>
      <c r="O217" s="528"/>
      <c r="P217" s="528"/>
    </row>
    <row r="218" spans="1:22" outlineLevel="1">
      <c r="D218" s="527"/>
      <c r="E218" s="528"/>
      <c r="F218" s="528"/>
      <c r="G218" s="525"/>
      <c r="I218" s="527"/>
      <c r="J218" s="528"/>
      <c r="K218" s="528"/>
      <c r="L218" s="525"/>
      <c r="N218" s="528"/>
      <c r="O218" s="528"/>
      <c r="P218" s="528"/>
    </row>
    <row r="219" spans="1:22" outlineLevel="1">
      <c r="D219" s="527"/>
      <c r="E219" s="528"/>
      <c r="F219" s="528"/>
      <c r="G219" s="525"/>
      <c r="I219" s="527"/>
      <c r="J219" s="528"/>
      <c r="K219" s="528"/>
      <c r="L219" s="525"/>
      <c r="N219" s="528"/>
      <c r="O219" s="528"/>
      <c r="P219" s="528"/>
    </row>
    <row r="220" spans="1:22" outlineLevel="1">
      <c r="A220" t="s">
        <v>937</v>
      </c>
      <c r="B220" t="s">
        <v>935</v>
      </c>
      <c r="D220" s="529">
        <v>0</v>
      </c>
      <c r="E220" s="528"/>
      <c r="F220" s="528">
        <v>0</v>
      </c>
      <c r="G220" s="525"/>
      <c r="I220" s="527">
        <v>0</v>
      </c>
      <c r="J220" s="528"/>
      <c r="K220" s="528">
        <v>0</v>
      </c>
      <c r="L220" s="525"/>
      <c r="N220" s="528"/>
      <c r="O220" s="536"/>
      <c r="P220" s="528"/>
    </row>
    <row r="221" spans="1:22" outlineLevel="1">
      <c r="B221" t="s">
        <v>938</v>
      </c>
      <c r="C221" s="546">
        <v>0</v>
      </c>
      <c r="D221" s="529">
        <v>0</v>
      </c>
      <c r="E221" s="536"/>
      <c r="F221" s="528">
        <v>0</v>
      </c>
      <c r="G221" s="525"/>
      <c r="I221" s="527">
        <v>0</v>
      </c>
      <c r="J221" s="536"/>
      <c r="K221" s="528">
        <v>0</v>
      </c>
      <c r="L221" s="525"/>
      <c r="N221" s="545"/>
      <c r="O221" s="528"/>
      <c r="P221" s="545"/>
    </row>
    <row r="222" spans="1:22" outlineLevel="1">
      <c r="D222" s="544">
        <v>0</v>
      </c>
      <c r="E222" s="528"/>
      <c r="F222" s="545">
        <v>0</v>
      </c>
      <c r="G222" s="525"/>
      <c r="I222" s="544">
        <v>0</v>
      </c>
      <c r="J222" s="528"/>
      <c r="K222" s="545">
        <v>0</v>
      </c>
      <c r="L222" s="525"/>
      <c r="N222" s="528"/>
      <c r="O222" s="528"/>
      <c r="P222" s="528"/>
    </row>
    <row r="223" spans="1:22" outlineLevel="1">
      <c r="D223" s="527"/>
      <c r="E223" s="528"/>
      <c r="F223" s="528"/>
      <c r="G223" s="525"/>
      <c r="I223" s="527"/>
      <c r="J223" s="528"/>
      <c r="K223" s="528"/>
      <c r="L223" s="525"/>
      <c r="N223" s="564"/>
      <c r="O223" s="528"/>
      <c r="P223" s="564"/>
    </row>
    <row r="224" spans="1:22" outlineLevel="1">
      <c r="B224" t="s">
        <v>947</v>
      </c>
      <c r="D224" s="529">
        <v>302</v>
      </c>
      <c r="E224" s="528"/>
      <c r="F224" s="556">
        <v>313</v>
      </c>
      <c r="G224" s="525"/>
      <c r="I224" s="529">
        <v>302</v>
      </c>
      <c r="J224" s="528"/>
      <c r="K224" s="556">
        <v>313</v>
      </c>
      <c r="L224" s="525"/>
      <c r="N224" s="545"/>
      <c r="O224" s="528"/>
      <c r="P224" s="545"/>
    </row>
    <row r="225" spans="1:17" outlineLevel="1">
      <c r="D225" s="544">
        <v>302</v>
      </c>
      <c r="E225" s="528"/>
      <c r="F225" s="545">
        <v>313</v>
      </c>
      <c r="G225" s="525">
        <v>3.6423841059602648E-2</v>
      </c>
      <c r="I225" s="544">
        <v>302</v>
      </c>
      <c r="J225" s="528"/>
      <c r="K225" s="545">
        <v>313</v>
      </c>
      <c r="L225" s="525">
        <v>3.6423841059602648E-2</v>
      </c>
      <c r="N225" s="545"/>
      <c r="O225" s="528"/>
      <c r="P225" s="545"/>
    </row>
    <row r="226" spans="1:17" ht="16.5" outlineLevel="1">
      <c r="D226" s="544"/>
      <c r="E226" s="528"/>
      <c r="F226" s="545"/>
      <c r="G226" s="525"/>
      <c r="I226" s="544"/>
      <c r="J226" s="528"/>
      <c r="K226" s="545"/>
      <c r="L226" s="525"/>
      <c r="N226" s="548"/>
      <c r="O226" s="528"/>
      <c r="P226" s="548"/>
      <c r="Q226" s="565"/>
    </row>
    <row r="227" spans="1:17" ht="16.5" outlineLevel="1">
      <c r="A227" t="s">
        <v>940</v>
      </c>
      <c r="D227" s="547">
        <v>3261.0951513811356</v>
      </c>
      <c r="E227" s="528"/>
      <c r="F227" s="548">
        <v>3295.8210746827208</v>
      </c>
      <c r="G227" s="550">
        <v>1.0648546481962704E-2</v>
      </c>
      <c r="I227" s="547">
        <v>4429.5657102506757</v>
      </c>
      <c r="J227" s="528"/>
      <c r="K227" s="548">
        <v>4367.4780401115167</v>
      </c>
      <c r="L227" s="550">
        <v>-1.4016649531912083E-2</v>
      </c>
      <c r="N227" s="528"/>
      <c r="O227" s="528"/>
      <c r="P227" s="528"/>
      <c r="Q227" s="528"/>
    </row>
    <row r="228" spans="1:17" outlineLevel="1">
      <c r="D228" s="551"/>
      <c r="E228" s="552"/>
      <c r="F228" s="552"/>
      <c r="G228" s="553">
        <v>34.725923301585226</v>
      </c>
      <c r="I228" s="554"/>
      <c r="J228" s="555"/>
      <c r="K228" s="555"/>
      <c r="L228" s="553">
        <v>-62.087670139158945</v>
      </c>
      <c r="M228" s="515"/>
    </row>
    <row r="229" spans="1:17" outlineLevel="1">
      <c r="M229" s="515"/>
      <c r="N229" s="515"/>
      <c r="O229" s="515"/>
      <c r="P229" s="515"/>
      <c r="Q229" s="515"/>
    </row>
    <row r="230" spans="1:17" outlineLevel="1">
      <c r="B230" s="514"/>
      <c r="C230" s="514"/>
      <c r="D230" s="515"/>
      <c r="E230" s="514"/>
      <c r="F230" s="515"/>
      <c r="G230" s="515"/>
      <c r="H230" s="515"/>
      <c r="I230" s="515"/>
      <c r="J230" s="515"/>
      <c r="K230" s="515"/>
      <c r="L230" s="515"/>
      <c r="N230" s="515"/>
      <c r="O230" s="515"/>
      <c r="P230" s="515"/>
      <c r="Q230" s="515"/>
    </row>
    <row r="231" spans="1:17" ht="18" outlineLevel="1">
      <c r="A231" s="513" t="s">
        <v>957</v>
      </c>
      <c r="B231" s="514"/>
      <c r="C231" s="514"/>
      <c r="D231" s="515"/>
      <c r="E231" s="514"/>
      <c r="F231" s="515"/>
      <c r="G231" s="515"/>
      <c r="H231" s="515"/>
      <c r="I231" s="515"/>
      <c r="J231" s="515"/>
      <c r="K231" s="515"/>
      <c r="L231" s="515"/>
    </row>
    <row r="232" spans="1:17" outlineLevel="1">
      <c r="A232" s="515"/>
      <c r="D232" s="516" t="s">
        <v>956</v>
      </c>
      <c r="E232" s="516"/>
      <c r="F232">
        <v>1</v>
      </c>
      <c r="G232" s="516"/>
      <c r="H232" s="516"/>
      <c r="I232" s="516" t="s">
        <v>917</v>
      </c>
      <c r="K232">
        <v>1</v>
      </c>
    </row>
    <row r="233" spans="1:17" outlineLevel="1">
      <c r="B233" s="1"/>
      <c r="D233" s="819" t="s">
        <v>919</v>
      </c>
      <c r="E233" s="820"/>
      <c r="F233" s="820" t="s">
        <v>920</v>
      </c>
      <c r="G233" s="821" t="s">
        <v>921</v>
      </c>
      <c r="H233" s="517"/>
      <c r="I233" s="819" t="s">
        <v>919</v>
      </c>
      <c r="J233" s="820"/>
      <c r="K233" s="820" t="s">
        <v>920</v>
      </c>
      <c r="L233" s="821" t="s">
        <v>921</v>
      </c>
      <c r="M233" s="526"/>
    </row>
    <row r="234" spans="1:17" outlineLevel="1">
      <c r="B234" s="1"/>
      <c r="D234" s="521"/>
      <c r="G234" s="522"/>
      <c r="I234" s="521"/>
      <c r="L234" s="522"/>
      <c r="N234" s="559"/>
      <c r="O234" s="524"/>
      <c r="P234" s="524"/>
    </row>
    <row r="235" spans="1:17" outlineLevel="1">
      <c r="A235" t="s">
        <v>922</v>
      </c>
      <c r="D235" s="523">
        <v>2050000</v>
      </c>
      <c r="E235" s="524"/>
      <c r="F235" s="524">
        <v>2050000</v>
      </c>
      <c r="G235" s="525">
        <v>0</v>
      </c>
      <c r="H235" s="526"/>
      <c r="I235" s="523">
        <v>1560000</v>
      </c>
      <c r="J235" s="524"/>
      <c r="K235" s="524">
        <v>1560000</v>
      </c>
      <c r="L235" s="525">
        <v>0</v>
      </c>
      <c r="N235" s="528"/>
      <c r="O235" s="528"/>
      <c r="P235" s="528"/>
    </row>
    <row r="236" spans="1:17" outlineLevel="1">
      <c r="D236" s="527"/>
      <c r="E236" s="528"/>
      <c r="F236" s="528"/>
      <c r="G236" s="522"/>
      <c r="I236" s="527"/>
      <c r="J236" s="528"/>
      <c r="K236" s="528"/>
      <c r="L236" s="522"/>
      <c r="N236" s="577"/>
      <c r="O236" s="528"/>
      <c r="P236" s="577"/>
      <c r="Q236" s="561"/>
    </row>
    <row r="237" spans="1:17">
      <c r="A237" t="s">
        <v>923</v>
      </c>
      <c r="D237" s="529">
        <v>56</v>
      </c>
      <c r="E237" s="528"/>
      <c r="F237" s="556">
        <v>65</v>
      </c>
      <c r="G237" s="531"/>
      <c r="I237" s="529">
        <v>56</v>
      </c>
      <c r="J237" s="528"/>
      <c r="K237" s="556">
        <v>65</v>
      </c>
      <c r="L237" s="531"/>
      <c r="N237" s="560"/>
      <c r="O237" s="528"/>
      <c r="P237" s="560"/>
      <c r="Q237" s="561"/>
    </row>
    <row r="238" spans="1:17">
      <c r="A238" s="533" t="s">
        <v>924</v>
      </c>
      <c r="C238" s="534"/>
      <c r="D238" s="529">
        <v>358</v>
      </c>
      <c r="E238" s="535"/>
      <c r="F238" s="556">
        <v>387</v>
      </c>
      <c r="G238" s="531"/>
      <c r="I238" s="529">
        <v>358</v>
      </c>
      <c r="J238" s="535"/>
      <c r="K238" s="556">
        <v>387</v>
      </c>
      <c r="L238" s="531"/>
      <c r="N238" s="562"/>
      <c r="O238" s="535"/>
      <c r="P238" s="562"/>
      <c r="Q238" s="561"/>
    </row>
    <row r="239" spans="1:17">
      <c r="A239" s="533" t="s">
        <v>942</v>
      </c>
      <c r="C239" s="534"/>
      <c r="D239" s="529">
        <v>255.80154750281065</v>
      </c>
      <c r="E239" s="535"/>
      <c r="F239" s="530">
        <v>283.35538457433586</v>
      </c>
      <c r="G239" s="531"/>
      <c r="I239" s="532">
        <v>255.80154750281065</v>
      </c>
      <c r="J239" s="535"/>
      <c r="K239" s="530">
        <v>283.35538457433586</v>
      </c>
      <c r="L239" s="531"/>
      <c r="N239" s="562"/>
      <c r="O239" s="535"/>
      <c r="P239" s="562"/>
      <c r="Q239" s="561"/>
    </row>
    <row r="240" spans="1:17" outlineLevel="1">
      <c r="A240" t="s">
        <v>926</v>
      </c>
      <c r="C240" s="534"/>
      <c r="D240" s="529">
        <v>106</v>
      </c>
      <c r="E240" s="536"/>
      <c r="F240" s="556">
        <v>136</v>
      </c>
      <c r="G240" s="525"/>
      <c r="I240" s="529">
        <v>186</v>
      </c>
      <c r="J240" s="536"/>
      <c r="K240" s="569">
        <v>190</v>
      </c>
      <c r="L240" s="525"/>
      <c r="N240" s="560"/>
      <c r="O240" s="536"/>
      <c r="P240" s="560"/>
      <c r="Q240" s="561"/>
    </row>
    <row r="241" spans="1:22" outlineLevel="1">
      <c r="A241" t="s">
        <v>927</v>
      </c>
      <c r="C241" s="534"/>
      <c r="D241" s="529">
        <v>88.235232372668762</v>
      </c>
      <c r="E241" s="536"/>
      <c r="F241" s="556">
        <v>63.144556582385974</v>
      </c>
      <c r="G241" s="525"/>
      <c r="I241" s="529">
        <v>67.144859756762571</v>
      </c>
      <c r="J241" s="536"/>
      <c r="K241" s="556">
        <v>48.051467448059576</v>
      </c>
      <c r="L241" s="525"/>
      <c r="N241" s="560"/>
      <c r="O241" s="536"/>
      <c r="P241" s="560"/>
      <c r="Q241" s="561"/>
    </row>
    <row r="242" spans="1:22">
      <c r="A242" s="533" t="s">
        <v>928</v>
      </c>
      <c r="C242" s="534"/>
      <c r="D242" s="529">
        <v>211.96853869156914</v>
      </c>
      <c r="E242" s="538"/>
      <c r="F242" s="556">
        <v>231.93530870326083</v>
      </c>
      <c r="G242" s="525"/>
      <c r="I242" s="529">
        <v>161.30288797992577</v>
      </c>
      <c r="J242" s="538"/>
      <c r="K242" s="556">
        <v>176.49711296443263</v>
      </c>
      <c r="L242" s="525"/>
      <c r="N242" s="560"/>
      <c r="O242" s="536"/>
      <c r="P242" s="560"/>
      <c r="Q242" s="561"/>
    </row>
    <row r="243" spans="1:22">
      <c r="A243" s="533" t="s">
        <v>929</v>
      </c>
      <c r="C243" s="534"/>
      <c r="D243" s="529">
        <v>321.95541953646932</v>
      </c>
      <c r="E243" s="538"/>
      <c r="F243" s="556">
        <v>276.1160260613679</v>
      </c>
      <c r="G243" s="525"/>
      <c r="I243" s="529">
        <v>245.00022169604495</v>
      </c>
      <c r="J243" s="538"/>
      <c r="K243" s="556">
        <v>210.11756129547999</v>
      </c>
      <c r="L243" s="525"/>
      <c r="N243" s="560"/>
      <c r="O243" s="536"/>
      <c r="P243" s="560"/>
      <c r="Q243" s="561"/>
    </row>
    <row r="244" spans="1:22">
      <c r="A244" s="533" t="s">
        <v>930</v>
      </c>
      <c r="C244" s="534"/>
      <c r="D244" s="529">
        <v>380.06701266734456</v>
      </c>
      <c r="E244" s="538"/>
      <c r="F244" s="556">
        <v>473.85448964256801</v>
      </c>
      <c r="G244" s="525"/>
      <c r="I244" s="529">
        <v>289.22172671271096</v>
      </c>
      <c r="J244" s="538"/>
      <c r="K244" s="556">
        <v>360.59170919141764</v>
      </c>
      <c r="L244" s="525"/>
      <c r="N244" s="560"/>
      <c r="O244" s="536"/>
      <c r="P244" s="560"/>
      <c r="Q244" s="561"/>
    </row>
    <row r="245" spans="1:22" outlineLevel="1">
      <c r="A245" t="s">
        <v>943</v>
      </c>
      <c r="C245" s="534"/>
      <c r="D245" s="529">
        <v>445.80069423667322</v>
      </c>
      <c r="E245" s="536"/>
      <c r="F245" s="556">
        <v>369.23924669798487</v>
      </c>
      <c r="G245" s="525"/>
      <c r="I245" s="529">
        <v>569.40266066273853</v>
      </c>
      <c r="J245" s="536"/>
      <c r="K245" s="556">
        <v>491.9976258618168</v>
      </c>
      <c r="L245" s="525"/>
      <c r="N245" s="560"/>
      <c r="O245" s="536"/>
      <c r="P245" s="560"/>
      <c r="Q245" s="561"/>
    </row>
    <row r="246" spans="1:22" outlineLevel="1">
      <c r="A246" t="s">
        <v>944</v>
      </c>
      <c r="C246" s="534"/>
      <c r="D246" s="529">
        <v>0</v>
      </c>
      <c r="E246" s="536"/>
      <c r="F246" s="556">
        <v>0</v>
      </c>
      <c r="G246" s="525"/>
      <c r="I246" s="529">
        <v>0</v>
      </c>
      <c r="J246" s="536"/>
      <c r="K246" s="556">
        <v>0</v>
      </c>
      <c r="L246" s="525"/>
      <c r="N246" s="541"/>
      <c r="O246" s="528"/>
      <c r="P246" s="541"/>
      <c r="Q246" s="561"/>
    </row>
    <row r="247" spans="1:22" outlineLevel="1">
      <c r="C247" s="534"/>
      <c r="D247" s="529"/>
      <c r="E247" s="536"/>
      <c r="F247" s="556"/>
      <c r="G247" s="525"/>
      <c r="I247" s="529"/>
      <c r="J247" s="536"/>
      <c r="K247" s="556"/>
      <c r="L247" s="525"/>
      <c r="N247" s="528"/>
      <c r="O247" s="528"/>
      <c r="P247" s="528"/>
    </row>
    <row r="248" spans="1:22" outlineLevel="1">
      <c r="A248" t="s">
        <v>946</v>
      </c>
      <c r="C248" s="534"/>
      <c r="D248" s="540">
        <v>2223.8284450075357</v>
      </c>
      <c r="E248" s="528"/>
      <c r="F248" s="563">
        <v>2285.6450122619035</v>
      </c>
      <c r="G248" s="525">
        <v>2.7797363323211879E-2</v>
      </c>
      <c r="I248" s="540">
        <v>2187.8739043109936</v>
      </c>
      <c r="J248" s="528"/>
      <c r="K248" s="563">
        <v>2212.6108613355427</v>
      </c>
      <c r="L248" s="525">
        <v>1.1306390636045056E-2</v>
      </c>
      <c r="N248" s="528"/>
      <c r="O248" s="528"/>
      <c r="P248" s="528"/>
    </row>
    <row r="249" spans="1:22" outlineLevel="1">
      <c r="D249" s="527"/>
      <c r="E249" s="528"/>
      <c r="F249" s="528"/>
      <c r="G249" s="525"/>
      <c r="I249" s="527"/>
      <c r="J249" s="528"/>
      <c r="K249" s="528"/>
      <c r="L249" s="525"/>
      <c r="N249" s="528"/>
      <c r="O249" s="528"/>
      <c r="P249" s="528"/>
      <c r="T249" s="570"/>
      <c r="V249" s="571"/>
    </row>
    <row r="250" spans="1:22" outlineLevel="1">
      <c r="D250" s="527"/>
      <c r="E250" s="528"/>
      <c r="F250" s="528"/>
      <c r="G250" s="525"/>
      <c r="I250" s="527"/>
      <c r="J250" s="528"/>
      <c r="K250" s="528"/>
      <c r="L250" s="525"/>
      <c r="N250" s="560"/>
      <c r="O250" s="528"/>
      <c r="P250" s="560"/>
    </row>
    <row r="251" spans="1:22" outlineLevel="1">
      <c r="A251" t="s">
        <v>934</v>
      </c>
      <c r="B251" t="s">
        <v>935</v>
      </c>
      <c r="D251" s="529">
        <v>0</v>
      </c>
      <c r="E251" s="528"/>
      <c r="F251" s="528">
        <v>0</v>
      </c>
      <c r="G251" s="525"/>
      <c r="I251" s="527">
        <v>0</v>
      </c>
      <c r="J251" s="528"/>
      <c r="K251" s="528">
        <v>0</v>
      </c>
      <c r="L251" s="525"/>
      <c r="N251" s="545"/>
      <c r="O251" s="528"/>
      <c r="P251" s="545"/>
      <c r="Q251" s="576"/>
    </row>
    <row r="252" spans="1:22" outlineLevel="1">
      <c r="B252" t="s">
        <v>936</v>
      </c>
      <c r="C252" s="534"/>
      <c r="D252" s="529">
        <v>0</v>
      </c>
      <c r="E252" s="528"/>
      <c r="F252" s="556">
        <v>0</v>
      </c>
      <c r="G252" s="525"/>
      <c r="I252" s="529">
        <v>0</v>
      </c>
      <c r="J252" s="528"/>
      <c r="K252" s="556">
        <v>0</v>
      </c>
      <c r="L252" s="525"/>
      <c r="N252" s="528"/>
      <c r="O252" s="528"/>
      <c r="P252" s="528"/>
    </row>
    <row r="253" spans="1:22" outlineLevel="1">
      <c r="D253" s="544">
        <v>0</v>
      </c>
      <c r="E253" s="528"/>
      <c r="F253" s="545">
        <v>0</v>
      </c>
      <c r="G253" s="525"/>
      <c r="I253" s="544">
        <v>0</v>
      </c>
      <c r="J253" s="528"/>
      <c r="K253" s="545">
        <v>0</v>
      </c>
      <c r="L253" s="525"/>
      <c r="N253" s="528"/>
      <c r="O253" s="528"/>
      <c r="P253" s="528"/>
    </row>
    <row r="254" spans="1:22" outlineLevel="1">
      <c r="D254" s="527"/>
      <c r="E254" s="528"/>
      <c r="F254" s="528"/>
      <c r="G254" s="525"/>
      <c r="I254" s="527"/>
      <c r="J254" s="528"/>
      <c r="K254" s="528"/>
      <c r="L254" s="525"/>
      <c r="N254" s="528"/>
      <c r="O254" s="528"/>
      <c r="P254" s="528"/>
    </row>
    <row r="255" spans="1:22" outlineLevel="1">
      <c r="D255" s="527"/>
      <c r="E255" s="528"/>
      <c r="F255" s="528"/>
      <c r="G255" s="525"/>
      <c r="I255" s="527"/>
      <c r="J255" s="528"/>
      <c r="K255" s="528"/>
      <c r="L255" s="525"/>
      <c r="N255" s="528"/>
      <c r="O255" s="536"/>
      <c r="P255" s="528"/>
    </row>
    <row r="256" spans="1:22" outlineLevel="1">
      <c r="A256" t="s">
        <v>937</v>
      </c>
      <c r="B256" t="s">
        <v>935</v>
      </c>
      <c r="D256" s="529">
        <v>0</v>
      </c>
      <c r="E256" s="528"/>
      <c r="F256" s="528">
        <v>0</v>
      </c>
      <c r="G256" s="525"/>
      <c r="I256" s="527">
        <v>0</v>
      </c>
      <c r="J256" s="528"/>
      <c r="K256" s="528">
        <v>0</v>
      </c>
      <c r="L256" s="525"/>
      <c r="N256" s="545"/>
      <c r="O256" s="528"/>
      <c r="P256" s="545"/>
    </row>
    <row r="257" spans="1:17" outlineLevel="1">
      <c r="B257" t="s">
        <v>938</v>
      </c>
      <c r="C257" s="546">
        <v>0</v>
      </c>
      <c r="D257" s="529">
        <v>0</v>
      </c>
      <c r="E257" s="536"/>
      <c r="F257" s="528">
        <v>0</v>
      </c>
      <c r="G257" s="525"/>
      <c r="I257" s="527">
        <v>0</v>
      </c>
      <c r="J257" s="536"/>
      <c r="K257" s="528">
        <v>0</v>
      </c>
      <c r="L257" s="525"/>
      <c r="N257" s="528"/>
      <c r="O257" s="528"/>
      <c r="P257" s="528"/>
    </row>
    <row r="258" spans="1:17" outlineLevel="1">
      <c r="D258" s="544">
        <v>0</v>
      </c>
      <c r="E258" s="528"/>
      <c r="F258" s="545">
        <v>0</v>
      </c>
      <c r="G258" s="525"/>
      <c r="I258" s="544">
        <v>0</v>
      </c>
      <c r="J258" s="528"/>
      <c r="K258" s="545">
        <v>0</v>
      </c>
      <c r="L258" s="525"/>
      <c r="N258" s="564"/>
      <c r="O258" s="528"/>
      <c r="P258" s="564"/>
    </row>
    <row r="259" spans="1:17" outlineLevel="1">
      <c r="D259" s="527"/>
      <c r="E259" s="528"/>
      <c r="F259" s="528"/>
      <c r="G259" s="525"/>
      <c r="I259" s="527"/>
      <c r="J259" s="528"/>
      <c r="K259" s="528"/>
      <c r="L259" s="525"/>
      <c r="N259" s="545"/>
      <c r="O259" s="528"/>
      <c r="P259" s="545"/>
    </row>
    <row r="260" spans="1:17" outlineLevel="1">
      <c r="B260" t="s">
        <v>947</v>
      </c>
      <c r="D260" s="529">
        <v>302</v>
      </c>
      <c r="E260" s="528"/>
      <c r="F260" s="556">
        <v>313</v>
      </c>
      <c r="G260" s="525"/>
      <c r="I260" s="529">
        <v>302</v>
      </c>
      <c r="J260" s="528"/>
      <c r="K260" s="556">
        <v>313</v>
      </c>
      <c r="L260" s="525"/>
      <c r="N260" s="545"/>
      <c r="O260" s="528"/>
      <c r="P260" s="545"/>
    </row>
    <row r="261" spans="1:17" ht="16.5" outlineLevel="1">
      <c r="D261" s="544">
        <v>302</v>
      </c>
      <c r="E261" s="528"/>
      <c r="F261" s="545">
        <v>313</v>
      </c>
      <c r="G261" s="525">
        <v>3.6423841059602648E-2</v>
      </c>
      <c r="I261" s="544">
        <v>302</v>
      </c>
      <c r="J261" s="528"/>
      <c r="K261" s="545">
        <v>313</v>
      </c>
      <c r="L261" s="525">
        <v>3.6423841059602648E-2</v>
      </c>
      <c r="N261" s="548"/>
      <c r="O261" s="528"/>
      <c r="P261" s="548"/>
      <c r="Q261" s="565"/>
    </row>
    <row r="262" spans="1:17" outlineLevel="1">
      <c r="D262" s="544"/>
      <c r="E262" s="528"/>
      <c r="F262" s="545"/>
      <c r="G262" s="525"/>
      <c r="I262" s="544"/>
      <c r="J262" s="528"/>
      <c r="K262" s="545"/>
      <c r="L262" s="525"/>
      <c r="N262" s="528"/>
      <c r="O262" s="528"/>
      <c r="P262" s="528"/>
      <c r="Q262" s="528"/>
    </row>
    <row r="263" spans="1:17" ht="16.5" outlineLevel="1">
      <c r="A263" t="s">
        <v>940</v>
      </c>
      <c r="D263" s="547">
        <v>2525.8284450075357</v>
      </c>
      <c r="E263" s="528"/>
      <c r="F263" s="548">
        <v>2598.6450122619035</v>
      </c>
      <c r="G263" s="550">
        <v>2.8828785818092461E-2</v>
      </c>
      <c r="I263" s="547">
        <v>2489.8739043109936</v>
      </c>
      <c r="J263" s="528"/>
      <c r="K263" s="548">
        <v>2525.6108613355427</v>
      </c>
      <c r="L263" s="550">
        <v>1.4352918419954447E-2</v>
      </c>
      <c r="M263" s="515"/>
    </row>
    <row r="264" spans="1:17" outlineLevel="1">
      <c r="D264" s="551"/>
      <c r="E264" s="552"/>
      <c r="F264" s="552"/>
      <c r="G264" s="553">
        <v>72.816567254367783</v>
      </c>
      <c r="I264" s="554"/>
      <c r="J264" s="555"/>
      <c r="K264" s="555"/>
      <c r="L264" s="553">
        <v>35.736957024549156</v>
      </c>
      <c r="M264" s="515"/>
      <c r="N264" s="515"/>
      <c r="O264" s="515"/>
      <c r="P264" s="515"/>
      <c r="Q264" s="515"/>
    </row>
    <row r="265" spans="1:17" outlineLevel="1">
      <c r="M265" s="516"/>
      <c r="N265" s="515"/>
      <c r="O265" s="515"/>
      <c r="P265" s="515"/>
      <c r="Q265" s="515"/>
    </row>
    <row r="266" spans="1:17" outlineLevel="1">
      <c r="B266" s="514"/>
      <c r="C266" s="514"/>
      <c r="D266" s="515"/>
      <c r="E266" s="514"/>
      <c r="F266" s="515"/>
      <c r="G266" s="515"/>
      <c r="H266" s="515"/>
      <c r="I266" s="515"/>
      <c r="J266" s="515"/>
      <c r="K266" s="515"/>
      <c r="L266" s="515"/>
      <c r="M266" s="517"/>
      <c r="N266" s="515"/>
      <c r="O266" s="515"/>
      <c r="P266" s="515"/>
      <c r="Q266" s="515"/>
    </row>
    <row r="267" spans="1:17" ht="18" outlineLevel="1">
      <c r="A267" s="513" t="s">
        <v>958</v>
      </c>
      <c r="B267" s="514"/>
      <c r="C267" s="514"/>
      <c r="D267" s="515"/>
      <c r="E267" s="514"/>
      <c r="F267" s="515"/>
      <c r="G267" s="515"/>
      <c r="H267" s="515"/>
      <c r="I267" s="515"/>
      <c r="J267" s="515"/>
      <c r="K267" s="515"/>
      <c r="L267" s="515"/>
      <c r="N267" s="515"/>
      <c r="O267" s="515"/>
      <c r="P267" s="515"/>
      <c r="Q267" s="515"/>
    </row>
    <row r="268" spans="1:17">
      <c r="D268" s="516" t="s">
        <v>916</v>
      </c>
      <c r="E268" s="516"/>
      <c r="F268">
        <v>1</v>
      </c>
      <c r="G268" s="516"/>
      <c r="H268" s="516"/>
      <c r="I268" s="516" t="s">
        <v>917</v>
      </c>
      <c r="J268" s="516"/>
      <c r="K268">
        <v>1</v>
      </c>
      <c r="L268" s="516"/>
      <c r="M268" s="516"/>
      <c r="N268" s="516" t="s">
        <v>918</v>
      </c>
      <c r="P268">
        <v>1</v>
      </c>
    </row>
    <row r="269" spans="1:17" outlineLevel="1">
      <c r="B269" s="1"/>
      <c r="D269" s="819" t="s">
        <v>919</v>
      </c>
      <c r="E269" s="820"/>
      <c r="F269" s="820" t="s">
        <v>920</v>
      </c>
      <c r="G269" s="821" t="s">
        <v>921</v>
      </c>
      <c r="H269" s="517"/>
      <c r="I269" s="819" t="s">
        <v>919</v>
      </c>
      <c r="J269" s="820"/>
      <c r="K269" s="820" t="s">
        <v>920</v>
      </c>
      <c r="L269" s="821" t="s">
        <v>921</v>
      </c>
      <c r="N269" s="819" t="s">
        <v>919</v>
      </c>
      <c r="O269" s="820"/>
      <c r="P269" s="820" t="s">
        <v>920</v>
      </c>
      <c r="Q269" s="821" t="s">
        <v>921</v>
      </c>
    </row>
    <row r="270" spans="1:17" outlineLevel="1">
      <c r="B270" s="1"/>
      <c r="D270" s="521"/>
      <c r="G270" s="522"/>
      <c r="I270" s="521"/>
      <c r="L270" s="522"/>
      <c r="N270" s="521"/>
      <c r="Q270" s="522"/>
    </row>
    <row r="271" spans="1:17" outlineLevel="1">
      <c r="A271" t="s">
        <v>922</v>
      </c>
      <c r="D271" s="523">
        <v>700000</v>
      </c>
      <c r="E271" s="524"/>
      <c r="F271" s="524">
        <v>700000</v>
      </c>
      <c r="G271" s="525">
        <v>0</v>
      </c>
      <c r="H271" s="526"/>
      <c r="I271" s="523">
        <v>550000</v>
      </c>
      <c r="J271" s="524"/>
      <c r="K271" s="524">
        <v>550000</v>
      </c>
      <c r="L271" s="525">
        <v>0</v>
      </c>
      <c r="N271" s="523">
        <v>720000</v>
      </c>
      <c r="O271" s="524"/>
      <c r="P271" s="524">
        <v>720000</v>
      </c>
      <c r="Q271" s="525">
        <v>0</v>
      </c>
    </row>
    <row r="272" spans="1:17" outlineLevel="1">
      <c r="D272" s="527"/>
      <c r="E272" s="528"/>
      <c r="F272" s="528"/>
      <c r="G272" s="522"/>
      <c r="I272" s="527"/>
      <c r="J272" s="528"/>
      <c r="K272" s="528"/>
      <c r="L272" s="522"/>
      <c r="N272" s="527"/>
      <c r="O272" s="528"/>
      <c r="P272" s="528"/>
      <c r="Q272" s="522"/>
    </row>
    <row r="273" spans="1:22">
      <c r="A273" t="s">
        <v>923</v>
      </c>
      <c r="D273" s="529">
        <v>56</v>
      </c>
      <c r="E273" s="528"/>
      <c r="F273" s="556">
        <v>65</v>
      </c>
      <c r="G273" s="531"/>
      <c r="I273" s="529">
        <v>56</v>
      </c>
      <c r="J273" s="528"/>
      <c r="K273" s="556">
        <v>65</v>
      </c>
      <c r="L273" s="531"/>
      <c r="N273" s="529">
        <v>56</v>
      </c>
      <c r="O273" s="528"/>
      <c r="P273" s="556">
        <v>65</v>
      </c>
      <c r="Q273" s="525"/>
    </row>
    <row r="274" spans="1:22">
      <c r="A274" s="533" t="s">
        <v>924</v>
      </c>
      <c r="C274" s="534"/>
      <c r="D274" s="529">
        <v>358</v>
      </c>
      <c r="E274" s="535"/>
      <c r="F274" s="556">
        <v>387</v>
      </c>
      <c r="G274" s="531"/>
      <c r="I274" s="529">
        <v>358</v>
      </c>
      <c r="J274" s="535"/>
      <c r="K274" s="556">
        <v>387</v>
      </c>
      <c r="L274" s="531"/>
      <c r="N274" s="529">
        <v>358</v>
      </c>
      <c r="O274" s="535"/>
      <c r="P274" s="556">
        <v>387</v>
      </c>
      <c r="Q274" s="525"/>
    </row>
    <row r="275" spans="1:22">
      <c r="A275" s="533" t="s">
        <v>942</v>
      </c>
      <c r="C275" s="534"/>
      <c r="D275" s="529">
        <v>276.96344633332882</v>
      </c>
      <c r="E275" s="535"/>
      <c r="F275" s="530">
        <v>304.51157242642466</v>
      </c>
      <c r="G275" s="531"/>
      <c r="I275" s="532">
        <v>276.96344633332882</v>
      </c>
      <c r="J275" s="535"/>
      <c r="K275" s="530">
        <v>304.51157242642466</v>
      </c>
      <c r="L275" s="531"/>
      <c r="N275" s="532">
        <v>276.96344633332882</v>
      </c>
      <c r="O275" s="535"/>
      <c r="P275" s="530">
        <v>304.51157242642466</v>
      </c>
      <c r="Q275" s="525"/>
    </row>
    <row r="276" spans="1:22" outlineLevel="1">
      <c r="A276" t="s">
        <v>959</v>
      </c>
      <c r="C276" s="534"/>
      <c r="D276" s="529">
        <v>106</v>
      </c>
      <c r="E276" s="536"/>
      <c r="F276" s="556">
        <v>136</v>
      </c>
      <c r="G276" s="525"/>
      <c r="I276" s="529">
        <v>186</v>
      </c>
      <c r="J276" s="536"/>
      <c r="K276" s="569">
        <v>190</v>
      </c>
      <c r="L276" s="525"/>
      <c r="N276" s="529">
        <v>106</v>
      </c>
      <c r="O276" s="536"/>
      <c r="P276" s="556">
        <v>136</v>
      </c>
      <c r="Q276" s="525"/>
    </row>
    <row r="277" spans="1:22" outlineLevel="1">
      <c r="A277" t="s">
        <v>927</v>
      </c>
      <c r="C277" s="534"/>
      <c r="D277" s="529">
        <v>25.107586447507373</v>
      </c>
      <c r="E277" s="536"/>
      <c r="F277" s="556">
        <v>17.967963255150483</v>
      </c>
      <c r="G277" s="525"/>
      <c r="I277" s="529">
        <v>19.727389351612935</v>
      </c>
      <c r="J277" s="536"/>
      <c r="K277" s="556">
        <v>14.117685414761093</v>
      </c>
      <c r="L277" s="525"/>
      <c r="N277" s="529">
        <v>25.8249460602933</v>
      </c>
      <c r="O277" s="536"/>
      <c r="P277" s="556">
        <v>18.481333633869067</v>
      </c>
      <c r="Q277" s="525"/>
    </row>
    <row r="278" spans="1:22">
      <c r="A278" s="533" t="s">
        <v>960</v>
      </c>
      <c r="C278" s="534"/>
      <c r="D278" s="529">
        <v>120.63248397784324</v>
      </c>
      <c r="E278" s="538"/>
      <c r="F278" s="556">
        <v>131.99568475467854</v>
      </c>
      <c r="G278" s="525"/>
      <c r="I278" s="529">
        <v>94.782665982591112</v>
      </c>
      <c r="J278" s="538"/>
      <c r="K278" s="556">
        <v>103.71089516439028</v>
      </c>
      <c r="L278" s="525"/>
      <c r="N278" s="529">
        <v>124.07912637721019</v>
      </c>
      <c r="O278" s="538"/>
      <c r="P278" s="556">
        <v>135.76699003338362</v>
      </c>
      <c r="Q278" s="525"/>
    </row>
    <row r="279" spans="1:22">
      <c r="A279" s="533" t="s">
        <v>929</v>
      </c>
      <c r="C279" s="534"/>
      <c r="D279" s="529">
        <v>109.93599691489192</v>
      </c>
      <c r="E279" s="538"/>
      <c r="F279" s="556">
        <v>94.283521094125589</v>
      </c>
      <c r="G279" s="525"/>
      <c r="I279" s="529">
        <v>86.378283290272222</v>
      </c>
      <c r="J279" s="538"/>
      <c r="K279" s="556">
        <v>74.079909431098685</v>
      </c>
      <c r="L279" s="525"/>
      <c r="N279" s="529">
        <v>113.07702539817454</v>
      </c>
      <c r="O279" s="538"/>
      <c r="P279" s="556">
        <v>96.977335982529169</v>
      </c>
      <c r="Q279" s="525"/>
    </row>
    <row r="280" spans="1:22">
      <c r="A280" s="533" t="s">
        <v>930</v>
      </c>
      <c r="C280" s="534"/>
      <c r="D280" s="529">
        <v>129.77897993519082</v>
      </c>
      <c r="E280" s="538"/>
      <c r="F280" s="556">
        <v>161.803972073072</v>
      </c>
      <c r="G280" s="525"/>
      <c r="I280" s="529">
        <v>101.96919852050708</v>
      </c>
      <c r="J280" s="538"/>
      <c r="K280" s="556">
        <v>127.13169234312801</v>
      </c>
      <c r="L280" s="525"/>
      <c r="N280" s="529">
        <v>133.48695079048198</v>
      </c>
      <c r="O280" s="538"/>
      <c r="P280" s="556">
        <v>166.42694270373121</v>
      </c>
      <c r="Q280" s="525"/>
    </row>
    <row r="281" spans="1:22" outlineLevel="1">
      <c r="A281" t="s">
        <v>943</v>
      </c>
      <c r="C281" s="534"/>
      <c r="D281" s="529">
        <v>228.33694095049114</v>
      </c>
      <c r="E281" s="536"/>
      <c r="F281" s="556">
        <v>189.12254099165077</v>
      </c>
      <c r="G281" s="525"/>
      <c r="I281" s="529">
        <v>301.12640708125593</v>
      </c>
      <c r="J281" s="536"/>
      <c r="K281" s="556">
        <v>260.1910521384608</v>
      </c>
      <c r="L281" s="525"/>
      <c r="N281" s="529">
        <v>234.86085354907661</v>
      </c>
      <c r="O281" s="536"/>
      <c r="P281" s="556">
        <v>194.52604216284078</v>
      </c>
      <c r="Q281" s="525"/>
    </row>
    <row r="282" spans="1:22" outlineLevel="1">
      <c r="A282" t="s">
        <v>944</v>
      </c>
      <c r="C282" s="534"/>
      <c r="D282" s="529">
        <v>80.885200655960162</v>
      </c>
      <c r="E282" s="536"/>
      <c r="F282" s="556">
        <v>89.029525139457093</v>
      </c>
      <c r="G282" s="525"/>
      <c r="I282" s="529">
        <v>86.660151405136503</v>
      </c>
      <c r="J282" s="536"/>
      <c r="K282" s="556">
        <v>87.034781489843269</v>
      </c>
      <c r="L282" s="525"/>
      <c r="N282" s="529">
        <v>83.196206388987605</v>
      </c>
      <c r="O282" s="536"/>
      <c r="P282" s="556">
        <v>91.573225857727294</v>
      </c>
      <c r="Q282" s="525"/>
    </row>
    <row r="283" spans="1:22" outlineLevel="1">
      <c r="C283" s="534"/>
      <c r="D283" s="529"/>
      <c r="E283" s="536"/>
      <c r="F283" s="556"/>
      <c r="G283" s="525"/>
      <c r="I283" s="529"/>
      <c r="J283" s="536"/>
      <c r="K283" s="556"/>
      <c r="L283" s="525"/>
      <c r="N283" s="529"/>
      <c r="O283" s="536"/>
      <c r="P283" s="556"/>
      <c r="Q283" s="525"/>
    </row>
    <row r="284" spans="1:22" outlineLevel="1">
      <c r="A284" t="s">
        <v>946</v>
      </c>
      <c r="C284" s="534"/>
      <c r="D284" s="540">
        <v>1491.6406352152137</v>
      </c>
      <c r="E284" s="528"/>
      <c r="F284" s="563">
        <v>1576.714779734559</v>
      </c>
      <c r="G284" s="525">
        <v>5.7033941360192832E-2</v>
      </c>
      <c r="I284" s="540">
        <v>1567.6075419647048</v>
      </c>
      <c r="J284" s="528"/>
      <c r="K284" s="563">
        <v>1612.7775884081066</v>
      </c>
      <c r="L284" s="525">
        <v>2.8814639655783715E-2</v>
      </c>
      <c r="N284" s="540">
        <v>1511.4885548975531</v>
      </c>
      <c r="O284" s="528"/>
      <c r="P284" s="563">
        <v>1596.2634428005058</v>
      </c>
      <c r="Q284" s="525">
        <v>5.6087019401016028E-2</v>
      </c>
      <c r="T284" s="570"/>
      <c r="V284" s="571"/>
    </row>
    <row r="285" spans="1:22" outlineLevel="1">
      <c r="D285" s="527"/>
      <c r="E285" s="528"/>
      <c r="F285" s="528"/>
      <c r="G285" s="525"/>
      <c r="I285" s="527"/>
      <c r="J285" s="528"/>
      <c r="K285" s="528"/>
      <c r="L285" s="525"/>
      <c r="N285" s="527"/>
      <c r="O285" s="528"/>
      <c r="P285" s="528"/>
      <c r="Q285" s="525"/>
    </row>
    <row r="286" spans="1:22" outlineLevel="1">
      <c r="D286" s="527"/>
      <c r="E286" s="528"/>
      <c r="F286" s="528"/>
      <c r="G286" s="525"/>
      <c r="I286" s="527"/>
      <c r="J286" s="528"/>
      <c r="K286" s="528"/>
      <c r="L286" s="525"/>
      <c r="N286" s="527"/>
      <c r="O286" s="528"/>
      <c r="P286" s="528"/>
      <c r="Q286" s="525"/>
    </row>
    <row r="287" spans="1:22" outlineLevel="1">
      <c r="A287" t="s">
        <v>934</v>
      </c>
      <c r="B287" t="s">
        <v>935</v>
      </c>
      <c r="D287" s="529">
        <v>280</v>
      </c>
      <c r="E287" s="528"/>
      <c r="F287" s="528">
        <v>280</v>
      </c>
      <c r="G287" s="525"/>
      <c r="I287" s="529">
        <v>180</v>
      </c>
      <c r="J287" s="528"/>
      <c r="K287" s="528">
        <v>180</v>
      </c>
      <c r="L287" s="525"/>
      <c r="N287" s="529">
        <v>250</v>
      </c>
      <c r="O287" s="528"/>
      <c r="P287" s="528">
        <v>250</v>
      </c>
      <c r="Q287" s="525"/>
    </row>
    <row r="288" spans="1:22" outlineLevel="1">
      <c r="B288" t="s">
        <v>936</v>
      </c>
      <c r="C288" s="534"/>
      <c r="D288" s="529">
        <v>0</v>
      </c>
      <c r="E288" s="528"/>
      <c r="F288" s="556">
        <v>0</v>
      </c>
      <c r="G288" s="525"/>
      <c r="I288" s="529">
        <v>0</v>
      </c>
      <c r="J288" s="528"/>
      <c r="K288" s="556">
        <v>0</v>
      </c>
      <c r="L288" s="525"/>
      <c r="N288" s="529">
        <v>0</v>
      </c>
      <c r="O288" s="528"/>
      <c r="P288" s="556">
        <v>0</v>
      </c>
      <c r="Q288" s="525"/>
    </row>
    <row r="289" spans="1:17" outlineLevel="1">
      <c r="D289" s="544">
        <v>280</v>
      </c>
      <c r="E289" s="528"/>
      <c r="F289" s="545">
        <v>280</v>
      </c>
      <c r="G289" s="525">
        <v>0</v>
      </c>
      <c r="I289" s="544">
        <v>180</v>
      </c>
      <c r="J289" s="528"/>
      <c r="K289" s="545">
        <v>180</v>
      </c>
      <c r="L289" s="525">
        <v>0</v>
      </c>
      <c r="N289" s="544">
        <v>250</v>
      </c>
      <c r="O289" s="528"/>
      <c r="P289" s="545">
        <v>250</v>
      </c>
      <c r="Q289" s="525">
        <v>0</v>
      </c>
    </row>
    <row r="290" spans="1:17" outlineLevel="1">
      <c r="D290" s="527"/>
      <c r="E290" s="528"/>
      <c r="F290" s="528"/>
      <c r="G290" s="525"/>
      <c r="I290" s="527"/>
      <c r="J290" s="528"/>
      <c r="K290" s="528"/>
      <c r="L290" s="525"/>
      <c r="N290" s="527"/>
      <c r="O290" s="528"/>
      <c r="P290" s="528"/>
      <c r="Q290" s="525"/>
    </row>
    <row r="291" spans="1:17" outlineLevel="1">
      <c r="D291" s="527"/>
      <c r="E291" s="528"/>
      <c r="F291" s="528"/>
      <c r="G291" s="525"/>
      <c r="I291" s="527"/>
      <c r="J291" s="528"/>
      <c r="K291" s="528"/>
      <c r="L291" s="525"/>
      <c r="N291" s="527"/>
      <c r="O291" s="528"/>
      <c r="P291" s="528"/>
      <c r="Q291" s="525"/>
    </row>
    <row r="292" spans="1:17" outlineLevel="1">
      <c r="A292" t="s">
        <v>937</v>
      </c>
      <c r="B292" t="s">
        <v>935</v>
      </c>
      <c r="D292" s="529">
        <v>339</v>
      </c>
      <c r="E292" s="528"/>
      <c r="F292" s="528">
        <v>332</v>
      </c>
      <c r="G292" s="525"/>
      <c r="I292" s="529">
        <v>320</v>
      </c>
      <c r="J292" s="528"/>
      <c r="K292" s="557">
        <v>324</v>
      </c>
      <c r="L292" s="525"/>
      <c r="N292" s="529">
        <v>354</v>
      </c>
      <c r="O292" s="528"/>
      <c r="P292" s="528">
        <v>345</v>
      </c>
      <c r="Q292" s="525"/>
    </row>
    <row r="293" spans="1:17" outlineLevel="1">
      <c r="B293" t="s">
        <v>938</v>
      </c>
      <c r="C293" s="546">
        <v>0</v>
      </c>
      <c r="D293" s="529">
        <v>0</v>
      </c>
      <c r="E293" s="536"/>
      <c r="F293" s="528">
        <v>0</v>
      </c>
      <c r="G293" s="525"/>
      <c r="I293" s="529">
        <v>0</v>
      </c>
      <c r="J293" s="536"/>
      <c r="K293" s="528">
        <v>0</v>
      </c>
      <c r="L293" s="525"/>
      <c r="N293" s="529">
        <v>0</v>
      </c>
      <c r="O293" s="536"/>
      <c r="P293" s="528">
        <v>0</v>
      </c>
      <c r="Q293" s="525"/>
    </row>
    <row r="294" spans="1:17" outlineLevel="1">
      <c r="D294" s="544">
        <v>339</v>
      </c>
      <c r="E294" s="528"/>
      <c r="F294" s="545">
        <v>332</v>
      </c>
      <c r="G294" s="525">
        <v>-2.0648967551622419E-2</v>
      </c>
      <c r="I294" s="544">
        <v>320</v>
      </c>
      <c r="J294" s="528"/>
      <c r="K294" s="545">
        <v>324</v>
      </c>
      <c r="L294" s="525">
        <v>1.2500000000000001E-2</v>
      </c>
      <c r="N294" s="544">
        <v>354</v>
      </c>
      <c r="O294" s="528"/>
      <c r="P294" s="545">
        <v>345</v>
      </c>
      <c r="Q294" s="525">
        <v>-2.5423728813559324E-2</v>
      </c>
    </row>
    <row r="295" spans="1:17" outlineLevel="1">
      <c r="D295" s="527"/>
      <c r="E295" s="528"/>
      <c r="F295" s="528"/>
      <c r="G295" s="525"/>
      <c r="I295" s="527"/>
      <c r="J295" s="528"/>
      <c r="K295" s="528"/>
      <c r="L295" s="525"/>
      <c r="N295" s="527"/>
      <c r="O295" s="528"/>
      <c r="P295" s="528"/>
      <c r="Q295" s="525"/>
    </row>
    <row r="296" spans="1:17" outlineLevel="1">
      <c r="B296" t="s">
        <v>947</v>
      </c>
      <c r="D296" s="529">
        <v>122</v>
      </c>
      <c r="E296" s="528"/>
      <c r="F296" s="556">
        <v>148</v>
      </c>
      <c r="G296" s="525"/>
      <c r="I296" s="529">
        <v>122</v>
      </c>
      <c r="J296" s="528"/>
      <c r="K296" s="556">
        <v>148</v>
      </c>
      <c r="L296" s="525"/>
      <c r="N296" s="529">
        <v>122</v>
      </c>
      <c r="O296" s="528"/>
      <c r="P296" s="556">
        <v>148</v>
      </c>
      <c r="Q296" s="525"/>
    </row>
    <row r="297" spans="1:17" outlineLevel="1">
      <c r="D297" s="544">
        <v>122</v>
      </c>
      <c r="E297" s="528"/>
      <c r="F297" s="545">
        <v>148</v>
      </c>
      <c r="G297" s="525"/>
      <c r="I297" s="544">
        <v>122</v>
      </c>
      <c r="J297" s="528"/>
      <c r="K297" s="545">
        <v>148</v>
      </c>
      <c r="L297" s="525"/>
      <c r="N297" s="544">
        <v>122</v>
      </c>
      <c r="O297" s="528"/>
      <c r="P297" s="545">
        <v>148</v>
      </c>
      <c r="Q297" s="525"/>
    </row>
    <row r="298" spans="1:17" outlineLevel="1">
      <c r="D298" s="544"/>
      <c r="E298" s="528"/>
      <c r="F298" s="545"/>
      <c r="G298" s="525"/>
      <c r="I298" s="544"/>
      <c r="J298" s="528"/>
      <c r="K298" s="545"/>
      <c r="L298" s="525"/>
      <c r="N298" s="544"/>
      <c r="O298" s="528"/>
      <c r="P298" s="545"/>
      <c r="Q298" s="525"/>
    </row>
    <row r="299" spans="1:17" ht="16.5" outlineLevel="1">
      <c r="A299" t="s">
        <v>940</v>
      </c>
      <c r="D299" s="547">
        <v>2232.6406352152135</v>
      </c>
      <c r="E299" s="528"/>
      <c r="F299" s="548">
        <v>2336.7147797345588</v>
      </c>
      <c r="G299" s="550">
        <v>4.6614821426159858E-2</v>
      </c>
      <c r="I299" s="547">
        <v>2189.607541964705</v>
      </c>
      <c r="J299" s="528"/>
      <c r="K299" s="548">
        <v>2264.7775884081066</v>
      </c>
      <c r="L299" s="550">
        <v>3.4330374280658778E-2</v>
      </c>
      <c r="M299" s="515"/>
      <c r="N299" s="547">
        <v>2237.4885548975531</v>
      </c>
      <c r="O299" s="528"/>
      <c r="P299" s="548">
        <v>2339.2634428005058</v>
      </c>
      <c r="Q299" s="550">
        <v>4.5486216088203704E-2</v>
      </c>
    </row>
    <row r="300" spans="1:17" outlineLevel="1">
      <c r="D300" s="551"/>
      <c r="E300" s="552"/>
      <c r="F300" s="552"/>
      <c r="G300" s="553">
        <v>104.07414451934528</v>
      </c>
      <c r="I300" s="554"/>
      <c r="J300" s="555"/>
      <c r="K300" s="555"/>
      <c r="L300" s="553">
        <v>75.170046443401588</v>
      </c>
      <c r="M300" s="515"/>
      <c r="N300" s="554"/>
      <c r="O300" s="555"/>
      <c r="P300" s="555"/>
      <c r="Q300" s="553">
        <v>101.77488790295274</v>
      </c>
    </row>
    <row r="301" spans="1:17" outlineLevel="1">
      <c r="M301" s="516"/>
    </row>
    <row r="302" spans="1:17" outlineLevel="1">
      <c r="B302" s="514"/>
      <c r="C302" s="514"/>
      <c r="D302" s="515"/>
      <c r="E302" s="514"/>
      <c r="F302" s="515"/>
      <c r="G302" s="515"/>
      <c r="H302" s="515"/>
      <c r="I302" s="515"/>
      <c r="J302" s="515"/>
      <c r="K302" s="515"/>
      <c r="L302" s="515"/>
      <c r="M302" s="517"/>
      <c r="N302" s="515"/>
      <c r="O302" s="515"/>
      <c r="P302" s="515"/>
      <c r="Q302" s="515"/>
    </row>
    <row r="303" spans="1:17" ht="18" outlineLevel="1">
      <c r="A303" s="513" t="s">
        <v>961</v>
      </c>
      <c r="B303" s="514"/>
      <c r="C303" s="514"/>
      <c r="D303" s="515"/>
      <c r="E303" s="514"/>
      <c r="F303" s="515"/>
      <c r="G303" s="515"/>
      <c r="H303" s="515"/>
      <c r="I303" s="515"/>
      <c r="J303" s="515"/>
      <c r="K303" s="515"/>
      <c r="L303" s="515"/>
      <c r="N303" s="515"/>
      <c r="O303" s="515"/>
      <c r="P303" s="515"/>
      <c r="Q303" s="515"/>
    </row>
    <row r="304" spans="1:17">
      <c r="D304" s="516" t="s">
        <v>916</v>
      </c>
      <c r="E304" s="516"/>
      <c r="F304">
        <v>1</v>
      </c>
      <c r="G304" s="516"/>
      <c r="H304" s="516"/>
      <c r="I304" s="516" t="s">
        <v>917</v>
      </c>
      <c r="J304" s="516"/>
      <c r="K304">
        <v>1</v>
      </c>
      <c r="L304" s="516"/>
      <c r="M304" s="516"/>
      <c r="N304" s="516" t="s">
        <v>918</v>
      </c>
      <c r="P304">
        <v>1</v>
      </c>
    </row>
    <row r="305" spans="1:22" outlineLevel="1">
      <c r="B305" s="1"/>
      <c r="D305" s="819" t="s">
        <v>919</v>
      </c>
      <c r="E305" s="820"/>
      <c r="F305" s="820" t="s">
        <v>920</v>
      </c>
      <c r="G305" s="821" t="s">
        <v>921</v>
      </c>
      <c r="H305" s="517"/>
      <c r="I305" s="819" t="s">
        <v>919</v>
      </c>
      <c r="J305" s="820"/>
      <c r="K305" s="820" t="s">
        <v>920</v>
      </c>
      <c r="L305" s="821" t="s">
        <v>921</v>
      </c>
      <c r="N305" s="819" t="s">
        <v>919</v>
      </c>
      <c r="O305" s="820"/>
      <c r="P305" s="820" t="s">
        <v>920</v>
      </c>
      <c r="Q305" s="821" t="s">
        <v>921</v>
      </c>
    </row>
    <row r="306" spans="1:22" outlineLevel="1">
      <c r="B306" s="1"/>
      <c r="D306" s="521"/>
      <c r="G306" s="522"/>
      <c r="I306" s="521"/>
      <c r="L306" s="522"/>
      <c r="N306" s="521"/>
      <c r="Q306" s="522"/>
    </row>
    <row r="307" spans="1:22" outlineLevel="1">
      <c r="A307" t="s">
        <v>922</v>
      </c>
      <c r="D307" s="523">
        <v>1250000</v>
      </c>
      <c r="E307" s="524"/>
      <c r="F307" s="524">
        <v>1250000</v>
      </c>
      <c r="G307" s="525">
        <v>0</v>
      </c>
      <c r="H307" s="526"/>
      <c r="I307" s="523">
        <v>880000</v>
      </c>
      <c r="J307" s="524"/>
      <c r="K307" s="524">
        <v>880000</v>
      </c>
      <c r="L307" s="525">
        <v>0</v>
      </c>
      <c r="N307" s="523">
        <v>900000</v>
      </c>
      <c r="O307" s="524"/>
      <c r="P307" s="524">
        <v>900000</v>
      </c>
      <c r="Q307" s="525">
        <v>0</v>
      </c>
    </row>
    <row r="308" spans="1:22" outlineLevel="1">
      <c r="D308" s="527"/>
      <c r="E308" s="528"/>
      <c r="F308" s="528"/>
      <c r="G308" s="522"/>
      <c r="I308" s="527"/>
      <c r="J308" s="528"/>
      <c r="K308" s="528"/>
      <c r="L308" s="522"/>
      <c r="N308" s="527"/>
      <c r="O308" s="528"/>
      <c r="P308" s="528"/>
      <c r="Q308" s="522"/>
    </row>
    <row r="309" spans="1:22">
      <c r="A309" t="s">
        <v>923</v>
      </c>
      <c r="D309" s="529">
        <v>56</v>
      </c>
      <c r="E309" s="528"/>
      <c r="F309" s="564">
        <v>65</v>
      </c>
      <c r="G309" s="531"/>
      <c r="I309" s="529">
        <v>56</v>
      </c>
      <c r="J309" s="528"/>
      <c r="K309" s="564">
        <v>65</v>
      </c>
      <c r="L309" s="531"/>
      <c r="N309" s="529">
        <v>56</v>
      </c>
      <c r="O309" s="528"/>
      <c r="P309" s="564">
        <v>65</v>
      </c>
      <c r="Q309" s="525"/>
    </row>
    <row r="310" spans="1:22">
      <c r="A310" s="533" t="s">
        <v>924</v>
      </c>
      <c r="C310" s="534"/>
      <c r="D310" s="529">
        <v>358</v>
      </c>
      <c r="E310" s="535"/>
      <c r="F310" s="556">
        <v>387</v>
      </c>
      <c r="G310" s="531"/>
      <c r="I310" s="529">
        <v>358</v>
      </c>
      <c r="J310" s="535"/>
      <c r="K310" s="556">
        <v>387</v>
      </c>
      <c r="L310" s="531"/>
      <c r="N310" s="529">
        <v>358</v>
      </c>
      <c r="O310" s="535"/>
      <c r="P310" s="556">
        <v>387</v>
      </c>
      <c r="Q310" s="525"/>
    </row>
    <row r="311" spans="1:22">
      <c r="A311" s="533" t="s">
        <v>942</v>
      </c>
      <c r="C311" s="534"/>
      <c r="D311" s="529">
        <v>331.66266790397276</v>
      </c>
      <c r="E311" s="535"/>
      <c r="F311" s="530">
        <v>368.58409721026783</v>
      </c>
      <c r="G311" s="531"/>
      <c r="I311" s="532">
        <v>331.66266790397276</v>
      </c>
      <c r="J311" s="535"/>
      <c r="K311" s="530">
        <v>368.58409721026783</v>
      </c>
      <c r="L311" s="531"/>
      <c r="N311" s="532">
        <v>331.66266790397276</v>
      </c>
      <c r="O311" s="535"/>
      <c r="P311" s="530">
        <v>368.58409721026783</v>
      </c>
      <c r="Q311" s="525"/>
    </row>
    <row r="312" spans="1:22" outlineLevel="1">
      <c r="A312" t="s">
        <v>959</v>
      </c>
      <c r="C312" s="534"/>
      <c r="D312" s="529">
        <v>106</v>
      </c>
      <c r="E312" s="536"/>
      <c r="F312" s="556">
        <v>136</v>
      </c>
      <c r="G312" s="525"/>
      <c r="I312" s="529">
        <v>186</v>
      </c>
      <c r="J312" s="536"/>
      <c r="K312" s="569">
        <v>190</v>
      </c>
      <c r="L312" s="525"/>
      <c r="N312" s="529">
        <v>106</v>
      </c>
      <c r="O312" s="536"/>
      <c r="P312" s="556">
        <v>136</v>
      </c>
      <c r="Q312" s="525"/>
    </row>
    <row r="313" spans="1:22" outlineLevel="1">
      <c r="A313" t="s">
        <v>927</v>
      </c>
      <c r="C313" s="534"/>
      <c r="D313" s="529">
        <v>44.834975799120308</v>
      </c>
      <c r="E313" s="536"/>
      <c r="F313" s="556">
        <v>32.085648669911578</v>
      </c>
      <c r="G313" s="525"/>
      <c r="I313" s="529">
        <v>31.563822962580698</v>
      </c>
      <c r="J313" s="536"/>
      <c r="K313" s="556">
        <v>22.588296663617751</v>
      </c>
      <c r="L313" s="525"/>
      <c r="N313" s="529">
        <v>32.281182575366621</v>
      </c>
      <c r="O313" s="536"/>
      <c r="P313" s="556">
        <v>23.101667042336334</v>
      </c>
      <c r="Q313" s="525"/>
    </row>
    <row r="314" spans="1:22">
      <c r="A314" s="533" t="s">
        <v>960</v>
      </c>
      <c r="C314" s="534"/>
      <c r="D314" s="529">
        <v>215.41518159712311</v>
      </c>
      <c r="E314" s="538"/>
      <c r="F314" s="556">
        <v>235.70661453583421</v>
      </c>
      <c r="G314" s="525"/>
      <c r="I314" s="529">
        <v>151.65228784437465</v>
      </c>
      <c r="J314" s="538"/>
      <c r="K314" s="556">
        <v>165.93745663322727</v>
      </c>
      <c r="L314" s="525"/>
      <c r="N314" s="529">
        <v>155.09893074992863</v>
      </c>
      <c r="O314" s="538"/>
      <c r="P314" s="556">
        <v>169.70876246580062</v>
      </c>
      <c r="Q314" s="525"/>
    </row>
    <row r="315" spans="1:22">
      <c r="A315" s="533" t="s">
        <v>929</v>
      </c>
      <c r="C315" s="534"/>
      <c r="D315" s="529">
        <v>196.31428020516418</v>
      </c>
      <c r="E315" s="538"/>
      <c r="F315" s="556">
        <v>168.36343052522432</v>
      </c>
      <c r="G315" s="525"/>
      <c r="I315" s="529">
        <v>138.20525326443558</v>
      </c>
      <c r="J315" s="538"/>
      <c r="K315" s="556">
        <v>118.52785508975791</v>
      </c>
      <c r="L315" s="525"/>
      <c r="N315" s="529">
        <v>141.34628174771822</v>
      </c>
      <c r="O315" s="538"/>
      <c r="P315" s="556">
        <v>121.2216699781615</v>
      </c>
      <c r="Q315" s="525"/>
    </row>
    <row r="316" spans="1:22">
      <c r="A316" s="533" t="s">
        <v>930</v>
      </c>
      <c r="C316" s="534"/>
      <c r="D316" s="529">
        <v>234.64503068639411</v>
      </c>
      <c r="E316" s="538"/>
      <c r="F316" s="556">
        <v>292.54736022140253</v>
      </c>
      <c r="G316" s="525"/>
      <c r="I316" s="529">
        <v>165.19010160322145</v>
      </c>
      <c r="J316" s="538"/>
      <c r="K316" s="556">
        <v>205.95334159586736</v>
      </c>
      <c r="L316" s="525"/>
      <c r="N316" s="529">
        <v>168.94442209420376</v>
      </c>
      <c r="O316" s="538"/>
      <c r="P316" s="556">
        <v>210.63409935940979</v>
      </c>
      <c r="Q316" s="525"/>
    </row>
    <row r="317" spans="1:22" outlineLevel="1">
      <c r="A317" t="s">
        <v>943</v>
      </c>
      <c r="C317" s="534"/>
      <c r="D317" s="529">
        <v>458.71260458804028</v>
      </c>
      <c r="E317" s="536"/>
      <c r="F317" s="556">
        <v>379.9336760992984</v>
      </c>
      <c r="G317" s="525"/>
      <c r="I317" s="529">
        <v>542.0275327462607</v>
      </c>
      <c r="J317" s="536"/>
      <c r="K317" s="556">
        <v>468.3438938492294</v>
      </c>
      <c r="L317" s="525"/>
      <c r="N317" s="529">
        <v>330.27307530338902</v>
      </c>
      <c r="O317" s="536"/>
      <c r="P317" s="556">
        <v>273.55224679149484</v>
      </c>
      <c r="Q317" s="525"/>
    </row>
    <row r="318" spans="1:22" outlineLevel="1">
      <c r="A318" t="s">
        <v>944</v>
      </c>
      <c r="C318" s="534"/>
      <c r="D318" s="529">
        <v>144.43785831421459</v>
      </c>
      <c r="E318" s="536"/>
      <c r="F318" s="556">
        <v>158.98129489188767</v>
      </c>
      <c r="G318" s="525"/>
      <c r="I318" s="529">
        <v>138.6562422482184</v>
      </c>
      <c r="J318" s="536"/>
      <c r="K318" s="556">
        <v>139.25565038374924</v>
      </c>
      <c r="L318" s="525"/>
      <c r="N318" s="529">
        <v>103.99525798623451</v>
      </c>
      <c r="O318" s="536"/>
      <c r="P318" s="556">
        <v>114.46653232215913</v>
      </c>
      <c r="Q318" s="525"/>
    </row>
    <row r="319" spans="1:22" outlineLevel="1">
      <c r="A319" t="s">
        <v>945</v>
      </c>
      <c r="C319" s="534"/>
      <c r="D319" s="529">
        <v>273.49083417219197</v>
      </c>
      <c r="E319" s="536"/>
      <c r="F319" s="556">
        <v>255.62850086697921</v>
      </c>
      <c r="G319" s="525"/>
      <c r="I319" s="529">
        <v>238.21618299195879</v>
      </c>
      <c r="J319" s="536"/>
      <c r="K319" s="556">
        <v>220.41515973160625</v>
      </c>
      <c r="L319" s="525"/>
      <c r="N319" s="529">
        <v>188.06214908009727</v>
      </c>
      <c r="O319" s="536"/>
      <c r="P319" s="556">
        <v>174.31831409281281</v>
      </c>
      <c r="Q319" s="525"/>
      <c r="T319" s="570"/>
      <c r="V319" s="571"/>
    </row>
    <row r="320" spans="1:22" outlineLevel="1">
      <c r="C320" s="534"/>
      <c r="D320" s="529"/>
      <c r="E320" s="536"/>
      <c r="F320" s="556"/>
      <c r="G320" s="525"/>
      <c r="I320" s="529"/>
      <c r="J320" s="536"/>
      <c r="K320" s="556"/>
      <c r="L320" s="525"/>
      <c r="N320" s="529"/>
      <c r="O320" s="536"/>
      <c r="P320" s="556"/>
      <c r="Q320" s="525"/>
    </row>
    <row r="321" spans="1:17" outlineLevel="1">
      <c r="A321" t="s">
        <v>946</v>
      </c>
      <c r="C321" s="534"/>
      <c r="D321" s="540">
        <v>2419.5134332662215</v>
      </c>
      <c r="E321" s="528"/>
      <c r="F321" s="563">
        <v>2479.8306230208054</v>
      </c>
      <c r="G321" s="525">
        <v>2.4929470911495954E-2</v>
      </c>
      <c r="H321" s="578"/>
      <c r="I321" s="540">
        <v>2337.174091565023</v>
      </c>
      <c r="J321" s="528"/>
      <c r="K321" s="563">
        <v>2351.6057511573226</v>
      </c>
      <c r="L321" s="525">
        <v>6.1748329507776986E-3</v>
      </c>
      <c r="N321" s="540">
        <v>1971.6639674409107</v>
      </c>
      <c r="O321" s="528"/>
      <c r="P321" s="563">
        <v>2043.5873892624427</v>
      </c>
      <c r="Q321" s="525">
        <v>3.6478539451569841E-2</v>
      </c>
    </row>
    <row r="322" spans="1:17" outlineLevel="1">
      <c r="D322" s="527"/>
      <c r="E322" s="528"/>
      <c r="F322" s="528"/>
      <c r="G322" s="525"/>
      <c r="H322" s="578"/>
      <c r="I322" s="527"/>
      <c r="J322" s="528"/>
      <c r="K322" s="528"/>
      <c r="L322" s="525"/>
      <c r="N322" s="527"/>
      <c r="O322" s="528"/>
      <c r="P322" s="528"/>
      <c r="Q322" s="525"/>
    </row>
    <row r="323" spans="1:17" outlineLevel="1">
      <c r="D323" s="527"/>
      <c r="E323" s="528"/>
      <c r="F323" s="528"/>
      <c r="G323" s="525"/>
      <c r="H323" s="578"/>
      <c r="I323" s="527"/>
      <c r="J323" s="528"/>
      <c r="K323" s="528"/>
      <c r="L323" s="525"/>
      <c r="N323" s="527"/>
      <c r="O323" s="528"/>
      <c r="P323" s="528"/>
      <c r="Q323" s="525"/>
    </row>
    <row r="324" spans="1:17" outlineLevel="1">
      <c r="A324" t="s">
        <v>934</v>
      </c>
      <c r="B324" t="s">
        <v>935</v>
      </c>
      <c r="D324" s="529">
        <v>280</v>
      </c>
      <c r="E324" s="528"/>
      <c r="F324" s="528">
        <v>280</v>
      </c>
      <c r="G324" s="525"/>
      <c r="H324" s="578"/>
      <c r="I324" s="529">
        <v>180</v>
      </c>
      <c r="J324" s="528"/>
      <c r="K324" s="528">
        <v>180</v>
      </c>
      <c r="L324" s="525"/>
      <c r="N324" s="529">
        <v>250</v>
      </c>
      <c r="O324" s="528"/>
      <c r="P324" s="528">
        <v>250</v>
      </c>
      <c r="Q324" s="525"/>
    </row>
    <row r="325" spans="1:17" outlineLevel="1">
      <c r="B325" t="s">
        <v>936</v>
      </c>
      <c r="C325" s="534"/>
      <c r="D325" s="529">
        <v>301.11691723372297</v>
      </c>
      <c r="E325" s="528"/>
      <c r="F325" s="556">
        <v>277.68649172457782</v>
      </c>
      <c r="G325" s="525"/>
      <c r="H325" s="578"/>
      <c r="I325" s="529">
        <v>178.89264758607672</v>
      </c>
      <c r="J325" s="528"/>
      <c r="K325" s="556">
        <v>172.34408987601824</v>
      </c>
      <c r="L325" s="525"/>
      <c r="N325" s="529">
        <v>281.38143741379582</v>
      </c>
      <c r="O325" s="528"/>
      <c r="P325" s="556">
        <v>264.54558437651417</v>
      </c>
      <c r="Q325" s="525"/>
    </row>
    <row r="326" spans="1:17" outlineLevel="1">
      <c r="D326" s="544">
        <v>581.11691723372292</v>
      </c>
      <c r="E326" s="528"/>
      <c r="F326" s="545">
        <v>557.68649172457776</v>
      </c>
      <c r="G326" s="525">
        <v>-4.0319641046900598E-2</v>
      </c>
      <c r="H326" s="578"/>
      <c r="I326" s="544">
        <v>358.89264758607669</v>
      </c>
      <c r="J326" s="528"/>
      <c r="K326" s="545">
        <v>352.34408987601824</v>
      </c>
      <c r="L326" s="525">
        <v>-1.8246564130260826E-2</v>
      </c>
      <c r="N326" s="544">
        <v>531.38143741379577</v>
      </c>
      <c r="O326" s="528"/>
      <c r="P326" s="545">
        <v>514.54558437651417</v>
      </c>
      <c r="Q326" s="525">
        <v>-3.1683178695930299E-2</v>
      </c>
    </row>
    <row r="327" spans="1:17" outlineLevel="1">
      <c r="D327" s="527"/>
      <c r="E327" s="528"/>
      <c r="F327" s="528"/>
      <c r="G327" s="525"/>
      <c r="H327" s="578"/>
      <c r="I327" s="527"/>
      <c r="J327" s="528"/>
      <c r="K327" s="528"/>
      <c r="L327" s="525"/>
      <c r="N327" s="527"/>
      <c r="O327" s="528"/>
      <c r="P327" s="528"/>
      <c r="Q327" s="525"/>
    </row>
    <row r="328" spans="1:17" outlineLevel="1">
      <c r="D328" s="527"/>
      <c r="E328" s="528"/>
      <c r="F328" s="528"/>
      <c r="G328" s="525"/>
      <c r="H328" s="578"/>
      <c r="I328" s="527"/>
      <c r="J328" s="528"/>
      <c r="K328" s="528"/>
      <c r="L328" s="525"/>
      <c r="N328" s="527"/>
      <c r="O328" s="528"/>
      <c r="P328" s="528"/>
      <c r="Q328" s="525"/>
    </row>
    <row r="329" spans="1:17" outlineLevel="1">
      <c r="A329" t="s">
        <v>937</v>
      </c>
      <c r="B329" t="s">
        <v>935</v>
      </c>
      <c r="D329" s="529">
        <v>678</v>
      </c>
      <c r="E329" s="528"/>
      <c r="F329" s="528">
        <v>664</v>
      </c>
      <c r="G329" s="525"/>
      <c r="H329" s="578"/>
      <c r="I329" s="529">
        <v>640</v>
      </c>
      <c r="J329" s="528"/>
      <c r="K329" s="557">
        <v>648</v>
      </c>
      <c r="L329" s="525"/>
      <c r="N329" s="529">
        <v>708</v>
      </c>
      <c r="O329" s="528"/>
      <c r="P329" s="528">
        <v>690</v>
      </c>
      <c r="Q329" s="525"/>
    </row>
    <row r="330" spans="1:17" outlineLevel="1">
      <c r="B330" t="s">
        <v>938</v>
      </c>
      <c r="C330" s="546">
        <v>0</v>
      </c>
      <c r="D330" s="529">
        <v>0</v>
      </c>
      <c r="E330" s="536"/>
      <c r="F330" s="528">
        <v>0</v>
      </c>
      <c r="G330" s="525"/>
      <c r="H330" s="578"/>
      <c r="I330" s="529">
        <v>0</v>
      </c>
      <c r="J330" s="536"/>
      <c r="K330" s="528">
        <v>0</v>
      </c>
      <c r="L330" s="525"/>
      <c r="N330" s="529">
        <v>0</v>
      </c>
      <c r="O330" s="536"/>
      <c r="P330" s="528">
        <v>0</v>
      </c>
      <c r="Q330" s="525"/>
    </row>
    <row r="331" spans="1:17" outlineLevel="1">
      <c r="D331" s="544">
        <v>678</v>
      </c>
      <c r="E331" s="528"/>
      <c r="F331" s="545">
        <v>664</v>
      </c>
      <c r="G331" s="525">
        <v>-2.0648967551622419E-2</v>
      </c>
      <c r="H331" s="578"/>
      <c r="I331" s="544">
        <v>640</v>
      </c>
      <c r="J331" s="528"/>
      <c r="K331" s="545">
        <v>648</v>
      </c>
      <c r="L331" s="525">
        <v>1.2500000000000001E-2</v>
      </c>
      <c r="N331" s="544">
        <v>708</v>
      </c>
      <c r="O331" s="528"/>
      <c r="P331" s="545">
        <v>690</v>
      </c>
      <c r="Q331" s="525">
        <v>-2.5423728813559324E-2</v>
      </c>
    </row>
    <row r="332" spans="1:17" outlineLevel="1">
      <c r="D332" s="527"/>
      <c r="E332" s="528"/>
      <c r="F332" s="528"/>
      <c r="G332" s="525"/>
      <c r="H332" s="578"/>
      <c r="I332" s="527"/>
      <c r="J332" s="528"/>
      <c r="K332" s="528"/>
      <c r="L332" s="525"/>
      <c r="N332" s="527"/>
      <c r="O332" s="528"/>
      <c r="P332" s="528"/>
      <c r="Q332" s="525"/>
    </row>
    <row r="333" spans="1:17" outlineLevel="1">
      <c r="B333" t="s">
        <v>947</v>
      </c>
      <c r="D333" s="529">
        <v>302</v>
      </c>
      <c r="E333" s="528"/>
      <c r="F333" s="556">
        <v>313</v>
      </c>
      <c r="G333" s="525"/>
      <c r="H333" s="578"/>
      <c r="I333" s="529">
        <v>302</v>
      </c>
      <c r="J333" s="528"/>
      <c r="K333" s="556">
        <v>313</v>
      </c>
      <c r="L333" s="525"/>
      <c r="N333" s="529">
        <v>302</v>
      </c>
      <c r="O333" s="528"/>
      <c r="P333" s="556">
        <v>313</v>
      </c>
      <c r="Q333" s="525"/>
    </row>
    <row r="334" spans="1:17" outlineLevel="1">
      <c r="D334" s="544">
        <v>302</v>
      </c>
      <c r="E334" s="528"/>
      <c r="F334" s="545">
        <v>313</v>
      </c>
      <c r="G334" s="525">
        <v>3.6423841059602648E-2</v>
      </c>
      <c r="H334" s="578"/>
      <c r="I334" s="544">
        <v>302</v>
      </c>
      <c r="J334" s="528"/>
      <c r="K334" s="545">
        <v>313</v>
      </c>
      <c r="L334" s="525">
        <v>3.6423841059602648E-2</v>
      </c>
      <c r="N334" s="544">
        <v>302</v>
      </c>
      <c r="O334" s="528"/>
      <c r="P334" s="545">
        <v>313</v>
      </c>
      <c r="Q334" s="525">
        <v>3.6423841059602648E-2</v>
      </c>
    </row>
    <row r="335" spans="1:17" outlineLevel="1">
      <c r="D335" s="544"/>
      <c r="E335" s="528"/>
      <c r="F335" s="545"/>
      <c r="G335" s="525"/>
      <c r="H335" s="578"/>
      <c r="I335" s="544"/>
      <c r="J335" s="528"/>
      <c r="K335" s="545"/>
      <c r="L335" s="525"/>
      <c r="N335" s="544"/>
      <c r="O335" s="528"/>
      <c r="P335" s="545"/>
      <c r="Q335" s="525"/>
    </row>
    <row r="336" spans="1:17" ht="16.5" outlineLevel="1">
      <c r="A336" t="s">
        <v>940</v>
      </c>
      <c r="D336" s="547">
        <v>3980.6303504999441</v>
      </c>
      <c r="E336" s="528"/>
      <c r="F336" s="548">
        <v>4014.517114745383</v>
      </c>
      <c r="G336" s="550">
        <v>8.5129141019544413E-3</v>
      </c>
      <c r="H336" s="578"/>
      <c r="I336" s="547">
        <v>3638.0667391510997</v>
      </c>
      <c r="J336" s="528"/>
      <c r="K336" s="548">
        <v>3664.9498410333408</v>
      </c>
      <c r="L336" s="550">
        <v>7.3893921716548811E-3</v>
      </c>
      <c r="M336" s="515"/>
      <c r="N336" s="547">
        <v>3513.0454048547062</v>
      </c>
      <c r="O336" s="528"/>
      <c r="P336" s="548">
        <v>3561.1329736389571</v>
      </c>
      <c r="Q336" s="550">
        <v>1.3688285587712082E-2</v>
      </c>
    </row>
    <row r="337" spans="1:17" outlineLevel="1">
      <c r="D337" s="551"/>
      <c r="E337" s="552"/>
      <c r="F337" s="552"/>
      <c r="G337" s="553">
        <v>33.886764245438826</v>
      </c>
      <c r="I337" s="554"/>
      <c r="J337" s="555"/>
      <c r="K337" s="555"/>
      <c r="L337" s="553">
        <v>26.883101882241135</v>
      </c>
      <c r="M337" s="515"/>
      <c r="N337" s="554"/>
      <c r="O337" s="555"/>
      <c r="P337" s="555"/>
      <c r="Q337" s="553">
        <v>48.087568784250834</v>
      </c>
    </row>
    <row r="338" spans="1:17" outlineLevel="1">
      <c r="M338" s="516"/>
    </row>
    <row r="339" spans="1:17" outlineLevel="1">
      <c r="B339" s="514"/>
      <c r="C339" s="514"/>
      <c r="D339" s="515"/>
      <c r="E339" s="514"/>
      <c r="F339" s="515"/>
      <c r="G339" s="515"/>
      <c r="H339" s="515"/>
      <c r="I339" s="515"/>
      <c r="J339" s="515"/>
      <c r="K339" s="515"/>
      <c r="L339" s="515"/>
      <c r="M339" s="517"/>
      <c r="N339" s="515"/>
      <c r="O339" s="515"/>
      <c r="P339" s="515"/>
      <c r="Q339" s="515"/>
    </row>
    <row r="340" spans="1:17" ht="18" outlineLevel="1">
      <c r="A340" s="513" t="s">
        <v>915</v>
      </c>
      <c r="B340" s="514"/>
      <c r="C340" s="514"/>
      <c r="D340" s="515"/>
      <c r="E340" s="514"/>
      <c r="F340" s="515"/>
      <c r="G340" s="515"/>
      <c r="H340" s="515"/>
      <c r="I340" s="515"/>
      <c r="J340" s="515"/>
      <c r="K340" s="515"/>
      <c r="L340" s="515"/>
      <c r="N340" s="515"/>
      <c r="O340" s="515"/>
      <c r="P340" s="515"/>
      <c r="Q340" s="515"/>
    </row>
    <row r="341" spans="1:17" outlineLevel="1">
      <c r="A341" s="515"/>
      <c r="D341" s="516" t="s">
        <v>962</v>
      </c>
      <c r="E341" s="516"/>
      <c r="F341">
        <v>1</v>
      </c>
      <c r="G341" s="516"/>
      <c r="H341" s="516"/>
      <c r="I341" s="516" t="s">
        <v>963</v>
      </c>
      <c r="J341" s="516"/>
      <c r="K341">
        <v>1</v>
      </c>
      <c r="L341" s="516"/>
      <c r="M341" s="526"/>
      <c r="N341" s="516" t="s">
        <v>964</v>
      </c>
      <c r="P341">
        <v>1</v>
      </c>
    </row>
    <row r="342" spans="1:17" outlineLevel="1">
      <c r="B342" s="1"/>
      <c r="D342" s="819" t="s">
        <v>919</v>
      </c>
      <c r="E342" s="820"/>
      <c r="F342" s="820" t="s">
        <v>920</v>
      </c>
      <c r="G342" s="821" t="s">
        <v>921</v>
      </c>
      <c r="H342" s="517"/>
      <c r="I342" s="819" t="s">
        <v>919</v>
      </c>
      <c r="J342" s="820"/>
      <c r="K342" s="820" t="s">
        <v>920</v>
      </c>
      <c r="L342" s="821" t="s">
        <v>921</v>
      </c>
      <c r="N342" s="819" t="s">
        <v>919</v>
      </c>
      <c r="O342" s="820"/>
      <c r="P342" s="820" t="s">
        <v>920</v>
      </c>
      <c r="Q342" s="821" t="s">
        <v>921</v>
      </c>
    </row>
    <row r="343" spans="1:17" outlineLevel="1">
      <c r="B343" s="1"/>
      <c r="D343" s="521"/>
      <c r="G343" s="522"/>
      <c r="I343" s="521"/>
      <c r="L343" s="522"/>
      <c r="N343" s="521"/>
      <c r="Q343" s="522"/>
    </row>
    <row r="344" spans="1:17" outlineLevel="1">
      <c r="A344" t="s">
        <v>922</v>
      </c>
      <c r="D344" s="523">
        <v>700000</v>
      </c>
      <c r="E344" s="524"/>
      <c r="F344" s="559">
        <v>700000</v>
      </c>
      <c r="G344" s="525">
        <v>0</v>
      </c>
      <c r="H344" s="526"/>
      <c r="I344" s="579">
        <v>690000</v>
      </c>
      <c r="J344" s="524"/>
      <c r="K344" s="524">
        <v>690000</v>
      </c>
      <c r="L344" s="525">
        <v>0</v>
      </c>
      <c r="N344" s="523">
        <v>570000</v>
      </c>
      <c r="O344" s="524"/>
      <c r="P344" s="524">
        <v>570000</v>
      </c>
      <c r="Q344" s="525">
        <v>0</v>
      </c>
    </row>
    <row r="345" spans="1:17" outlineLevel="1">
      <c r="D345" s="527"/>
      <c r="E345" s="528"/>
      <c r="F345" s="528"/>
      <c r="G345" s="522"/>
      <c r="I345" s="527"/>
      <c r="J345" s="528"/>
      <c r="K345" s="528"/>
      <c r="L345" s="522"/>
      <c r="N345" s="527"/>
      <c r="O345" s="528"/>
      <c r="P345" s="528"/>
      <c r="Q345" s="522"/>
    </row>
    <row r="346" spans="1:17">
      <c r="A346" t="s">
        <v>923</v>
      </c>
      <c r="D346" s="529">
        <v>56</v>
      </c>
      <c r="E346" s="528"/>
      <c r="F346" s="564">
        <v>65</v>
      </c>
      <c r="G346" s="531"/>
      <c r="I346" s="529">
        <v>56</v>
      </c>
      <c r="J346" s="528"/>
      <c r="K346" s="564">
        <v>65</v>
      </c>
      <c r="L346" s="531"/>
      <c r="N346" s="529">
        <v>56</v>
      </c>
      <c r="O346" s="528"/>
      <c r="P346" s="564">
        <v>65</v>
      </c>
      <c r="Q346" s="525"/>
    </row>
    <row r="347" spans="1:17">
      <c r="A347" s="533" t="s">
        <v>924</v>
      </c>
      <c r="C347" s="534"/>
      <c r="D347" s="529">
        <v>358</v>
      </c>
      <c r="E347" s="535"/>
      <c r="F347" s="556">
        <v>387</v>
      </c>
      <c r="G347" s="531"/>
      <c r="I347" s="529">
        <v>358</v>
      </c>
      <c r="J347" s="535"/>
      <c r="K347" s="556">
        <v>387</v>
      </c>
      <c r="L347" s="531"/>
      <c r="N347" s="529">
        <v>358</v>
      </c>
      <c r="O347" s="535"/>
      <c r="P347" s="556">
        <v>387</v>
      </c>
      <c r="Q347" s="525"/>
    </row>
    <row r="348" spans="1:17">
      <c r="A348" s="533" t="s">
        <v>942</v>
      </c>
      <c r="C348" s="534"/>
      <c r="D348" s="529">
        <v>276.96344633332882</v>
      </c>
      <c r="E348" s="535"/>
      <c r="F348" s="530">
        <v>304.51157242642466</v>
      </c>
      <c r="G348" s="531"/>
      <c r="I348" s="532">
        <v>276.96344633332882</v>
      </c>
      <c r="J348" s="535"/>
      <c r="K348" s="530">
        <v>304.51157242642466</v>
      </c>
      <c r="L348" s="531"/>
      <c r="N348" s="532">
        <v>276.96344633332882</v>
      </c>
      <c r="O348" s="535"/>
      <c r="P348" s="530">
        <v>304.51157242642466</v>
      </c>
      <c r="Q348" s="525"/>
    </row>
    <row r="349" spans="1:17" outlineLevel="1">
      <c r="A349" t="s">
        <v>959</v>
      </c>
      <c r="C349" s="534"/>
      <c r="D349" s="529">
        <v>106</v>
      </c>
      <c r="E349" s="536"/>
      <c r="F349" s="556">
        <v>136</v>
      </c>
      <c r="G349" s="525"/>
      <c r="I349" s="529">
        <v>186</v>
      </c>
      <c r="J349" s="536"/>
      <c r="K349" s="569">
        <v>190</v>
      </c>
      <c r="L349" s="525"/>
      <c r="N349" s="529">
        <v>186</v>
      </c>
      <c r="O349" s="536"/>
      <c r="P349" s="569">
        <v>190</v>
      </c>
      <c r="Q349" s="525"/>
    </row>
    <row r="350" spans="1:17" outlineLevel="1">
      <c r="A350" t="s">
        <v>927</v>
      </c>
      <c r="C350" s="534"/>
      <c r="D350" s="529">
        <v>25.107586447507373</v>
      </c>
      <c r="E350" s="536"/>
      <c r="F350" s="556">
        <v>17.967963255150483</v>
      </c>
      <c r="G350" s="525"/>
      <c r="I350" s="529">
        <v>24.748906641114413</v>
      </c>
      <c r="J350" s="536"/>
      <c r="K350" s="556">
        <v>17.711278065791191</v>
      </c>
      <c r="L350" s="525"/>
      <c r="N350" s="529">
        <v>20.444748964398862</v>
      </c>
      <c r="O350" s="536"/>
      <c r="P350" s="556">
        <v>14.631055793479678</v>
      </c>
      <c r="Q350" s="525"/>
    </row>
    <row r="351" spans="1:17">
      <c r="A351" s="533" t="s">
        <v>960</v>
      </c>
      <c r="C351" s="534"/>
      <c r="D351" s="529">
        <v>120.63250169438894</v>
      </c>
      <c r="E351" s="538"/>
      <c r="F351" s="556">
        <v>131.99570414006715</v>
      </c>
      <c r="G351" s="525"/>
      <c r="I351" s="529">
        <v>118.90918024161195</v>
      </c>
      <c r="J351" s="538"/>
      <c r="K351" s="556">
        <v>130.11005122378049</v>
      </c>
      <c r="L351" s="525"/>
      <c r="N351" s="529">
        <v>98.229322808288131</v>
      </c>
      <c r="O351" s="538"/>
      <c r="P351" s="556">
        <v>107.48221622834039</v>
      </c>
      <c r="Q351" s="525"/>
    </row>
    <row r="352" spans="1:17">
      <c r="A352" s="533" t="s">
        <v>929</v>
      </c>
      <c r="C352" s="534"/>
      <c r="D352" s="529">
        <v>109.93599691489194</v>
      </c>
      <c r="E352" s="538"/>
      <c r="F352" s="556">
        <v>94.283521094125604</v>
      </c>
      <c r="G352" s="525"/>
      <c r="I352" s="529">
        <v>108.36548267325063</v>
      </c>
      <c r="J352" s="538"/>
      <c r="K352" s="556">
        <v>92.936613649923814</v>
      </c>
      <c r="L352" s="525"/>
      <c r="N352" s="529">
        <v>89.519311773554861</v>
      </c>
      <c r="O352" s="538"/>
      <c r="P352" s="556">
        <v>76.773724319502278</v>
      </c>
      <c r="Q352" s="525"/>
    </row>
    <row r="353" spans="1:22">
      <c r="A353" s="533" t="s">
        <v>930</v>
      </c>
      <c r="C353" s="534"/>
      <c r="D353" s="529">
        <v>129.77897993519082</v>
      </c>
      <c r="E353" s="538"/>
      <c r="F353" s="556">
        <v>161.803972073072</v>
      </c>
      <c r="G353" s="525"/>
      <c r="I353" s="529">
        <v>127.92499450754524</v>
      </c>
      <c r="J353" s="538"/>
      <c r="K353" s="556">
        <v>159.4924867577424</v>
      </c>
      <c r="L353" s="525"/>
      <c r="N353" s="529">
        <v>105.67716937579824</v>
      </c>
      <c r="O353" s="538"/>
      <c r="P353" s="556">
        <v>131.75466297378722</v>
      </c>
      <c r="Q353" s="525"/>
    </row>
    <row r="354" spans="1:22" outlineLevel="1">
      <c r="A354" t="s">
        <v>943</v>
      </c>
      <c r="C354" s="534"/>
      <c r="D354" s="529">
        <v>152.22462730032746</v>
      </c>
      <c r="E354" s="536"/>
      <c r="F354" s="556">
        <v>126.08169399443385</v>
      </c>
      <c r="G354" s="525"/>
      <c r="I354" s="529">
        <v>251.85117683159586</v>
      </c>
      <c r="J354" s="536"/>
      <c r="K354" s="556">
        <v>217.61433451580359</v>
      </c>
      <c r="L354" s="525"/>
      <c r="N354" s="529">
        <v>208.05097216523137</v>
      </c>
      <c r="O354" s="536"/>
      <c r="P354" s="556">
        <v>179.76836329566385</v>
      </c>
      <c r="Q354" s="525"/>
    </row>
    <row r="355" spans="1:22" outlineLevel="1">
      <c r="A355" t="s">
        <v>944</v>
      </c>
      <c r="C355" s="534"/>
      <c r="D355" s="529">
        <v>80.885200655960162</v>
      </c>
      <c r="E355" s="536"/>
      <c r="F355" s="556">
        <v>89.029525139457093</v>
      </c>
      <c r="G355" s="525"/>
      <c r="I355" s="529">
        <v>108.7190990355349</v>
      </c>
      <c r="J355" s="536"/>
      <c r="K355" s="556">
        <v>109.18908950543974</v>
      </c>
      <c r="L355" s="525"/>
      <c r="N355" s="529">
        <v>89.811429638050569</v>
      </c>
      <c r="O355" s="536"/>
      <c r="P355" s="556">
        <v>90.199682634928479</v>
      </c>
      <c r="Q355" s="525"/>
      <c r="T355" s="570"/>
      <c r="V355" s="571"/>
    </row>
    <row r="356" spans="1:22" outlineLevel="1">
      <c r="C356" s="534"/>
      <c r="D356" s="529"/>
      <c r="E356" s="536"/>
      <c r="F356" s="556"/>
      <c r="G356" s="525"/>
      <c r="I356" s="529"/>
      <c r="J356" s="536"/>
      <c r="K356" s="556"/>
      <c r="L356" s="525"/>
      <c r="N356" s="529"/>
      <c r="O356" s="536"/>
      <c r="P356" s="556"/>
      <c r="Q356" s="525"/>
    </row>
    <row r="357" spans="1:22" outlineLevel="1">
      <c r="A357" t="s">
        <v>946</v>
      </c>
      <c r="C357" s="534"/>
      <c r="D357" s="540">
        <v>1415.5283392815957</v>
      </c>
      <c r="E357" s="528"/>
      <c r="F357" s="563">
        <v>1513.673952122731</v>
      </c>
      <c r="G357" s="525">
        <v>6.9334968518500892E-2</v>
      </c>
      <c r="I357" s="540">
        <v>1617.4822862639821</v>
      </c>
      <c r="J357" s="528"/>
      <c r="K357" s="563">
        <v>1673.565426144906</v>
      </c>
      <c r="L357" s="525">
        <v>3.4673109163045779E-2</v>
      </c>
      <c r="N357" s="540">
        <v>1488.696401058651</v>
      </c>
      <c r="O357" s="541"/>
      <c r="P357" s="563">
        <v>1547.1212776721266</v>
      </c>
      <c r="Q357" s="525">
        <v>3.9245662562177305E-2</v>
      </c>
    </row>
    <row r="358" spans="1:22" outlineLevel="1">
      <c r="D358" s="527"/>
      <c r="E358" s="528"/>
      <c r="F358" s="528"/>
      <c r="G358" s="525"/>
      <c r="I358" s="527"/>
      <c r="J358" s="528"/>
      <c r="K358" s="528"/>
      <c r="L358" s="525"/>
      <c r="N358" s="527"/>
      <c r="O358" s="528"/>
      <c r="P358" s="528"/>
      <c r="Q358" s="525"/>
    </row>
    <row r="359" spans="1:22" outlineLevel="1">
      <c r="D359" s="527"/>
      <c r="E359" s="528"/>
      <c r="F359" s="528"/>
      <c r="G359" s="525"/>
      <c r="I359" s="527"/>
      <c r="J359" s="528"/>
      <c r="K359" s="528"/>
      <c r="L359" s="525"/>
      <c r="N359" s="527"/>
      <c r="O359" s="528"/>
      <c r="P359" s="528"/>
      <c r="Q359" s="525"/>
    </row>
    <row r="360" spans="1:22" outlineLevel="1">
      <c r="A360" t="s">
        <v>934</v>
      </c>
      <c r="B360" t="s">
        <v>935</v>
      </c>
      <c r="D360" s="529">
        <v>450</v>
      </c>
      <c r="E360" s="528"/>
      <c r="F360" s="528">
        <v>450</v>
      </c>
      <c r="G360" s="525"/>
      <c r="I360" s="529">
        <v>180</v>
      </c>
      <c r="J360" s="528"/>
      <c r="K360" s="528">
        <v>180</v>
      </c>
      <c r="L360" s="525"/>
      <c r="N360" s="529">
        <v>160</v>
      </c>
      <c r="O360" s="528"/>
      <c r="P360" s="528">
        <v>160</v>
      </c>
      <c r="Q360" s="525"/>
    </row>
    <row r="361" spans="1:22" outlineLevel="1">
      <c r="B361" t="s">
        <v>936</v>
      </c>
      <c r="C361" s="534"/>
      <c r="D361" s="529">
        <v>281.13148121968823</v>
      </c>
      <c r="E361" s="528"/>
      <c r="F361" s="556">
        <v>279.64763570764859</v>
      </c>
      <c r="G361" s="525"/>
      <c r="I361" s="529">
        <v>116.89008222953876</v>
      </c>
      <c r="J361" s="528"/>
      <c r="K361" s="556">
        <v>112.61119508944374</v>
      </c>
      <c r="L361" s="525"/>
      <c r="N361" s="529">
        <v>164.61667557020255</v>
      </c>
      <c r="O361" s="528"/>
      <c r="P361" s="556">
        <v>99.137974100403781</v>
      </c>
      <c r="Q361" s="525"/>
    </row>
    <row r="362" spans="1:22" outlineLevel="1">
      <c r="D362" s="544">
        <v>731.13148121968823</v>
      </c>
      <c r="E362" s="528"/>
      <c r="F362" s="545">
        <v>729.64763570764853</v>
      </c>
      <c r="G362" s="525">
        <v>-2.0295193821558773E-3</v>
      </c>
      <c r="I362" s="544">
        <v>296.89008222953873</v>
      </c>
      <c r="J362" s="528"/>
      <c r="K362" s="545">
        <v>292.61119508944375</v>
      </c>
      <c r="L362" s="525">
        <v>-1.4412361329021375E-2</v>
      </c>
      <c r="N362" s="544">
        <v>324.61667557020257</v>
      </c>
      <c r="O362" s="528"/>
      <c r="P362" s="545">
        <v>259.13797410040377</v>
      </c>
      <c r="Q362" s="525">
        <v>-0.20171083742011334</v>
      </c>
    </row>
    <row r="363" spans="1:22" outlineLevel="1">
      <c r="D363" s="527"/>
      <c r="E363" s="528"/>
      <c r="F363" s="528"/>
      <c r="G363" s="525"/>
      <c r="I363" s="527"/>
      <c r="J363" s="528"/>
      <c r="K363" s="528"/>
      <c r="L363" s="525"/>
      <c r="N363" s="527"/>
      <c r="O363" s="528"/>
      <c r="P363" s="528"/>
      <c r="Q363" s="525"/>
    </row>
    <row r="364" spans="1:22" outlineLevel="1">
      <c r="D364" s="527"/>
      <c r="E364" s="528"/>
      <c r="F364" s="528"/>
      <c r="G364" s="525"/>
      <c r="I364" s="527"/>
      <c r="J364" s="528"/>
      <c r="K364" s="528"/>
      <c r="L364" s="525"/>
      <c r="N364" s="527"/>
      <c r="O364" s="528"/>
      <c r="P364" s="528"/>
      <c r="Q364" s="525"/>
    </row>
    <row r="365" spans="1:22" outlineLevel="1">
      <c r="A365" t="s">
        <v>937</v>
      </c>
      <c r="B365" t="s">
        <v>935</v>
      </c>
      <c r="D365" s="529">
        <v>0</v>
      </c>
      <c r="E365" s="528"/>
      <c r="F365" s="528">
        <v>0</v>
      </c>
      <c r="G365" s="525"/>
      <c r="I365" s="529">
        <v>640</v>
      </c>
      <c r="J365" s="528"/>
      <c r="K365" s="528">
        <v>648</v>
      </c>
      <c r="L365" s="525"/>
      <c r="N365" s="529">
        <v>530</v>
      </c>
      <c r="O365" s="528"/>
      <c r="P365" s="528">
        <v>530</v>
      </c>
      <c r="Q365" s="525"/>
    </row>
    <row r="366" spans="1:22" outlineLevel="1">
      <c r="B366" t="s">
        <v>938</v>
      </c>
      <c r="C366" s="546">
        <v>0</v>
      </c>
      <c r="D366" s="529"/>
      <c r="E366" s="536"/>
      <c r="F366" s="528"/>
      <c r="G366" s="525"/>
      <c r="I366" s="529">
        <v>0</v>
      </c>
      <c r="J366" s="536"/>
      <c r="K366" s="528">
        <v>0</v>
      </c>
      <c r="L366" s="525"/>
      <c r="N366" s="529">
        <v>0</v>
      </c>
      <c r="O366" s="536"/>
      <c r="P366" s="528">
        <v>0</v>
      </c>
      <c r="Q366" s="525"/>
    </row>
    <row r="367" spans="1:22" outlineLevel="1">
      <c r="D367" s="544">
        <v>0</v>
      </c>
      <c r="E367" s="528"/>
      <c r="F367" s="545">
        <v>0</v>
      </c>
      <c r="G367" s="580"/>
      <c r="I367" s="544">
        <v>640</v>
      </c>
      <c r="J367" s="528"/>
      <c r="K367" s="545">
        <v>648</v>
      </c>
      <c r="L367" s="525">
        <v>1.2500000000000001E-2</v>
      </c>
      <c r="N367" s="544">
        <v>530</v>
      </c>
      <c r="O367" s="528"/>
      <c r="P367" s="545">
        <v>530</v>
      </c>
      <c r="Q367" s="525">
        <v>0</v>
      </c>
    </row>
    <row r="368" spans="1:22" outlineLevel="1">
      <c r="D368" s="527"/>
      <c r="E368" s="528"/>
      <c r="F368" s="528"/>
      <c r="G368" s="525"/>
      <c r="I368" s="527"/>
      <c r="J368" s="528"/>
      <c r="K368" s="528"/>
      <c r="L368" s="525"/>
      <c r="N368" s="527"/>
      <c r="O368" s="528"/>
      <c r="P368" s="528"/>
      <c r="Q368" s="525"/>
    </row>
    <row r="369" spans="1:17" outlineLevel="1">
      <c r="B369" t="s">
        <v>947</v>
      </c>
      <c r="D369" s="529">
        <v>302</v>
      </c>
      <c r="E369" s="528"/>
      <c r="F369" s="556">
        <v>313</v>
      </c>
      <c r="G369" s="525"/>
      <c r="I369" s="529">
        <v>302</v>
      </c>
      <c r="J369" s="528"/>
      <c r="K369" s="556">
        <v>313</v>
      </c>
      <c r="L369" s="525"/>
      <c r="N369" s="529">
        <v>302</v>
      </c>
      <c r="O369" s="528"/>
      <c r="P369" s="556">
        <v>313</v>
      </c>
      <c r="Q369" s="525"/>
    </row>
    <row r="370" spans="1:17" outlineLevel="1">
      <c r="D370" s="544">
        <v>302</v>
      </c>
      <c r="E370" s="528"/>
      <c r="F370" s="545">
        <v>313</v>
      </c>
      <c r="G370" s="525">
        <v>3.6423841059602648E-2</v>
      </c>
      <c r="I370" s="544">
        <v>302</v>
      </c>
      <c r="J370" s="528"/>
      <c r="K370" s="545">
        <v>313</v>
      </c>
      <c r="L370" s="525">
        <v>3.6423841059602648E-2</v>
      </c>
      <c r="N370" s="544">
        <v>302</v>
      </c>
      <c r="O370" s="528"/>
      <c r="P370" s="545">
        <v>313</v>
      </c>
      <c r="Q370" s="525">
        <v>3.6423841059602648E-2</v>
      </c>
    </row>
    <row r="371" spans="1:17" outlineLevel="1">
      <c r="D371" s="544"/>
      <c r="E371" s="528"/>
      <c r="F371" s="545"/>
      <c r="G371" s="525"/>
      <c r="I371" s="544"/>
      <c r="J371" s="528"/>
      <c r="K371" s="545"/>
      <c r="L371" s="525"/>
      <c r="N371" s="544"/>
      <c r="O371" s="528"/>
      <c r="P371" s="545"/>
      <c r="Q371" s="525"/>
    </row>
    <row r="372" spans="1:17" ht="16.5" outlineLevel="1">
      <c r="A372" t="s">
        <v>940</v>
      </c>
      <c r="D372" s="547">
        <v>2448.6598205012838</v>
      </c>
      <c r="E372" s="528"/>
      <c r="F372" s="548">
        <v>2556.3215878303795</v>
      </c>
      <c r="G372" s="550">
        <v>4.3967629324295217E-2</v>
      </c>
      <c r="I372" s="547">
        <v>2856.3723684935208</v>
      </c>
      <c r="J372" s="528"/>
      <c r="K372" s="548">
        <v>2927.17662123435</v>
      </c>
      <c r="L372" s="550">
        <v>2.4788173111397284E-2</v>
      </c>
      <c r="M372" s="515"/>
      <c r="N372" s="547">
        <v>2645.3130766288537</v>
      </c>
      <c r="O372" s="548"/>
      <c r="P372" s="548">
        <v>2649.2592517725302</v>
      </c>
      <c r="Q372" s="550">
        <v>1.4917610994860011E-3</v>
      </c>
    </row>
    <row r="373" spans="1:17" outlineLevel="1">
      <c r="D373" s="551"/>
      <c r="E373" s="552"/>
      <c r="F373" s="552"/>
      <c r="G373" s="553">
        <v>107.66176732909571</v>
      </c>
      <c r="I373" s="554"/>
      <c r="J373" s="555"/>
      <c r="K373" s="555"/>
      <c r="L373" s="553">
        <v>70.80425274082927</v>
      </c>
      <c r="M373" s="515"/>
      <c r="N373" s="554"/>
      <c r="O373" s="555"/>
      <c r="P373" s="555"/>
      <c r="Q373" s="553">
        <v>3.9461751436765553</v>
      </c>
    </row>
    <row r="374" spans="1:17" outlineLevel="1">
      <c r="M374" s="516"/>
    </row>
    <row r="375" spans="1:17" outlineLevel="1">
      <c r="B375" s="514"/>
      <c r="C375" s="514"/>
      <c r="D375" s="515"/>
      <c r="E375" s="514"/>
      <c r="F375" s="515"/>
      <c r="G375" s="515"/>
      <c r="H375" s="515"/>
      <c r="I375" s="515"/>
      <c r="J375" s="515"/>
      <c r="K375" s="515"/>
      <c r="L375" s="515"/>
      <c r="M375" s="517"/>
      <c r="N375" s="515"/>
      <c r="O375" s="515"/>
      <c r="P375" s="515"/>
      <c r="Q375" s="515"/>
    </row>
    <row r="376" spans="1:17" ht="18" outlineLevel="1">
      <c r="A376" s="513" t="s">
        <v>915</v>
      </c>
      <c r="B376" s="514"/>
      <c r="C376" s="514"/>
      <c r="D376" s="515"/>
      <c r="E376" s="514"/>
      <c r="F376" s="515"/>
      <c r="G376" s="515"/>
      <c r="H376" s="515"/>
      <c r="I376" s="515"/>
      <c r="J376" s="515"/>
      <c r="K376" s="515"/>
      <c r="L376" s="515"/>
      <c r="N376" s="515"/>
      <c r="O376" s="515"/>
      <c r="P376" s="515"/>
      <c r="Q376" s="515"/>
    </row>
    <row r="377" spans="1:17" outlineLevel="1">
      <c r="A377" s="515"/>
      <c r="D377" s="516" t="s">
        <v>965</v>
      </c>
      <c r="E377" s="516"/>
      <c r="F377">
        <v>1</v>
      </c>
      <c r="G377" s="516"/>
      <c r="H377" s="516"/>
      <c r="I377" s="516" t="s">
        <v>966</v>
      </c>
      <c r="J377" s="516"/>
      <c r="K377">
        <v>1</v>
      </c>
      <c r="L377" s="516"/>
      <c r="M377" s="526"/>
      <c r="N377" s="516" t="s">
        <v>967</v>
      </c>
      <c r="O377" s="516"/>
      <c r="P377">
        <v>1</v>
      </c>
      <c r="Q377" s="516"/>
    </row>
    <row r="378" spans="1:17" outlineLevel="1">
      <c r="B378" s="1"/>
      <c r="D378" s="819" t="s">
        <v>919</v>
      </c>
      <c r="E378" s="820"/>
      <c r="F378" s="820" t="s">
        <v>920</v>
      </c>
      <c r="G378" s="821" t="s">
        <v>921</v>
      </c>
      <c r="H378" s="517"/>
      <c r="I378" s="819" t="s">
        <v>919</v>
      </c>
      <c r="J378" s="820"/>
      <c r="K378" s="820" t="s">
        <v>920</v>
      </c>
      <c r="L378" s="821" t="s">
        <v>921</v>
      </c>
      <c r="N378" s="819" t="s">
        <v>919</v>
      </c>
      <c r="O378" s="820"/>
      <c r="P378" s="820" t="s">
        <v>920</v>
      </c>
      <c r="Q378" s="821" t="s">
        <v>921</v>
      </c>
    </row>
    <row r="379" spans="1:17" outlineLevel="1">
      <c r="B379" s="1"/>
      <c r="D379" s="521"/>
      <c r="G379" s="522"/>
      <c r="I379" s="521"/>
      <c r="L379" s="522"/>
      <c r="N379" s="521"/>
      <c r="Q379" s="522"/>
    </row>
    <row r="380" spans="1:17" outlineLevel="1">
      <c r="A380" t="s">
        <v>922</v>
      </c>
      <c r="D380" s="523">
        <v>650000</v>
      </c>
      <c r="E380" s="524"/>
      <c r="F380" s="524">
        <v>650000</v>
      </c>
      <c r="G380" s="525">
        <v>0</v>
      </c>
      <c r="H380" s="526"/>
      <c r="I380" s="523">
        <v>860000</v>
      </c>
      <c r="J380" s="524"/>
      <c r="K380" s="524">
        <v>860000</v>
      </c>
      <c r="L380" s="525">
        <v>0</v>
      </c>
      <c r="N380" s="523">
        <v>820000</v>
      </c>
      <c r="O380" s="524"/>
      <c r="P380" s="524">
        <v>820000</v>
      </c>
      <c r="Q380" s="525">
        <v>0</v>
      </c>
    </row>
    <row r="381" spans="1:17" outlineLevel="1">
      <c r="D381" s="527"/>
      <c r="E381" s="528"/>
      <c r="F381" s="528"/>
      <c r="G381" s="522"/>
      <c r="I381" s="527"/>
      <c r="J381" s="528"/>
      <c r="K381" s="528"/>
      <c r="L381" s="522"/>
      <c r="N381" s="527"/>
      <c r="O381" s="528"/>
      <c r="P381" s="528"/>
      <c r="Q381" s="522"/>
    </row>
    <row r="382" spans="1:17">
      <c r="A382" t="s">
        <v>923</v>
      </c>
      <c r="D382" s="529">
        <v>56</v>
      </c>
      <c r="E382" s="528"/>
      <c r="F382" s="564">
        <v>65</v>
      </c>
      <c r="G382" s="531"/>
      <c r="I382" s="529">
        <v>56</v>
      </c>
      <c r="J382" s="528"/>
      <c r="K382" s="564">
        <v>65</v>
      </c>
      <c r="L382" s="531"/>
      <c r="N382" s="529">
        <v>56</v>
      </c>
      <c r="O382" s="528"/>
      <c r="P382" s="564">
        <v>65</v>
      </c>
      <c r="Q382" s="525"/>
    </row>
    <row r="383" spans="1:17">
      <c r="A383" s="533" t="s">
        <v>924</v>
      </c>
      <c r="C383" s="534"/>
      <c r="D383" s="529">
        <v>358</v>
      </c>
      <c r="E383" s="535"/>
      <c r="F383" s="556">
        <v>387</v>
      </c>
      <c r="G383" s="531"/>
      <c r="I383" s="529">
        <v>358</v>
      </c>
      <c r="J383" s="535"/>
      <c r="K383" s="556">
        <v>387</v>
      </c>
      <c r="L383" s="531"/>
      <c r="N383" s="529">
        <v>358</v>
      </c>
      <c r="O383" s="535"/>
      <c r="P383" s="556">
        <v>387</v>
      </c>
      <c r="Q383" s="525"/>
    </row>
    <row r="384" spans="1:17">
      <c r="A384" s="533" t="s">
        <v>942</v>
      </c>
      <c r="C384" s="534"/>
      <c r="D384" s="529">
        <v>276.96344633332882</v>
      </c>
      <c r="E384" s="535"/>
      <c r="F384" s="530">
        <v>304.51157242642466</v>
      </c>
      <c r="G384" s="531"/>
      <c r="I384" s="532">
        <v>276.96344633332882</v>
      </c>
      <c r="J384" s="535"/>
      <c r="K384" s="530">
        <v>304.51157242642466</v>
      </c>
      <c r="L384" s="531"/>
      <c r="N384" s="532">
        <v>276.96344633332882</v>
      </c>
      <c r="O384" s="535"/>
      <c r="P384" s="530">
        <v>304.51157242642466</v>
      </c>
      <c r="Q384" s="525"/>
    </row>
    <row r="385" spans="1:22" outlineLevel="1">
      <c r="A385" t="s">
        <v>959</v>
      </c>
      <c r="C385" s="534"/>
      <c r="D385" s="529">
        <v>106</v>
      </c>
      <c r="E385" s="536"/>
      <c r="F385" s="556">
        <v>136</v>
      </c>
      <c r="G385" s="525"/>
      <c r="I385" s="529">
        <v>106</v>
      </c>
      <c r="J385" s="536"/>
      <c r="K385" s="556">
        <v>136</v>
      </c>
      <c r="L385" s="525"/>
      <c r="N385" s="529">
        <v>106</v>
      </c>
      <c r="O385" s="536"/>
      <c r="P385" s="556">
        <v>136</v>
      </c>
      <c r="Q385" s="525"/>
    </row>
    <row r="386" spans="1:22" outlineLevel="1">
      <c r="A386" t="s">
        <v>927</v>
      </c>
      <c r="C386" s="534"/>
      <c r="D386" s="529">
        <v>23.314187415542563</v>
      </c>
      <c r="E386" s="536"/>
      <c r="F386" s="556">
        <v>16.68453730835402</v>
      </c>
      <c r="G386" s="525"/>
      <c r="I386" s="529">
        <v>30.846463349794774</v>
      </c>
      <c r="J386" s="536"/>
      <c r="K386" s="556">
        <v>22.074926284899163</v>
      </c>
      <c r="L386" s="525"/>
      <c r="N386" s="529">
        <v>29.411744124222924</v>
      </c>
      <c r="O386" s="536"/>
      <c r="P386" s="556">
        <v>21.048185527461992</v>
      </c>
      <c r="Q386" s="525"/>
    </row>
    <row r="387" spans="1:22">
      <c r="A387" s="533" t="s">
        <v>960</v>
      </c>
      <c r="C387" s="534"/>
      <c r="D387" s="529">
        <v>112.01589443050402</v>
      </c>
      <c r="E387" s="538"/>
      <c r="F387" s="556">
        <v>122.56743955863378</v>
      </c>
      <c r="G387" s="525"/>
      <c r="I387" s="529">
        <v>148.20564493882068</v>
      </c>
      <c r="J387" s="538"/>
      <c r="K387" s="556">
        <v>162.16615080065392</v>
      </c>
      <c r="L387" s="525"/>
      <c r="N387" s="529">
        <v>141.31235912771277</v>
      </c>
      <c r="O387" s="538"/>
      <c r="P387" s="556">
        <v>154.62353913550723</v>
      </c>
      <c r="Q387" s="525"/>
    </row>
    <row r="388" spans="1:22">
      <c r="A388" s="533" t="s">
        <v>929</v>
      </c>
      <c r="C388" s="534"/>
      <c r="D388" s="529">
        <v>102.08342570668538</v>
      </c>
      <c r="E388" s="538"/>
      <c r="F388" s="556">
        <v>87.54898387311664</v>
      </c>
      <c r="G388" s="525"/>
      <c r="I388" s="529">
        <v>135.06422478115297</v>
      </c>
      <c r="J388" s="538"/>
      <c r="K388" s="556">
        <v>115.83404020135433</v>
      </c>
      <c r="L388" s="525"/>
      <c r="N388" s="529">
        <v>128.78216781458769</v>
      </c>
      <c r="O388" s="538"/>
      <c r="P388" s="556">
        <v>110.44641042454714</v>
      </c>
      <c r="Q388" s="525"/>
    </row>
    <row r="389" spans="1:22">
      <c r="A389" s="533" t="s">
        <v>930</v>
      </c>
      <c r="C389" s="534"/>
      <c r="D389" s="529">
        <v>120.50905279696291</v>
      </c>
      <c r="E389" s="538"/>
      <c r="F389" s="556">
        <v>150.24654549642401</v>
      </c>
      <c r="G389" s="525"/>
      <c r="I389" s="529">
        <v>159.44274677752014</v>
      </c>
      <c r="J389" s="538"/>
      <c r="K389" s="556">
        <v>198.7877371183456</v>
      </c>
      <c r="L389" s="525"/>
      <c r="N389" s="529">
        <v>152.02680506693781</v>
      </c>
      <c r="O389" s="538"/>
      <c r="P389" s="556">
        <v>189.54179585702721</v>
      </c>
      <c r="Q389" s="525"/>
    </row>
    <row r="390" spans="1:22" outlineLevel="1">
      <c r="A390" t="s">
        <v>943</v>
      </c>
      <c r="C390" s="534"/>
      <c r="D390" s="529">
        <v>141.35143963601834</v>
      </c>
      <c r="E390" s="536"/>
      <c r="F390" s="556">
        <v>117.07585870911716</v>
      </c>
      <c r="G390" s="525"/>
      <c r="I390" s="529">
        <v>187.01882782611656</v>
      </c>
      <c r="J390" s="536"/>
      <c r="K390" s="556">
        <v>154.90036690744731</v>
      </c>
      <c r="L390" s="525"/>
      <c r="N390" s="529">
        <v>178.3202776946693</v>
      </c>
      <c r="O390" s="536"/>
      <c r="P390" s="556">
        <v>147.69569867919395</v>
      </c>
      <c r="Q390" s="525"/>
      <c r="T390" s="570"/>
      <c r="V390" s="571"/>
    </row>
    <row r="391" spans="1:22" outlineLevel="1">
      <c r="A391" t="s">
        <v>944</v>
      </c>
      <c r="C391" s="534"/>
      <c r="D391" s="529">
        <v>75.10768632339159</v>
      </c>
      <c r="E391" s="536"/>
      <c r="F391" s="556">
        <v>82.670273343781588</v>
      </c>
      <c r="G391" s="525"/>
      <c r="I391" s="529">
        <v>99.373246520179634</v>
      </c>
      <c r="J391" s="536"/>
      <c r="K391" s="556">
        <v>109.37913088561871</v>
      </c>
      <c r="L391" s="525"/>
      <c r="N391" s="529">
        <v>94.751235054124763</v>
      </c>
      <c r="O391" s="536"/>
      <c r="P391" s="556">
        <v>104.2917294490783</v>
      </c>
      <c r="Q391" s="525"/>
    </row>
    <row r="392" spans="1:22" outlineLevel="1">
      <c r="C392" s="534"/>
      <c r="D392" s="529"/>
      <c r="E392" s="536"/>
      <c r="F392" s="556"/>
      <c r="G392" s="525"/>
      <c r="I392" s="529"/>
      <c r="J392" s="536"/>
      <c r="K392" s="556"/>
      <c r="L392" s="525"/>
      <c r="N392" s="529"/>
      <c r="O392" s="536"/>
      <c r="P392" s="556"/>
      <c r="Q392" s="525"/>
    </row>
    <row r="393" spans="1:22" outlineLevel="1">
      <c r="A393" t="s">
        <v>946</v>
      </c>
      <c r="C393" s="534"/>
      <c r="D393" s="540">
        <v>1371.3451326424336</v>
      </c>
      <c r="E393" s="528"/>
      <c r="F393" s="563">
        <v>1469.3052107158521</v>
      </c>
      <c r="G393" s="525">
        <v>7.1433569669409266E-2</v>
      </c>
      <c r="I393" s="540">
        <v>1556.9146005269138</v>
      </c>
      <c r="J393" s="528"/>
      <c r="K393" s="563">
        <v>1655.6539246247437</v>
      </c>
      <c r="L393" s="525">
        <v>6.3419871625850971E-2</v>
      </c>
      <c r="N393" s="540">
        <v>1521.5680352155841</v>
      </c>
      <c r="O393" s="541"/>
      <c r="P393" s="563">
        <v>1620.1589314992405</v>
      </c>
      <c r="Q393" s="525">
        <v>6.4795588499391307E-2</v>
      </c>
    </row>
    <row r="394" spans="1:22" outlineLevel="1">
      <c r="D394" s="527"/>
      <c r="E394" s="528"/>
      <c r="F394" s="528"/>
      <c r="G394" s="525"/>
      <c r="I394" s="527"/>
      <c r="J394" s="528"/>
      <c r="K394" s="528"/>
      <c r="L394" s="525"/>
      <c r="N394" s="527"/>
      <c r="O394" s="528"/>
      <c r="P394" s="528"/>
      <c r="Q394" s="525"/>
    </row>
    <row r="395" spans="1:22" outlineLevel="1">
      <c r="D395" s="527"/>
      <c r="E395" s="528"/>
      <c r="F395" s="528"/>
      <c r="G395" s="525"/>
      <c r="I395" s="527"/>
      <c r="J395" s="528"/>
      <c r="K395" s="528"/>
      <c r="L395" s="525"/>
      <c r="N395" s="527"/>
      <c r="O395" s="528"/>
      <c r="P395" s="528"/>
      <c r="Q395" s="525"/>
    </row>
    <row r="396" spans="1:22" outlineLevel="1">
      <c r="A396" t="s">
        <v>934</v>
      </c>
      <c r="B396" t="s">
        <v>935</v>
      </c>
      <c r="D396" s="529">
        <v>0</v>
      </c>
      <c r="E396" s="528"/>
      <c r="F396" s="528">
        <v>0</v>
      </c>
      <c r="G396" s="525"/>
      <c r="I396" s="529">
        <v>300</v>
      </c>
      <c r="J396" s="528"/>
      <c r="K396" s="528">
        <v>300</v>
      </c>
      <c r="L396" s="525"/>
      <c r="N396" s="529">
        <v>500</v>
      </c>
      <c r="O396" s="528"/>
      <c r="P396" s="528">
        <v>480</v>
      </c>
      <c r="Q396" s="525"/>
    </row>
    <row r="397" spans="1:22" outlineLevel="1">
      <c r="B397" t="s">
        <v>936</v>
      </c>
      <c r="C397" s="534"/>
      <c r="D397" s="529"/>
      <c r="E397" s="528"/>
      <c r="F397" s="556"/>
      <c r="G397" s="525"/>
      <c r="I397" s="529">
        <v>291.79768414853919</v>
      </c>
      <c r="J397" s="528"/>
      <c r="K397" s="556">
        <v>222.72206179704216</v>
      </c>
      <c r="L397" s="525"/>
      <c r="N397" s="529"/>
      <c r="O397" s="528"/>
      <c r="P397" s="556"/>
      <c r="Q397" s="525"/>
    </row>
    <row r="398" spans="1:22" outlineLevel="1">
      <c r="D398" s="544">
        <v>0</v>
      </c>
      <c r="E398" s="528"/>
      <c r="F398" s="545">
        <v>0</v>
      </c>
      <c r="G398" s="525"/>
      <c r="I398" s="544">
        <v>591.79768414853925</v>
      </c>
      <c r="J398" s="528"/>
      <c r="K398" s="545">
        <v>522.72206179704222</v>
      </c>
      <c r="L398" s="525">
        <v>-0.11672168411892481</v>
      </c>
      <c r="N398" s="544">
        <v>500</v>
      </c>
      <c r="O398" s="545"/>
      <c r="P398" s="545">
        <v>480</v>
      </c>
      <c r="Q398" s="525">
        <v>-0.04</v>
      </c>
    </row>
    <row r="399" spans="1:22" outlineLevel="1">
      <c r="D399" s="527"/>
      <c r="E399" s="528"/>
      <c r="F399" s="528"/>
      <c r="G399" s="525"/>
      <c r="I399" s="527"/>
      <c r="J399" s="528"/>
      <c r="K399" s="528"/>
      <c r="L399" s="525"/>
      <c r="N399" s="527"/>
      <c r="O399" s="528"/>
      <c r="P399" s="528"/>
      <c r="Q399" s="525"/>
    </row>
    <row r="400" spans="1:22" outlineLevel="1">
      <c r="D400" s="527"/>
      <c r="E400" s="528"/>
      <c r="F400" s="528"/>
      <c r="G400" s="525"/>
      <c r="I400" s="527"/>
      <c r="J400" s="528"/>
      <c r="K400" s="528"/>
      <c r="L400" s="525"/>
      <c r="N400" s="527"/>
      <c r="O400" s="528"/>
      <c r="P400" s="528"/>
      <c r="Q400" s="525"/>
    </row>
    <row r="401" spans="1:18" outlineLevel="1">
      <c r="A401" t="s">
        <v>937</v>
      </c>
      <c r="B401" t="s">
        <v>935</v>
      </c>
      <c r="D401" s="529">
        <v>0</v>
      </c>
      <c r="E401" s="528"/>
      <c r="F401" s="528">
        <v>0</v>
      </c>
      <c r="G401" s="525"/>
      <c r="I401" s="529">
        <v>620</v>
      </c>
      <c r="J401" s="528"/>
      <c r="K401" s="528">
        <v>620</v>
      </c>
      <c r="L401" s="525"/>
      <c r="N401" s="529">
        <v>480</v>
      </c>
      <c r="O401" s="528"/>
      <c r="P401" s="528">
        <v>480</v>
      </c>
      <c r="Q401" s="525">
        <v>0</v>
      </c>
    </row>
    <row r="402" spans="1:18" outlineLevel="1">
      <c r="B402" t="s">
        <v>938</v>
      </c>
      <c r="C402" s="546">
        <v>0</v>
      </c>
      <c r="D402" s="527"/>
      <c r="E402" s="536"/>
      <c r="F402" s="528"/>
      <c r="G402" s="525"/>
      <c r="I402" s="529">
        <v>0</v>
      </c>
      <c r="J402" s="536"/>
      <c r="K402" s="528">
        <v>0</v>
      </c>
      <c r="L402" s="525"/>
      <c r="N402" s="529">
        <v>0</v>
      </c>
      <c r="O402" s="536"/>
      <c r="P402" s="528">
        <v>0</v>
      </c>
      <c r="Q402" s="525"/>
    </row>
    <row r="403" spans="1:18" outlineLevel="1">
      <c r="D403" s="544">
        <v>0</v>
      </c>
      <c r="E403" s="528"/>
      <c r="F403" s="545">
        <v>0</v>
      </c>
      <c r="G403" s="580"/>
      <c r="I403" s="544">
        <v>620</v>
      </c>
      <c r="J403" s="528"/>
      <c r="K403" s="545">
        <v>620</v>
      </c>
      <c r="L403" s="525">
        <v>0</v>
      </c>
      <c r="N403" s="545">
        <v>480</v>
      </c>
      <c r="O403" s="545"/>
      <c r="P403" s="545">
        <v>480</v>
      </c>
      <c r="Q403" s="580"/>
      <c r="R403" s="528">
        <v>0</v>
      </c>
    </row>
    <row r="404" spans="1:18" outlineLevel="1">
      <c r="D404" s="527"/>
      <c r="E404" s="528"/>
      <c r="F404" s="528"/>
      <c r="G404" s="525"/>
      <c r="I404" s="527"/>
      <c r="J404" s="528"/>
      <c r="K404" s="528"/>
      <c r="L404" s="525"/>
      <c r="N404" s="527"/>
      <c r="O404" s="528"/>
      <c r="P404" s="528"/>
      <c r="Q404" s="525"/>
    </row>
    <row r="405" spans="1:18" outlineLevel="1">
      <c r="B405" t="s">
        <v>947</v>
      </c>
      <c r="D405" s="529">
        <v>302</v>
      </c>
      <c r="E405" s="528"/>
      <c r="F405" s="556">
        <v>313</v>
      </c>
      <c r="G405" s="525"/>
      <c r="I405" s="529">
        <v>302</v>
      </c>
      <c r="J405" s="528"/>
      <c r="K405" s="556">
        <v>313</v>
      </c>
      <c r="L405" s="525"/>
      <c r="N405" s="529">
        <v>302</v>
      </c>
      <c r="O405" s="528"/>
      <c r="P405" s="556">
        <v>313</v>
      </c>
      <c r="Q405" s="525"/>
    </row>
    <row r="406" spans="1:18">
      <c r="D406" s="544">
        <v>302</v>
      </c>
      <c r="E406" s="528"/>
      <c r="F406" s="545">
        <v>313</v>
      </c>
      <c r="G406" s="525">
        <v>3.6423841059602648E-2</v>
      </c>
      <c r="I406" s="544">
        <v>302</v>
      </c>
      <c r="J406" s="528"/>
      <c r="K406" s="545">
        <v>313</v>
      </c>
      <c r="L406" s="525">
        <v>3.6423841059602648E-2</v>
      </c>
      <c r="N406" s="544">
        <v>302</v>
      </c>
      <c r="O406" s="528"/>
      <c r="P406" s="545">
        <v>313</v>
      </c>
      <c r="Q406" s="525">
        <v>3.6423841059602648E-2</v>
      </c>
    </row>
    <row r="407" spans="1:18">
      <c r="D407" s="544"/>
      <c r="E407" s="528"/>
      <c r="F407" s="545"/>
      <c r="G407" s="525"/>
      <c r="I407" s="544"/>
      <c r="J407" s="528"/>
      <c r="K407" s="545"/>
      <c r="L407" s="525"/>
      <c r="N407" s="544"/>
      <c r="O407" s="528"/>
      <c r="P407" s="545"/>
      <c r="Q407" s="525"/>
    </row>
    <row r="408" spans="1:18" ht="16.5">
      <c r="A408" t="s">
        <v>940</v>
      </c>
      <c r="D408" s="547">
        <v>1673.3451326424336</v>
      </c>
      <c r="E408" s="528"/>
      <c r="F408" s="548">
        <v>1782.3052107158521</v>
      </c>
      <c r="G408" s="550">
        <v>6.5115125354538297E-2</v>
      </c>
      <c r="I408" s="547">
        <v>3070.7122846754528</v>
      </c>
      <c r="J408" s="528"/>
      <c r="K408" s="548">
        <v>3111.3759864217859</v>
      </c>
      <c r="L408" s="550">
        <v>1.3242433017664146E-2</v>
      </c>
      <c r="N408" s="547">
        <v>2803.5680352155841</v>
      </c>
      <c r="O408" s="548"/>
      <c r="P408" s="548">
        <v>2893.1589314992407</v>
      </c>
      <c r="Q408" s="550">
        <v>3.1956027161925943E-2</v>
      </c>
    </row>
    <row r="409" spans="1:18">
      <c r="D409" s="551"/>
      <c r="E409" s="552"/>
      <c r="F409" s="552"/>
      <c r="G409" s="553">
        <v>108.96007807341857</v>
      </c>
      <c r="I409" s="551"/>
      <c r="J409" s="552"/>
      <c r="K409" s="552"/>
      <c r="L409" s="553">
        <v>40.663701746333118</v>
      </c>
      <c r="N409" s="551"/>
      <c r="O409" s="552"/>
      <c r="P409" s="552"/>
      <c r="Q409" s="553">
        <v>89.590896283656548</v>
      </c>
    </row>
    <row r="410" spans="1:18">
      <c r="G410" s="528"/>
      <c r="L410" s="528"/>
      <c r="Q410" s="528"/>
    </row>
    <row r="411" spans="1:18">
      <c r="G411" s="528"/>
      <c r="L411" s="528"/>
      <c r="Q411" s="528"/>
    </row>
    <row r="412" spans="1:18" ht="18">
      <c r="A412" s="513" t="s">
        <v>915</v>
      </c>
      <c r="B412" s="514"/>
      <c r="C412" s="514"/>
      <c r="D412" s="515"/>
      <c r="E412" s="514"/>
      <c r="F412" s="515"/>
      <c r="G412" s="515"/>
      <c r="H412" s="515"/>
      <c r="I412" s="515"/>
      <c r="J412" s="515"/>
      <c r="K412" s="515"/>
      <c r="L412" s="515"/>
      <c r="N412" s="515"/>
      <c r="O412" s="515"/>
      <c r="P412" s="515"/>
      <c r="Q412" s="515"/>
    </row>
    <row r="413" spans="1:18">
      <c r="A413" s="515"/>
      <c r="D413" s="516" t="s">
        <v>968</v>
      </c>
      <c r="E413" s="516"/>
      <c r="F413" s="516"/>
      <c r="G413" s="516"/>
      <c r="H413" s="516"/>
      <c r="I413" s="516"/>
      <c r="J413" s="516"/>
      <c r="K413" s="516"/>
      <c r="L413" s="516"/>
      <c r="M413" s="526"/>
      <c r="N413" s="516"/>
      <c r="O413" s="516"/>
      <c r="P413" s="516"/>
      <c r="Q413" s="516"/>
    </row>
    <row r="414" spans="1:18">
      <c r="B414" s="1"/>
      <c r="D414" s="819" t="s">
        <v>919</v>
      </c>
      <c r="E414" s="820"/>
      <c r="F414" s="820" t="s">
        <v>920</v>
      </c>
      <c r="G414" s="821" t="s">
        <v>921</v>
      </c>
      <c r="H414" s="517"/>
      <c r="I414" s="819" t="s">
        <v>969</v>
      </c>
      <c r="J414" s="820"/>
      <c r="K414" s="820" t="s">
        <v>970</v>
      </c>
      <c r="L414" s="821" t="s">
        <v>921</v>
      </c>
      <c r="N414" s="820"/>
      <c r="O414" s="820"/>
      <c r="P414" s="820"/>
      <c r="Q414" s="821"/>
    </row>
    <row r="415" spans="1:18">
      <c r="B415" s="1"/>
      <c r="D415" s="521"/>
      <c r="G415" s="522"/>
      <c r="I415" s="521"/>
      <c r="L415" s="522"/>
      <c r="Q415" s="522"/>
    </row>
    <row r="416" spans="1:18">
      <c r="A416" t="s">
        <v>922</v>
      </c>
      <c r="D416" s="523">
        <v>520000</v>
      </c>
      <c r="E416" s="524"/>
      <c r="F416" s="524">
        <v>520000</v>
      </c>
      <c r="G416" s="525">
        <v>0</v>
      </c>
      <c r="H416" s="526"/>
      <c r="I416" s="523">
        <v>400000</v>
      </c>
      <c r="J416" s="524"/>
      <c r="K416" s="524">
        <v>400000</v>
      </c>
      <c r="L416" s="581"/>
      <c r="N416" s="559"/>
      <c r="O416" s="524"/>
      <c r="P416" s="524"/>
      <c r="Q416" s="581"/>
    </row>
    <row r="417" spans="1:17">
      <c r="D417" s="527"/>
      <c r="E417" s="528"/>
      <c r="F417" s="528"/>
      <c r="G417" s="522"/>
      <c r="I417" s="527"/>
      <c r="J417" s="528"/>
      <c r="K417" s="528"/>
      <c r="L417" s="522"/>
      <c r="N417" s="528"/>
      <c r="O417" s="528"/>
      <c r="P417" s="528"/>
      <c r="Q417" s="522"/>
    </row>
    <row r="418" spans="1:17">
      <c r="A418" t="s">
        <v>923</v>
      </c>
      <c r="D418" s="529">
        <v>56</v>
      </c>
      <c r="E418" s="528"/>
      <c r="F418" s="564">
        <v>65</v>
      </c>
      <c r="G418" s="531"/>
      <c r="I418" s="529">
        <v>74</v>
      </c>
      <c r="J418" s="528"/>
      <c r="K418" s="564">
        <v>65</v>
      </c>
      <c r="L418" s="531"/>
      <c r="N418" s="564"/>
      <c r="O418" s="528"/>
      <c r="P418" s="564"/>
      <c r="Q418" s="525"/>
    </row>
    <row r="419" spans="1:17">
      <c r="A419" s="533" t="s">
        <v>924</v>
      </c>
      <c r="C419" s="534"/>
      <c r="D419" s="529">
        <v>358</v>
      </c>
      <c r="E419" s="535"/>
      <c r="F419" s="556">
        <v>387</v>
      </c>
      <c r="G419" s="531"/>
      <c r="I419" s="529">
        <v>359</v>
      </c>
      <c r="J419" s="535"/>
      <c r="K419" s="556">
        <v>387</v>
      </c>
      <c r="L419" s="531"/>
      <c r="N419" s="560"/>
      <c r="O419" s="536"/>
      <c r="P419" s="560"/>
      <c r="Q419" s="525"/>
    </row>
    <row r="420" spans="1:17">
      <c r="A420" s="533" t="s">
        <v>942</v>
      </c>
      <c r="C420" s="534"/>
      <c r="D420" s="529">
        <v>0</v>
      </c>
      <c r="E420" s="535"/>
      <c r="F420" s="556">
        <v>0</v>
      </c>
      <c r="G420" s="531"/>
      <c r="I420" s="529">
        <v>0</v>
      </c>
      <c r="J420" s="535"/>
      <c r="K420" s="556">
        <v>0</v>
      </c>
      <c r="L420" s="531"/>
      <c r="N420" s="560"/>
      <c r="O420" s="536"/>
      <c r="P420" s="560"/>
      <c r="Q420" s="525"/>
    </row>
    <row r="421" spans="1:17">
      <c r="A421" t="s">
        <v>959</v>
      </c>
      <c r="C421" s="534"/>
      <c r="D421" s="529">
        <v>186</v>
      </c>
      <c r="E421" s="536"/>
      <c r="F421" s="569">
        <v>190</v>
      </c>
      <c r="G421" s="525"/>
      <c r="I421" s="529">
        <v>0</v>
      </c>
      <c r="J421" s="536"/>
      <c r="K421" s="556">
        <v>0</v>
      </c>
      <c r="L421" s="525"/>
      <c r="N421" s="560"/>
      <c r="O421" s="536"/>
      <c r="P421" s="560"/>
      <c r="Q421" s="525"/>
    </row>
    <row r="422" spans="1:17">
      <c r="A422" t="s">
        <v>927</v>
      </c>
      <c r="C422" s="534"/>
      <c r="D422" s="529">
        <v>18.651349932434048</v>
      </c>
      <c r="E422" s="536"/>
      <c r="F422" s="556">
        <v>13.347629846683216</v>
      </c>
      <c r="G422" s="525"/>
      <c r="I422" s="529">
        <v>23.655701405931477</v>
      </c>
      <c r="J422" s="536"/>
      <c r="K422" s="556">
        <v>10.267407574371704</v>
      </c>
      <c r="L422" s="525"/>
      <c r="N422" s="560"/>
      <c r="O422" s="536"/>
      <c r="P422" s="560"/>
      <c r="Q422" s="525"/>
    </row>
    <row r="423" spans="1:17">
      <c r="A423" s="533" t="s">
        <v>960</v>
      </c>
      <c r="C423" s="534"/>
      <c r="D423" s="529">
        <v>89.612715544403216</v>
      </c>
      <c r="E423" s="538"/>
      <c r="F423" s="556">
        <v>98.053951646907024</v>
      </c>
      <c r="G423" s="525"/>
      <c r="I423" s="529">
        <v>103.47384262561205</v>
      </c>
      <c r="J423" s="538"/>
      <c r="K423" s="556">
        <v>75.426116651466941</v>
      </c>
      <c r="L423" s="525"/>
      <c r="N423" s="560"/>
      <c r="O423" s="536"/>
      <c r="P423" s="560"/>
      <c r="Q423" s="525"/>
    </row>
    <row r="424" spans="1:17">
      <c r="A424" s="533" t="s">
        <v>929</v>
      </c>
      <c r="C424" s="534"/>
      <c r="D424" s="529">
        <v>81.666740565348306</v>
      </c>
      <c r="E424" s="538"/>
      <c r="F424" s="556">
        <v>70.039187098493315</v>
      </c>
      <c r="G424" s="525"/>
      <c r="I424" s="529">
        <v>57.51286092360516</v>
      </c>
      <c r="J424" s="538"/>
      <c r="K424" s="556">
        <v>53.87629776807178</v>
      </c>
      <c r="L424" s="525"/>
      <c r="N424" s="560"/>
      <c r="O424" s="536"/>
      <c r="P424" s="560"/>
      <c r="Q424" s="525"/>
    </row>
    <row r="425" spans="1:17">
      <c r="A425" s="533" t="s">
        <v>930</v>
      </c>
      <c r="C425" s="534"/>
      <c r="D425" s="529">
        <v>96.40724223757033</v>
      </c>
      <c r="E425" s="538"/>
      <c r="F425" s="556">
        <v>120.19723639713921</v>
      </c>
      <c r="G425" s="525"/>
      <c r="I425" s="529">
        <v>96.304418904068427</v>
      </c>
      <c r="J425" s="538"/>
      <c r="K425" s="556">
        <v>92.459412613184</v>
      </c>
      <c r="L425" s="525"/>
      <c r="N425" s="560"/>
      <c r="O425" s="536"/>
      <c r="P425" s="560"/>
      <c r="Q425" s="525"/>
    </row>
    <row r="426" spans="1:17">
      <c r="A426" t="s">
        <v>943</v>
      </c>
      <c r="C426" s="534"/>
      <c r="D426" s="529">
        <v>189.80088688757948</v>
      </c>
      <c r="E426" s="536"/>
      <c r="F426" s="556">
        <v>163.9992086206056</v>
      </c>
      <c r="G426" s="525"/>
      <c r="I426" s="529">
        <v>259.10081420345875</v>
      </c>
      <c r="J426" s="536"/>
      <c r="K426" s="556">
        <v>126.15323740046585</v>
      </c>
      <c r="L426" s="525"/>
      <c r="N426" s="560"/>
      <c r="O426" s="536"/>
      <c r="P426" s="560"/>
      <c r="Q426" s="525"/>
    </row>
    <row r="427" spans="1:17">
      <c r="A427" t="s">
        <v>944</v>
      </c>
      <c r="C427" s="534"/>
      <c r="D427" s="529">
        <v>81.933234055765425</v>
      </c>
      <c r="E427" s="536"/>
      <c r="F427" s="556">
        <v>82.287429772215461</v>
      </c>
      <c r="G427" s="525"/>
      <c r="I427" s="529">
        <v>63.122187070546353</v>
      </c>
      <c r="J427" s="536"/>
      <c r="K427" s="556">
        <v>63.298022901704201</v>
      </c>
      <c r="L427" s="525"/>
      <c r="N427" s="528"/>
      <c r="O427" s="528"/>
      <c r="P427" s="528"/>
      <c r="Q427" s="525"/>
    </row>
    <row r="428" spans="1:17">
      <c r="C428" s="534"/>
      <c r="D428" s="582"/>
      <c r="E428" s="536"/>
      <c r="F428" s="560"/>
      <c r="G428" s="525"/>
      <c r="I428" s="582"/>
      <c r="J428" s="536"/>
      <c r="K428" s="560"/>
      <c r="L428" s="525"/>
      <c r="N428" s="528"/>
      <c r="O428" s="528"/>
      <c r="P428" s="528"/>
      <c r="Q428" s="525"/>
    </row>
    <row r="429" spans="1:17">
      <c r="A429" t="s">
        <v>946</v>
      </c>
      <c r="C429" s="534"/>
      <c r="D429" s="583">
        <v>558.07216922310079</v>
      </c>
      <c r="E429" s="528"/>
      <c r="F429" s="541">
        <v>547.92464338204377</v>
      </c>
      <c r="G429" s="525">
        <v>-1.8183178450169833E-2</v>
      </c>
      <c r="I429" s="583">
        <v>603.16982513322228</v>
      </c>
      <c r="J429" s="528"/>
      <c r="K429" s="541">
        <v>421.48049490926445</v>
      </c>
      <c r="L429" s="525">
        <v>-0.30122417046281791</v>
      </c>
      <c r="N429" s="528"/>
      <c r="O429" s="528"/>
      <c r="P429" s="528"/>
      <c r="Q429" s="525"/>
    </row>
    <row r="430" spans="1:17">
      <c r="D430" s="527"/>
      <c r="E430" s="528"/>
      <c r="F430" s="528"/>
      <c r="G430" s="525"/>
      <c r="I430" s="527"/>
      <c r="J430" s="528"/>
      <c r="K430" s="528"/>
      <c r="L430" s="525"/>
      <c r="N430" s="560"/>
      <c r="O430" s="528"/>
      <c r="P430" s="560"/>
      <c r="Q430" s="525"/>
    </row>
    <row r="431" spans="1:17">
      <c r="D431" s="527"/>
      <c r="E431" s="528"/>
      <c r="F431" s="528"/>
      <c r="G431" s="525"/>
      <c r="I431" s="527"/>
      <c r="J431" s="528"/>
      <c r="K431" s="528"/>
      <c r="L431" s="525"/>
      <c r="N431" s="545"/>
      <c r="O431" s="545"/>
      <c r="P431" s="545"/>
      <c r="Q431" s="525"/>
    </row>
    <row r="432" spans="1:17">
      <c r="A432" t="s">
        <v>934</v>
      </c>
      <c r="B432" t="s">
        <v>935</v>
      </c>
      <c r="D432" s="529">
        <v>500</v>
      </c>
      <c r="E432" s="528"/>
      <c r="F432" s="528">
        <v>500</v>
      </c>
      <c r="G432" s="525"/>
      <c r="I432" s="529">
        <v>580</v>
      </c>
      <c r="J432" s="528"/>
      <c r="K432" s="528">
        <v>500</v>
      </c>
      <c r="L432" s="525"/>
      <c r="N432" s="528"/>
      <c r="O432" s="528"/>
      <c r="P432" s="528"/>
      <c r="Q432" s="525"/>
    </row>
    <row r="433" spans="1:25">
      <c r="B433" t="s">
        <v>936</v>
      </c>
      <c r="C433" s="534"/>
      <c r="D433" s="582"/>
      <c r="E433" s="528"/>
      <c r="F433" s="560"/>
      <c r="G433" s="525"/>
      <c r="I433" s="582"/>
      <c r="J433" s="528"/>
      <c r="K433" s="560"/>
      <c r="L433" s="525"/>
      <c r="N433" s="528"/>
      <c r="O433" s="528"/>
      <c r="P433" s="528"/>
      <c r="Q433" s="525"/>
    </row>
    <row r="434" spans="1:25">
      <c r="D434" s="544">
        <v>500</v>
      </c>
      <c r="E434" s="528"/>
      <c r="F434" s="545">
        <v>500</v>
      </c>
      <c r="G434" s="525">
        <v>0</v>
      </c>
      <c r="I434" s="544">
        <v>580</v>
      </c>
      <c r="J434" s="528"/>
      <c r="K434" s="545">
        <v>500</v>
      </c>
      <c r="L434" s="525">
        <v>-0.13793103448275862</v>
      </c>
      <c r="N434" s="528"/>
      <c r="O434" s="528"/>
      <c r="P434" s="528"/>
      <c r="Q434" s="525"/>
    </row>
    <row r="435" spans="1:25">
      <c r="D435" s="527"/>
      <c r="E435" s="528"/>
      <c r="F435" s="528"/>
      <c r="G435" s="525"/>
      <c r="I435" s="527"/>
      <c r="J435" s="528"/>
      <c r="K435" s="528"/>
      <c r="L435" s="525"/>
      <c r="N435" s="528"/>
      <c r="O435" s="536"/>
      <c r="P435" s="528"/>
      <c r="Q435" s="525"/>
    </row>
    <row r="436" spans="1:25">
      <c r="D436" s="527"/>
      <c r="E436" s="528"/>
      <c r="F436" s="528"/>
      <c r="G436" s="525"/>
      <c r="I436" s="527"/>
      <c r="J436" s="528"/>
      <c r="K436" s="528"/>
      <c r="L436" s="525"/>
      <c r="N436" s="545"/>
      <c r="O436" s="545"/>
      <c r="P436" s="545"/>
      <c r="Q436" s="580"/>
    </row>
    <row r="437" spans="1:25">
      <c r="A437" t="s">
        <v>937</v>
      </c>
      <c r="B437" t="s">
        <v>935</v>
      </c>
      <c r="D437" s="529">
        <v>780</v>
      </c>
      <c r="E437" s="528"/>
      <c r="F437" s="528">
        <v>800</v>
      </c>
      <c r="G437" s="525"/>
      <c r="I437" s="529">
        <v>0</v>
      </c>
      <c r="J437" s="528"/>
      <c r="K437" s="528">
        <v>0</v>
      </c>
      <c r="L437" s="525"/>
      <c r="N437" s="528"/>
      <c r="O437" s="528"/>
      <c r="P437" s="528"/>
      <c r="Q437" s="525"/>
    </row>
    <row r="438" spans="1:25">
      <c r="B438" t="s">
        <v>938</v>
      </c>
      <c r="C438" s="546">
        <v>0</v>
      </c>
      <c r="D438" s="529">
        <v>0</v>
      </c>
      <c r="E438" s="536"/>
      <c r="F438" s="528">
        <v>0</v>
      </c>
      <c r="G438" s="525"/>
      <c r="I438" s="529">
        <v>0</v>
      </c>
      <c r="J438" s="536"/>
      <c r="K438" s="528">
        <v>0</v>
      </c>
      <c r="L438" s="525"/>
      <c r="N438" s="560"/>
      <c r="O438" s="528"/>
      <c r="P438" s="560"/>
      <c r="Q438" s="525"/>
    </row>
    <row r="439" spans="1:25">
      <c r="D439" s="544">
        <v>780</v>
      </c>
      <c r="E439" s="528"/>
      <c r="F439" s="545">
        <v>800</v>
      </c>
      <c r="G439" s="584" t="s">
        <v>971</v>
      </c>
      <c r="I439" s="544">
        <v>0</v>
      </c>
      <c r="J439" s="528"/>
      <c r="K439" s="545">
        <v>0</v>
      </c>
      <c r="L439" s="525"/>
      <c r="N439" s="545"/>
      <c r="O439" s="528"/>
      <c r="P439" s="545"/>
      <c r="Q439" s="525"/>
    </row>
    <row r="440" spans="1:25">
      <c r="D440" s="527"/>
      <c r="E440" s="528"/>
      <c r="F440" s="528"/>
      <c r="G440" s="525"/>
      <c r="I440" s="527"/>
      <c r="J440" s="528"/>
      <c r="K440" s="528"/>
      <c r="L440" s="525"/>
      <c r="N440" s="545"/>
      <c r="O440" s="528"/>
      <c r="P440" s="545"/>
      <c r="Q440" s="525"/>
    </row>
    <row r="441" spans="1:25" ht="16.5">
      <c r="B441" t="s">
        <v>947</v>
      </c>
      <c r="D441" s="529">
        <v>302</v>
      </c>
      <c r="E441" s="528"/>
      <c r="F441" s="528">
        <v>313</v>
      </c>
      <c r="G441" s="525"/>
      <c r="I441" s="529">
        <v>141</v>
      </c>
      <c r="J441" s="528"/>
      <c r="K441" s="528">
        <v>313</v>
      </c>
      <c r="L441" s="525"/>
      <c r="N441" s="548"/>
      <c r="O441" s="548"/>
      <c r="P441" s="548"/>
      <c r="Q441" s="550"/>
    </row>
    <row r="442" spans="1:25">
      <c r="D442" s="544">
        <v>302</v>
      </c>
      <c r="E442" s="528"/>
      <c r="F442" s="545">
        <v>313</v>
      </c>
      <c r="G442" s="525">
        <v>3.6423841059602648E-2</v>
      </c>
      <c r="I442" s="544">
        <v>141</v>
      </c>
      <c r="J442" s="528"/>
      <c r="K442" s="545">
        <v>313</v>
      </c>
      <c r="L442" s="525">
        <v>1.2198581560283688</v>
      </c>
      <c r="N442" s="552"/>
      <c r="O442" s="552"/>
      <c r="P442" s="552"/>
      <c r="Q442" s="553"/>
    </row>
    <row r="443" spans="1:25" ht="15.75" thickBot="1">
      <c r="D443" s="544"/>
      <c r="E443" s="528"/>
      <c r="F443" s="545"/>
      <c r="G443" s="525"/>
      <c r="I443" s="544"/>
      <c r="J443" s="528"/>
      <c r="K443" s="545"/>
      <c r="L443" s="525"/>
      <c r="Q443" s="528"/>
    </row>
    <row r="444" spans="1:25" ht="16.5">
      <c r="A444" t="s">
        <v>940</v>
      </c>
      <c r="D444" s="547">
        <v>2140.0721692231009</v>
      </c>
      <c r="E444" s="528"/>
      <c r="F444" s="548">
        <v>2160.9246433820435</v>
      </c>
      <c r="G444" s="550">
        <v>9.7438182033424622E-3</v>
      </c>
      <c r="I444" s="547">
        <v>1324.1698251332223</v>
      </c>
      <c r="J444" s="528"/>
      <c r="K444" s="548">
        <v>1234.4804949092645</v>
      </c>
      <c r="L444" s="550">
        <v>-6.7732498144589787E-2</v>
      </c>
      <c r="Q444" s="528"/>
      <c r="S444" s="585" t="s">
        <v>972</v>
      </c>
      <c r="T444" s="586"/>
      <c r="U444" s="587"/>
      <c r="V444" s="587"/>
      <c r="W444" s="588"/>
      <c r="X444" s="589"/>
    </row>
    <row r="445" spans="1:25">
      <c r="D445" s="554"/>
      <c r="E445" s="555"/>
      <c r="F445" s="555"/>
      <c r="G445" s="553">
        <v>20.852474158942641</v>
      </c>
      <c r="I445" s="554"/>
      <c r="J445" s="555"/>
      <c r="K445" s="555"/>
      <c r="L445" s="553">
        <v>-89.689330223957768</v>
      </c>
      <c r="Q445" s="528"/>
      <c r="S445" s="590" t="s">
        <v>973</v>
      </c>
      <c r="T445" s="591"/>
      <c r="U445" s="533"/>
      <c r="V445" s="571"/>
      <c r="X445" s="592"/>
    </row>
    <row r="446" spans="1:25">
      <c r="G446" s="528"/>
      <c r="L446" s="528"/>
      <c r="Q446" s="528"/>
      <c r="S446" s="593"/>
      <c r="T446" s="594" t="s">
        <v>974</v>
      </c>
      <c r="V446" s="595" t="s">
        <v>58</v>
      </c>
      <c r="W446" s="595" t="s">
        <v>58</v>
      </c>
      <c r="X446" s="592"/>
    </row>
    <row r="447" spans="1:25">
      <c r="G447" s="528"/>
      <c r="L447" s="528"/>
      <c r="Q447" s="528"/>
      <c r="S447" s="596" t="s">
        <v>975</v>
      </c>
      <c r="T447" s="594" t="s">
        <v>976</v>
      </c>
      <c r="U447" s="597" t="s">
        <v>977</v>
      </c>
      <c r="V447" s="171" t="s">
        <v>111</v>
      </c>
      <c r="W447" s="1" t="s">
        <v>318</v>
      </c>
      <c r="X447" s="598"/>
      <c r="Y447" s="599"/>
    </row>
    <row r="448" spans="1:25">
      <c r="G448" s="528"/>
      <c r="L448" s="528"/>
      <c r="Q448" s="528"/>
      <c r="S448" s="593" t="s">
        <v>915</v>
      </c>
      <c r="T448" s="570">
        <v>1090000</v>
      </c>
      <c r="U448" t="s">
        <v>916</v>
      </c>
      <c r="V448" s="571">
        <v>2.4565432820296246E-2</v>
      </c>
      <c r="W448" s="600">
        <v>79.566674826016424</v>
      </c>
      <c r="X448" s="592"/>
    </row>
    <row r="449" spans="3:24">
      <c r="G449" s="528"/>
      <c r="L449" s="528"/>
      <c r="Q449" s="528"/>
      <c r="S449" s="593" t="s">
        <v>915</v>
      </c>
      <c r="T449" s="570">
        <v>845000</v>
      </c>
      <c r="U449" t="s">
        <v>917</v>
      </c>
      <c r="V449" s="571">
        <v>2.1914980818112054E-2</v>
      </c>
      <c r="W449" s="600">
        <v>66.818310176188788</v>
      </c>
      <c r="X449" s="592"/>
    </row>
    <row r="450" spans="3:24">
      <c r="G450" s="528"/>
      <c r="L450" s="528"/>
      <c r="Q450" s="528"/>
      <c r="S450" s="593" t="s">
        <v>915</v>
      </c>
      <c r="T450" s="570">
        <v>890000</v>
      </c>
      <c r="U450" t="s">
        <v>918</v>
      </c>
      <c r="V450" s="571">
        <v>2.5355757763128518E-2</v>
      </c>
      <c r="W450" s="600">
        <v>77.976654955515187</v>
      </c>
      <c r="X450" s="592"/>
    </row>
    <row r="451" spans="3:24">
      <c r="C451" s="601" t="s">
        <v>978</v>
      </c>
      <c r="L451" s="528"/>
      <c r="Q451" s="528"/>
      <c r="S451" s="593" t="s">
        <v>915</v>
      </c>
      <c r="T451" s="570">
        <v>700000</v>
      </c>
      <c r="U451" t="s">
        <v>962</v>
      </c>
      <c r="V451" s="571">
        <v>4.3967629324295217E-2</v>
      </c>
      <c r="W451" s="600">
        <v>107.66176732909571</v>
      </c>
      <c r="X451" s="592"/>
    </row>
    <row r="452" spans="3:24">
      <c r="L452" s="528"/>
      <c r="Q452" s="528"/>
      <c r="S452" s="593" t="s">
        <v>915</v>
      </c>
      <c r="T452" s="570">
        <v>820000</v>
      </c>
      <c r="U452" t="s">
        <v>967</v>
      </c>
      <c r="V452" s="571">
        <v>3.1956027161925943E-2</v>
      </c>
      <c r="W452" s="600">
        <v>89.590896283656548</v>
      </c>
      <c r="X452" s="592"/>
    </row>
    <row r="453" spans="3:24">
      <c r="C453" s="601" t="s">
        <v>979</v>
      </c>
      <c r="S453" s="593" t="s">
        <v>915</v>
      </c>
      <c r="T453" s="570">
        <v>570000</v>
      </c>
      <c r="U453" t="s">
        <v>964</v>
      </c>
      <c r="V453" s="571">
        <v>1.4917610994860011E-3</v>
      </c>
      <c r="W453" s="600">
        <v>3.9461751436765553</v>
      </c>
      <c r="X453" s="592"/>
    </row>
    <row r="454" spans="3:24">
      <c r="C454" s="601" t="s">
        <v>980</v>
      </c>
      <c r="D454" s="519" t="s">
        <v>981</v>
      </c>
      <c r="F454" s="601" t="s">
        <v>981</v>
      </c>
      <c r="I454" s="519"/>
      <c r="S454" s="593" t="s">
        <v>915</v>
      </c>
      <c r="T454" s="526">
        <v>650000</v>
      </c>
      <c r="U454" t="s">
        <v>965</v>
      </c>
      <c r="V454" s="571">
        <v>6.5115125354538297E-2</v>
      </c>
      <c r="W454" s="600">
        <v>108.96007807341857</v>
      </c>
      <c r="X454" s="592"/>
    </row>
    <row r="455" spans="3:24">
      <c r="S455" s="593" t="s">
        <v>915</v>
      </c>
      <c r="T455" s="570">
        <v>860000</v>
      </c>
      <c r="U455" t="s">
        <v>966</v>
      </c>
      <c r="V455" s="571">
        <v>1.3242433017664146E-2</v>
      </c>
      <c r="W455" s="600">
        <v>40.663701746333118</v>
      </c>
      <c r="X455" s="592"/>
    </row>
    <row r="456" spans="3:24">
      <c r="C456" t="s">
        <v>982</v>
      </c>
      <c r="D456" s="526" t="s">
        <v>982</v>
      </c>
      <c r="F456" t="s">
        <v>982</v>
      </c>
      <c r="G456" s="526">
        <v>1789</v>
      </c>
      <c r="I456" s="526"/>
      <c r="S456" s="593" t="s">
        <v>915</v>
      </c>
      <c r="T456" s="570">
        <v>520000</v>
      </c>
      <c r="U456" s="526" t="s">
        <v>968</v>
      </c>
      <c r="V456" s="571">
        <v>9.7438182033424622E-3</v>
      </c>
      <c r="W456" s="600">
        <v>20.852474158942641</v>
      </c>
      <c r="X456" s="592"/>
    </row>
    <row r="457" spans="3:24">
      <c r="C457" s="533" t="s">
        <v>983</v>
      </c>
      <c r="D457" s="526" t="s">
        <v>984</v>
      </c>
      <c r="F457" s="533" t="s">
        <v>984</v>
      </c>
      <c r="G457" s="526">
        <v>0</v>
      </c>
      <c r="I457" s="526"/>
      <c r="S457" s="593" t="s">
        <v>941</v>
      </c>
      <c r="T457" s="570">
        <v>1890000</v>
      </c>
      <c r="U457" t="s">
        <v>916</v>
      </c>
      <c r="V457" s="571">
        <v>-3.7551493665862315E-2</v>
      </c>
      <c r="W457" s="600">
        <v>-252.00048234841051</v>
      </c>
      <c r="X457" s="592"/>
    </row>
    <row r="458" spans="3:24">
      <c r="C458" s="533" t="s">
        <v>985</v>
      </c>
      <c r="D458" s="526" t="s">
        <v>985</v>
      </c>
      <c r="F458" s="533" t="s">
        <v>985</v>
      </c>
      <c r="G458" s="526">
        <v>1789</v>
      </c>
      <c r="I458" s="526"/>
      <c r="S458" s="593" t="s">
        <v>941</v>
      </c>
      <c r="T458" s="570">
        <v>1045000</v>
      </c>
      <c r="U458" t="s">
        <v>917</v>
      </c>
      <c r="V458" s="571">
        <v>-2.8981281639476539E-2</v>
      </c>
      <c r="W458" s="600">
        <v>-147.47574476526552</v>
      </c>
      <c r="X458" s="592"/>
    </row>
    <row r="459" spans="3:24">
      <c r="D459" s="526"/>
      <c r="G459" s="526"/>
      <c r="S459" s="593" t="s">
        <v>941</v>
      </c>
      <c r="T459" s="570">
        <v>1650000</v>
      </c>
      <c r="U459" t="s">
        <v>918</v>
      </c>
      <c r="V459" s="571">
        <v>-3.5634662740046348E-2</v>
      </c>
      <c r="W459" s="600">
        <v>-219.46629870416291</v>
      </c>
      <c r="X459" s="592"/>
    </row>
    <row r="460" spans="3:24">
      <c r="C460" s="533" t="s">
        <v>986</v>
      </c>
      <c r="D460" s="526" t="s">
        <v>986</v>
      </c>
      <c r="F460" s="533" t="s">
        <v>986</v>
      </c>
      <c r="G460" s="526">
        <v>0</v>
      </c>
      <c r="I460" s="526"/>
      <c r="S460" s="593" t="s">
        <v>953</v>
      </c>
      <c r="T460" s="570">
        <v>2081000</v>
      </c>
      <c r="U460" t="s">
        <v>916</v>
      </c>
      <c r="V460" s="571">
        <v>-2.4803089651307206E-2</v>
      </c>
      <c r="W460" s="600">
        <v>-264.3389848894094</v>
      </c>
      <c r="X460" s="592"/>
    </row>
    <row r="461" spans="3:24">
      <c r="D461" s="526"/>
      <c r="G461" s="526"/>
      <c r="S461" s="593" t="s">
        <v>953</v>
      </c>
      <c r="T461" s="570">
        <v>1100000</v>
      </c>
      <c r="U461" t="s">
        <v>917</v>
      </c>
      <c r="V461" s="571">
        <v>-1.5234830036254197E-2</v>
      </c>
      <c r="W461" s="600">
        <v>-113.96493016893146</v>
      </c>
      <c r="X461" s="592"/>
    </row>
    <row r="462" spans="3:24">
      <c r="C462" s="533" t="s">
        <v>987</v>
      </c>
      <c r="D462" s="526" t="s">
        <v>987</v>
      </c>
      <c r="F462" s="533" t="s">
        <v>987</v>
      </c>
      <c r="G462" s="526">
        <v>1789</v>
      </c>
      <c r="I462" s="526"/>
      <c r="S462" s="593" t="s">
        <v>953</v>
      </c>
      <c r="T462" s="570">
        <v>1700000</v>
      </c>
      <c r="U462" t="s">
        <v>918</v>
      </c>
      <c r="V462" s="571">
        <v>-2.3751928417680111E-2</v>
      </c>
      <c r="W462" s="600">
        <v>-187.33738493855435</v>
      </c>
      <c r="X462" s="592"/>
    </row>
    <row r="463" spans="3:24">
      <c r="C463" s="533" t="s">
        <v>988</v>
      </c>
      <c r="D463" s="526" t="s">
        <v>988</v>
      </c>
      <c r="F463" s="533" t="s">
        <v>988</v>
      </c>
      <c r="G463" s="526">
        <v>0</v>
      </c>
      <c r="I463" s="526"/>
      <c r="S463" s="593" t="s">
        <v>989</v>
      </c>
      <c r="T463" s="570">
        <v>1260000</v>
      </c>
      <c r="U463" t="s">
        <v>916</v>
      </c>
      <c r="V463" s="571">
        <v>1.0148287886756846E-2</v>
      </c>
      <c r="W463" s="600">
        <v>42.972816164754477</v>
      </c>
      <c r="X463" s="592"/>
    </row>
    <row r="464" spans="3:24">
      <c r="S464" s="593" t="s">
        <v>989</v>
      </c>
      <c r="T464" s="570">
        <v>900000</v>
      </c>
      <c r="U464" t="s">
        <v>917</v>
      </c>
      <c r="V464" s="571">
        <v>8.1096273006446371E-3</v>
      </c>
      <c r="W464" s="600">
        <v>31.412575712724902</v>
      </c>
      <c r="X464" s="592"/>
    </row>
    <row r="465" spans="3:36">
      <c r="S465" s="593" t="s">
        <v>989</v>
      </c>
      <c r="T465" s="570">
        <v>900000</v>
      </c>
      <c r="U465" t="s">
        <v>918</v>
      </c>
      <c r="V465" s="571">
        <v>1.4607976859285396E-2</v>
      </c>
      <c r="W465" s="600">
        <v>54.231550056189008</v>
      </c>
      <c r="X465" s="592"/>
    </row>
    <row r="466" spans="3:36">
      <c r="C466" s="601" t="s">
        <v>990</v>
      </c>
      <c r="S466" s="593" t="s">
        <v>955</v>
      </c>
      <c r="T466" s="570">
        <v>4100000</v>
      </c>
      <c r="U466" t="s">
        <v>956</v>
      </c>
      <c r="V466" s="571">
        <v>1.0648546481962704E-2</v>
      </c>
      <c r="W466" s="600">
        <v>34.725923301585226</v>
      </c>
      <c r="X466" s="592"/>
    </row>
    <row r="467" spans="3:36">
      <c r="D467" s="519" t="s">
        <v>991</v>
      </c>
      <c r="E467" s="601"/>
      <c r="F467" s="519" t="s">
        <v>991</v>
      </c>
      <c r="G467" s="601" t="s">
        <v>992</v>
      </c>
      <c r="S467" s="593" t="s">
        <v>955</v>
      </c>
      <c r="T467" s="570">
        <v>5050000</v>
      </c>
      <c r="U467" t="s">
        <v>917</v>
      </c>
      <c r="V467" s="571">
        <v>-1.4016649531912083E-2</v>
      </c>
      <c r="W467" s="600">
        <v>-62.087670139158945</v>
      </c>
      <c r="X467" s="592"/>
    </row>
    <row r="468" spans="3:36">
      <c r="D468" s="519" t="s">
        <v>993</v>
      </c>
      <c r="E468" s="601"/>
      <c r="F468" s="519" t="s">
        <v>993</v>
      </c>
      <c r="S468" s="593" t="s">
        <v>957</v>
      </c>
      <c r="T468" s="570">
        <v>2050000</v>
      </c>
      <c r="U468" t="s">
        <v>956</v>
      </c>
      <c r="V468" s="571">
        <v>2.8828785818092461E-2</v>
      </c>
      <c r="W468" s="600">
        <v>72.816567254367783</v>
      </c>
      <c r="X468" s="592"/>
    </row>
    <row r="469" spans="3:36">
      <c r="C469" s="533" t="s">
        <v>937</v>
      </c>
      <c r="D469" s="526">
        <v>3214</v>
      </c>
      <c r="F469" s="526">
        <v>3214</v>
      </c>
      <c r="G469" s="526">
        <v>0</v>
      </c>
      <c r="S469" s="593" t="s">
        <v>957</v>
      </c>
      <c r="T469" s="570">
        <v>1560000</v>
      </c>
      <c r="U469" t="s">
        <v>917</v>
      </c>
      <c r="V469" s="571">
        <v>1.4352918419954447E-2</v>
      </c>
      <c r="W469" s="600">
        <v>35.736957024549156</v>
      </c>
      <c r="X469" s="592"/>
    </row>
    <row r="470" spans="3:36">
      <c r="C470" s="533" t="s">
        <v>124</v>
      </c>
      <c r="D470" s="526">
        <v>2098</v>
      </c>
      <c r="F470" s="526">
        <v>2098</v>
      </c>
      <c r="G470" s="526">
        <v>0</v>
      </c>
      <c r="S470" s="593" t="s">
        <v>958</v>
      </c>
      <c r="T470" s="570">
        <v>700000</v>
      </c>
      <c r="U470" t="s">
        <v>916</v>
      </c>
      <c r="V470" s="571">
        <v>4.6614821426159858E-2</v>
      </c>
      <c r="W470" s="600">
        <v>104.07414451934528</v>
      </c>
      <c r="X470" s="592"/>
    </row>
    <row r="471" spans="3:36">
      <c r="C471" s="533" t="s">
        <v>757</v>
      </c>
      <c r="D471" s="526">
        <v>1328</v>
      </c>
      <c r="F471" s="526">
        <v>1328</v>
      </c>
      <c r="G471" s="526">
        <v>0</v>
      </c>
      <c r="S471" s="593" t="s">
        <v>958</v>
      </c>
      <c r="T471" s="570">
        <v>550000</v>
      </c>
      <c r="U471" t="s">
        <v>917</v>
      </c>
      <c r="V471" s="571">
        <v>3.4330374280658778E-2</v>
      </c>
      <c r="W471" s="600">
        <v>75.170046443401588</v>
      </c>
      <c r="X471" s="592"/>
    </row>
    <row r="472" spans="3:36">
      <c r="C472" s="533" t="s">
        <v>994</v>
      </c>
      <c r="D472" s="526">
        <v>7232</v>
      </c>
      <c r="F472" s="526">
        <v>7232</v>
      </c>
      <c r="G472" s="526">
        <v>0</v>
      </c>
      <c r="S472" s="593" t="s">
        <v>958</v>
      </c>
      <c r="T472" s="570">
        <v>720000</v>
      </c>
      <c r="U472" t="s">
        <v>918</v>
      </c>
      <c r="V472" s="571">
        <v>4.5486216088203704E-2</v>
      </c>
      <c r="W472" s="600">
        <v>101.77488790295274</v>
      </c>
      <c r="X472" s="592"/>
    </row>
    <row r="473" spans="3:36">
      <c r="S473" s="593" t="s">
        <v>995</v>
      </c>
      <c r="T473" s="570">
        <v>1250000</v>
      </c>
      <c r="U473" t="s">
        <v>916</v>
      </c>
      <c r="V473" s="571">
        <v>8.5129141019544413E-3</v>
      </c>
      <c r="W473" s="600">
        <v>33.886764245438826</v>
      </c>
      <c r="X473" s="592"/>
    </row>
    <row r="474" spans="3:36">
      <c r="C474" s="601" t="s">
        <v>996</v>
      </c>
      <c r="D474" s="602">
        <v>13872</v>
      </c>
      <c r="E474" s="601"/>
      <c r="F474" s="602">
        <v>13872</v>
      </c>
      <c r="G474" s="602">
        <v>0</v>
      </c>
      <c r="S474" s="593" t="s">
        <v>995</v>
      </c>
      <c r="T474" s="570">
        <v>880000</v>
      </c>
      <c r="U474" t="s">
        <v>917</v>
      </c>
      <c r="V474" s="571">
        <v>7.3893921716548811E-3</v>
      </c>
      <c r="W474" s="600">
        <v>26.883101882241135</v>
      </c>
      <c r="X474" s="592"/>
    </row>
    <row r="475" spans="3:36" ht="15.75" thickBot="1">
      <c r="S475" s="603" t="s">
        <v>995</v>
      </c>
      <c r="T475" s="604">
        <v>900000</v>
      </c>
      <c r="U475" s="605" t="s">
        <v>918</v>
      </c>
      <c r="V475" s="606">
        <v>1.3688285587712082E-2</v>
      </c>
      <c r="W475" s="607">
        <v>48.087568784250834</v>
      </c>
      <c r="X475" s="608"/>
    </row>
    <row r="476" spans="3:36" ht="15.75" thickBot="1">
      <c r="D476" s="519" t="s">
        <v>997</v>
      </c>
      <c r="E476" s="601"/>
      <c r="F476" s="519" t="s">
        <v>997</v>
      </c>
      <c r="AB476" s="533" t="s">
        <v>998</v>
      </c>
    </row>
    <row r="477" spans="3:36">
      <c r="D477" s="519" t="s">
        <v>993</v>
      </c>
      <c r="E477" s="601"/>
      <c r="F477" s="519" t="s">
        <v>993</v>
      </c>
      <c r="S477" s="585" t="s">
        <v>972</v>
      </c>
      <c r="T477" s="586"/>
      <c r="U477" s="587"/>
      <c r="V477" s="587"/>
      <c r="W477" s="588"/>
      <c r="X477" s="587"/>
      <c r="Y477" s="609"/>
      <c r="AB477" s="552"/>
      <c r="AC477" s="552"/>
      <c r="AD477" s="552"/>
      <c r="AE477" s="552"/>
      <c r="AF477" s="552"/>
      <c r="AG477" s="552"/>
      <c r="AH477" s="552"/>
      <c r="AI477" s="552"/>
      <c r="AJ477" s="552"/>
    </row>
    <row r="478" spans="3:36">
      <c r="C478" s="533" t="s">
        <v>937</v>
      </c>
      <c r="D478" s="526">
        <v>1881</v>
      </c>
      <c r="F478" s="526">
        <v>1881</v>
      </c>
      <c r="G478" s="526">
        <v>0</v>
      </c>
      <c r="S478" s="590" t="s">
        <v>973</v>
      </c>
      <c r="T478" s="591"/>
      <c r="V478" s="1" t="s">
        <v>999</v>
      </c>
      <c r="W478" s="1" t="s">
        <v>999</v>
      </c>
      <c r="X478" s="1" t="s">
        <v>1000</v>
      </c>
      <c r="Y478" s="610" t="s">
        <v>1000</v>
      </c>
      <c r="Z478" s="595"/>
      <c r="AB478" s="822" t="s">
        <v>1001</v>
      </c>
      <c r="AC478" s="825" t="s">
        <v>1002</v>
      </c>
      <c r="AD478" s="825" t="s">
        <v>1003</v>
      </c>
      <c r="AE478" s="825" t="s">
        <v>1004</v>
      </c>
      <c r="AF478" s="825" t="s">
        <v>1005</v>
      </c>
      <c r="AG478" s="825" t="s">
        <v>1006</v>
      </c>
      <c r="AH478" s="825" t="s">
        <v>1007</v>
      </c>
      <c r="AI478" s="825" t="s">
        <v>1008</v>
      </c>
      <c r="AJ478" s="825" t="s">
        <v>1009</v>
      </c>
    </row>
    <row r="479" spans="3:36">
      <c r="C479" s="533" t="s">
        <v>124</v>
      </c>
      <c r="D479" s="526">
        <v>1521</v>
      </c>
      <c r="F479" s="526">
        <v>1521</v>
      </c>
      <c r="G479" s="526">
        <v>0</v>
      </c>
      <c r="S479" s="593"/>
      <c r="T479" s="594"/>
      <c r="V479" s="595" t="s">
        <v>58</v>
      </c>
      <c r="W479" s="595" t="s">
        <v>58</v>
      </c>
      <c r="X479" s="595" t="s">
        <v>58</v>
      </c>
      <c r="Y479" s="611" t="s">
        <v>58</v>
      </c>
      <c r="Z479" s="612"/>
      <c r="AB479" s="826" t="s">
        <v>922</v>
      </c>
      <c r="AC479" s="827">
        <v>1090000</v>
      </c>
      <c r="AD479" s="827">
        <v>845000</v>
      </c>
      <c r="AE479" s="827">
        <v>890000</v>
      </c>
      <c r="AF479" s="827">
        <v>700000</v>
      </c>
      <c r="AG479" s="827">
        <v>650000</v>
      </c>
      <c r="AH479" s="827">
        <v>690000</v>
      </c>
      <c r="AI479" s="827">
        <v>570000</v>
      </c>
      <c r="AJ479" s="827">
        <v>820000</v>
      </c>
    </row>
    <row r="480" spans="3:36">
      <c r="C480" s="533" t="s">
        <v>757</v>
      </c>
      <c r="D480" s="526">
        <v>857</v>
      </c>
      <c r="F480" s="526">
        <v>857</v>
      </c>
      <c r="G480" s="526">
        <v>0</v>
      </c>
      <c r="S480" s="596" t="s">
        <v>975</v>
      </c>
      <c r="T480" s="612" t="s">
        <v>1010</v>
      </c>
      <c r="U480" s="597" t="s">
        <v>977</v>
      </c>
      <c r="V480" s="171" t="s">
        <v>111</v>
      </c>
      <c r="W480" s="1" t="s">
        <v>318</v>
      </c>
      <c r="X480" s="171" t="s">
        <v>111</v>
      </c>
      <c r="Y480" s="610" t="s">
        <v>318</v>
      </c>
      <c r="Z480" s="528"/>
      <c r="AB480" s="521"/>
      <c r="AC480" s="613"/>
      <c r="AD480" s="613"/>
      <c r="AE480" s="613"/>
      <c r="AF480" s="613"/>
      <c r="AG480" s="613"/>
      <c r="AH480" s="613"/>
      <c r="AI480" s="613"/>
      <c r="AJ480" s="613"/>
    </row>
    <row r="481" spans="3:36">
      <c r="C481" s="533" t="s">
        <v>994</v>
      </c>
      <c r="D481" s="526">
        <v>4751</v>
      </c>
      <c r="F481" s="526">
        <v>4751</v>
      </c>
      <c r="G481" s="526">
        <v>0</v>
      </c>
      <c r="S481" s="593" t="s">
        <v>915</v>
      </c>
      <c r="T481" s="570">
        <v>1090000</v>
      </c>
      <c r="U481" t="s">
        <v>916</v>
      </c>
      <c r="V481" s="571">
        <v>2.4565432820296246E-2</v>
      </c>
      <c r="W481" s="600">
        <v>79.566674826016424</v>
      </c>
      <c r="X481" s="571">
        <v>8.0286852940251771E-2</v>
      </c>
      <c r="Y481" s="614">
        <v>260.04662598182449</v>
      </c>
      <c r="Z481" s="528"/>
      <c r="AB481" s="521" t="s">
        <v>1011</v>
      </c>
      <c r="AC481" s="613">
        <v>65</v>
      </c>
      <c r="AD481" s="613">
        <v>65</v>
      </c>
      <c r="AE481" s="613">
        <v>65</v>
      </c>
      <c r="AF481" s="613">
        <v>65</v>
      </c>
      <c r="AG481" s="613">
        <v>65</v>
      </c>
      <c r="AH481" s="613">
        <v>65</v>
      </c>
      <c r="AI481" s="613">
        <v>65</v>
      </c>
      <c r="AJ481" s="613">
        <v>65</v>
      </c>
    </row>
    <row r="482" spans="3:36">
      <c r="S482" s="593" t="s">
        <v>941</v>
      </c>
      <c r="T482" s="570">
        <v>1890000</v>
      </c>
      <c r="U482" t="s">
        <v>916</v>
      </c>
      <c r="V482" s="571">
        <v>-3.7551493665862315E-2</v>
      </c>
      <c r="W482" s="600">
        <v>-252.00048234841051</v>
      </c>
      <c r="X482" s="571">
        <v>3.6487196791234758E-2</v>
      </c>
      <c r="Y482" s="614">
        <v>244.8582011876515</v>
      </c>
      <c r="Z482" s="528"/>
      <c r="AB482" s="615" t="s">
        <v>1012</v>
      </c>
      <c r="AC482" s="613">
        <v>387</v>
      </c>
      <c r="AD482" s="613">
        <v>387</v>
      </c>
      <c r="AE482" s="613">
        <v>387</v>
      </c>
      <c r="AF482" s="613">
        <v>387</v>
      </c>
      <c r="AG482" s="613">
        <v>387</v>
      </c>
      <c r="AH482" s="613">
        <v>387</v>
      </c>
      <c r="AI482" s="613">
        <v>387</v>
      </c>
      <c r="AJ482" s="613">
        <v>387</v>
      </c>
    </row>
    <row r="483" spans="3:36">
      <c r="C483" s="601" t="s">
        <v>996</v>
      </c>
      <c r="D483" s="602">
        <v>9010</v>
      </c>
      <c r="E483" s="601"/>
      <c r="F483" s="602">
        <v>9010</v>
      </c>
      <c r="G483" s="602">
        <v>0</v>
      </c>
      <c r="S483" s="593" t="s">
        <v>953</v>
      </c>
      <c r="T483" s="570">
        <v>2081000</v>
      </c>
      <c r="U483" t="s">
        <v>916</v>
      </c>
      <c r="V483" s="571">
        <v>-2.4803089651307206E-2</v>
      </c>
      <c r="W483" s="600">
        <v>-264.3389848894094</v>
      </c>
      <c r="X483" s="571">
        <v>4.8958333041452216E-2</v>
      </c>
      <c r="Y483" s="614">
        <v>521.77354676347932</v>
      </c>
      <c r="Z483" s="528"/>
      <c r="AB483" s="616" t="s">
        <v>1013</v>
      </c>
      <c r="AC483" s="613">
        <v>136</v>
      </c>
      <c r="AD483" s="613">
        <v>190</v>
      </c>
      <c r="AE483" s="613">
        <v>136</v>
      </c>
      <c r="AF483" s="613">
        <v>136</v>
      </c>
      <c r="AG483" s="613">
        <v>136</v>
      </c>
      <c r="AH483" s="613">
        <v>190</v>
      </c>
      <c r="AI483" s="613">
        <v>190</v>
      </c>
      <c r="AJ483" s="613">
        <v>136</v>
      </c>
    </row>
    <row r="484" spans="3:36">
      <c r="C484" s="601" t="s">
        <v>1014</v>
      </c>
      <c r="D484" s="617">
        <v>0.64950980392156865</v>
      </c>
      <c r="E484" s="601"/>
      <c r="F484" s="617">
        <v>0.64950980392156865</v>
      </c>
      <c r="G484" s="601"/>
      <c r="S484" s="593" t="s">
        <v>989</v>
      </c>
      <c r="T484" s="570">
        <v>1260000</v>
      </c>
      <c r="U484" t="s">
        <v>916</v>
      </c>
      <c r="V484" s="571">
        <v>1.0148287886756846E-2</v>
      </c>
      <c r="W484" s="600">
        <v>42.972816164754477</v>
      </c>
      <c r="X484" s="571">
        <v>7.0066105419830063E-2</v>
      </c>
      <c r="Y484" s="614">
        <v>296.69417158689703</v>
      </c>
      <c r="Z484" s="528"/>
      <c r="AB484" s="521" t="s">
        <v>1015</v>
      </c>
      <c r="AC484" s="613">
        <v>27.978685640162894</v>
      </c>
      <c r="AD484" s="613">
        <v>21.689898500860224</v>
      </c>
      <c r="AE484" s="613">
        <v>22.844981852977043</v>
      </c>
      <c r="AF484" s="613">
        <v>17.967963255150483</v>
      </c>
      <c r="AG484" s="613">
        <v>16.68453730835402</v>
      </c>
      <c r="AH484" s="613">
        <v>17.711278065791191</v>
      </c>
      <c r="AI484" s="613">
        <v>14.631055793479678</v>
      </c>
      <c r="AJ484" s="613">
        <v>21.048185527461992</v>
      </c>
    </row>
    <row r="485" spans="3:36">
      <c r="S485" s="593" t="s">
        <v>958</v>
      </c>
      <c r="T485" s="570">
        <v>700000</v>
      </c>
      <c r="U485" t="s">
        <v>916</v>
      </c>
      <c r="V485" s="571">
        <v>4.6614821426159858E-2</v>
      </c>
      <c r="W485" s="600">
        <v>104.07414451934528</v>
      </c>
      <c r="X485" s="571">
        <v>9.1550976203393752E-2</v>
      </c>
      <c r="Y485" s="614">
        <v>204.40042966531792</v>
      </c>
      <c r="Z485" s="528"/>
      <c r="AB485" s="618" t="s">
        <v>928</v>
      </c>
      <c r="AC485" s="613">
        <v>205.53616787524743</v>
      </c>
      <c r="AD485" s="613">
        <v>159.33767142622392</v>
      </c>
      <c r="AE485" s="613">
        <v>167.82310954951396</v>
      </c>
      <c r="AF485" s="613">
        <v>131.99570414006715</v>
      </c>
      <c r="AG485" s="613">
        <v>122.56743955863378</v>
      </c>
      <c r="AH485" s="613">
        <v>130.11005122378049</v>
      </c>
      <c r="AI485" s="613">
        <v>107.48221622834039</v>
      </c>
      <c r="AJ485" s="613">
        <v>154.62353913550723</v>
      </c>
    </row>
    <row r="486" spans="3:36">
      <c r="S486" s="593" t="s">
        <v>995</v>
      </c>
      <c r="T486" s="570">
        <v>1250000</v>
      </c>
      <c r="U486" t="s">
        <v>916</v>
      </c>
      <c r="V486" s="571">
        <v>8.5129141019544413E-3</v>
      </c>
      <c r="W486" s="600">
        <v>33.886764245438826</v>
      </c>
      <c r="X486" s="571">
        <v>6.7597707126990009E-2</v>
      </c>
      <c r="Y486" s="614">
        <v>269.08148461390283</v>
      </c>
      <c r="Z486" s="528"/>
      <c r="AB486" s="618" t="s">
        <v>929</v>
      </c>
      <c r="AC486" s="613">
        <v>146.81291141799559</v>
      </c>
      <c r="AD486" s="613">
        <v>113.81367903505163</v>
      </c>
      <c r="AE486" s="613">
        <v>119.87476253395971</v>
      </c>
      <c r="AF486" s="613">
        <v>94.283521094125604</v>
      </c>
      <c r="AG486" s="613">
        <v>87.54898387311664</v>
      </c>
      <c r="AH486" s="613">
        <v>92.936613649923814</v>
      </c>
      <c r="AI486" s="613">
        <v>76.773724319502278</v>
      </c>
      <c r="AJ486" s="613">
        <v>110.44641042454714</v>
      </c>
    </row>
    <row r="487" spans="3:36">
      <c r="C487" s="601" t="s">
        <v>1016</v>
      </c>
      <c r="G487" s="528"/>
      <c r="S487" s="593" t="s">
        <v>915</v>
      </c>
      <c r="T487" s="570">
        <v>845000</v>
      </c>
      <c r="U487" t="s">
        <v>917</v>
      </c>
      <c r="V487" s="571">
        <v>2.1914980818112054E-2</v>
      </c>
      <c r="W487" s="600">
        <v>66.818310176188788</v>
      </c>
      <c r="X487" s="571">
        <v>8.7621560609516827E-2</v>
      </c>
      <c r="Y487" s="614">
        <v>267.15627376181283</v>
      </c>
      <c r="Z487" s="528"/>
      <c r="AB487" s="618" t="s">
        <v>930</v>
      </c>
      <c r="AC487" s="613">
        <v>251.95189937092641</v>
      </c>
      <c r="AD487" s="613">
        <v>195.3205091453512</v>
      </c>
      <c r="AE487" s="613">
        <v>205.72219306433442</v>
      </c>
      <c r="AF487" s="613">
        <v>161.803972073072</v>
      </c>
      <c r="AG487" s="613">
        <v>150.24654549642401</v>
      </c>
      <c r="AH487" s="613">
        <v>159.4924867577424</v>
      </c>
      <c r="AI487" s="613">
        <v>131.75466297378722</v>
      </c>
      <c r="AJ487" s="613">
        <v>189.54179585702721</v>
      </c>
    </row>
    <row r="488" spans="3:36">
      <c r="G488" s="528"/>
      <c r="S488" s="593" t="s">
        <v>941</v>
      </c>
      <c r="T488" s="570">
        <v>1045000</v>
      </c>
      <c r="U488" t="s">
        <v>917</v>
      </c>
      <c r="V488" s="571">
        <v>-2.8981281639476539E-2</v>
      </c>
      <c r="W488" s="600">
        <v>-147.47574476526552</v>
      </c>
      <c r="X488" s="571">
        <v>5.526550415231736E-2</v>
      </c>
      <c r="Y488" s="614">
        <v>281.22708602331113</v>
      </c>
      <c r="Z488" s="528"/>
      <c r="AB488" s="521" t="s">
        <v>943</v>
      </c>
      <c r="AC488" s="613">
        <v>196.32720921990415</v>
      </c>
      <c r="AD488" s="613">
        <v>266.49871400848411</v>
      </c>
      <c r="AE488" s="613">
        <v>160.30386807863732</v>
      </c>
      <c r="AF488" s="613">
        <v>126.08169399443385</v>
      </c>
      <c r="AG488" s="613">
        <v>117.07585870911716</v>
      </c>
      <c r="AH488" s="613">
        <v>217.61433451580359</v>
      </c>
      <c r="AI488" s="613">
        <v>179.76836329566385</v>
      </c>
      <c r="AJ488" s="613">
        <v>147.69569867919395</v>
      </c>
    </row>
    <row r="489" spans="3:36">
      <c r="C489" s="601" t="s">
        <v>1017</v>
      </c>
      <c r="S489" s="593" t="s">
        <v>953</v>
      </c>
      <c r="T489" s="570">
        <v>1100000</v>
      </c>
      <c r="U489" t="s">
        <v>917</v>
      </c>
      <c r="V489" s="571">
        <v>-1.5234830036254197E-2</v>
      </c>
      <c r="W489" s="600">
        <v>-113.96493016893146</v>
      </c>
      <c r="X489" s="571">
        <v>7.0563989763983467E-2</v>
      </c>
      <c r="Y489" s="614">
        <v>527.85755710805552</v>
      </c>
      <c r="Z489" s="528"/>
      <c r="AB489" s="521" t="s">
        <v>944</v>
      </c>
      <c r="AC489" s="613">
        <v>138.63168914572606</v>
      </c>
      <c r="AD489" s="613">
        <v>133.71707337985012</v>
      </c>
      <c r="AE489" s="613">
        <v>113.19468196302401</v>
      </c>
      <c r="AF489" s="613">
        <v>89.029525139457093</v>
      </c>
      <c r="AG489" s="613">
        <v>82.670273343781588</v>
      </c>
      <c r="AH489" s="613">
        <v>109.18908950543974</v>
      </c>
      <c r="AI489" s="613">
        <v>90.199682634928479</v>
      </c>
      <c r="AJ489" s="613">
        <v>104.2917294490783</v>
      </c>
    </row>
    <row r="490" spans="3:36">
      <c r="D490" s="619" t="s">
        <v>1018</v>
      </c>
      <c r="E490" s="619"/>
      <c r="F490" s="619" t="s">
        <v>920</v>
      </c>
      <c r="I490" s="519"/>
      <c r="S490" s="593" t="s">
        <v>989</v>
      </c>
      <c r="T490" s="570">
        <v>900000</v>
      </c>
      <c r="U490" t="s">
        <v>917</v>
      </c>
      <c r="V490" s="571">
        <v>8.1096273006446371E-3</v>
      </c>
      <c r="W490" s="600">
        <v>31.412575712724902</v>
      </c>
      <c r="X490" s="571">
        <v>7.7216825799261299E-2</v>
      </c>
      <c r="Y490" s="614">
        <v>299.09874976902756</v>
      </c>
      <c r="Z490" s="528"/>
      <c r="AB490" s="521" t="s">
        <v>934</v>
      </c>
      <c r="AC490" s="613">
        <v>481.78551731985988</v>
      </c>
      <c r="AD490" s="613">
        <v>317.90791282692749</v>
      </c>
      <c r="AE490" s="613">
        <v>468.00515749546071</v>
      </c>
      <c r="AF490" s="613">
        <v>729.64763570764853</v>
      </c>
      <c r="AG490" s="613">
        <v>0</v>
      </c>
      <c r="AH490" s="613">
        <v>292.61119508944375</v>
      </c>
      <c r="AI490" s="613">
        <v>259.13797410040377</v>
      </c>
      <c r="AJ490" s="613">
        <v>480</v>
      </c>
    </row>
    <row r="491" spans="3:36">
      <c r="C491" t="s">
        <v>916</v>
      </c>
      <c r="D491" s="528">
        <v>240</v>
      </c>
      <c r="F491" s="528">
        <v>280</v>
      </c>
      <c r="G491" t="s">
        <v>1019</v>
      </c>
      <c r="I491" s="528"/>
      <c r="S491" s="593" t="s">
        <v>955</v>
      </c>
      <c r="T491" s="570">
        <v>5050000</v>
      </c>
      <c r="U491" t="s">
        <v>917</v>
      </c>
      <c r="V491" s="571">
        <v>-1.4016649531912083E-2</v>
      </c>
      <c r="W491" s="600">
        <v>-62.087670139158945</v>
      </c>
      <c r="X491" s="571">
        <v>5.3616355421501477E-2</v>
      </c>
      <c r="Y491" s="614">
        <v>237.49716948369587</v>
      </c>
      <c r="Z491" s="528"/>
      <c r="AB491" s="521" t="s">
        <v>937</v>
      </c>
      <c r="AC491" s="613">
        <v>664</v>
      </c>
      <c r="AD491" s="613">
        <v>648</v>
      </c>
      <c r="AE491" s="613">
        <v>690</v>
      </c>
      <c r="AF491" s="613">
        <v>0</v>
      </c>
      <c r="AG491" s="613">
        <v>0</v>
      </c>
      <c r="AH491" s="613">
        <v>648</v>
      </c>
      <c r="AI491" s="613">
        <v>530</v>
      </c>
      <c r="AJ491" s="613">
        <v>480</v>
      </c>
    </row>
    <row r="492" spans="3:36">
      <c r="C492" t="s">
        <v>917</v>
      </c>
      <c r="D492" s="528">
        <v>170</v>
      </c>
      <c r="F492" s="528">
        <v>180</v>
      </c>
      <c r="G492" t="s">
        <v>1019</v>
      </c>
      <c r="I492" s="528"/>
      <c r="S492" s="593" t="s">
        <v>957</v>
      </c>
      <c r="T492" s="570">
        <v>1560000</v>
      </c>
      <c r="U492" t="s">
        <v>917</v>
      </c>
      <c r="V492" s="571">
        <v>1.4352918419954447E-2</v>
      </c>
      <c r="W492" s="600">
        <v>35.736957024549156</v>
      </c>
      <c r="X492" s="571">
        <v>7.0085450610346184E-2</v>
      </c>
      <c r="Y492" s="614">
        <v>174.50393454657797</v>
      </c>
      <c r="Z492" s="528"/>
      <c r="AB492" s="521" t="s">
        <v>1020</v>
      </c>
      <c r="AC492" s="613">
        <v>313</v>
      </c>
      <c r="AD492" s="613">
        <v>313</v>
      </c>
      <c r="AE492" s="613">
        <v>313</v>
      </c>
      <c r="AF492" s="613">
        <v>313</v>
      </c>
      <c r="AG492" s="613">
        <v>313</v>
      </c>
      <c r="AH492" s="613">
        <v>313</v>
      </c>
      <c r="AI492" s="613">
        <v>313</v>
      </c>
      <c r="AJ492" s="613">
        <v>313</v>
      </c>
    </row>
    <row r="493" spans="3:36">
      <c r="C493" t="s">
        <v>918</v>
      </c>
      <c r="D493" s="528">
        <v>180</v>
      </c>
      <c r="F493" s="528">
        <v>250</v>
      </c>
      <c r="G493" t="s">
        <v>1019</v>
      </c>
      <c r="I493" s="528"/>
      <c r="S493" s="593" t="s">
        <v>958</v>
      </c>
      <c r="T493" s="570">
        <v>550000</v>
      </c>
      <c r="U493" t="s">
        <v>917</v>
      </c>
      <c r="V493" s="571">
        <v>3.4330374280658778E-2</v>
      </c>
      <c r="W493" s="600">
        <v>75.170046443401588</v>
      </c>
      <c r="X493" s="571">
        <v>9.9240860950562212E-2</v>
      </c>
      <c r="Y493" s="614">
        <v>217.29853760842161</v>
      </c>
      <c r="Z493" s="528"/>
      <c r="AB493" s="826" t="s">
        <v>940</v>
      </c>
      <c r="AC493" s="828">
        <v>3318.5356524162471</v>
      </c>
      <c r="AD493" s="828">
        <v>3115.7970307491732</v>
      </c>
      <c r="AE493" s="828">
        <v>3153.2803269643318</v>
      </c>
      <c r="AF493" s="828">
        <v>2556.3215878303795</v>
      </c>
      <c r="AG493" s="828">
        <v>1782.3052107158521</v>
      </c>
      <c r="AH493" s="828">
        <v>2927.17662123435</v>
      </c>
      <c r="AI493" s="828">
        <v>2649.2592517725302</v>
      </c>
      <c r="AJ493" s="828">
        <v>2893.1589314992407</v>
      </c>
    </row>
    <row r="494" spans="3:36">
      <c r="C494" t="s">
        <v>962</v>
      </c>
      <c r="D494" s="528">
        <v>720</v>
      </c>
      <c r="F494" s="528">
        <v>450</v>
      </c>
      <c r="I494" s="528"/>
      <c r="S494" s="593" t="s">
        <v>995</v>
      </c>
      <c r="T494" s="570">
        <v>880000</v>
      </c>
      <c r="U494" t="s">
        <v>917</v>
      </c>
      <c r="V494" s="571">
        <v>7.3893921716548811E-3</v>
      </c>
      <c r="W494" s="600">
        <v>26.883101882241135</v>
      </c>
      <c r="X494" s="571">
        <v>7.5589545154707102E-2</v>
      </c>
      <c r="Y494" s="614">
        <v>274.99981005490008</v>
      </c>
      <c r="Z494" s="528"/>
      <c r="AB494" s="521"/>
      <c r="AC494" s="616"/>
      <c r="AD494" s="616"/>
      <c r="AE494" s="616"/>
      <c r="AF494" s="616"/>
      <c r="AG494" s="616"/>
      <c r="AH494" s="616"/>
      <c r="AI494" s="616"/>
      <c r="AJ494" s="616"/>
    </row>
    <row r="495" spans="3:36">
      <c r="C495" t="s">
        <v>964</v>
      </c>
      <c r="D495" s="528">
        <v>340</v>
      </c>
      <c r="F495" s="528">
        <v>160</v>
      </c>
      <c r="I495" s="528"/>
      <c r="S495" s="593" t="s">
        <v>915</v>
      </c>
      <c r="T495" s="570">
        <v>890000</v>
      </c>
      <c r="U495" t="s">
        <v>918</v>
      </c>
      <c r="V495" s="571">
        <v>2.5355757763128518E-2</v>
      </c>
      <c r="W495" s="600">
        <v>77.976654955515187</v>
      </c>
      <c r="X495" s="571">
        <v>7.2921718424544049E-2</v>
      </c>
      <c r="Y495" s="614">
        <v>224.2564284401933</v>
      </c>
      <c r="Z495" s="528"/>
      <c r="AB495" s="521" t="s">
        <v>1021</v>
      </c>
      <c r="AC495" s="620">
        <v>2.4565432820296246E-2</v>
      </c>
      <c r="AD495" s="620">
        <v>2.1914980818112054E-2</v>
      </c>
      <c r="AE495" s="620">
        <v>2.5355757763128518E-2</v>
      </c>
      <c r="AF495" s="620">
        <v>4.3967629324295217E-2</v>
      </c>
      <c r="AG495" s="620">
        <v>6.5115125354538297E-2</v>
      </c>
      <c r="AH495" s="620">
        <v>2.4788173111397284E-2</v>
      </c>
      <c r="AI495" s="620">
        <v>1.4917610994860011E-3</v>
      </c>
      <c r="AJ495" s="620">
        <v>3.1956027161925943E-2</v>
      </c>
    </row>
    <row r="496" spans="3:36">
      <c r="C496" t="s">
        <v>966</v>
      </c>
      <c r="D496" s="528">
        <v>580</v>
      </c>
      <c r="F496" s="528">
        <v>300</v>
      </c>
      <c r="I496" s="528"/>
      <c r="N496" s="517"/>
      <c r="P496" s="517"/>
      <c r="Q496" s="517"/>
      <c r="S496" s="593" t="s">
        <v>941</v>
      </c>
      <c r="T496" s="570">
        <v>1650000</v>
      </c>
      <c r="U496" t="s">
        <v>918</v>
      </c>
      <c r="V496" s="571">
        <v>-3.5634662740046348E-2</v>
      </c>
      <c r="W496" s="600">
        <v>-219.46629870416291</v>
      </c>
      <c r="X496" s="571">
        <v>3.0328042623420721E-2</v>
      </c>
      <c r="Y496" s="614">
        <v>186.78395555640327</v>
      </c>
      <c r="Z496" s="528"/>
      <c r="AB496" s="551" t="s">
        <v>1022</v>
      </c>
      <c r="AC496" s="621">
        <v>79.566674826016424</v>
      </c>
      <c r="AD496" s="621">
        <v>66.818310176188788</v>
      </c>
      <c r="AE496" s="621">
        <v>77.976654955515187</v>
      </c>
      <c r="AF496" s="621">
        <v>107.66176732909571</v>
      </c>
      <c r="AG496" s="621">
        <v>108.96007807341857</v>
      </c>
      <c r="AH496" s="621">
        <v>70.80425274082927</v>
      </c>
      <c r="AI496" s="621">
        <v>3.9461751436765553</v>
      </c>
      <c r="AJ496" s="621">
        <v>89.590896283656548</v>
      </c>
    </row>
    <row r="497" spans="3:35">
      <c r="C497" t="s">
        <v>967</v>
      </c>
      <c r="D497" s="528">
        <v>580</v>
      </c>
      <c r="F497" s="528">
        <v>480</v>
      </c>
      <c r="I497" s="528"/>
      <c r="N497" s="528"/>
      <c r="P497" s="528"/>
      <c r="Q497" s="622"/>
      <c r="S497" s="593" t="s">
        <v>953</v>
      </c>
      <c r="T497" s="570">
        <v>1700000</v>
      </c>
      <c r="U497" t="s">
        <v>918</v>
      </c>
      <c r="V497" s="571">
        <v>-2.3751928417680111E-2</v>
      </c>
      <c r="W497" s="600">
        <v>-187.33738493855435</v>
      </c>
      <c r="X497" s="571">
        <v>4.2245068002902508E-2</v>
      </c>
      <c r="Y497" s="614">
        <v>333.19739042006313</v>
      </c>
      <c r="Z497" s="528"/>
    </row>
    <row r="498" spans="3:35">
      <c r="C498" t="s">
        <v>968</v>
      </c>
      <c r="D498" s="528">
        <v>560</v>
      </c>
      <c r="F498" s="528">
        <v>500</v>
      </c>
      <c r="I498" s="528"/>
      <c r="N498" s="528"/>
      <c r="P498" s="528"/>
      <c r="Q498" s="622"/>
      <c r="S498" s="593" t="s">
        <v>989</v>
      </c>
      <c r="T498" s="570">
        <v>900000</v>
      </c>
      <c r="U498" t="s">
        <v>918</v>
      </c>
      <c r="V498" s="571">
        <v>1.4607976859285396E-2</v>
      </c>
      <c r="W498" s="600">
        <v>54.231550056189008</v>
      </c>
      <c r="X498" s="571">
        <v>6.6055490841217146E-2</v>
      </c>
      <c r="Y498" s="614">
        <v>245.2284592554347</v>
      </c>
      <c r="Z498" s="528"/>
      <c r="AB498" s="533" t="s">
        <v>1023</v>
      </c>
    </row>
    <row r="499" spans="3:35">
      <c r="N499" s="528"/>
      <c r="P499" s="528"/>
      <c r="Q499" s="622"/>
      <c r="S499" s="593" t="s">
        <v>958</v>
      </c>
      <c r="T499" s="570">
        <v>720000</v>
      </c>
      <c r="U499" t="s">
        <v>918</v>
      </c>
      <c r="V499" s="571">
        <v>4.5486216088203704E-2</v>
      </c>
      <c r="W499" s="600">
        <v>101.77488790295274</v>
      </c>
      <c r="X499" s="571">
        <v>8.6408737351472434E-2</v>
      </c>
      <c r="Y499" s="614">
        <v>193.33856086706828</v>
      </c>
      <c r="Z499" s="528"/>
      <c r="AB499" s="552"/>
      <c r="AC499" s="552"/>
      <c r="AD499" s="552"/>
      <c r="AE499" s="552"/>
      <c r="AF499" s="552"/>
      <c r="AG499" s="552"/>
      <c r="AH499" s="552"/>
    </row>
    <row r="500" spans="3:35">
      <c r="N500" s="528"/>
      <c r="P500" s="528"/>
      <c r="Q500" s="622"/>
      <c r="S500" s="593" t="s">
        <v>995</v>
      </c>
      <c r="T500" s="570">
        <v>900000</v>
      </c>
      <c r="U500" t="s">
        <v>918</v>
      </c>
      <c r="V500" s="571">
        <v>1.3688285587712082E-2</v>
      </c>
      <c r="W500" s="600">
        <v>48.087568784250834</v>
      </c>
      <c r="X500" s="571">
        <v>6.3338915547820049E-2</v>
      </c>
      <c r="Y500" s="614">
        <v>222.51248621374953</v>
      </c>
      <c r="Z500" s="528"/>
      <c r="AB500" s="822" t="s">
        <v>1001</v>
      </c>
      <c r="AC500" s="825" t="s">
        <v>1002</v>
      </c>
      <c r="AD500" s="825" t="s">
        <v>1003</v>
      </c>
      <c r="AE500" s="825" t="s">
        <v>1004</v>
      </c>
      <c r="AF500" s="825" t="s">
        <v>1002</v>
      </c>
      <c r="AG500" s="825" t="s">
        <v>1003</v>
      </c>
      <c r="AH500" s="825" t="s">
        <v>1004</v>
      </c>
      <c r="AI500" s="521"/>
    </row>
    <row r="501" spans="3:35">
      <c r="C501" s="601" t="s">
        <v>1024</v>
      </c>
      <c r="N501" s="528"/>
      <c r="P501" s="528"/>
      <c r="Q501" s="622"/>
      <c r="S501" s="593" t="s">
        <v>955</v>
      </c>
      <c r="T501" s="570">
        <v>4100000</v>
      </c>
      <c r="U501" t="s">
        <v>956</v>
      </c>
      <c r="V501" s="571">
        <v>1.0648546481962704E-2</v>
      </c>
      <c r="W501" s="600">
        <v>34.725923301585226</v>
      </c>
      <c r="X501" s="571">
        <v>5.4663181543184565E-2</v>
      </c>
      <c r="Y501" s="614">
        <v>178.26183628954595</v>
      </c>
      <c r="Z501" s="528"/>
      <c r="AB501" s="822" t="s">
        <v>950</v>
      </c>
      <c r="AC501" s="825" t="s">
        <v>1025</v>
      </c>
      <c r="AD501" s="825" t="s">
        <v>1025</v>
      </c>
      <c r="AE501" s="825" t="s">
        <v>1025</v>
      </c>
      <c r="AF501" s="825" t="s">
        <v>1026</v>
      </c>
      <c r="AG501" s="825" t="s">
        <v>1026</v>
      </c>
      <c r="AH501" s="825" t="s">
        <v>1026</v>
      </c>
    </row>
    <row r="502" spans="3:35">
      <c r="D502" s="619" t="s">
        <v>1018</v>
      </c>
      <c r="E502" s="619"/>
      <c r="F502" s="619" t="s">
        <v>920</v>
      </c>
      <c r="I502" s="519"/>
      <c r="N502" s="528"/>
      <c r="P502" s="528"/>
      <c r="Q502" s="622"/>
      <c r="S502" s="593" t="s">
        <v>957</v>
      </c>
      <c r="T502" s="570">
        <v>2050000</v>
      </c>
      <c r="U502" t="s">
        <v>956</v>
      </c>
      <c r="V502" s="571">
        <v>2.8828785818092461E-2</v>
      </c>
      <c r="W502" s="600">
        <v>72.816567254367783</v>
      </c>
      <c r="X502" s="571">
        <v>6.9923754226193027E-2</v>
      </c>
      <c r="Y502" s="614">
        <v>176.61540740623423</v>
      </c>
      <c r="Z502" s="528"/>
      <c r="AB502" s="826" t="s">
        <v>922</v>
      </c>
      <c r="AC502" s="827">
        <v>1890000</v>
      </c>
      <c r="AD502" s="827">
        <v>1045000</v>
      </c>
      <c r="AE502" s="827">
        <v>1650000</v>
      </c>
      <c r="AF502" s="827">
        <v>1250000</v>
      </c>
      <c r="AG502" s="827">
        <v>880000</v>
      </c>
      <c r="AH502" s="827">
        <v>900000</v>
      </c>
    </row>
    <row r="503" spans="3:35">
      <c r="C503" t="s">
        <v>916</v>
      </c>
      <c r="D503" s="528">
        <v>336</v>
      </c>
      <c r="F503" s="528">
        <v>664</v>
      </c>
      <c r="I503" s="528"/>
      <c r="N503" s="528"/>
      <c r="P503" s="528"/>
      <c r="Q503" s="622"/>
      <c r="S503" s="593" t="s">
        <v>915</v>
      </c>
      <c r="T503" s="570">
        <v>700000</v>
      </c>
      <c r="U503" t="s">
        <v>962</v>
      </c>
      <c r="V503" s="571">
        <v>4.3967629324295217E-2</v>
      </c>
      <c r="W503" s="600">
        <v>107.66176732909571</v>
      </c>
      <c r="X503" s="571">
        <v>9.7430029329858864E-2</v>
      </c>
      <c r="Y503" s="614">
        <v>238.57299813028703</v>
      </c>
      <c r="Z503" s="528"/>
      <c r="AB503" s="521"/>
      <c r="AC503" s="613"/>
      <c r="AD503" s="613"/>
      <c r="AE503" s="613"/>
      <c r="AF503" s="613"/>
      <c r="AG503" s="613"/>
      <c r="AH503" s="613"/>
    </row>
    <row r="504" spans="3:35">
      <c r="C504" t="s">
        <v>917</v>
      </c>
      <c r="D504" s="528">
        <v>474</v>
      </c>
      <c r="F504" s="528">
        <v>648</v>
      </c>
      <c r="I504" s="528"/>
      <c r="N504" s="528"/>
      <c r="P504" s="528"/>
      <c r="Q504" s="528"/>
      <c r="S504" s="593" t="s">
        <v>915</v>
      </c>
      <c r="T504" s="570">
        <v>820000</v>
      </c>
      <c r="U504" t="s">
        <v>967</v>
      </c>
      <c r="V504" s="571">
        <v>3.1956027161925943E-2</v>
      </c>
      <c r="W504" s="600">
        <v>89.590896283656548</v>
      </c>
      <c r="X504" s="571">
        <v>6.5784921549045611E-2</v>
      </c>
      <c r="Y504" s="614">
        <v>184.43250325406916</v>
      </c>
      <c r="Z504" s="528"/>
      <c r="AB504" s="521" t="s">
        <v>1011</v>
      </c>
      <c r="AC504" s="613">
        <v>65</v>
      </c>
      <c r="AD504" s="613">
        <v>65</v>
      </c>
      <c r="AE504" s="613">
        <v>65</v>
      </c>
      <c r="AF504" s="613">
        <v>65</v>
      </c>
      <c r="AG504" s="613">
        <v>65</v>
      </c>
      <c r="AH504" s="613">
        <v>65</v>
      </c>
    </row>
    <row r="505" spans="3:35">
      <c r="C505" t="s">
        <v>918</v>
      </c>
      <c r="D505" s="528">
        <v>396</v>
      </c>
      <c r="F505" s="528">
        <v>690</v>
      </c>
      <c r="I505" s="623"/>
      <c r="S505" s="593" t="s">
        <v>915</v>
      </c>
      <c r="T505" s="570">
        <v>570000</v>
      </c>
      <c r="U505" t="s">
        <v>964</v>
      </c>
      <c r="V505" s="571">
        <v>1.4917610994860011E-3</v>
      </c>
      <c r="W505" s="600">
        <v>3.9461751436765553</v>
      </c>
      <c r="X505" s="571">
        <v>8.4256218714308995E-2</v>
      </c>
      <c r="Y505" s="614">
        <v>222.88407715226231</v>
      </c>
      <c r="Z505" s="528"/>
      <c r="AB505" s="615" t="s">
        <v>1012</v>
      </c>
      <c r="AC505" s="613">
        <v>0</v>
      </c>
      <c r="AD505" s="613">
        <v>0</v>
      </c>
      <c r="AE505" s="613">
        <v>0</v>
      </c>
      <c r="AF505" s="613">
        <v>387</v>
      </c>
      <c r="AG505" s="613">
        <v>387</v>
      </c>
      <c r="AH505" s="613">
        <v>387</v>
      </c>
    </row>
    <row r="506" spans="3:35">
      <c r="C506" t="s">
        <v>964</v>
      </c>
      <c r="D506" s="528">
        <v>510</v>
      </c>
      <c r="F506" s="528">
        <v>530</v>
      </c>
      <c r="I506" s="528"/>
      <c r="N506" s="517"/>
      <c r="P506" s="517"/>
      <c r="Q506" s="517"/>
      <c r="S506" s="593" t="s">
        <v>915</v>
      </c>
      <c r="T506" s="570">
        <v>520000</v>
      </c>
      <c r="U506" s="570" t="s">
        <v>968</v>
      </c>
      <c r="V506" s="571">
        <v>9.7438182033424622E-3</v>
      </c>
      <c r="W506" s="600">
        <v>20.852474158942641</v>
      </c>
      <c r="X506" s="571">
        <v>4.8707345637314235E-2</v>
      </c>
      <c r="Y506" s="614">
        <v>104.23723483514641</v>
      </c>
      <c r="Z506" s="528"/>
      <c r="AB506" s="616" t="s">
        <v>1013</v>
      </c>
      <c r="AC506" s="613">
        <v>0</v>
      </c>
      <c r="AD506" s="613">
        <v>0</v>
      </c>
      <c r="AE506" s="613">
        <v>0</v>
      </c>
      <c r="AF506" s="613">
        <v>136</v>
      </c>
      <c r="AG506" s="613">
        <v>190</v>
      </c>
      <c r="AH506" s="613">
        <v>136</v>
      </c>
    </row>
    <row r="507" spans="3:35">
      <c r="C507" t="s">
        <v>966</v>
      </c>
      <c r="D507" s="528">
        <v>400</v>
      </c>
      <c r="F507" s="528">
        <v>620</v>
      </c>
      <c r="I507" s="528"/>
      <c r="N507" s="528"/>
      <c r="P507" s="528"/>
      <c r="Q507" s="622"/>
      <c r="S507" s="593" t="s">
        <v>915</v>
      </c>
      <c r="T507" s="570">
        <v>650000</v>
      </c>
      <c r="U507" t="s">
        <v>965</v>
      </c>
      <c r="V507" s="571">
        <v>6.5115125354538297E-2</v>
      </c>
      <c r="W507" s="600">
        <v>108.96007807341857</v>
      </c>
      <c r="X507" s="571">
        <v>9.4937130222972524E-2</v>
      </c>
      <c r="Y507" s="614">
        <v>158.86258476565195</v>
      </c>
      <c r="AB507" s="521" t="s">
        <v>1015</v>
      </c>
      <c r="AC507" s="613">
        <v>48.513500788906306</v>
      </c>
      <c r="AD507" s="613">
        <v>26.823602288046079</v>
      </c>
      <c r="AE507" s="613">
        <v>42.35305624428328</v>
      </c>
      <c r="AF507" s="613">
        <v>32.085648669911578</v>
      </c>
      <c r="AG507" s="613">
        <v>22.588296663617751</v>
      </c>
      <c r="AH507" s="613">
        <v>23.101667042336334</v>
      </c>
    </row>
    <row r="508" spans="3:35" ht="15.75" thickBot="1">
      <c r="C508" t="s">
        <v>967</v>
      </c>
      <c r="D508" s="528">
        <v>360</v>
      </c>
      <c r="F508" s="528">
        <v>480</v>
      </c>
      <c r="I508" s="528"/>
      <c r="N508" s="528"/>
      <c r="P508" s="528"/>
      <c r="Q508" s="622"/>
      <c r="S508" s="603" t="s">
        <v>915</v>
      </c>
      <c r="T508" s="624">
        <v>860000</v>
      </c>
      <c r="U508" s="625" t="s">
        <v>966</v>
      </c>
      <c r="V508" s="626">
        <v>1.3242433017664146E-2</v>
      </c>
      <c r="W508" s="627">
        <v>40.663701746333118</v>
      </c>
      <c r="X508" s="626">
        <v>5.1275500062246071E-2</v>
      </c>
      <c r="Y508" s="628">
        <v>157.45230794401596</v>
      </c>
      <c r="AB508" s="618" t="s">
        <v>928</v>
      </c>
      <c r="AC508" s="613">
        <v>356.38840117818131</v>
      </c>
      <c r="AD508" s="613">
        <v>197.05072975195739</v>
      </c>
      <c r="AE508" s="613">
        <v>311.13273118730115</v>
      </c>
      <c r="AF508" s="613">
        <v>235.70661453583421</v>
      </c>
      <c r="AG508" s="613">
        <v>165.93745663322727</v>
      </c>
      <c r="AH508" s="613">
        <v>169.70876246580062</v>
      </c>
    </row>
    <row r="509" spans="3:35">
      <c r="C509" t="s">
        <v>968</v>
      </c>
      <c r="D509" s="528">
        <v>600</v>
      </c>
      <c r="F509" s="528">
        <v>800</v>
      </c>
      <c r="I509" s="528"/>
      <c r="N509" s="528"/>
      <c r="P509" s="528"/>
      <c r="Q509" s="622"/>
      <c r="AB509" s="618" t="s">
        <v>929</v>
      </c>
      <c r="AC509" s="613">
        <v>254.56550695413915</v>
      </c>
      <c r="AD509" s="613">
        <v>140.75182791908753</v>
      </c>
      <c r="AE509" s="613">
        <v>222.23972829329608</v>
      </c>
      <c r="AF509" s="613">
        <v>168.36343052522432</v>
      </c>
      <c r="AG509" s="613">
        <v>118.52785508975791</v>
      </c>
      <c r="AH509" s="613">
        <v>121.2216699781615</v>
      </c>
    </row>
    <row r="510" spans="3:35">
      <c r="N510" s="528"/>
      <c r="P510" s="528"/>
      <c r="Q510" s="622"/>
      <c r="AB510" s="618" t="s">
        <v>930</v>
      </c>
      <c r="AC510" s="613">
        <v>458.71426082715919</v>
      </c>
      <c r="AD510" s="613">
        <v>253.6277262245404</v>
      </c>
      <c r="AE510" s="613">
        <v>400.46483088085324</v>
      </c>
      <c r="AF510" s="613">
        <v>292.54736022140253</v>
      </c>
      <c r="AG510" s="613">
        <v>205.95334159586736</v>
      </c>
      <c r="AH510" s="613">
        <v>210.63409935940979</v>
      </c>
    </row>
    <row r="511" spans="3:35">
      <c r="N511" s="528"/>
      <c r="P511" s="528"/>
      <c r="Q511" s="622"/>
      <c r="AB511" s="521" t="s">
        <v>943</v>
      </c>
      <c r="AC511" s="613">
        <v>1276.5771516936427</v>
      </c>
      <c r="AD511" s="613">
        <v>1235.9074976576887</v>
      </c>
      <c r="AE511" s="613">
        <v>1114.4721165579419</v>
      </c>
      <c r="AF511" s="613">
        <v>379.9336760992984</v>
      </c>
      <c r="AG511" s="613">
        <v>468.3438938492294</v>
      </c>
      <c r="AH511" s="613">
        <v>273.55224679149484</v>
      </c>
    </row>
    <row r="512" spans="3:35">
      <c r="N512" s="528"/>
      <c r="P512" s="528"/>
      <c r="Q512" s="622"/>
      <c r="AB512" s="521" t="s">
        <v>944</v>
      </c>
      <c r="AC512" s="613">
        <v>240.37971787653416</v>
      </c>
      <c r="AD512" s="613">
        <v>165.36608483070222</v>
      </c>
      <c r="AE512" s="613">
        <v>209.85530925729171</v>
      </c>
      <c r="AF512" s="613">
        <v>158.98129489188767</v>
      </c>
      <c r="AG512" s="613">
        <v>139.25565038374924</v>
      </c>
      <c r="AH512" s="613">
        <v>114.46653232215913</v>
      </c>
    </row>
    <row r="513" spans="14:36">
      <c r="N513" s="528"/>
      <c r="P513" s="528"/>
      <c r="Q513" s="528"/>
      <c r="AB513" s="616" t="s">
        <v>945</v>
      </c>
      <c r="AC513" s="613">
        <v>1546.0411732434902</v>
      </c>
      <c r="AD513" s="613">
        <v>1046.9720087251296</v>
      </c>
      <c r="AE513" s="613">
        <v>1278.3343033472938</v>
      </c>
      <c r="AF513" s="613">
        <v>255.62850086697921</v>
      </c>
      <c r="AG513" s="613">
        <v>220.41515973160625</v>
      </c>
      <c r="AH513" s="613">
        <v>174.31831409281281</v>
      </c>
    </row>
    <row r="514" spans="14:36">
      <c r="AB514" s="521" t="s">
        <v>934</v>
      </c>
      <c r="AC514" s="613">
        <v>839.81596731674881</v>
      </c>
      <c r="AD514" s="613">
        <v>452.87814230369554</v>
      </c>
      <c r="AE514" s="613">
        <v>896.66698403147905</v>
      </c>
      <c r="AF514" s="613">
        <v>557.68649172457776</v>
      </c>
      <c r="AG514" s="613">
        <v>352.34408987601824</v>
      </c>
      <c r="AH514" s="613">
        <v>514.54558437651417</v>
      </c>
    </row>
    <row r="515" spans="14:36">
      <c r="AB515" s="521" t="s">
        <v>937</v>
      </c>
      <c r="AC515" s="613">
        <v>664</v>
      </c>
      <c r="AD515" s="613">
        <v>648</v>
      </c>
      <c r="AE515" s="613">
        <v>690</v>
      </c>
      <c r="AF515" s="613">
        <v>664</v>
      </c>
      <c r="AG515" s="613">
        <v>648</v>
      </c>
      <c r="AH515" s="613">
        <v>690</v>
      </c>
    </row>
    <row r="516" spans="14:36">
      <c r="AB516" s="521" t="s">
        <v>1020</v>
      </c>
      <c r="AC516" s="613">
        <v>148</v>
      </c>
      <c r="AD516" s="613">
        <v>148</v>
      </c>
      <c r="AE516" s="613">
        <v>148</v>
      </c>
      <c r="AF516" s="613">
        <v>313</v>
      </c>
      <c r="AG516" s="613">
        <v>313</v>
      </c>
      <c r="AH516" s="613">
        <v>313</v>
      </c>
      <c r="AI516" s="570"/>
      <c r="AJ516" s="570"/>
    </row>
    <row r="517" spans="14:36">
      <c r="V517" s="571"/>
      <c r="AB517" s="826" t="s">
        <v>940</v>
      </c>
      <c r="AC517" s="828">
        <v>6458.7973514405985</v>
      </c>
      <c r="AD517" s="828">
        <v>4941.1792912626452</v>
      </c>
      <c r="AE517" s="828">
        <v>5939.3207313615376</v>
      </c>
      <c r="AF517" s="828">
        <v>4014.517114745383</v>
      </c>
      <c r="AG517" s="828">
        <v>3664.9498410333408</v>
      </c>
      <c r="AH517" s="828">
        <v>3561.1329736389571</v>
      </c>
    </row>
    <row r="518" spans="14:36">
      <c r="AB518" s="521"/>
      <c r="AC518" s="616"/>
      <c r="AD518" s="616"/>
      <c r="AE518" s="616"/>
      <c r="AF518" s="616"/>
      <c r="AG518" s="616"/>
      <c r="AH518" s="616"/>
    </row>
    <row r="519" spans="14:36">
      <c r="AB519" s="521" t="s">
        <v>1021</v>
      </c>
      <c r="AC519" s="620">
        <v>-3.7551493665862315E-2</v>
      </c>
      <c r="AD519" s="620">
        <v>-2.8981281639476539E-2</v>
      </c>
      <c r="AE519" s="620">
        <v>-3.5634662740046348E-2</v>
      </c>
      <c r="AF519" s="620">
        <v>8.5129141019544413E-3</v>
      </c>
      <c r="AG519" s="620">
        <v>7.3893921716548811E-3</v>
      </c>
      <c r="AH519" s="620">
        <v>1.3688285587712082E-2</v>
      </c>
    </row>
    <row r="520" spans="14:36">
      <c r="AB520" s="551" t="s">
        <v>1022</v>
      </c>
      <c r="AC520" s="621">
        <v>-252.00048234841051</v>
      </c>
      <c r="AD520" s="621">
        <v>-147.47574476526552</v>
      </c>
      <c r="AE520" s="621">
        <v>-219.46629870416291</v>
      </c>
      <c r="AF520" s="621">
        <v>33.886764245438826</v>
      </c>
      <c r="AG520" s="621">
        <v>26.883101882241135</v>
      </c>
      <c r="AH520" s="621">
        <v>48.087568784250834</v>
      </c>
    </row>
    <row r="521" spans="14:36">
      <c r="AF521" s="570"/>
      <c r="AG521" s="570"/>
      <c r="AH521" s="570"/>
    </row>
    <row r="523" spans="14:36">
      <c r="AB523" s="533" t="s">
        <v>1027</v>
      </c>
    </row>
    <row r="524" spans="14:36">
      <c r="AB524" s="552"/>
      <c r="AC524" s="552"/>
      <c r="AD524" s="552"/>
      <c r="AE524" s="552"/>
      <c r="AF524" s="552"/>
      <c r="AG524" s="552"/>
      <c r="AH524" s="552"/>
    </row>
    <row r="525" spans="14:36">
      <c r="AB525" s="822" t="s">
        <v>1001</v>
      </c>
      <c r="AC525" s="825" t="s">
        <v>1002</v>
      </c>
      <c r="AD525" s="825" t="s">
        <v>1003</v>
      </c>
      <c r="AE525" s="825" t="s">
        <v>1004</v>
      </c>
      <c r="AF525" s="825" t="s">
        <v>1002</v>
      </c>
      <c r="AG525" s="825" t="s">
        <v>1003</v>
      </c>
      <c r="AH525" s="825" t="s">
        <v>1004</v>
      </c>
    </row>
    <row r="526" spans="14:36">
      <c r="AB526" s="822" t="s">
        <v>950</v>
      </c>
      <c r="AC526" s="823" t="s">
        <v>1028</v>
      </c>
      <c r="AD526" s="823" t="s">
        <v>1028</v>
      </c>
      <c r="AE526" s="823" t="s">
        <v>1028</v>
      </c>
      <c r="AF526" s="825" t="s">
        <v>1026</v>
      </c>
      <c r="AG526" s="825" t="s">
        <v>1026</v>
      </c>
      <c r="AH526" s="825" t="s">
        <v>1026</v>
      </c>
    </row>
    <row r="527" spans="14:36">
      <c r="AB527" s="826" t="s">
        <v>922</v>
      </c>
      <c r="AC527" s="827">
        <v>2081000</v>
      </c>
      <c r="AD527" s="827">
        <v>1100000</v>
      </c>
      <c r="AE527" s="827">
        <v>1700000</v>
      </c>
      <c r="AF527" s="827">
        <v>1260000</v>
      </c>
      <c r="AG527" s="827">
        <v>900000</v>
      </c>
      <c r="AH527" s="827">
        <v>900000</v>
      </c>
    </row>
    <row r="528" spans="14:36">
      <c r="AB528" s="521"/>
      <c r="AC528" s="613"/>
      <c r="AD528" s="613"/>
      <c r="AE528" s="613"/>
      <c r="AF528" s="613"/>
      <c r="AG528" s="613"/>
      <c r="AH528" s="613"/>
    </row>
    <row r="529" spans="28:34">
      <c r="AB529" s="521" t="s">
        <v>1011</v>
      </c>
      <c r="AC529" s="613">
        <v>65</v>
      </c>
      <c r="AD529" s="613">
        <v>65</v>
      </c>
      <c r="AE529" s="613">
        <v>65</v>
      </c>
      <c r="AF529" s="613">
        <v>65</v>
      </c>
      <c r="AG529" s="613">
        <v>65</v>
      </c>
      <c r="AH529" s="613">
        <v>65</v>
      </c>
    </row>
    <row r="530" spans="28:34">
      <c r="AB530" s="615" t="s">
        <v>1012</v>
      </c>
      <c r="AC530" s="613">
        <v>0</v>
      </c>
      <c r="AD530" s="613">
        <v>0</v>
      </c>
      <c r="AE530" s="613">
        <v>0</v>
      </c>
      <c r="AF530" s="613">
        <v>387</v>
      </c>
      <c r="AG530" s="613">
        <v>387</v>
      </c>
      <c r="AH530" s="613">
        <v>387</v>
      </c>
    </row>
    <row r="531" spans="28:34">
      <c r="AB531" s="616" t="s">
        <v>1013</v>
      </c>
      <c r="AC531" s="613">
        <v>0</v>
      </c>
      <c r="AD531" s="613">
        <v>0</v>
      </c>
      <c r="AE531" s="613">
        <v>0</v>
      </c>
      <c r="AF531" s="613">
        <v>136</v>
      </c>
      <c r="AG531" s="613">
        <v>190</v>
      </c>
      <c r="AH531" s="613">
        <v>136</v>
      </c>
    </row>
    <row r="532" spans="28:34">
      <c r="AB532" s="521" t="s">
        <v>1015</v>
      </c>
      <c r="AC532" s="613">
        <v>64.099425486802545</v>
      </c>
      <c r="AD532" s="613">
        <v>33.882444995426624</v>
      </c>
      <c r="AE532" s="613">
        <v>52.363778629295687</v>
      </c>
      <c r="AF532" s="613">
        <v>33.959450552234415</v>
      </c>
      <c r="AG532" s="613">
        <v>24.256750394453153</v>
      </c>
      <c r="AH532" s="613">
        <v>24.256750394453153</v>
      </c>
    </row>
    <row r="533" spans="28:34">
      <c r="AB533" s="618" t="s">
        <v>928</v>
      </c>
      <c r="AC533" s="613">
        <v>1373.4153015773986</v>
      </c>
      <c r="AD533" s="613">
        <v>725.97637277036927</v>
      </c>
      <c r="AE533" s="613">
        <v>1121.9634851905707</v>
      </c>
      <c r="AF533" s="613">
        <v>386.0874346096964</v>
      </c>
      <c r="AG533" s="613">
        <v>275.77673900692599</v>
      </c>
      <c r="AH533" s="613">
        <v>275.77673900692599</v>
      </c>
    </row>
    <row r="534" spans="28:34">
      <c r="AB534" s="618" t="s">
        <v>929</v>
      </c>
      <c r="AC534" s="613">
        <v>280.2914391383934</v>
      </c>
      <c r="AD534" s="613">
        <v>148.1598188621974</v>
      </c>
      <c r="AE534" s="613">
        <v>228.97426551430505</v>
      </c>
      <c r="AF534" s="613">
        <v>169.71033796942609</v>
      </c>
      <c r="AG534" s="613">
        <v>121.2216699781615</v>
      </c>
      <c r="AH534" s="613">
        <v>121.2216699781615</v>
      </c>
    </row>
    <row r="535" spans="28:34">
      <c r="AB535" s="618" t="s">
        <v>930</v>
      </c>
      <c r="AC535" s="613">
        <v>507.11321211149482</v>
      </c>
      <c r="AD535" s="613">
        <v>268.05599871342832</v>
      </c>
      <c r="AE535" s="613">
        <v>414.26836164802558</v>
      </c>
      <c r="AF535" s="613">
        <v>295.19685283931074</v>
      </c>
      <c r="AG535" s="613">
        <v>210.85489488522197</v>
      </c>
      <c r="AH535" s="613">
        <v>210.85489488522197</v>
      </c>
    </row>
    <row r="536" spans="28:34">
      <c r="AB536" s="521" t="s">
        <v>943</v>
      </c>
      <c r="AC536" s="613">
        <v>1405.5857421558044</v>
      </c>
      <c r="AD536" s="613">
        <v>1300.9552606923039</v>
      </c>
      <c r="AE536" s="613">
        <v>1148.2439988778797</v>
      </c>
      <c r="AF536" s="613">
        <v>382.97314550809278</v>
      </c>
      <c r="AG536" s="613">
        <v>478.98807325489372</v>
      </c>
      <c r="AH536" s="613">
        <v>273.55224679149484</v>
      </c>
    </row>
    <row r="537" spans="28:34">
      <c r="AB537" s="521" t="s">
        <v>944</v>
      </c>
      <c r="AC537" s="613">
        <v>264.6720597360146</v>
      </c>
      <c r="AD537" s="613">
        <v>174.06956297968654</v>
      </c>
      <c r="AE537" s="613">
        <v>216.21456105296721</v>
      </c>
      <c r="AF537" s="613">
        <v>160.25314525102277</v>
      </c>
      <c r="AG537" s="613">
        <v>142.42055152883444</v>
      </c>
      <c r="AH537" s="613">
        <v>114.46653232215913</v>
      </c>
    </row>
    <row r="538" spans="28:34">
      <c r="AB538" s="616" t="s">
        <v>945</v>
      </c>
      <c r="AC538" s="613">
        <v>1702.2813129733879</v>
      </c>
      <c r="AD538" s="613">
        <v>1102.0757986580313</v>
      </c>
      <c r="AE538" s="613">
        <v>1317.0717064790301</v>
      </c>
      <c r="AF538" s="613">
        <v>257.67352887391502</v>
      </c>
      <c r="AG538" s="613">
        <v>225.42459518005185</v>
      </c>
      <c r="AH538" s="613">
        <v>174.31831409281281</v>
      </c>
    </row>
    <row r="539" spans="28:34">
      <c r="AB539" s="521" t="s">
        <v>934</v>
      </c>
      <c r="AC539" s="613">
        <v>973.4387071346157</v>
      </c>
      <c r="AD539" s="613">
        <v>503.14516851753422</v>
      </c>
      <c r="AE539" s="613">
        <v>999.54582240012337</v>
      </c>
      <c r="AF539" s="613">
        <v>559.90798365837441</v>
      </c>
      <c r="AG539" s="613">
        <v>356.2610010095641</v>
      </c>
      <c r="AH539" s="613">
        <v>514.54558437651417</v>
      </c>
    </row>
    <row r="540" spans="28:34">
      <c r="AB540" s="521" t="s">
        <v>937</v>
      </c>
      <c r="AC540" s="613">
        <v>2656</v>
      </c>
      <c r="AD540" s="613">
        <v>1944</v>
      </c>
      <c r="AE540" s="613">
        <v>1035</v>
      </c>
      <c r="AF540" s="613">
        <v>664</v>
      </c>
      <c r="AG540" s="613">
        <v>648</v>
      </c>
      <c r="AH540" s="613">
        <v>690</v>
      </c>
    </row>
    <row r="541" spans="28:34">
      <c r="AB541" s="521" t="s">
        <v>1020</v>
      </c>
      <c r="AC541" s="613">
        <v>148</v>
      </c>
      <c r="AD541" s="613">
        <v>148</v>
      </c>
      <c r="AE541" s="613">
        <v>148</v>
      </c>
      <c r="AF541" s="613">
        <v>313</v>
      </c>
      <c r="AG541" s="613">
        <v>313</v>
      </c>
      <c r="AH541" s="613">
        <v>313</v>
      </c>
    </row>
    <row r="542" spans="28:34">
      <c r="AB542" s="826" t="s">
        <v>940</v>
      </c>
      <c r="AC542" s="828">
        <v>10393.16331041346</v>
      </c>
      <c r="AD542" s="828">
        <v>7366.5865362885261</v>
      </c>
      <c r="AE542" s="828">
        <v>7699.9120898917463</v>
      </c>
      <c r="AF542" s="828">
        <v>4277.4620861067779</v>
      </c>
      <c r="AG542" s="828">
        <v>3904.9044820828121</v>
      </c>
      <c r="AH542" s="828">
        <v>3766.6929386924485</v>
      </c>
    </row>
    <row r="543" spans="28:34">
      <c r="AB543" s="521"/>
      <c r="AC543" s="616"/>
      <c r="AD543" s="616"/>
      <c r="AE543" s="616"/>
      <c r="AF543" s="616"/>
      <c r="AG543" s="616"/>
      <c r="AH543" s="616"/>
    </row>
    <row r="544" spans="28:34">
      <c r="AB544" s="521" t="s">
        <v>1021</v>
      </c>
      <c r="AC544" s="620">
        <v>-2.4803089651307206E-2</v>
      </c>
      <c r="AD544" s="620">
        <v>-1.5234830036254197E-2</v>
      </c>
      <c r="AE544" s="620">
        <v>-2.3751928417680111E-2</v>
      </c>
      <c r="AF544" s="620">
        <v>1.0148287886756846E-2</v>
      </c>
      <c r="AG544" s="620">
        <v>8.1096273006446371E-3</v>
      </c>
      <c r="AH544" s="620">
        <v>1.4607976859285396E-2</v>
      </c>
    </row>
    <row r="545" spans="28:34">
      <c r="AB545" s="551" t="s">
        <v>1022</v>
      </c>
      <c r="AC545" s="621">
        <v>-264.3389848894094</v>
      </c>
      <c r="AD545" s="621">
        <v>-113.96493016893146</v>
      </c>
      <c r="AE545" s="621">
        <v>-187.33738493855435</v>
      </c>
      <c r="AF545" s="621">
        <v>42.972816164754477</v>
      </c>
      <c r="AG545" s="621">
        <v>31.412575712724902</v>
      </c>
      <c r="AH545" s="621">
        <v>54.231550056189008</v>
      </c>
    </row>
    <row r="548" spans="28:34">
      <c r="AB548" s="533" t="s">
        <v>1029</v>
      </c>
    </row>
    <row r="549" spans="28:34">
      <c r="AB549" s="552"/>
      <c r="AC549" s="552"/>
      <c r="AD549" s="552"/>
      <c r="AE549" s="552"/>
      <c r="AF549" s="552"/>
    </row>
    <row r="550" spans="28:34">
      <c r="AB550" s="822" t="s">
        <v>1001</v>
      </c>
      <c r="AC550" s="825" t="s">
        <v>1030</v>
      </c>
      <c r="AD550" s="825" t="s">
        <v>1003</v>
      </c>
      <c r="AE550" s="825" t="s">
        <v>1030</v>
      </c>
      <c r="AF550" s="825" t="s">
        <v>1003</v>
      </c>
    </row>
    <row r="551" spans="28:34">
      <c r="AB551" s="822" t="s">
        <v>950</v>
      </c>
      <c r="AC551" s="823" t="s">
        <v>951</v>
      </c>
      <c r="AD551" s="823" t="s">
        <v>951</v>
      </c>
      <c r="AE551" s="823" t="s">
        <v>952</v>
      </c>
      <c r="AF551" s="824" t="s">
        <v>952</v>
      </c>
    </row>
    <row r="552" spans="28:34">
      <c r="AB552" s="826" t="s">
        <v>922</v>
      </c>
      <c r="AC552" s="827">
        <v>4100000</v>
      </c>
      <c r="AD552" s="827">
        <v>5050000</v>
      </c>
      <c r="AE552" s="827">
        <v>2050000</v>
      </c>
      <c r="AF552" s="827">
        <v>1560000</v>
      </c>
    </row>
    <row r="553" spans="28:34">
      <c r="AB553" s="521"/>
      <c r="AC553" s="613"/>
      <c r="AD553" s="613"/>
      <c r="AE553" s="613"/>
      <c r="AF553" s="613"/>
    </row>
    <row r="554" spans="28:34">
      <c r="AB554" s="521" t="s">
        <v>1011</v>
      </c>
      <c r="AC554" s="613">
        <v>65</v>
      </c>
      <c r="AD554" s="613">
        <v>65</v>
      </c>
      <c r="AE554" s="613">
        <v>65</v>
      </c>
      <c r="AF554" s="613">
        <v>65</v>
      </c>
    </row>
    <row r="555" spans="28:34">
      <c r="AB555" s="615" t="s">
        <v>1012</v>
      </c>
      <c r="AC555" s="613">
        <v>387</v>
      </c>
      <c r="AD555" s="613">
        <v>387</v>
      </c>
      <c r="AE555" s="613">
        <v>387</v>
      </c>
      <c r="AF555" s="613">
        <v>387</v>
      </c>
    </row>
    <row r="556" spans="28:34">
      <c r="AB556" s="616" t="s">
        <v>1013</v>
      </c>
      <c r="AC556" s="613">
        <v>136</v>
      </c>
      <c r="AD556" s="613">
        <v>190</v>
      </c>
      <c r="AE556" s="613">
        <v>136</v>
      </c>
      <c r="AF556" s="613">
        <v>190</v>
      </c>
    </row>
    <row r="557" spans="28:34">
      <c r="AB557" s="521" t="s">
        <v>1015</v>
      </c>
      <c r="AC557" s="613">
        <v>126.28911316477196</v>
      </c>
      <c r="AD557" s="613">
        <v>155.55122475173133</v>
      </c>
      <c r="AE557" s="613">
        <v>63.144556582385974</v>
      </c>
      <c r="AF557" s="613">
        <v>48.051467448059576</v>
      </c>
    </row>
    <row r="558" spans="28:34">
      <c r="AB558" s="618" t="s">
        <v>928</v>
      </c>
      <c r="AC558" s="613">
        <v>154.62353913550726</v>
      </c>
      <c r="AD558" s="613">
        <v>190.45094454495404</v>
      </c>
      <c r="AE558" s="613">
        <v>231.93530870326083</v>
      </c>
      <c r="AF558" s="613">
        <v>176.49711296443263</v>
      </c>
    </row>
    <row r="559" spans="28:34">
      <c r="AB559" s="618" t="s">
        <v>929</v>
      </c>
      <c r="AC559" s="613">
        <v>414.17403909205177</v>
      </c>
      <c r="AD559" s="613">
        <v>510.1411944914297</v>
      </c>
      <c r="AE559" s="613">
        <v>276.1160260613679</v>
      </c>
      <c r="AF559" s="613">
        <v>210.11756129547999</v>
      </c>
    </row>
    <row r="560" spans="28:34">
      <c r="AB560" s="618" t="s">
        <v>930</v>
      </c>
      <c r="AC560" s="613">
        <v>710.78173446385199</v>
      </c>
      <c r="AD560" s="613">
        <v>875.47506318108606</v>
      </c>
      <c r="AE560" s="613">
        <v>473.85448964256801</v>
      </c>
      <c r="AF560" s="613">
        <v>360.59170919141764</v>
      </c>
    </row>
    <row r="561" spans="28:32">
      <c r="AB561" s="521" t="s">
        <v>943</v>
      </c>
      <c r="AC561" s="613">
        <v>598.16757965073543</v>
      </c>
      <c r="AD561" s="613">
        <v>1290.0745439665138</v>
      </c>
      <c r="AE561" s="613">
        <v>369.23924669798487</v>
      </c>
      <c r="AF561" s="613">
        <v>491.9976258618168</v>
      </c>
    </row>
    <row r="562" spans="28:32">
      <c r="AB562" s="521" t="s">
        <v>944</v>
      </c>
      <c r="AC562" s="613">
        <v>0</v>
      </c>
      <c r="AD562" s="613">
        <v>0</v>
      </c>
      <c r="AE562" s="613">
        <v>0</v>
      </c>
      <c r="AF562" s="613">
        <v>0</v>
      </c>
    </row>
    <row r="563" spans="28:32">
      <c r="AB563" s="616" t="s">
        <v>945</v>
      </c>
      <c r="AC563" s="613">
        <v>0</v>
      </c>
      <c r="AD563" s="613">
        <v>0</v>
      </c>
      <c r="AE563" s="613">
        <v>0</v>
      </c>
      <c r="AF563" s="613">
        <v>0</v>
      </c>
    </row>
    <row r="564" spans="28:32">
      <c r="AB564" s="521" t="s">
        <v>934</v>
      </c>
      <c r="AC564" s="613">
        <v>0</v>
      </c>
      <c r="AD564" s="613">
        <v>0</v>
      </c>
      <c r="AE564" s="613">
        <v>0</v>
      </c>
      <c r="AF564" s="613">
        <v>0</v>
      </c>
    </row>
    <row r="565" spans="28:32">
      <c r="AB565" s="521" t="s">
        <v>937</v>
      </c>
      <c r="AC565" s="613">
        <v>0</v>
      </c>
      <c r="AD565" s="613">
        <v>0</v>
      </c>
      <c r="AE565" s="613">
        <v>0</v>
      </c>
      <c r="AF565" s="613">
        <v>0</v>
      </c>
    </row>
    <row r="566" spans="28:32">
      <c r="AB566" s="521" t="s">
        <v>1020</v>
      </c>
      <c r="AC566" s="613">
        <v>313</v>
      </c>
      <c r="AD566" s="613">
        <v>313</v>
      </c>
      <c r="AE566" s="613">
        <v>313</v>
      </c>
      <c r="AF566" s="613">
        <v>313</v>
      </c>
    </row>
    <row r="567" spans="28:32">
      <c r="AB567" s="826" t="s">
        <v>940</v>
      </c>
      <c r="AC567" s="828">
        <v>3295.8210746827208</v>
      </c>
      <c r="AD567" s="828">
        <v>4367.4780401115167</v>
      </c>
      <c r="AE567" s="828">
        <v>2598.6450122619035</v>
      </c>
      <c r="AF567" s="828">
        <v>2525.6108613355427</v>
      </c>
    </row>
    <row r="568" spans="28:32">
      <c r="AB568" s="521"/>
      <c r="AC568" s="616"/>
      <c r="AD568" s="616"/>
      <c r="AE568" s="616"/>
      <c r="AF568" s="616"/>
    </row>
    <row r="569" spans="28:32">
      <c r="AB569" s="521" t="s">
        <v>1021</v>
      </c>
      <c r="AC569" s="620">
        <v>1.0648546481962704E-2</v>
      </c>
      <c r="AD569" s="620">
        <v>-1.4016649531912083E-2</v>
      </c>
      <c r="AE569" s="620">
        <v>2.8828785818092461E-2</v>
      </c>
      <c r="AF569" s="620">
        <v>1.4352918419954447E-2</v>
      </c>
    </row>
    <row r="570" spans="28:32">
      <c r="AB570" s="551" t="s">
        <v>1022</v>
      </c>
      <c r="AC570" s="621">
        <v>34.725923301585226</v>
      </c>
      <c r="AD570" s="621">
        <v>-62.087670139158945</v>
      </c>
      <c r="AE570" s="621">
        <v>72.816567254367783</v>
      </c>
      <c r="AF570" s="621">
        <v>35.736957024549156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0" tint="-0.34998626667073579"/>
    <pageSetUpPr fitToPage="1"/>
  </sheetPr>
  <dimension ref="A1:AK51"/>
  <sheetViews>
    <sheetView showGridLines="0" topLeftCell="B2" zoomScale="55" zoomScaleNormal="55" workbookViewId="0">
      <selection activeCell="I7" sqref="I7"/>
    </sheetView>
  </sheetViews>
  <sheetFormatPr defaultColWidth="9.140625" defaultRowHeight="15" outlineLevelRow="1"/>
  <cols>
    <col min="1" max="1" width="14.7109375" style="636" hidden="1" customWidth="1"/>
    <col min="2" max="2" width="8.7109375" style="517" customWidth="1"/>
    <col min="3" max="3" width="30.7109375" customWidth="1"/>
    <col min="4" max="5" width="13.7109375" style="526" customWidth="1"/>
    <col min="6" max="6" width="14.5703125" style="526" bestFit="1" customWidth="1"/>
    <col min="7" max="7" width="2.5703125" style="526" customWidth="1"/>
    <col min="8" max="8" width="14.5703125" style="526" bestFit="1" customWidth="1"/>
    <col min="9" max="9" width="14.140625" style="526" bestFit="1" customWidth="1"/>
    <col min="10" max="10" width="14.5703125" style="526" bestFit="1" customWidth="1"/>
    <col min="11" max="11" width="1.7109375" style="526" customWidth="1"/>
    <col min="12" max="15" width="0" style="526" hidden="1" customWidth="1"/>
    <col min="16" max="16" width="13.7109375" style="526" customWidth="1"/>
    <col min="17" max="17" width="13.7109375" style="637" customWidth="1"/>
    <col min="18" max="18" width="0" style="637" hidden="1" customWidth="1"/>
    <col min="19" max="19" width="0" style="526" hidden="1" customWidth="1"/>
    <col min="20" max="20" width="0" style="637" hidden="1" customWidth="1"/>
    <col min="21" max="21" width="33.7109375" customWidth="1"/>
    <col min="22" max="25" width="0" hidden="1" customWidth="1"/>
    <col min="26" max="26" width="13.7109375" bestFit="1" customWidth="1"/>
    <col min="27" max="27" width="12.85546875" bestFit="1" customWidth="1"/>
    <col min="28" max="29" width="12.42578125" bestFit="1" customWidth="1"/>
    <col min="30" max="30" width="11.85546875" bestFit="1" customWidth="1"/>
    <col min="31" max="31" width="12.85546875" bestFit="1" customWidth="1"/>
    <col min="32" max="32" width="11.7109375" bestFit="1" customWidth="1"/>
    <col min="33" max="36" width="12.42578125" bestFit="1" customWidth="1"/>
    <col min="37" max="37" width="13.28515625" bestFit="1" customWidth="1"/>
  </cols>
  <sheetData>
    <row r="1" spans="1:37" s="633" customFormat="1" hidden="1">
      <c r="A1" s="631" t="s">
        <v>1031</v>
      </c>
      <c r="B1" s="632" t="s">
        <v>1032</v>
      </c>
      <c r="D1" s="634"/>
      <c r="E1" s="634"/>
      <c r="F1" s="634"/>
      <c r="G1" s="634"/>
      <c r="H1" s="634"/>
      <c r="I1" s="634"/>
      <c r="J1" s="634"/>
      <c r="K1" s="634"/>
      <c r="L1" s="634"/>
      <c r="M1" s="634"/>
      <c r="N1" s="634"/>
      <c r="O1" s="634"/>
      <c r="P1" s="634"/>
      <c r="Q1" s="635"/>
      <c r="R1" s="635"/>
      <c r="S1" s="634"/>
      <c r="T1" s="635"/>
    </row>
    <row r="2" spans="1:37">
      <c r="A2" s="636" t="s">
        <v>1033</v>
      </c>
      <c r="Z2" s="526"/>
      <c r="AA2" s="526"/>
    </row>
    <row r="3" spans="1:37">
      <c r="A3" s="636" t="s">
        <v>1034</v>
      </c>
      <c r="Z3" s="526"/>
      <c r="AA3" s="526"/>
    </row>
    <row r="4" spans="1:37">
      <c r="A4" s="636" t="s">
        <v>1035</v>
      </c>
      <c r="Z4" s="526"/>
      <c r="AA4" s="526"/>
    </row>
    <row r="5" spans="1:37" ht="26.25" outlineLevel="1">
      <c r="A5" s="636" t="s">
        <v>1036</v>
      </c>
      <c r="B5" s="638" t="s">
        <v>1037</v>
      </c>
      <c r="Z5" s="526"/>
      <c r="AA5" s="526"/>
    </row>
    <row r="6" spans="1:37" ht="26.25" hidden="1">
      <c r="A6" s="636" t="s">
        <v>1036</v>
      </c>
      <c r="B6" s="638" t="s">
        <v>1038</v>
      </c>
      <c r="Z6" s="526"/>
      <c r="AA6" s="526"/>
    </row>
    <row r="7" spans="1:37" ht="21">
      <c r="A7" s="636" t="s">
        <v>1036</v>
      </c>
      <c r="B7" s="639" t="s">
        <v>1039</v>
      </c>
      <c r="C7" s="640"/>
      <c r="Z7" s="526"/>
      <c r="AA7" s="526"/>
    </row>
    <row r="8" spans="1:37" ht="21">
      <c r="A8" s="636" t="s">
        <v>1036</v>
      </c>
      <c r="B8" s="641" t="s">
        <v>1040</v>
      </c>
      <c r="C8" s="640"/>
      <c r="D8" s="642"/>
      <c r="E8" s="642"/>
      <c r="U8" s="517" t="s">
        <v>1041</v>
      </c>
      <c r="Z8" s="526"/>
      <c r="AA8" s="526"/>
    </row>
    <row r="9" spans="1:37" ht="21">
      <c r="A9" s="636" t="s">
        <v>1036</v>
      </c>
      <c r="B9" s="641" t="s">
        <v>1042</v>
      </c>
      <c r="C9" s="640"/>
      <c r="D9" s="642"/>
      <c r="E9" s="642"/>
      <c r="Z9" s="526"/>
      <c r="AA9" s="526"/>
      <c r="AB9" s="526"/>
      <c r="AC9" s="526"/>
      <c r="AD9" s="526"/>
      <c r="AE9" s="526"/>
      <c r="AF9" s="526"/>
      <c r="AG9" s="526"/>
      <c r="AH9" s="526"/>
      <c r="AI9" s="526"/>
      <c r="AJ9" s="526"/>
      <c r="AK9" s="526"/>
    </row>
    <row r="10" spans="1:37" ht="21.75" thickBot="1">
      <c r="A10" s="636" t="s">
        <v>1036</v>
      </c>
      <c r="B10" s="643"/>
      <c r="C10" s="640"/>
      <c r="D10" s="642"/>
      <c r="E10" s="642"/>
      <c r="Z10" s="526"/>
      <c r="AA10" s="526"/>
    </row>
    <row r="11" spans="1:37">
      <c r="A11" s="636" t="s">
        <v>1043</v>
      </c>
      <c r="B11" s="644" t="s">
        <v>1044</v>
      </c>
      <c r="C11" s="645" t="s">
        <v>1045</v>
      </c>
      <c r="D11" s="646" t="s">
        <v>1046</v>
      </c>
      <c r="E11" s="646" t="s">
        <v>1046</v>
      </c>
      <c r="F11" s="646"/>
      <c r="G11" s="647"/>
      <c r="H11" s="646" t="s">
        <v>1047</v>
      </c>
      <c r="I11" s="646" t="s">
        <v>1047</v>
      </c>
      <c r="J11" s="646"/>
      <c r="L11" s="646" t="s">
        <v>1048</v>
      </c>
      <c r="N11" s="648" t="s">
        <v>1049</v>
      </c>
      <c r="P11" s="646" t="s">
        <v>1048</v>
      </c>
      <c r="Q11" s="649" t="s">
        <v>1050</v>
      </c>
      <c r="R11" s="650" t="s">
        <v>1048</v>
      </c>
      <c r="S11" s="651" t="s">
        <v>1051</v>
      </c>
      <c r="T11" s="652" t="s">
        <v>1052</v>
      </c>
      <c r="U11" s="653" t="s">
        <v>1053</v>
      </c>
      <c r="Z11" s="654" t="s">
        <v>1054</v>
      </c>
      <c r="AA11" s="654" t="s">
        <v>1055</v>
      </c>
      <c r="AB11" s="654" t="s">
        <v>1056</v>
      </c>
      <c r="AC11" s="654" t="s">
        <v>1057</v>
      </c>
      <c r="AD11" s="654" t="s">
        <v>1058</v>
      </c>
      <c r="AE11" s="654" t="s">
        <v>1059</v>
      </c>
      <c r="AF11" s="654" t="s">
        <v>1060</v>
      </c>
      <c r="AG11" s="654" t="s">
        <v>1061</v>
      </c>
      <c r="AH11" s="654" t="s">
        <v>1062</v>
      </c>
      <c r="AI11" s="654" t="s">
        <v>1063</v>
      </c>
      <c r="AJ11" s="654" t="s">
        <v>1064</v>
      </c>
      <c r="AK11" s="654" t="s">
        <v>1065</v>
      </c>
    </row>
    <row r="12" spans="1:37">
      <c r="A12" s="636" t="s">
        <v>1036</v>
      </c>
      <c r="B12" s="655"/>
      <c r="C12" s="656"/>
      <c r="D12" s="657" t="s">
        <v>1066</v>
      </c>
      <c r="E12" s="657" t="s">
        <v>1067</v>
      </c>
      <c r="F12" s="657" t="s">
        <v>1068</v>
      </c>
      <c r="G12" s="647"/>
      <c r="H12" s="657" t="s">
        <v>1069</v>
      </c>
      <c r="I12" s="657" t="s">
        <v>1067</v>
      </c>
      <c r="J12" s="657" t="s">
        <v>1068</v>
      </c>
      <c r="L12" s="657" t="s">
        <v>1067</v>
      </c>
      <c r="N12" s="658" t="s">
        <v>1070</v>
      </c>
      <c r="P12" s="657" t="s">
        <v>1067</v>
      </c>
      <c r="Q12" s="659" t="s">
        <v>1071</v>
      </c>
      <c r="R12" s="660" t="s">
        <v>1072</v>
      </c>
      <c r="S12" s="661" t="s">
        <v>1073</v>
      </c>
      <c r="T12" s="662" t="s">
        <v>1071</v>
      </c>
      <c r="U12" s="663"/>
      <c r="Z12" s="657" t="s">
        <v>1066</v>
      </c>
      <c r="AA12" s="657" t="s">
        <v>1066</v>
      </c>
      <c r="AB12" s="657" t="s">
        <v>1066</v>
      </c>
      <c r="AC12" s="657" t="s">
        <v>1066</v>
      </c>
      <c r="AD12" s="657" t="s">
        <v>1066</v>
      </c>
      <c r="AE12" s="657" t="s">
        <v>1066</v>
      </c>
      <c r="AF12" s="657" t="s">
        <v>1066</v>
      </c>
      <c r="AG12" s="657" t="s">
        <v>1066</v>
      </c>
      <c r="AH12" s="657" t="s">
        <v>1066</v>
      </c>
      <c r="AI12" s="657" t="s">
        <v>1066</v>
      </c>
      <c r="AJ12" s="657" t="s">
        <v>1066</v>
      </c>
      <c r="AK12" s="657" t="s">
        <v>1066</v>
      </c>
    </row>
    <row r="13" spans="1:37">
      <c r="A13" s="636" t="s">
        <v>1036</v>
      </c>
      <c r="B13" s="664"/>
      <c r="C13" s="665"/>
      <c r="D13" s="666"/>
      <c r="E13" s="667"/>
      <c r="F13" s="666"/>
      <c r="G13" s="668"/>
      <c r="H13" s="666"/>
      <c r="I13" s="666"/>
      <c r="J13" s="666"/>
      <c r="K13" s="668"/>
      <c r="L13" s="666"/>
      <c r="M13" s="669"/>
      <c r="N13" s="670"/>
      <c r="O13" s="669"/>
      <c r="P13" s="670"/>
      <c r="Q13" s="671"/>
      <c r="R13" s="670"/>
      <c r="S13" s="672"/>
      <c r="T13" s="673"/>
      <c r="U13" s="674"/>
      <c r="Z13" s="675"/>
      <c r="AA13" s="675"/>
      <c r="AB13" s="675"/>
      <c r="AC13" s="675"/>
      <c r="AD13" s="675"/>
      <c r="AE13" s="675"/>
      <c r="AF13" s="675"/>
      <c r="AG13" s="675"/>
      <c r="AH13" s="675"/>
      <c r="AI13" s="675"/>
      <c r="AJ13" s="675"/>
      <c r="AK13" s="675"/>
    </row>
    <row r="14" spans="1:37">
      <c r="A14" s="636" t="s">
        <v>1074</v>
      </c>
      <c r="B14" s="676" t="s">
        <v>1075</v>
      </c>
      <c r="C14" s="677" t="s">
        <v>1076</v>
      </c>
      <c r="D14" s="670">
        <v>1131689.19</v>
      </c>
      <c r="E14" s="678">
        <v>1126312.22</v>
      </c>
      <c r="F14" s="670">
        <f>D14-E14</f>
        <v>5376.9699999999721</v>
      </c>
      <c r="G14" s="669"/>
      <c r="H14" s="670">
        <v>13497296.51</v>
      </c>
      <c r="I14" s="678">
        <v>13515747.300000001</v>
      </c>
      <c r="J14" s="670">
        <f>H14-I14</f>
        <v>-18450.790000000969</v>
      </c>
      <c r="K14" s="669"/>
      <c r="L14" s="670">
        <v>13515747.300000001</v>
      </c>
      <c r="M14" s="669"/>
      <c r="N14" s="670">
        <f>H14+L14</f>
        <v>27013043.810000002</v>
      </c>
      <c r="O14" s="669"/>
      <c r="P14" s="670">
        <v>13515747.300000001</v>
      </c>
      <c r="Q14" s="671">
        <v>0.99863486719672501</v>
      </c>
      <c r="R14" s="670">
        <f>P14-N14</f>
        <v>-13497296.510000002</v>
      </c>
      <c r="S14" s="679" t="str">
        <f>IF(P14-N14&lt;0,"F","U")</f>
        <v>F</v>
      </c>
      <c r="T14" s="680">
        <f>IFERROR($R14/$P14,0)</f>
        <v>-0.99863486719672545</v>
      </c>
      <c r="U14" s="681"/>
      <c r="V14" s="682" t="s">
        <v>1077</v>
      </c>
      <c r="W14" t="s">
        <v>439</v>
      </c>
      <c r="X14" s="682" t="s">
        <v>1078</v>
      </c>
      <c r="Y14" s="682" t="s">
        <v>1079</v>
      </c>
      <c r="Z14" s="683">
        <v>1130569.04</v>
      </c>
      <c r="AA14" s="683">
        <v>1130005.71</v>
      </c>
      <c r="AB14" s="683">
        <v>1142689.44</v>
      </c>
      <c r="AC14" s="683">
        <v>1118310.92</v>
      </c>
      <c r="AD14" s="683">
        <v>1132022.21</v>
      </c>
      <c r="AE14" s="683">
        <v>1058410.08</v>
      </c>
      <c r="AF14" s="683">
        <v>1129047.45</v>
      </c>
      <c r="AG14" s="683">
        <v>1136091.8400000001</v>
      </c>
      <c r="AH14" s="683">
        <v>1128703.1100000001</v>
      </c>
      <c r="AI14" s="683">
        <v>1130569.2</v>
      </c>
      <c r="AJ14" s="683">
        <v>1129188.32</v>
      </c>
      <c r="AK14" s="683">
        <v>1131689.19</v>
      </c>
    </row>
    <row r="15" spans="1:37">
      <c r="A15" s="636" t="s">
        <v>1074</v>
      </c>
      <c r="B15" s="676" t="s">
        <v>1080</v>
      </c>
      <c r="C15" s="677" t="s">
        <v>1081</v>
      </c>
      <c r="D15" s="670">
        <v>9634.7000000000007</v>
      </c>
      <c r="E15" s="678">
        <v>24070.12</v>
      </c>
      <c r="F15" s="670">
        <f>D15-E15</f>
        <v>-14435.419999999998</v>
      </c>
      <c r="G15" s="669"/>
      <c r="H15" s="670">
        <v>206655.95</v>
      </c>
      <c r="I15" s="678">
        <v>288841.65999999997</v>
      </c>
      <c r="J15" s="670">
        <f>H15-I15</f>
        <v>-82185.709999999963</v>
      </c>
      <c r="K15" s="669"/>
      <c r="L15" s="670">
        <v>288841.65999999997</v>
      </c>
      <c r="M15" s="669"/>
      <c r="N15" s="670">
        <f>H15+L15</f>
        <v>495497.61</v>
      </c>
      <c r="O15" s="669"/>
      <c r="P15" s="670">
        <v>288841.65999999997</v>
      </c>
      <c r="Q15" s="671">
        <v>0.71546448666719398</v>
      </c>
      <c r="R15" s="670">
        <f>P15-N15</f>
        <v>-206655.95</v>
      </c>
      <c r="S15" s="679" t="str">
        <f>IF(P15-N15&lt;0,"F","U")</f>
        <v>F</v>
      </c>
      <c r="T15" s="680">
        <f>IFERROR($R15/$P15,0)</f>
        <v>-0.71546448666719342</v>
      </c>
      <c r="U15" s="681"/>
      <c r="V15" s="682" t="s">
        <v>1077</v>
      </c>
      <c r="W15" t="s">
        <v>439</v>
      </c>
      <c r="X15" s="682" t="s">
        <v>1082</v>
      </c>
      <c r="Y15" s="682" t="s">
        <v>1083</v>
      </c>
      <c r="Z15" s="683">
        <v>24118.22</v>
      </c>
      <c r="AA15" s="683">
        <v>22077.51</v>
      </c>
      <c r="AB15" s="683">
        <v>18956.740000000002</v>
      </c>
      <c r="AC15" s="683">
        <v>26532.54</v>
      </c>
      <c r="AD15" s="683">
        <v>0</v>
      </c>
      <c r="AE15" s="683">
        <v>9426.2099999999991</v>
      </c>
      <c r="AF15" s="683">
        <v>16812.240000000002</v>
      </c>
      <c r="AG15" s="683">
        <v>8017.69</v>
      </c>
      <c r="AH15" s="683">
        <v>17766.560000000001</v>
      </c>
      <c r="AI15" s="683">
        <v>31834.17</v>
      </c>
      <c r="AJ15" s="683">
        <v>21479.37</v>
      </c>
      <c r="AK15" s="683">
        <v>9634.7000000000007</v>
      </c>
    </row>
    <row r="16" spans="1:37">
      <c r="A16" s="636" t="s">
        <v>1074</v>
      </c>
      <c r="B16" s="676" t="s">
        <v>1084</v>
      </c>
      <c r="C16" s="677" t="s">
        <v>1085</v>
      </c>
      <c r="D16" s="670">
        <v>101002.14</v>
      </c>
      <c r="E16" s="678">
        <v>0</v>
      </c>
      <c r="F16" s="670">
        <f>D16-E16</f>
        <v>101002.14</v>
      </c>
      <c r="G16" s="669"/>
      <c r="H16" s="670">
        <v>101002.14</v>
      </c>
      <c r="I16" s="678">
        <v>0</v>
      </c>
      <c r="J16" s="670">
        <f>H16-I16</f>
        <v>101002.14</v>
      </c>
      <c r="K16" s="669"/>
      <c r="L16" s="670">
        <v>0</v>
      </c>
      <c r="M16" s="669"/>
      <c r="N16" s="670">
        <f>H16+L16</f>
        <v>101002.14</v>
      </c>
      <c r="O16" s="669"/>
      <c r="P16" s="670">
        <v>0</v>
      </c>
      <c r="Q16" s="671">
        <v>0</v>
      </c>
      <c r="R16" s="670">
        <f>P16-N16</f>
        <v>-101002.14</v>
      </c>
      <c r="S16" s="679" t="str">
        <f>IF(P16-N16&lt;0,"F","U")</f>
        <v>F</v>
      </c>
      <c r="T16" s="680">
        <f>IFERROR($R16/$P16,0)</f>
        <v>0</v>
      </c>
      <c r="U16" s="681"/>
      <c r="V16" s="682" t="s">
        <v>1077</v>
      </c>
      <c r="W16" t="s">
        <v>439</v>
      </c>
      <c r="X16" s="682" t="s">
        <v>1086</v>
      </c>
      <c r="Y16" s="682" t="s">
        <v>1087</v>
      </c>
      <c r="Z16" s="683">
        <v>0</v>
      </c>
      <c r="AA16" s="683">
        <v>0</v>
      </c>
      <c r="AB16" s="683">
        <v>0</v>
      </c>
      <c r="AC16" s="683">
        <v>0</v>
      </c>
      <c r="AD16" s="683">
        <v>0</v>
      </c>
      <c r="AE16" s="683">
        <v>0</v>
      </c>
      <c r="AF16" s="683">
        <v>0</v>
      </c>
      <c r="AG16" s="683">
        <v>0</v>
      </c>
      <c r="AH16" s="683">
        <v>0</v>
      </c>
      <c r="AI16" s="683">
        <v>0</v>
      </c>
      <c r="AJ16" s="683">
        <v>0</v>
      </c>
      <c r="AK16" s="683">
        <v>101002.14</v>
      </c>
    </row>
    <row r="17" spans="1:37" ht="30">
      <c r="A17" s="636" t="s">
        <v>1074</v>
      </c>
      <c r="B17" s="676" t="s">
        <v>1088</v>
      </c>
      <c r="C17" s="677" t="s">
        <v>1089</v>
      </c>
      <c r="D17" s="670">
        <v>0</v>
      </c>
      <c r="E17" s="678">
        <v>0</v>
      </c>
      <c r="F17" s="670">
        <f>D17-E17</f>
        <v>0</v>
      </c>
      <c r="G17" s="669"/>
      <c r="H17" s="670">
        <v>-2984057.85</v>
      </c>
      <c r="I17" s="678">
        <v>0</v>
      </c>
      <c r="J17" s="670">
        <f>H17-I17</f>
        <v>-2984057.85</v>
      </c>
      <c r="K17" s="669"/>
      <c r="L17" s="670">
        <v>0</v>
      </c>
      <c r="M17" s="669"/>
      <c r="N17" s="670">
        <f>H17+L17</f>
        <v>-2984057.85</v>
      </c>
      <c r="O17" s="669"/>
      <c r="P17" s="670">
        <v>0</v>
      </c>
      <c r="Q17" s="671">
        <v>0</v>
      </c>
      <c r="R17" s="670">
        <f>P17-N17</f>
        <v>2984057.85</v>
      </c>
      <c r="S17" s="679" t="str">
        <f>IF(P17-N17&lt;0,"F","U")</f>
        <v>U</v>
      </c>
      <c r="T17" s="680">
        <f>IFERROR($R17/$P17,0)</f>
        <v>0</v>
      </c>
      <c r="U17" s="681"/>
      <c r="V17" s="682" t="s">
        <v>1077</v>
      </c>
      <c r="W17" t="s">
        <v>439</v>
      </c>
      <c r="X17" s="682" t="s">
        <v>1078</v>
      </c>
      <c r="Y17" s="682" t="s">
        <v>1090</v>
      </c>
      <c r="Z17" s="683">
        <v>-2984057.85</v>
      </c>
      <c r="AA17" s="683">
        <v>0</v>
      </c>
      <c r="AB17" s="683">
        <v>0</v>
      </c>
      <c r="AC17" s="683">
        <v>0</v>
      </c>
      <c r="AD17" s="683">
        <v>0</v>
      </c>
      <c r="AE17" s="683">
        <v>0</v>
      </c>
      <c r="AF17" s="683">
        <v>0</v>
      </c>
      <c r="AG17" s="683">
        <v>0</v>
      </c>
      <c r="AH17" s="683">
        <v>0</v>
      </c>
      <c r="AI17" s="683">
        <v>0</v>
      </c>
      <c r="AJ17" s="683">
        <v>0</v>
      </c>
      <c r="AK17" s="683">
        <v>0</v>
      </c>
    </row>
    <row r="18" spans="1:37">
      <c r="A18" s="636" t="s">
        <v>1036</v>
      </c>
      <c r="B18" s="664"/>
      <c r="C18" s="677"/>
      <c r="D18" s="684"/>
      <c r="E18" s="684"/>
      <c r="F18" s="684"/>
      <c r="G18" s="669"/>
      <c r="H18" s="684"/>
      <c r="I18" s="684"/>
      <c r="J18" s="684"/>
      <c r="K18" s="669"/>
      <c r="L18" s="684"/>
      <c r="M18" s="669"/>
      <c r="N18" s="684"/>
      <c r="O18" s="669"/>
      <c r="P18" s="684"/>
      <c r="Q18" s="685"/>
      <c r="R18" s="684"/>
      <c r="S18" s="686"/>
      <c r="T18" s="687"/>
      <c r="U18" s="681"/>
      <c r="Z18" s="688"/>
      <c r="AA18" s="688"/>
      <c r="AB18" s="688"/>
      <c r="AC18" s="688"/>
      <c r="AD18" s="688"/>
      <c r="AE18" s="688"/>
      <c r="AF18" s="688"/>
      <c r="AG18" s="688"/>
      <c r="AH18" s="688"/>
      <c r="AI18" s="688"/>
      <c r="AJ18" s="688"/>
      <c r="AK18" s="688"/>
    </row>
    <row r="19" spans="1:37">
      <c r="A19" s="636" t="s">
        <v>1036</v>
      </c>
      <c r="B19" s="689"/>
      <c r="C19" s="690" t="s">
        <v>1091</v>
      </c>
      <c r="D19" s="691">
        <f>SUBTOTAL(9,D14:D18)</f>
        <v>1242326.0299999998</v>
      </c>
      <c r="E19" s="691">
        <f>SUBTOTAL(9,E14:E18)</f>
        <v>1150382.3400000001</v>
      </c>
      <c r="F19" s="691">
        <f>SUBTOTAL(9,F14:F18)</f>
        <v>91943.689999999973</v>
      </c>
      <c r="G19" s="692"/>
      <c r="H19" s="691">
        <f>SUBTOTAL(9,H14:H18)</f>
        <v>10820896.75</v>
      </c>
      <c r="I19" s="691">
        <f>SUBTOTAL(9,I14:I18)</f>
        <v>13804588.960000001</v>
      </c>
      <c r="J19" s="691">
        <f>SUBTOTAL(9,J14:J18)</f>
        <v>-2983692.2100000009</v>
      </c>
      <c r="K19" s="692"/>
      <c r="L19" s="691">
        <f>SUBTOTAL(9,L14:L18)</f>
        <v>13804588.960000001</v>
      </c>
      <c r="M19" s="692"/>
      <c r="N19" s="691">
        <f>SUBTOTAL(9,N14:N18)</f>
        <v>24625485.710000001</v>
      </c>
      <c r="O19" s="692"/>
      <c r="P19" s="691">
        <f>SUBTOTAL(9,P14:P18)</f>
        <v>13804588.960000001</v>
      </c>
      <c r="Q19" s="693">
        <f>IFERROR($H19/$P19,0)</f>
        <v>0.78386229255753226</v>
      </c>
      <c r="R19" s="691">
        <f>SUBTOTAL(9,R14:R18)</f>
        <v>-10820896.750000002</v>
      </c>
      <c r="S19" s="679" t="str">
        <f>IF(P19-N19&lt;0,"F","U")</f>
        <v>F</v>
      </c>
      <c r="T19" s="680">
        <f>IFERROR($R19/$P19,0)</f>
        <v>-0.78386229255753237</v>
      </c>
      <c r="U19" s="694"/>
      <c r="Z19" s="695">
        <f t="shared" ref="Z19:AK19" si="0">SUBTOTAL(9,Z14:Z18)</f>
        <v>-1829370.59</v>
      </c>
      <c r="AA19" s="695">
        <f t="shared" si="0"/>
        <v>1152083.22</v>
      </c>
      <c r="AB19" s="695">
        <f t="shared" si="0"/>
        <v>1161646.18</v>
      </c>
      <c r="AC19" s="695">
        <f t="shared" si="0"/>
        <v>1144843.46</v>
      </c>
      <c r="AD19" s="695">
        <f t="shared" si="0"/>
        <v>1132022.21</v>
      </c>
      <c r="AE19" s="695">
        <f t="shared" si="0"/>
        <v>1067836.29</v>
      </c>
      <c r="AF19" s="695">
        <f t="shared" si="0"/>
        <v>1145859.69</v>
      </c>
      <c r="AG19" s="695">
        <f t="shared" si="0"/>
        <v>1144109.53</v>
      </c>
      <c r="AH19" s="695">
        <f t="shared" si="0"/>
        <v>1146469.6700000002</v>
      </c>
      <c r="AI19" s="695">
        <f t="shared" si="0"/>
        <v>1162403.3699999999</v>
      </c>
      <c r="AJ19" s="695">
        <f t="shared" si="0"/>
        <v>1150667.6900000002</v>
      </c>
      <c r="AK19" s="695">
        <f t="shared" si="0"/>
        <v>1242326.0299999998</v>
      </c>
    </row>
    <row r="20" spans="1:37">
      <c r="A20" s="636" t="s">
        <v>1043</v>
      </c>
      <c r="B20" s="664"/>
      <c r="C20" s="677"/>
      <c r="D20" s="670"/>
      <c r="E20" s="670"/>
      <c r="F20" s="670"/>
      <c r="G20" s="669"/>
      <c r="H20" s="670"/>
      <c r="I20" s="670"/>
      <c r="J20" s="670"/>
      <c r="K20" s="669"/>
      <c r="L20" s="670"/>
      <c r="M20" s="669"/>
      <c r="N20" s="670"/>
      <c r="O20" s="669"/>
      <c r="P20" s="670"/>
      <c r="Q20" s="671"/>
      <c r="R20" s="670"/>
      <c r="S20" s="679"/>
      <c r="T20" s="673"/>
      <c r="U20" s="681"/>
      <c r="Z20" s="683"/>
      <c r="AA20" s="683"/>
      <c r="AB20" s="683"/>
      <c r="AC20" s="683"/>
      <c r="AD20" s="683"/>
      <c r="AE20" s="683"/>
      <c r="AF20" s="683"/>
      <c r="AG20" s="683"/>
      <c r="AH20" s="683"/>
      <c r="AI20" s="683"/>
      <c r="AJ20" s="683"/>
      <c r="AK20" s="683"/>
    </row>
    <row r="21" spans="1:37">
      <c r="A21" s="636" t="s">
        <v>1074</v>
      </c>
      <c r="B21" s="676" t="s">
        <v>1092</v>
      </c>
      <c r="C21" s="677" t="s">
        <v>1093</v>
      </c>
      <c r="D21" s="670">
        <v>620473.77</v>
      </c>
      <c r="E21" s="670">
        <v>604536.32999999996</v>
      </c>
      <c r="F21" s="670">
        <f t="shared" ref="F21:F38" si="1">E21-D21</f>
        <v>-15937.440000000061</v>
      </c>
      <c r="G21" s="669"/>
      <c r="H21" s="670">
        <v>7448815.54</v>
      </c>
      <c r="I21" s="670">
        <v>7254436.6200000001</v>
      </c>
      <c r="J21" s="670">
        <f t="shared" ref="J21:J38" si="2">I21-H21</f>
        <v>-194378.91999999993</v>
      </c>
      <c r="K21" s="669"/>
      <c r="L21" s="670">
        <v>7254436.6200000001</v>
      </c>
      <c r="M21" s="669"/>
      <c r="N21" s="670">
        <f t="shared" ref="N21:N38" si="3">H21+L21</f>
        <v>14703252.16</v>
      </c>
      <c r="O21" s="669"/>
      <c r="P21" s="670">
        <v>7254436.6200000001</v>
      </c>
      <c r="Q21" s="671">
        <v>1.0267944886945599</v>
      </c>
      <c r="R21" s="670">
        <f t="shared" ref="R21:R38" si="4">P21-N21</f>
        <v>-7448815.54</v>
      </c>
      <c r="S21" s="679" t="str">
        <f t="shared" ref="S21:S38" si="5">IF(P21-N21&gt;0,"F","U")</f>
        <v>U</v>
      </c>
      <c r="T21" s="680">
        <f t="shared" ref="T21:T38" si="6">-IFERROR($R21/$P21,0)</f>
        <v>1.026794488694561</v>
      </c>
      <c r="U21" s="681"/>
      <c r="V21" s="682" t="s">
        <v>1094</v>
      </c>
      <c r="W21" t="s">
        <v>439</v>
      </c>
      <c r="X21" s="682" t="s">
        <v>1082</v>
      </c>
      <c r="Y21" s="682" t="s">
        <v>1095</v>
      </c>
      <c r="Z21" s="683">
        <v>619377.63</v>
      </c>
      <c r="AA21" s="683">
        <v>625415.91</v>
      </c>
      <c r="AB21" s="683">
        <v>606682.85</v>
      </c>
      <c r="AC21" s="683">
        <v>627500.82999999996</v>
      </c>
      <c r="AD21" s="683">
        <v>611841.69999999995</v>
      </c>
      <c r="AE21" s="683">
        <v>632657.61</v>
      </c>
      <c r="AF21" s="683">
        <v>635427.9</v>
      </c>
      <c r="AG21" s="683">
        <v>574490.94999999995</v>
      </c>
      <c r="AH21" s="683">
        <v>637107.67000000004</v>
      </c>
      <c r="AI21" s="683">
        <v>617433.73</v>
      </c>
      <c r="AJ21" s="683">
        <v>640404.99</v>
      </c>
      <c r="AK21" s="683">
        <v>620473.77</v>
      </c>
    </row>
    <row r="22" spans="1:37">
      <c r="A22" s="636" t="s">
        <v>1074</v>
      </c>
      <c r="B22" s="676" t="s">
        <v>1096</v>
      </c>
      <c r="C22" s="677" t="s">
        <v>1097</v>
      </c>
      <c r="D22" s="670">
        <v>1389.86</v>
      </c>
      <c r="E22" s="670">
        <v>0</v>
      </c>
      <c r="F22" s="670">
        <f t="shared" si="1"/>
        <v>-1389.86</v>
      </c>
      <c r="G22" s="669"/>
      <c r="H22" s="670">
        <v>15346.77</v>
      </c>
      <c r="I22" s="670">
        <v>0</v>
      </c>
      <c r="J22" s="670">
        <f t="shared" si="2"/>
        <v>-15346.77</v>
      </c>
      <c r="K22" s="669"/>
      <c r="L22" s="670">
        <v>0</v>
      </c>
      <c r="M22" s="669"/>
      <c r="N22" s="670">
        <f t="shared" si="3"/>
        <v>15346.77</v>
      </c>
      <c r="O22" s="669"/>
      <c r="P22" s="670">
        <v>0</v>
      </c>
      <c r="Q22" s="671">
        <v>0</v>
      </c>
      <c r="R22" s="670">
        <f t="shared" si="4"/>
        <v>-15346.77</v>
      </c>
      <c r="S22" s="679" t="str">
        <f t="shared" si="5"/>
        <v>U</v>
      </c>
      <c r="T22" s="680">
        <f t="shared" si="6"/>
        <v>0</v>
      </c>
      <c r="U22" s="681"/>
      <c r="V22" s="682" t="s">
        <v>1094</v>
      </c>
      <c r="W22" t="s">
        <v>439</v>
      </c>
      <c r="X22" s="682" t="s">
        <v>1098</v>
      </c>
      <c r="Y22" s="682" t="s">
        <v>1099</v>
      </c>
      <c r="Z22" s="683">
        <v>598.69000000000005</v>
      </c>
      <c r="AA22" s="683">
        <v>1362.19</v>
      </c>
      <c r="AB22" s="683">
        <v>1318.24</v>
      </c>
      <c r="AC22" s="683">
        <v>1362.19</v>
      </c>
      <c r="AD22" s="683">
        <v>1318.24</v>
      </c>
      <c r="AE22" s="683">
        <v>1362.19</v>
      </c>
      <c r="AF22" s="683">
        <v>1362.19</v>
      </c>
      <c r="AG22" s="683">
        <v>1230.3599999999999</v>
      </c>
      <c r="AH22" s="683">
        <v>1362.19</v>
      </c>
      <c r="AI22" s="683">
        <v>1318.24</v>
      </c>
      <c r="AJ22" s="683">
        <v>1362.19</v>
      </c>
      <c r="AK22" s="683">
        <v>1389.86</v>
      </c>
    </row>
    <row r="23" spans="1:37">
      <c r="A23" s="636" t="s">
        <v>1074</v>
      </c>
      <c r="B23" s="676" t="s">
        <v>1100</v>
      </c>
      <c r="C23" s="677" t="s">
        <v>1101</v>
      </c>
      <c r="D23" s="670">
        <v>0</v>
      </c>
      <c r="E23" s="670">
        <v>0</v>
      </c>
      <c r="F23" s="670">
        <f t="shared" si="1"/>
        <v>0</v>
      </c>
      <c r="G23" s="669"/>
      <c r="H23" s="670">
        <v>-0.63</v>
      </c>
      <c r="I23" s="670">
        <v>0</v>
      </c>
      <c r="J23" s="670">
        <f t="shared" si="2"/>
        <v>0.63</v>
      </c>
      <c r="K23" s="669"/>
      <c r="L23" s="670">
        <v>0</v>
      </c>
      <c r="M23" s="669"/>
      <c r="N23" s="670">
        <f t="shared" si="3"/>
        <v>-0.63</v>
      </c>
      <c r="O23" s="669"/>
      <c r="P23" s="670">
        <v>0</v>
      </c>
      <c r="Q23" s="671">
        <v>0</v>
      </c>
      <c r="R23" s="670">
        <f t="shared" si="4"/>
        <v>0.63</v>
      </c>
      <c r="S23" s="679" t="str">
        <f t="shared" si="5"/>
        <v>F</v>
      </c>
      <c r="T23" s="680">
        <f t="shared" si="6"/>
        <v>0</v>
      </c>
      <c r="U23" s="681"/>
      <c r="V23" s="682" t="s">
        <v>1094</v>
      </c>
      <c r="W23" t="s">
        <v>439</v>
      </c>
      <c r="X23" s="682" t="s">
        <v>1086</v>
      </c>
      <c r="Y23" s="682" t="s">
        <v>1102</v>
      </c>
      <c r="Z23" s="683">
        <v>0</v>
      </c>
      <c r="AA23" s="683">
        <v>0</v>
      </c>
      <c r="AB23" s="683">
        <v>35.479999999999997</v>
      </c>
      <c r="AC23" s="683">
        <v>0</v>
      </c>
      <c r="AD23" s="683">
        <v>16.52</v>
      </c>
      <c r="AE23" s="683">
        <v>912.75</v>
      </c>
      <c r="AF23" s="683">
        <v>-965.38</v>
      </c>
      <c r="AG23" s="683">
        <v>0</v>
      </c>
      <c r="AH23" s="683">
        <v>0</v>
      </c>
      <c r="AI23" s="683">
        <v>0</v>
      </c>
      <c r="AJ23" s="683">
        <v>0</v>
      </c>
      <c r="AK23" s="683">
        <v>0</v>
      </c>
    </row>
    <row r="24" spans="1:37">
      <c r="A24" s="636" t="s">
        <v>1074</v>
      </c>
      <c r="B24" s="676" t="s">
        <v>1103</v>
      </c>
      <c r="C24" s="677" t="s">
        <v>1104</v>
      </c>
      <c r="D24" s="670">
        <v>74194.289999999994</v>
      </c>
      <c r="E24" s="670">
        <v>29500</v>
      </c>
      <c r="F24" s="670">
        <f t="shared" si="1"/>
        <v>-44694.289999999994</v>
      </c>
      <c r="G24" s="669"/>
      <c r="H24" s="670">
        <v>413745.49</v>
      </c>
      <c r="I24" s="670">
        <v>354000</v>
      </c>
      <c r="J24" s="670">
        <f t="shared" si="2"/>
        <v>-59745.489999999991</v>
      </c>
      <c r="K24" s="669"/>
      <c r="L24" s="670">
        <v>354000</v>
      </c>
      <c r="M24" s="669"/>
      <c r="N24" s="670">
        <f t="shared" si="3"/>
        <v>767745.49</v>
      </c>
      <c r="O24" s="669"/>
      <c r="P24" s="670">
        <v>354000</v>
      </c>
      <c r="Q24" s="671">
        <v>1.16877257062147</v>
      </c>
      <c r="R24" s="670">
        <f t="shared" si="4"/>
        <v>-413745.49</v>
      </c>
      <c r="S24" s="679" t="str">
        <f t="shared" si="5"/>
        <v>U</v>
      </c>
      <c r="T24" s="680">
        <f t="shared" si="6"/>
        <v>1.1687725706214689</v>
      </c>
      <c r="U24" s="681"/>
      <c r="V24" s="682" t="s">
        <v>1094</v>
      </c>
      <c r="W24" t="s">
        <v>439</v>
      </c>
      <c r="X24" s="682" t="s">
        <v>1082</v>
      </c>
      <c r="Y24" s="682" t="s">
        <v>1105</v>
      </c>
      <c r="Z24" s="683">
        <v>29500.01</v>
      </c>
      <c r="AA24" s="683">
        <v>29500</v>
      </c>
      <c r="AB24" s="683">
        <v>29500</v>
      </c>
      <c r="AC24" s="683">
        <v>29500</v>
      </c>
      <c r="AD24" s="683">
        <v>29500</v>
      </c>
      <c r="AE24" s="683">
        <v>29500</v>
      </c>
      <c r="AF24" s="683">
        <v>29500</v>
      </c>
      <c r="AG24" s="683">
        <v>40446.32</v>
      </c>
      <c r="AH24" s="683">
        <v>30868.29</v>
      </c>
      <c r="AI24" s="683">
        <v>30868.29</v>
      </c>
      <c r="AJ24" s="683">
        <v>30868.29</v>
      </c>
      <c r="AK24" s="683">
        <v>74194.289999999994</v>
      </c>
    </row>
    <row r="25" spans="1:37">
      <c r="A25" s="636" t="s">
        <v>1074</v>
      </c>
      <c r="B25" s="676" t="s">
        <v>1106</v>
      </c>
      <c r="C25" s="677" t="s">
        <v>1107</v>
      </c>
      <c r="D25" s="670">
        <v>1367.99</v>
      </c>
      <c r="E25" s="670">
        <v>4874.78</v>
      </c>
      <c r="F25" s="670">
        <f t="shared" si="1"/>
        <v>3506.79</v>
      </c>
      <c r="G25" s="669"/>
      <c r="H25" s="670">
        <v>11347.28</v>
      </c>
      <c r="I25" s="670">
        <v>58500</v>
      </c>
      <c r="J25" s="670">
        <f t="shared" si="2"/>
        <v>47152.72</v>
      </c>
      <c r="K25" s="669"/>
      <c r="L25" s="670">
        <v>58500</v>
      </c>
      <c r="M25" s="669"/>
      <c r="N25" s="670">
        <f t="shared" si="3"/>
        <v>69847.28</v>
      </c>
      <c r="O25" s="669"/>
      <c r="P25" s="670">
        <v>58500</v>
      </c>
      <c r="Q25" s="671">
        <v>0.19397059829059801</v>
      </c>
      <c r="R25" s="670">
        <f t="shared" si="4"/>
        <v>-11347.279999999999</v>
      </c>
      <c r="S25" s="679" t="str">
        <f t="shared" si="5"/>
        <v>U</v>
      </c>
      <c r="T25" s="680">
        <f t="shared" si="6"/>
        <v>0.19397059829059826</v>
      </c>
      <c r="U25" s="681"/>
      <c r="V25" s="682" t="s">
        <v>1094</v>
      </c>
      <c r="W25" t="s">
        <v>439</v>
      </c>
      <c r="X25" s="682" t="s">
        <v>1078</v>
      </c>
      <c r="Y25" s="682" t="s">
        <v>1108</v>
      </c>
      <c r="Z25" s="683">
        <v>0</v>
      </c>
      <c r="AA25" s="683">
        <v>1917.62</v>
      </c>
      <c r="AB25" s="683">
        <v>780.21</v>
      </c>
      <c r="AC25" s="683">
        <v>1162.52</v>
      </c>
      <c r="AD25" s="683">
        <v>1739.19</v>
      </c>
      <c r="AE25" s="683">
        <v>512.73</v>
      </c>
      <c r="AF25" s="683">
        <v>204.07</v>
      </c>
      <c r="AG25" s="683">
        <v>661.54</v>
      </c>
      <c r="AH25" s="683">
        <v>1267.43</v>
      </c>
      <c r="AI25" s="683">
        <v>0</v>
      </c>
      <c r="AJ25" s="683">
        <v>1733.98</v>
      </c>
      <c r="AK25" s="683">
        <v>1367.99</v>
      </c>
    </row>
    <row r="26" spans="1:37">
      <c r="A26" s="636" t="s">
        <v>1074</v>
      </c>
      <c r="B26" s="676" t="s">
        <v>1109</v>
      </c>
      <c r="C26" s="677" t="s">
        <v>1110</v>
      </c>
      <c r="D26" s="670">
        <v>89301.81</v>
      </c>
      <c r="E26" s="670">
        <v>70917</v>
      </c>
      <c r="F26" s="670">
        <f t="shared" si="1"/>
        <v>-18384.809999999998</v>
      </c>
      <c r="G26" s="669"/>
      <c r="H26" s="670">
        <v>936359.42</v>
      </c>
      <c r="I26" s="670">
        <v>851400</v>
      </c>
      <c r="J26" s="670">
        <f t="shared" si="2"/>
        <v>-84959.420000000042</v>
      </c>
      <c r="K26" s="669"/>
      <c r="L26" s="670">
        <v>851400</v>
      </c>
      <c r="M26" s="669"/>
      <c r="N26" s="670">
        <f t="shared" si="3"/>
        <v>1787759.42</v>
      </c>
      <c r="O26" s="669"/>
      <c r="P26" s="670">
        <v>851400</v>
      </c>
      <c r="Q26" s="671">
        <v>1.0997879022785999</v>
      </c>
      <c r="R26" s="670">
        <f t="shared" si="4"/>
        <v>-936359.41999999993</v>
      </c>
      <c r="S26" s="679" t="str">
        <f t="shared" si="5"/>
        <v>U</v>
      </c>
      <c r="T26" s="680">
        <f t="shared" si="6"/>
        <v>1.0997879022785999</v>
      </c>
      <c r="U26" s="681"/>
      <c r="V26" s="682" t="s">
        <v>1094</v>
      </c>
      <c r="W26" t="s">
        <v>439</v>
      </c>
      <c r="X26" s="682" t="s">
        <v>1082</v>
      </c>
      <c r="Y26" s="682" t="s">
        <v>1111</v>
      </c>
      <c r="Z26" s="683">
        <v>89933.27</v>
      </c>
      <c r="AA26" s="683">
        <v>91595.33</v>
      </c>
      <c r="AB26" s="683">
        <v>82583.59</v>
      </c>
      <c r="AC26" s="683">
        <v>72602.350000000006</v>
      </c>
      <c r="AD26" s="683">
        <v>70917.39</v>
      </c>
      <c r="AE26" s="683">
        <v>74504.509999999995</v>
      </c>
      <c r="AF26" s="683">
        <v>57120.19</v>
      </c>
      <c r="AG26" s="683">
        <v>66026.25</v>
      </c>
      <c r="AH26" s="683">
        <v>76679.520000000004</v>
      </c>
      <c r="AI26" s="683">
        <v>81525.37</v>
      </c>
      <c r="AJ26" s="683">
        <v>83569.84</v>
      </c>
      <c r="AK26" s="683">
        <v>89301.81</v>
      </c>
    </row>
    <row r="27" spans="1:37">
      <c r="A27" s="636" t="s">
        <v>1074</v>
      </c>
      <c r="B27" s="676" t="s">
        <v>1112</v>
      </c>
      <c r="C27" s="677" t="s">
        <v>1113</v>
      </c>
      <c r="D27" s="670">
        <v>1079.3599999999999</v>
      </c>
      <c r="E27" s="670">
        <v>1124</v>
      </c>
      <c r="F27" s="670">
        <f t="shared" si="1"/>
        <v>44.6400000000001</v>
      </c>
      <c r="G27" s="669"/>
      <c r="H27" s="670">
        <v>12892.94</v>
      </c>
      <c r="I27" s="670">
        <v>13400</v>
      </c>
      <c r="J27" s="670">
        <f t="shared" si="2"/>
        <v>507.05999999999949</v>
      </c>
      <c r="K27" s="669"/>
      <c r="L27" s="670">
        <v>13400</v>
      </c>
      <c r="M27" s="669"/>
      <c r="N27" s="670">
        <f t="shared" si="3"/>
        <v>26292.940000000002</v>
      </c>
      <c r="O27" s="669"/>
      <c r="P27" s="670">
        <v>13400</v>
      </c>
      <c r="Q27" s="671">
        <v>0.96215970149253705</v>
      </c>
      <c r="R27" s="670">
        <f t="shared" si="4"/>
        <v>-12892.940000000002</v>
      </c>
      <c r="S27" s="679" t="str">
        <f t="shared" si="5"/>
        <v>U</v>
      </c>
      <c r="T27" s="680">
        <f t="shared" si="6"/>
        <v>0.96215970149253749</v>
      </c>
      <c r="U27" s="681"/>
      <c r="V27" s="682" t="s">
        <v>1094</v>
      </c>
      <c r="W27" t="s">
        <v>439</v>
      </c>
      <c r="X27" s="682" t="s">
        <v>1082</v>
      </c>
      <c r="Y27" s="682" t="s">
        <v>1114</v>
      </c>
      <c r="Z27" s="683">
        <v>1086.81</v>
      </c>
      <c r="AA27" s="683">
        <v>1086.81</v>
      </c>
      <c r="AB27" s="683">
        <v>1048.28</v>
      </c>
      <c r="AC27" s="683">
        <v>1073.96</v>
      </c>
      <c r="AD27" s="683">
        <v>1073.96</v>
      </c>
      <c r="AE27" s="683">
        <v>1073.96</v>
      </c>
      <c r="AF27" s="683">
        <v>1073.96</v>
      </c>
      <c r="AG27" s="683">
        <v>1073.96</v>
      </c>
      <c r="AH27" s="683">
        <v>1073.96</v>
      </c>
      <c r="AI27" s="683">
        <v>1073.96</v>
      </c>
      <c r="AJ27" s="683">
        <v>1073.96</v>
      </c>
      <c r="AK27" s="683">
        <v>1079.3599999999999</v>
      </c>
    </row>
    <row r="28" spans="1:37">
      <c r="A28" s="636" t="s">
        <v>1074</v>
      </c>
      <c r="B28" s="676" t="s">
        <v>1115</v>
      </c>
      <c r="C28" s="677" t="s">
        <v>1116</v>
      </c>
      <c r="D28" s="670">
        <v>7421.5</v>
      </c>
      <c r="E28" s="670">
        <v>7364</v>
      </c>
      <c r="F28" s="670">
        <f t="shared" si="1"/>
        <v>-57.5</v>
      </c>
      <c r="G28" s="669"/>
      <c r="H28" s="670">
        <v>89330.19</v>
      </c>
      <c r="I28" s="670">
        <v>88500</v>
      </c>
      <c r="J28" s="670">
        <f t="shared" si="2"/>
        <v>-830.19000000000233</v>
      </c>
      <c r="K28" s="669"/>
      <c r="L28" s="670">
        <v>88500</v>
      </c>
      <c r="M28" s="669"/>
      <c r="N28" s="670">
        <f t="shared" si="3"/>
        <v>177830.19</v>
      </c>
      <c r="O28" s="669"/>
      <c r="P28" s="670">
        <v>88500</v>
      </c>
      <c r="Q28" s="671">
        <v>1.0093806779661001</v>
      </c>
      <c r="R28" s="670">
        <f t="shared" si="4"/>
        <v>-89330.19</v>
      </c>
      <c r="S28" s="679" t="str">
        <f t="shared" si="5"/>
        <v>U</v>
      </c>
      <c r="T28" s="680">
        <f t="shared" si="6"/>
        <v>1.0093806779661016</v>
      </c>
      <c r="U28" s="681"/>
      <c r="V28" s="682" t="s">
        <v>1094</v>
      </c>
      <c r="W28" t="s">
        <v>439</v>
      </c>
      <c r="X28" s="682" t="s">
        <v>1082</v>
      </c>
      <c r="Y28" s="682" t="s">
        <v>1117</v>
      </c>
      <c r="Z28" s="683">
        <v>7253.42</v>
      </c>
      <c r="AA28" s="683">
        <v>7253.42</v>
      </c>
      <c r="AB28" s="683">
        <v>7893.77</v>
      </c>
      <c r="AC28" s="683">
        <v>7466.86</v>
      </c>
      <c r="AD28" s="683">
        <v>7353.46</v>
      </c>
      <c r="AE28" s="683">
        <v>7444.18</v>
      </c>
      <c r="AF28" s="683">
        <v>7444.18</v>
      </c>
      <c r="AG28" s="683">
        <v>7466.86</v>
      </c>
      <c r="AH28" s="683">
        <v>7444.18</v>
      </c>
      <c r="AI28" s="683">
        <v>7444.18</v>
      </c>
      <c r="AJ28" s="683">
        <v>7444.18</v>
      </c>
      <c r="AK28" s="683">
        <v>7421.5</v>
      </c>
    </row>
    <row r="29" spans="1:37">
      <c r="A29" s="636" t="s">
        <v>1074</v>
      </c>
      <c r="B29" s="676" t="s">
        <v>1118</v>
      </c>
      <c r="C29" s="677" t="s">
        <v>1119</v>
      </c>
      <c r="D29" s="670">
        <v>0</v>
      </c>
      <c r="E29" s="670">
        <v>0</v>
      </c>
      <c r="F29" s="670">
        <f t="shared" si="1"/>
        <v>0</v>
      </c>
      <c r="G29" s="669"/>
      <c r="H29" s="670">
        <v>1057.55</v>
      </c>
      <c r="I29" s="670">
        <v>0</v>
      </c>
      <c r="J29" s="670">
        <f t="shared" si="2"/>
        <v>-1057.55</v>
      </c>
      <c r="K29" s="669"/>
      <c r="L29" s="670">
        <v>0</v>
      </c>
      <c r="M29" s="669"/>
      <c r="N29" s="670">
        <f t="shared" si="3"/>
        <v>1057.55</v>
      </c>
      <c r="O29" s="669"/>
      <c r="P29" s="670">
        <v>0</v>
      </c>
      <c r="Q29" s="671">
        <v>0</v>
      </c>
      <c r="R29" s="670">
        <f t="shared" si="4"/>
        <v>-1057.55</v>
      </c>
      <c r="S29" s="679" t="str">
        <f t="shared" si="5"/>
        <v>U</v>
      </c>
      <c r="T29" s="680">
        <f t="shared" si="6"/>
        <v>0</v>
      </c>
      <c r="U29" s="681"/>
      <c r="V29" s="682" t="s">
        <v>1094</v>
      </c>
      <c r="W29" t="s">
        <v>439</v>
      </c>
      <c r="X29" s="682" t="s">
        <v>1078</v>
      </c>
      <c r="Y29" s="682" t="s">
        <v>1120</v>
      </c>
      <c r="Z29" s="683">
        <v>0</v>
      </c>
      <c r="AA29" s="683">
        <v>0</v>
      </c>
      <c r="AB29" s="683">
        <v>0</v>
      </c>
      <c r="AC29" s="683">
        <v>1057.55</v>
      </c>
      <c r="AD29" s="683">
        <v>0</v>
      </c>
      <c r="AE29" s="683">
        <v>0</v>
      </c>
      <c r="AF29" s="683">
        <v>0</v>
      </c>
      <c r="AG29" s="683">
        <v>0</v>
      </c>
      <c r="AH29" s="683">
        <v>0</v>
      </c>
      <c r="AI29" s="683">
        <v>0</v>
      </c>
      <c r="AJ29" s="683">
        <v>0</v>
      </c>
      <c r="AK29" s="683">
        <v>0</v>
      </c>
    </row>
    <row r="30" spans="1:37">
      <c r="A30" s="636" t="s">
        <v>1074</v>
      </c>
      <c r="B30" s="676" t="s">
        <v>1121</v>
      </c>
      <c r="C30" s="677" t="s">
        <v>1122</v>
      </c>
      <c r="D30" s="670">
        <v>0</v>
      </c>
      <c r="E30" s="670">
        <v>0</v>
      </c>
      <c r="F30" s="670">
        <f t="shared" si="1"/>
        <v>0</v>
      </c>
      <c r="G30" s="669"/>
      <c r="H30" s="670">
        <v>0</v>
      </c>
      <c r="I30" s="670">
        <v>0</v>
      </c>
      <c r="J30" s="670">
        <f t="shared" si="2"/>
        <v>0</v>
      </c>
      <c r="K30" s="669"/>
      <c r="L30" s="670">
        <v>0</v>
      </c>
      <c r="M30" s="669"/>
      <c r="N30" s="670">
        <f t="shared" si="3"/>
        <v>0</v>
      </c>
      <c r="O30" s="669"/>
      <c r="P30" s="670">
        <v>0</v>
      </c>
      <c r="Q30" s="671">
        <v>0</v>
      </c>
      <c r="R30" s="670">
        <f t="shared" si="4"/>
        <v>0</v>
      </c>
      <c r="S30" s="679" t="str">
        <f t="shared" si="5"/>
        <v>U</v>
      </c>
      <c r="T30" s="680">
        <f t="shared" si="6"/>
        <v>0</v>
      </c>
      <c r="U30" s="681"/>
      <c r="V30" s="682" t="s">
        <v>1094</v>
      </c>
      <c r="W30" t="s">
        <v>439</v>
      </c>
      <c r="X30" s="682" t="s">
        <v>1078</v>
      </c>
      <c r="Y30" s="682" t="s">
        <v>1123</v>
      </c>
      <c r="Z30" s="683">
        <v>0</v>
      </c>
      <c r="AA30" s="683">
        <v>0</v>
      </c>
      <c r="AB30" s="683">
        <v>0</v>
      </c>
      <c r="AC30" s="683">
        <v>6617.11</v>
      </c>
      <c r="AD30" s="683">
        <v>-6617.11</v>
      </c>
      <c r="AE30" s="683">
        <v>0</v>
      </c>
      <c r="AF30" s="683">
        <v>0</v>
      </c>
      <c r="AG30" s="683">
        <v>0</v>
      </c>
      <c r="AH30" s="683">
        <v>0</v>
      </c>
      <c r="AI30" s="683">
        <v>0</v>
      </c>
      <c r="AJ30" s="683">
        <v>0</v>
      </c>
      <c r="AK30" s="683">
        <v>0</v>
      </c>
    </row>
    <row r="31" spans="1:37">
      <c r="A31" s="636" t="s">
        <v>1074</v>
      </c>
      <c r="B31" s="676" t="s">
        <v>1124</v>
      </c>
      <c r="C31" s="677" t="s">
        <v>1125</v>
      </c>
      <c r="D31" s="670">
        <v>0</v>
      </c>
      <c r="E31" s="670">
        <v>0</v>
      </c>
      <c r="F31" s="670">
        <f t="shared" si="1"/>
        <v>0</v>
      </c>
      <c r="G31" s="669"/>
      <c r="H31" s="670">
        <v>0</v>
      </c>
      <c r="I31" s="670">
        <v>0</v>
      </c>
      <c r="J31" s="670">
        <f t="shared" si="2"/>
        <v>0</v>
      </c>
      <c r="K31" s="669"/>
      <c r="L31" s="670">
        <v>0</v>
      </c>
      <c r="M31" s="669"/>
      <c r="N31" s="670">
        <f t="shared" si="3"/>
        <v>0</v>
      </c>
      <c r="O31" s="669"/>
      <c r="P31" s="670">
        <v>0</v>
      </c>
      <c r="Q31" s="671">
        <v>0</v>
      </c>
      <c r="R31" s="670">
        <f t="shared" si="4"/>
        <v>0</v>
      </c>
      <c r="S31" s="679" t="str">
        <f t="shared" si="5"/>
        <v>U</v>
      </c>
      <c r="T31" s="680">
        <f t="shared" si="6"/>
        <v>0</v>
      </c>
      <c r="U31" s="681"/>
      <c r="V31" s="682" t="s">
        <v>1094</v>
      </c>
      <c r="W31" t="s">
        <v>439</v>
      </c>
      <c r="X31" s="682" t="s">
        <v>1078</v>
      </c>
      <c r="Y31" s="682" t="s">
        <v>1126</v>
      </c>
      <c r="Z31" s="683">
        <v>927.2</v>
      </c>
      <c r="AA31" s="683">
        <v>927.2</v>
      </c>
      <c r="AB31" s="683">
        <v>927.2</v>
      </c>
      <c r="AC31" s="683">
        <v>927.2</v>
      </c>
      <c r="AD31" s="683">
        <v>-3708.8</v>
      </c>
      <c r="AE31" s="683">
        <v>0</v>
      </c>
      <c r="AF31" s="683">
        <v>0</v>
      </c>
      <c r="AG31" s="683">
        <v>0</v>
      </c>
      <c r="AH31" s="683">
        <v>0</v>
      </c>
      <c r="AI31" s="683">
        <v>0</v>
      </c>
      <c r="AJ31" s="683">
        <v>0</v>
      </c>
      <c r="AK31" s="683">
        <v>0</v>
      </c>
    </row>
    <row r="32" spans="1:37">
      <c r="A32" s="636" t="s">
        <v>1074</v>
      </c>
      <c r="B32" s="676" t="s">
        <v>1127</v>
      </c>
      <c r="C32" s="677" t="s">
        <v>1128</v>
      </c>
      <c r="D32" s="670">
        <v>469818.4</v>
      </c>
      <c r="E32" s="670">
        <v>356841.74</v>
      </c>
      <c r="F32" s="670">
        <f t="shared" si="1"/>
        <v>-112976.66000000003</v>
      </c>
      <c r="G32" s="669"/>
      <c r="H32" s="670">
        <v>4471243.87</v>
      </c>
      <c r="I32" s="670">
        <v>4282100</v>
      </c>
      <c r="J32" s="670">
        <f t="shared" si="2"/>
        <v>-189143.87000000011</v>
      </c>
      <c r="K32" s="669"/>
      <c r="L32" s="670">
        <v>4282100</v>
      </c>
      <c r="M32" s="669"/>
      <c r="N32" s="670">
        <f t="shared" si="3"/>
        <v>8753343.870000001</v>
      </c>
      <c r="O32" s="669"/>
      <c r="P32" s="670">
        <v>4282100</v>
      </c>
      <c r="Q32" s="671">
        <v>1.04417082039186</v>
      </c>
      <c r="R32" s="670">
        <f t="shared" si="4"/>
        <v>-4471243.870000001</v>
      </c>
      <c r="S32" s="679" t="str">
        <f t="shared" si="5"/>
        <v>U</v>
      </c>
      <c r="T32" s="680">
        <f t="shared" si="6"/>
        <v>1.044170820391864</v>
      </c>
      <c r="U32" s="681"/>
      <c r="V32" s="682" t="s">
        <v>1094</v>
      </c>
      <c r="W32" t="s">
        <v>439</v>
      </c>
      <c r="X32" s="682" t="s">
        <v>1082</v>
      </c>
      <c r="Y32" s="682" t="s">
        <v>1129</v>
      </c>
      <c r="Z32" s="683">
        <v>358828.53</v>
      </c>
      <c r="AA32" s="683">
        <v>316481.44</v>
      </c>
      <c r="AB32" s="683">
        <v>377433.19</v>
      </c>
      <c r="AC32" s="683">
        <v>378037.06</v>
      </c>
      <c r="AD32" s="683">
        <v>448250.76</v>
      </c>
      <c r="AE32" s="683">
        <v>352975.34</v>
      </c>
      <c r="AF32" s="683">
        <v>282053.39</v>
      </c>
      <c r="AG32" s="683">
        <v>348820.71</v>
      </c>
      <c r="AH32" s="683">
        <v>377398.39</v>
      </c>
      <c r="AI32" s="683">
        <v>367776.52</v>
      </c>
      <c r="AJ32" s="683">
        <v>393370.14</v>
      </c>
      <c r="AK32" s="683">
        <v>469818.4</v>
      </c>
    </row>
    <row r="33" spans="1:37">
      <c r="A33" s="636" t="s">
        <v>1074</v>
      </c>
      <c r="B33" s="676" t="s">
        <v>1130</v>
      </c>
      <c r="C33" s="677" t="s">
        <v>1131</v>
      </c>
      <c r="D33" s="670">
        <v>190196.78</v>
      </c>
      <c r="E33" s="670">
        <v>136258.26</v>
      </c>
      <c r="F33" s="670">
        <f t="shared" si="1"/>
        <v>-53938.51999999999</v>
      </c>
      <c r="G33" s="669"/>
      <c r="H33" s="670">
        <v>1663637.69</v>
      </c>
      <c r="I33" s="670">
        <v>1635100</v>
      </c>
      <c r="J33" s="670">
        <f t="shared" si="2"/>
        <v>-28537.689999999944</v>
      </c>
      <c r="K33" s="669"/>
      <c r="L33" s="670">
        <v>1635100</v>
      </c>
      <c r="M33" s="669"/>
      <c r="N33" s="670">
        <f t="shared" si="3"/>
        <v>3298737.69</v>
      </c>
      <c r="O33" s="669"/>
      <c r="P33" s="670">
        <v>1635100</v>
      </c>
      <c r="Q33" s="671">
        <v>1.01745317717571</v>
      </c>
      <c r="R33" s="670">
        <f t="shared" si="4"/>
        <v>-1663637.69</v>
      </c>
      <c r="S33" s="679" t="str">
        <f t="shared" si="5"/>
        <v>U</v>
      </c>
      <c r="T33" s="680">
        <f t="shared" si="6"/>
        <v>1.0174531771757078</v>
      </c>
      <c r="U33" s="681"/>
      <c r="V33" s="682" t="s">
        <v>1094</v>
      </c>
      <c r="W33" t="s">
        <v>439</v>
      </c>
      <c r="X33" s="682" t="s">
        <v>1082</v>
      </c>
      <c r="Y33" s="682" t="s">
        <v>1132</v>
      </c>
      <c r="Z33" s="683">
        <v>156391.16</v>
      </c>
      <c r="AA33" s="683">
        <v>162487.57</v>
      </c>
      <c r="AB33" s="683">
        <v>161920.64000000001</v>
      </c>
      <c r="AC33" s="683">
        <v>133402.82999999999</v>
      </c>
      <c r="AD33" s="683">
        <v>108801.02</v>
      </c>
      <c r="AE33" s="683">
        <v>116452.99</v>
      </c>
      <c r="AF33" s="683">
        <v>123171.95</v>
      </c>
      <c r="AG33" s="683">
        <v>112769.28</v>
      </c>
      <c r="AH33" s="683">
        <v>134796.5</v>
      </c>
      <c r="AI33" s="683">
        <v>142873.10999999999</v>
      </c>
      <c r="AJ33" s="683">
        <v>120373.86</v>
      </c>
      <c r="AK33" s="683">
        <v>190196.78</v>
      </c>
    </row>
    <row r="34" spans="1:37">
      <c r="A34" s="636" t="s">
        <v>1074</v>
      </c>
      <c r="B34" s="676" t="s">
        <v>1133</v>
      </c>
      <c r="C34" s="677" t="s">
        <v>1134</v>
      </c>
      <c r="D34" s="670">
        <v>134044.79999999999</v>
      </c>
      <c r="E34" s="670">
        <v>27066.63</v>
      </c>
      <c r="F34" s="670">
        <f t="shared" si="1"/>
        <v>-106978.16999999998</v>
      </c>
      <c r="G34" s="669"/>
      <c r="H34" s="670">
        <v>218677.79</v>
      </c>
      <c r="I34" s="670">
        <v>324800</v>
      </c>
      <c r="J34" s="670">
        <f t="shared" si="2"/>
        <v>106122.20999999999</v>
      </c>
      <c r="K34" s="669"/>
      <c r="L34" s="670">
        <v>324800</v>
      </c>
      <c r="M34" s="669"/>
      <c r="N34" s="670">
        <f t="shared" si="3"/>
        <v>543477.79</v>
      </c>
      <c r="O34" s="669"/>
      <c r="P34" s="670">
        <v>324800</v>
      </c>
      <c r="Q34" s="671">
        <v>0.67326905788177305</v>
      </c>
      <c r="R34" s="670">
        <f t="shared" si="4"/>
        <v>-218677.79000000004</v>
      </c>
      <c r="S34" s="679" t="str">
        <f t="shared" si="5"/>
        <v>U</v>
      </c>
      <c r="T34" s="680">
        <f t="shared" si="6"/>
        <v>0.67326905788177349</v>
      </c>
      <c r="U34" s="681"/>
      <c r="V34" s="682" t="s">
        <v>1094</v>
      </c>
      <c r="W34" t="s">
        <v>439</v>
      </c>
      <c r="X34" s="682" t="s">
        <v>1082</v>
      </c>
      <c r="Y34" s="682" t="s">
        <v>1135</v>
      </c>
      <c r="Z34" s="683">
        <v>2856.87</v>
      </c>
      <c r="AA34" s="683">
        <v>1252.8</v>
      </c>
      <c r="AB34" s="683">
        <v>12298.43</v>
      </c>
      <c r="AC34" s="683">
        <v>1396.97</v>
      </c>
      <c r="AD34" s="683">
        <v>11170.89</v>
      </c>
      <c r="AE34" s="683">
        <v>8571.86</v>
      </c>
      <c r="AF34" s="683">
        <v>1937.68</v>
      </c>
      <c r="AG34" s="683">
        <v>1966.45</v>
      </c>
      <c r="AH34" s="683">
        <v>23699.14</v>
      </c>
      <c r="AI34" s="683">
        <v>5992.33</v>
      </c>
      <c r="AJ34" s="683">
        <v>13489.57</v>
      </c>
      <c r="AK34" s="683">
        <v>134044.79999999999</v>
      </c>
    </row>
    <row r="35" spans="1:37">
      <c r="A35" s="636" t="s">
        <v>1074</v>
      </c>
      <c r="B35" s="676" t="s">
        <v>1136</v>
      </c>
      <c r="C35" s="677" t="s">
        <v>1137</v>
      </c>
      <c r="D35" s="670">
        <v>0</v>
      </c>
      <c r="E35" s="670">
        <v>0</v>
      </c>
      <c r="F35" s="670">
        <f t="shared" si="1"/>
        <v>0</v>
      </c>
      <c r="G35" s="669"/>
      <c r="H35" s="670">
        <v>0</v>
      </c>
      <c r="I35" s="670">
        <v>0</v>
      </c>
      <c r="J35" s="670">
        <f t="shared" si="2"/>
        <v>0</v>
      </c>
      <c r="K35" s="669"/>
      <c r="L35" s="670">
        <v>0</v>
      </c>
      <c r="M35" s="669"/>
      <c r="N35" s="670">
        <f t="shared" si="3"/>
        <v>0</v>
      </c>
      <c r="O35" s="669"/>
      <c r="P35" s="670">
        <v>0</v>
      </c>
      <c r="Q35" s="671">
        <v>0</v>
      </c>
      <c r="R35" s="670">
        <f t="shared" si="4"/>
        <v>0</v>
      </c>
      <c r="S35" s="679" t="str">
        <f t="shared" si="5"/>
        <v>U</v>
      </c>
      <c r="T35" s="680">
        <f t="shared" si="6"/>
        <v>0</v>
      </c>
      <c r="U35" s="681"/>
      <c r="V35" s="682" t="s">
        <v>1094</v>
      </c>
      <c r="W35" t="s">
        <v>439</v>
      </c>
      <c r="X35" s="682" t="s">
        <v>1138</v>
      </c>
      <c r="Y35" s="682" t="s">
        <v>1139</v>
      </c>
      <c r="Z35" s="683">
        <v>0</v>
      </c>
      <c r="AA35" s="683">
        <v>0</v>
      </c>
      <c r="AB35" s="683">
        <v>0</v>
      </c>
      <c r="AC35" s="683">
        <v>0</v>
      </c>
      <c r="AD35" s="683">
        <v>0</v>
      </c>
      <c r="AE35" s="683">
        <v>0</v>
      </c>
      <c r="AF35" s="683">
        <v>0</v>
      </c>
      <c r="AG35" s="683">
        <v>0</v>
      </c>
      <c r="AH35" s="683">
        <v>0</v>
      </c>
      <c r="AI35" s="683">
        <v>0</v>
      </c>
      <c r="AJ35" s="683">
        <v>0</v>
      </c>
      <c r="AK35" s="683">
        <v>0</v>
      </c>
    </row>
    <row r="36" spans="1:37">
      <c r="A36" s="636" t="s">
        <v>1074</v>
      </c>
      <c r="B36" s="676" t="s">
        <v>1140</v>
      </c>
      <c r="C36" s="677" t="s">
        <v>1141</v>
      </c>
      <c r="D36" s="670">
        <v>0</v>
      </c>
      <c r="E36" s="670">
        <v>3108.26</v>
      </c>
      <c r="F36" s="670">
        <f t="shared" si="1"/>
        <v>3108.26</v>
      </c>
      <c r="G36" s="669"/>
      <c r="H36" s="670">
        <v>25190.880000000001</v>
      </c>
      <c r="I36" s="670">
        <v>37300</v>
      </c>
      <c r="J36" s="670">
        <f t="shared" si="2"/>
        <v>12109.119999999999</v>
      </c>
      <c r="K36" s="669"/>
      <c r="L36" s="670">
        <v>37300</v>
      </c>
      <c r="M36" s="669"/>
      <c r="N36" s="670">
        <f t="shared" si="3"/>
        <v>62490.880000000005</v>
      </c>
      <c r="O36" s="669"/>
      <c r="P36" s="670">
        <v>37300</v>
      </c>
      <c r="Q36" s="671">
        <v>0.67535871313672902</v>
      </c>
      <c r="R36" s="670">
        <f t="shared" si="4"/>
        <v>-25190.880000000005</v>
      </c>
      <c r="S36" s="679" t="str">
        <f t="shared" si="5"/>
        <v>U</v>
      </c>
      <c r="T36" s="680">
        <f t="shared" si="6"/>
        <v>0.67535871313672935</v>
      </c>
      <c r="U36" s="681"/>
      <c r="V36" s="682" t="s">
        <v>1094</v>
      </c>
      <c r="W36" t="s">
        <v>439</v>
      </c>
      <c r="X36" s="682" t="s">
        <v>1142</v>
      </c>
      <c r="Y36" s="682" t="s">
        <v>1143</v>
      </c>
      <c r="Z36" s="683">
        <v>22113</v>
      </c>
      <c r="AA36" s="683">
        <v>0</v>
      </c>
      <c r="AB36" s="683">
        <v>0</v>
      </c>
      <c r="AC36" s="683">
        <v>0</v>
      </c>
      <c r="AD36" s="683">
        <v>747.51</v>
      </c>
      <c r="AE36" s="683">
        <v>1158.75</v>
      </c>
      <c r="AF36" s="683">
        <v>0</v>
      </c>
      <c r="AG36" s="683">
        <v>0</v>
      </c>
      <c r="AH36" s="683">
        <v>0</v>
      </c>
      <c r="AI36" s="683">
        <v>1171.6199999999999</v>
      </c>
      <c r="AJ36" s="683">
        <v>0</v>
      </c>
      <c r="AK36" s="683">
        <v>0</v>
      </c>
    </row>
    <row r="37" spans="1:37">
      <c r="A37" s="636" t="s">
        <v>1074</v>
      </c>
      <c r="B37" s="676" t="s">
        <v>1144</v>
      </c>
      <c r="C37" s="677" t="s">
        <v>1145</v>
      </c>
      <c r="D37" s="670">
        <v>109355.5</v>
      </c>
      <c r="E37" s="670">
        <v>241074.32</v>
      </c>
      <c r="F37" s="670">
        <f t="shared" si="1"/>
        <v>131718.82</v>
      </c>
      <c r="G37" s="669"/>
      <c r="H37" s="670">
        <v>1539308.76</v>
      </c>
      <c r="I37" s="670">
        <v>2892908.78</v>
      </c>
      <c r="J37" s="670">
        <f t="shared" si="2"/>
        <v>1353600.0199999998</v>
      </c>
      <c r="K37" s="669"/>
      <c r="L37" s="670">
        <v>2892908.78</v>
      </c>
      <c r="M37" s="669"/>
      <c r="N37" s="670">
        <f t="shared" si="3"/>
        <v>4432217.54</v>
      </c>
      <c r="O37" s="669"/>
      <c r="P37" s="670">
        <v>2892908.78</v>
      </c>
      <c r="Q37" s="671">
        <v>0.532097233981916</v>
      </c>
      <c r="R37" s="670">
        <f t="shared" si="4"/>
        <v>-1539308.7600000002</v>
      </c>
      <c r="S37" s="679" t="str">
        <f t="shared" si="5"/>
        <v>U</v>
      </c>
      <c r="T37" s="680">
        <f t="shared" si="6"/>
        <v>0.53209723398191644</v>
      </c>
      <c r="U37" s="681"/>
      <c r="V37" s="682" t="s">
        <v>1094</v>
      </c>
      <c r="W37" t="s">
        <v>439</v>
      </c>
      <c r="X37" s="682" t="s">
        <v>1078</v>
      </c>
      <c r="Y37" s="682" t="s">
        <v>1146</v>
      </c>
      <c r="Z37" s="683">
        <v>141774.94</v>
      </c>
      <c r="AA37" s="683">
        <v>141774.94</v>
      </c>
      <c r="AB37" s="683">
        <v>133186.65</v>
      </c>
      <c r="AC37" s="683">
        <v>129187.88</v>
      </c>
      <c r="AD37" s="683">
        <v>129187.88</v>
      </c>
      <c r="AE37" s="683">
        <v>138185.14000000001</v>
      </c>
      <c r="AF37" s="683">
        <v>124467.97</v>
      </c>
      <c r="AG37" s="683">
        <v>124467.97</v>
      </c>
      <c r="AH37" s="683">
        <v>124467.97</v>
      </c>
      <c r="AI37" s="683">
        <v>125401.49</v>
      </c>
      <c r="AJ37" s="683">
        <v>117850.43</v>
      </c>
      <c r="AK37" s="683">
        <v>109355.5</v>
      </c>
    </row>
    <row r="38" spans="1:37">
      <c r="A38" s="636" t="s">
        <v>1074</v>
      </c>
      <c r="B38" s="676" t="s">
        <v>1147</v>
      </c>
      <c r="C38" s="677" t="s">
        <v>1148</v>
      </c>
      <c r="D38" s="670">
        <v>155626.04</v>
      </c>
      <c r="E38" s="670">
        <v>199851.57</v>
      </c>
      <c r="F38" s="670">
        <f t="shared" si="1"/>
        <v>44225.53</v>
      </c>
      <c r="G38" s="669"/>
      <c r="H38" s="670">
        <v>428802.83</v>
      </c>
      <c r="I38" s="670">
        <v>1389057.34</v>
      </c>
      <c r="J38" s="670">
        <f t="shared" si="2"/>
        <v>960254.51</v>
      </c>
      <c r="K38" s="669"/>
      <c r="L38" s="670">
        <v>1389057.34</v>
      </c>
      <c r="M38" s="669"/>
      <c r="N38" s="670">
        <f t="shared" si="3"/>
        <v>1817860.1700000002</v>
      </c>
      <c r="O38" s="669"/>
      <c r="P38" s="670">
        <v>1389057.34</v>
      </c>
      <c r="Q38" s="671">
        <v>0.30870059690984403</v>
      </c>
      <c r="R38" s="670">
        <f t="shared" si="4"/>
        <v>-428802.83000000007</v>
      </c>
      <c r="S38" s="679" t="str">
        <f t="shared" si="5"/>
        <v>U</v>
      </c>
      <c r="T38" s="680">
        <f t="shared" si="6"/>
        <v>0.30870059690984397</v>
      </c>
      <c r="U38" s="681"/>
      <c r="V38" s="682" t="s">
        <v>1149</v>
      </c>
      <c r="W38" t="s">
        <v>439</v>
      </c>
      <c r="X38" s="682" t="s">
        <v>1082</v>
      </c>
      <c r="Y38" s="682" t="s">
        <v>1150</v>
      </c>
      <c r="Z38" s="683">
        <v>93946.47</v>
      </c>
      <c r="AA38" s="683">
        <v>104071.95</v>
      </c>
      <c r="AB38" s="683">
        <v>114753.8</v>
      </c>
      <c r="AC38" s="683">
        <v>112637.89</v>
      </c>
      <c r="AD38" s="683">
        <v>-763765.87</v>
      </c>
      <c r="AE38" s="683">
        <v>125684.92</v>
      </c>
      <c r="AF38" s="683">
        <v>48342.400000000001</v>
      </c>
      <c r="AG38" s="683">
        <v>108630.91</v>
      </c>
      <c r="AH38" s="683">
        <v>118649.03</v>
      </c>
      <c r="AI38" s="683">
        <v>101745.64</v>
      </c>
      <c r="AJ38" s="683">
        <v>108479.65</v>
      </c>
      <c r="AK38" s="683">
        <v>155626.04</v>
      </c>
    </row>
    <row r="39" spans="1:37">
      <c r="A39" s="636" t="s">
        <v>1036</v>
      </c>
      <c r="B39" s="664"/>
      <c r="C39" s="677"/>
      <c r="D39" s="684"/>
      <c r="E39" s="684"/>
      <c r="F39" s="684"/>
      <c r="G39" s="669"/>
      <c r="H39" s="684"/>
      <c r="I39" s="684"/>
      <c r="J39" s="684"/>
      <c r="K39" s="669"/>
      <c r="L39" s="684"/>
      <c r="M39" s="669"/>
      <c r="N39" s="684"/>
      <c r="O39" s="669"/>
      <c r="P39" s="684"/>
      <c r="Q39" s="685"/>
      <c r="R39" s="684"/>
      <c r="S39" s="686"/>
      <c r="T39" s="687"/>
      <c r="U39" s="681"/>
      <c r="Z39" s="688"/>
      <c r="AA39" s="688"/>
      <c r="AB39" s="688"/>
      <c r="AC39" s="688"/>
      <c r="AD39" s="688"/>
      <c r="AE39" s="688"/>
      <c r="AF39" s="688"/>
      <c r="AG39" s="688"/>
      <c r="AH39" s="688"/>
      <c r="AI39" s="688"/>
      <c r="AJ39" s="688"/>
      <c r="AK39" s="688"/>
    </row>
    <row r="40" spans="1:37">
      <c r="A40" s="636" t="s">
        <v>1036</v>
      </c>
      <c r="B40" s="689"/>
      <c r="C40" s="690" t="s">
        <v>1151</v>
      </c>
      <c r="D40" s="696">
        <f>SUBTOTAL(9,D21:D39)</f>
        <v>1854270.1</v>
      </c>
      <c r="E40" s="696">
        <f>SUBTOTAL(9,E21:E39)</f>
        <v>1682516.8900000001</v>
      </c>
      <c r="F40" s="696">
        <f>SUBTOTAL(9,F21:F39)</f>
        <v>-171753.21000000005</v>
      </c>
      <c r="G40" s="692"/>
      <c r="H40" s="696">
        <f>SUBTOTAL(9,H21:H39)</f>
        <v>17275756.370000001</v>
      </c>
      <c r="I40" s="696">
        <f>SUBTOTAL(9,I21:I39)</f>
        <v>19181502.740000002</v>
      </c>
      <c r="J40" s="696">
        <f>SUBTOTAL(9,J21:J39)</f>
        <v>1905746.3699999996</v>
      </c>
      <c r="K40" s="692"/>
      <c r="L40" s="696">
        <f>SUBTOTAL(9,L21:L39)</f>
        <v>19181502.740000002</v>
      </c>
      <c r="M40" s="692"/>
      <c r="N40" s="696">
        <f>SUBTOTAL(9,N21:N39)</f>
        <v>36457259.110000007</v>
      </c>
      <c r="O40" s="692"/>
      <c r="P40" s="696">
        <f>SUBTOTAL(9,P21:P39)</f>
        <v>19181502.740000002</v>
      </c>
      <c r="Q40" s="693">
        <f>IFERROR(H40/P40,0)</f>
        <v>0.90064665965790747</v>
      </c>
      <c r="R40" s="696">
        <f>SUBTOTAL(9,R21:R39)</f>
        <v>-17275756.370000005</v>
      </c>
      <c r="S40" s="679" t="str">
        <f>IF(P40-R40&lt;0,"F","U")</f>
        <v>U</v>
      </c>
      <c r="T40" s="680">
        <f>IFERROR($R40/$P40,0)</f>
        <v>-0.90064665965790769</v>
      </c>
      <c r="U40" s="694"/>
      <c r="Z40" s="697">
        <f t="shared" ref="Z40:AK40" si="7">SUBTOTAL(9,Z21:Z39)</f>
        <v>1524588</v>
      </c>
      <c r="AA40" s="697">
        <f t="shared" si="7"/>
        <v>1485127.18</v>
      </c>
      <c r="AB40" s="697">
        <f t="shared" si="7"/>
        <v>1530362.3299999996</v>
      </c>
      <c r="AC40" s="697">
        <f t="shared" si="7"/>
        <v>1503933.2</v>
      </c>
      <c r="AD40" s="697">
        <f t="shared" si="7"/>
        <v>647826.73999999987</v>
      </c>
      <c r="AE40" s="697">
        <f t="shared" si="7"/>
        <v>1490996.9300000002</v>
      </c>
      <c r="AF40" s="697">
        <f t="shared" si="7"/>
        <v>1311140.4999999998</v>
      </c>
      <c r="AG40" s="697">
        <f t="shared" si="7"/>
        <v>1388051.5599999998</v>
      </c>
      <c r="AH40" s="697">
        <f t="shared" si="7"/>
        <v>1534814.27</v>
      </c>
      <c r="AI40" s="697">
        <f t="shared" si="7"/>
        <v>1484624.48</v>
      </c>
      <c r="AJ40" s="697">
        <f t="shared" si="7"/>
        <v>1520021.0799999998</v>
      </c>
      <c r="AK40" s="697">
        <f t="shared" si="7"/>
        <v>1854270.1</v>
      </c>
    </row>
    <row r="41" spans="1:37">
      <c r="A41" s="636" t="s">
        <v>1036</v>
      </c>
      <c r="B41" s="664"/>
      <c r="C41" s="677"/>
      <c r="D41" s="670"/>
      <c r="E41" s="670"/>
      <c r="F41" s="670"/>
      <c r="G41" s="669"/>
      <c r="H41" s="670"/>
      <c r="I41" s="670"/>
      <c r="J41" s="670"/>
      <c r="K41" s="669"/>
      <c r="L41" s="670"/>
      <c r="M41" s="669"/>
      <c r="N41" s="670"/>
      <c r="O41" s="669"/>
      <c r="P41" s="670"/>
      <c r="Q41" s="671"/>
      <c r="R41" s="670"/>
      <c r="S41" s="679"/>
      <c r="T41" s="673"/>
      <c r="U41" s="681"/>
      <c r="Z41" s="683"/>
      <c r="AA41" s="683"/>
      <c r="AB41" s="683"/>
      <c r="AC41" s="683"/>
      <c r="AD41" s="683"/>
      <c r="AE41" s="683"/>
      <c r="AF41" s="683"/>
      <c r="AG41" s="683"/>
      <c r="AH41" s="683"/>
      <c r="AI41" s="683"/>
      <c r="AJ41" s="683"/>
      <c r="AK41" s="683"/>
    </row>
    <row r="42" spans="1:37">
      <c r="A42" s="636" t="s">
        <v>1036</v>
      </c>
      <c r="B42" s="689" t="s">
        <v>1152</v>
      </c>
      <c r="C42" s="690"/>
      <c r="D42" s="698">
        <f>D19-D40</f>
        <v>-611944.0700000003</v>
      </c>
      <c r="E42" s="698">
        <f>E19-E40</f>
        <v>-532134.55000000005</v>
      </c>
      <c r="F42" s="698">
        <f>F19+F40</f>
        <v>-79809.520000000077</v>
      </c>
      <c r="G42" s="692"/>
      <c r="H42" s="698">
        <f>H19-H40</f>
        <v>-6454859.620000001</v>
      </c>
      <c r="I42" s="698">
        <f>I19-I40</f>
        <v>-5376913.7800000012</v>
      </c>
      <c r="J42" s="698">
        <f>J19+J40</f>
        <v>-1077945.8400000012</v>
      </c>
      <c r="K42" s="692"/>
      <c r="L42" s="698">
        <f>L19-L40</f>
        <v>-5376913.7800000012</v>
      </c>
      <c r="M42" s="692"/>
      <c r="N42" s="698">
        <f>N19-N40</f>
        <v>-11831773.400000006</v>
      </c>
      <c r="O42" s="692"/>
      <c r="P42" s="698">
        <f>P19-P40</f>
        <v>-5376913.7800000012</v>
      </c>
      <c r="Q42" s="699">
        <f>IFERROR(H42/P42,0)</f>
        <v>1.200476683113189</v>
      </c>
      <c r="R42" s="698">
        <f>R19-R40</f>
        <v>6454859.6200000029</v>
      </c>
      <c r="S42" s="679" t="str">
        <f>IF(P42-R42&gt;0,"F","U")</f>
        <v>U</v>
      </c>
      <c r="T42" s="680">
        <f>IFERROR($R42/$P42,0)</f>
        <v>-1.2004766831131894</v>
      </c>
      <c r="U42" s="694"/>
      <c r="Z42" s="700">
        <f t="shared" ref="Z42:AK42" si="8">Z19-Z40</f>
        <v>-3353958.59</v>
      </c>
      <c r="AA42" s="700">
        <f t="shared" si="8"/>
        <v>-333043.95999999996</v>
      </c>
      <c r="AB42" s="700">
        <f t="shared" si="8"/>
        <v>-368716.14999999967</v>
      </c>
      <c r="AC42" s="700">
        <f t="shared" si="8"/>
        <v>-359089.74</v>
      </c>
      <c r="AD42" s="700">
        <f t="shared" si="8"/>
        <v>484195.47000000009</v>
      </c>
      <c r="AE42" s="700">
        <f t="shared" si="8"/>
        <v>-423160.64000000013</v>
      </c>
      <c r="AF42" s="700">
        <f t="shared" si="8"/>
        <v>-165280.80999999982</v>
      </c>
      <c r="AG42" s="700">
        <f t="shared" si="8"/>
        <v>-243942.0299999998</v>
      </c>
      <c r="AH42" s="700">
        <f t="shared" si="8"/>
        <v>-388344.59999999986</v>
      </c>
      <c r="AI42" s="700">
        <f t="shared" si="8"/>
        <v>-322221.1100000001</v>
      </c>
      <c r="AJ42" s="700">
        <f t="shared" si="8"/>
        <v>-369353.38999999966</v>
      </c>
      <c r="AK42" s="700">
        <f t="shared" si="8"/>
        <v>-611944.0700000003</v>
      </c>
    </row>
    <row r="43" spans="1:37" ht="15.75" thickBot="1">
      <c r="A43" s="636" t="s">
        <v>1036</v>
      </c>
      <c r="B43" s="701"/>
      <c r="C43" s="702"/>
      <c r="D43" s="703"/>
      <c r="E43" s="703"/>
      <c r="F43" s="703"/>
      <c r="G43" s="668"/>
      <c r="H43" s="703"/>
      <c r="I43" s="703"/>
      <c r="J43" s="703"/>
      <c r="K43" s="668"/>
      <c r="L43" s="703"/>
      <c r="M43" s="668"/>
      <c r="N43" s="703"/>
      <c r="O43" s="668"/>
      <c r="P43" s="703"/>
      <c r="Q43" s="704"/>
      <c r="R43" s="703"/>
      <c r="S43" s="705"/>
      <c r="T43" s="706"/>
      <c r="U43" s="707"/>
      <c r="Z43" s="708"/>
      <c r="AA43" s="708"/>
      <c r="AB43" s="708"/>
      <c r="AC43" s="708"/>
      <c r="AD43" s="708"/>
      <c r="AE43" s="708"/>
      <c r="AF43" s="708"/>
      <c r="AG43" s="708"/>
      <c r="AH43" s="708"/>
      <c r="AI43" s="708"/>
      <c r="AJ43" s="708"/>
      <c r="AK43" s="708"/>
    </row>
    <row r="44" spans="1:37">
      <c r="A44" s="709" t="s">
        <v>1043</v>
      </c>
      <c r="B44" s="710" t="s">
        <v>1153</v>
      </c>
      <c r="C44" s="711"/>
      <c r="D44" s="712"/>
      <c r="E44" s="712"/>
      <c r="F44" s="712"/>
      <c r="G44" s="692"/>
      <c r="H44" s="713"/>
      <c r="I44" s="712"/>
      <c r="J44" s="712"/>
      <c r="O44" s="714"/>
      <c r="P44" s="715"/>
      <c r="Q44" s="716"/>
      <c r="R44" s="717"/>
      <c r="S44" s="717"/>
      <c r="T44" s="717"/>
      <c r="U44" s="718"/>
      <c r="Z44" s="715"/>
      <c r="AA44" s="715"/>
      <c r="AB44" s="715"/>
      <c r="AC44" s="715"/>
      <c r="AD44" s="715"/>
      <c r="AE44" s="715"/>
      <c r="AF44" s="715"/>
      <c r="AG44" s="715"/>
      <c r="AH44" s="715"/>
      <c r="AI44" s="715"/>
      <c r="AJ44" s="715"/>
      <c r="AK44" s="715"/>
    </row>
    <row r="45" spans="1:37" ht="30">
      <c r="A45" s="636" t="s">
        <v>1074</v>
      </c>
      <c r="B45" s="724" t="s">
        <v>1154</v>
      </c>
      <c r="C45" s="720" t="s">
        <v>1155</v>
      </c>
      <c r="D45" s="721">
        <v>577898.15</v>
      </c>
      <c r="E45" s="721">
        <v>450492.71</v>
      </c>
      <c r="F45" s="670">
        <f>D45-E45</f>
        <v>127405.44</v>
      </c>
      <c r="G45" s="669"/>
      <c r="H45" s="670">
        <v>4620066.58</v>
      </c>
      <c r="I45" s="670">
        <v>5405910.9800000004</v>
      </c>
      <c r="J45" s="670">
        <f>H45-I45</f>
        <v>-785844.40000000037</v>
      </c>
      <c r="L45" s="526">
        <v>5405910.9800000004</v>
      </c>
      <c r="O45" s="714"/>
      <c r="P45" s="670">
        <v>5405910.9800000004</v>
      </c>
      <c r="Q45" s="670">
        <v>0.85463238242225004</v>
      </c>
      <c r="R45" s="722"/>
      <c r="S45" s="722"/>
      <c r="T45" s="722"/>
      <c r="U45" s="723"/>
      <c r="V45" s="682" t="s">
        <v>1077</v>
      </c>
      <c r="W45" t="s">
        <v>439</v>
      </c>
      <c r="X45" s="682" t="s">
        <v>1156</v>
      </c>
      <c r="Y45" s="682" t="s">
        <v>1157</v>
      </c>
      <c r="Z45" s="670">
        <v>220433.46</v>
      </c>
      <c r="AA45" s="670">
        <v>369722.71</v>
      </c>
      <c r="AB45" s="670">
        <v>210616.64</v>
      </c>
      <c r="AC45" s="670">
        <v>457720.64</v>
      </c>
      <c r="AD45" s="670">
        <v>611614.97</v>
      </c>
      <c r="AE45" s="670">
        <v>332562.2</v>
      </c>
      <c r="AF45" s="670">
        <v>42773.51</v>
      </c>
      <c r="AG45" s="670">
        <v>427622.5</v>
      </c>
      <c r="AH45" s="670">
        <v>509378.64</v>
      </c>
      <c r="AI45" s="670">
        <v>172835.89</v>
      </c>
      <c r="AJ45" s="670">
        <v>686887.27</v>
      </c>
      <c r="AK45" s="670">
        <v>577898.15</v>
      </c>
    </row>
    <row r="46" spans="1:37">
      <c r="A46" s="636" t="s">
        <v>1074</v>
      </c>
      <c r="B46" s="724" t="s">
        <v>1158</v>
      </c>
      <c r="C46" s="720" t="s">
        <v>1159</v>
      </c>
      <c r="D46" s="721">
        <v>3622.19</v>
      </c>
      <c r="E46" s="721">
        <v>1740634</v>
      </c>
      <c r="F46" s="670">
        <f>D46-E46</f>
        <v>-1737011.81</v>
      </c>
      <c r="G46" s="669"/>
      <c r="H46" s="670">
        <v>8352525.9400000004</v>
      </c>
      <c r="I46" s="670">
        <v>1740634</v>
      </c>
      <c r="J46" s="670">
        <f>H46-I46</f>
        <v>6611891.9400000004</v>
      </c>
      <c r="L46" s="526">
        <v>1740634</v>
      </c>
      <c r="O46" s="714"/>
      <c r="P46" s="670">
        <v>1740634</v>
      </c>
      <c r="Q46" s="670">
        <v>4.7985538257899103</v>
      </c>
      <c r="R46" s="722"/>
      <c r="S46" s="722"/>
      <c r="T46" s="722"/>
      <c r="U46" s="723"/>
      <c r="V46" s="682" t="s">
        <v>1077</v>
      </c>
      <c r="W46" t="s">
        <v>439</v>
      </c>
      <c r="X46" s="682" t="s">
        <v>1098</v>
      </c>
      <c r="Y46" s="682" t="s">
        <v>1160</v>
      </c>
      <c r="Z46" s="670">
        <v>1369659.39</v>
      </c>
      <c r="AA46" s="670">
        <v>1280481.3999999999</v>
      </c>
      <c r="AB46" s="670">
        <v>350789.12</v>
      </c>
      <c r="AC46" s="670">
        <v>4545.8599999999997</v>
      </c>
      <c r="AD46" s="670">
        <v>325629.15000000002</v>
      </c>
      <c r="AE46" s="670">
        <v>1214679.51</v>
      </c>
      <c r="AF46" s="670">
        <v>179057.67</v>
      </c>
      <c r="AG46" s="670">
        <v>822226.79</v>
      </c>
      <c r="AH46" s="670">
        <v>749398.54</v>
      </c>
      <c r="AI46" s="670">
        <v>1476844.82</v>
      </c>
      <c r="AJ46" s="670">
        <v>575591.5</v>
      </c>
      <c r="AK46" s="670">
        <v>3622.19</v>
      </c>
    </row>
    <row r="47" spans="1:37">
      <c r="A47" s="636" t="s">
        <v>1074</v>
      </c>
      <c r="B47" s="719"/>
      <c r="C47" s="720"/>
      <c r="D47" s="721">
        <v>0</v>
      </c>
      <c r="E47" s="721">
        <v>0</v>
      </c>
      <c r="F47" s="670">
        <f>D47-E47</f>
        <v>0</v>
      </c>
      <c r="G47" s="669"/>
      <c r="H47" s="670">
        <v>0</v>
      </c>
      <c r="I47" s="670">
        <v>0</v>
      </c>
      <c r="J47" s="670">
        <f>H47-I47</f>
        <v>0</v>
      </c>
      <c r="L47" s="526">
        <v>0</v>
      </c>
      <c r="O47" s="714"/>
      <c r="P47" s="670">
        <v>0</v>
      </c>
      <c r="Q47" s="670">
        <v>0</v>
      </c>
      <c r="R47" s="722"/>
      <c r="S47" s="722"/>
      <c r="T47" s="722"/>
      <c r="U47" s="723"/>
      <c r="Z47" s="670">
        <v>0</v>
      </c>
      <c r="AA47" s="670">
        <v>0</v>
      </c>
      <c r="AB47" s="670">
        <v>0</v>
      </c>
      <c r="AC47" s="670">
        <v>0</v>
      </c>
      <c r="AD47" s="670">
        <v>0</v>
      </c>
      <c r="AE47" s="670">
        <v>0</v>
      </c>
      <c r="AF47" s="670">
        <v>0</v>
      </c>
      <c r="AG47" s="670">
        <v>0</v>
      </c>
      <c r="AH47" s="670">
        <v>0</v>
      </c>
      <c r="AI47" s="670">
        <v>0</v>
      </c>
      <c r="AJ47" s="670">
        <v>0</v>
      </c>
      <c r="AK47" s="670">
        <v>0</v>
      </c>
    </row>
    <row r="48" spans="1:37">
      <c r="A48" s="636" t="s">
        <v>1036</v>
      </c>
      <c r="B48" s="719"/>
      <c r="C48" s="720"/>
      <c r="D48" s="684"/>
      <c r="E48" s="684"/>
      <c r="F48" s="684"/>
      <c r="G48" s="669"/>
      <c r="H48" s="684"/>
      <c r="I48" s="684"/>
      <c r="J48" s="684"/>
      <c r="O48" s="714"/>
      <c r="P48" s="684"/>
      <c r="Q48" s="684"/>
      <c r="R48" s="722"/>
      <c r="S48" s="722"/>
      <c r="T48" s="722"/>
      <c r="U48" s="723"/>
      <c r="Z48" s="684"/>
      <c r="AA48" s="684"/>
      <c r="AB48" s="684"/>
      <c r="AC48" s="684"/>
      <c r="AD48" s="684"/>
      <c r="AE48" s="684"/>
      <c r="AF48" s="684"/>
      <c r="AG48" s="684"/>
      <c r="AH48" s="684"/>
      <c r="AI48" s="684"/>
      <c r="AJ48" s="684"/>
      <c r="AK48" s="684"/>
    </row>
    <row r="49" spans="1:37">
      <c r="A49" s="636" t="s">
        <v>1036</v>
      </c>
      <c r="B49" s="719"/>
      <c r="C49" s="720"/>
      <c r="D49" s="696">
        <f>SUBTOTAL(9,D44:D48)</f>
        <v>581520.34</v>
      </c>
      <c r="E49" s="696">
        <f>SUBTOTAL(9,E44:E48)</f>
        <v>2191126.71</v>
      </c>
      <c r="F49" s="696">
        <f>SUBTOTAL(9,F44:F48)</f>
        <v>-1609606.37</v>
      </c>
      <c r="G49" s="692"/>
      <c r="H49" s="696">
        <f>SUBTOTAL(9,H44:H48)</f>
        <v>12972592.52</v>
      </c>
      <c r="I49" s="696">
        <f>SUBTOTAL(9,I44:I48)</f>
        <v>7146544.9800000004</v>
      </c>
      <c r="J49" s="696">
        <f>SUBTOTAL(9,J44:J48)</f>
        <v>5826047.54</v>
      </c>
      <c r="O49" s="714"/>
      <c r="P49" s="696">
        <f>SUBTOTAL(9,P44:P48)</f>
        <v>7146544.9800000004</v>
      </c>
      <c r="Q49" s="696">
        <f>IFERROR(L49/P49,0)</f>
        <v>0</v>
      </c>
      <c r="R49" s="722"/>
      <c r="S49" s="722"/>
      <c r="T49" s="722"/>
      <c r="U49" s="723"/>
      <c r="Z49" s="696">
        <f t="shared" ref="Z49:AK49" si="9">SUBTOTAL(9,Z44:Z48)</f>
        <v>1590092.8499999999</v>
      </c>
      <c r="AA49" s="696">
        <f t="shared" si="9"/>
        <v>1650204.1099999999</v>
      </c>
      <c r="AB49" s="696">
        <f t="shared" si="9"/>
        <v>561405.76</v>
      </c>
      <c r="AC49" s="696">
        <f t="shared" si="9"/>
        <v>462266.5</v>
      </c>
      <c r="AD49" s="696">
        <f t="shared" si="9"/>
        <v>937244.12</v>
      </c>
      <c r="AE49" s="696">
        <f t="shared" si="9"/>
        <v>1547241.71</v>
      </c>
      <c r="AF49" s="696">
        <f t="shared" si="9"/>
        <v>221831.18000000002</v>
      </c>
      <c r="AG49" s="696">
        <f t="shared" si="9"/>
        <v>1249849.29</v>
      </c>
      <c r="AH49" s="696">
        <f t="shared" si="9"/>
        <v>1258777.1800000002</v>
      </c>
      <c r="AI49" s="696">
        <f t="shared" si="9"/>
        <v>1649680.71</v>
      </c>
      <c r="AJ49" s="696">
        <f t="shared" si="9"/>
        <v>1262478.77</v>
      </c>
      <c r="AK49" s="696">
        <f t="shared" si="9"/>
        <v>581520.34</v>
      </c>
    </row>
    <row r="50" spans="1:37">
      <c r="A50" s="636" t="s">
        <v>1161</v>
      </c>
      <c r="B50" s="725"/>
      <c r="C50" s="726"/>
      <c r="D50" s="684"/>
      <c r="E50" s="684"/>
      <c r="F50" s="684"/>
      <c r="G50" s="669"/>
      <c r="H50" s="684"/>
      <c r="I50" s="684"/>
      <c r="J50" s="684"/>
      <c r="O50" s="714"/>
      <c r="P50" s="727"/>
      <c r="Q50" s="728"/>
      <c r="R50" s="729"/>
      <c r="S50" s="729"/>
      <c r="T50" s="729"/>
      <c r="U50" s="730"/>
      <c r="Z50" s="727"/>
      <c r="AA50" s="727"/>
      <c r="AB50" s="727"/>
      <c r="AC50" s="727"/>
      <c r="AD50" s="727"/>
      <c r="AE50" s="727"/>
      <c r="AF50" s="727"/>
      <c r="AG50" s="727"/>
      <c r="AH50" s="727"/>
      <c r="AI50" s="727"/>
      <c r="AJ50" s="727"/>
      <c r="AK50" s="727"/>
    </row>
    <row r="51" spans="1:37">
      <c r="A51" s="636" t="s">
        <v>1035</v>
      </c>
      <c r="Z51" s="526"/>
      <c r="AA51" s="526"/>
    </row>
  </sheetData>
  <pageMargins left="0.7" right="0.7" top="0.75" bottom="0.75" header="0.3" footer="0.3"/>
  <pageSetup paperSize="9" scale="50"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theme="0" tint="-0.34998626667073579"/>
    <pageSetUpPr fitToPage="1"/>
  </sheetPr>
  <dimension ref="A1:AK51"/>
  <sheetViews>
    <sheetView showGridLines="0" topLeftCell="B2" zoomScale="55" zoomScaleNormal="55" workbookViewId="0">
      <selection activeCell="AD51" sqref="AD51"/>
    </sheetView>
  </sheetViews>
  <sheetFormatPr defaultColWidth="9.140625" defaultRowHeight="15" outlineLevelRow="1"/>
  <cols>
    <col min="1" max="1" width="14.7109375" style="636" hidden="1" customWidth="1"/>
    <col min="2" max="2" width="8.7109375" style="517" customWidth="1"/>
    <col min="3" max="3" width="30.7109375" customWidth="1"/>
    <col min="4" max="5" width="13.7109375" style="526" customWidth="1"/>
    <col min="6" max="6" width="11.7109375" style="526" customWidth="1"/>
    <col min="7" max="7" width="2.5703125" style="526" customWidth="1"/>
    <col min="8" max="9" width="13.7109375" style="526" customWidth="1"/>
    <col min="10" max="10" width="14.140625" style="526" bestFit="1" customWidth="1"/>
    <col min="11" max="11" width="1.7109375" style="526" customWidth="1"/>
    <col min="12" max="15" width="0" style="526" hidden="1" customWidth="1"/>
    <col min="16" max="16" width="13.7109375" style="526" customWidth="1"/>
    <col min="17" max="17" width="13.7109375" style="637" customWidth="1"/>
    <col min="18" max="18" width="0" style="637" hidden="1" customWidth="1"/>
    <col min="19" max="19" width="0" style="526" hidden="1" customWidth="1"/>
    <col min="20" max="20" width="0" style="637" hidden="1" customWidth="1"/>
    <col min="21" max="21" width="33.7109375" customWidth="1"/>
    <col min="22" max="25" width="0" hidden="1" customWidth="1"/>
    <col min="26" max="26" width="13.28515625" bestFit="1" customWidth="1"/>
    <col min="27" max="27" width="15.28515625" customWidth="1"/>
    <col min="28" max="28" width="11.7109375" bestFit="1" customWidth="1"/>
    <col min="29" max="29" width="11.28515625" bestFit="1" customWidth="1"/>
    <col min="30" max="30" width="11.7109375" bestFit="1" customWidth="1"/>
    <col min="31" max="31" width="12.85546875" bestFit="1" customWidth="1"/>
    <col min="32" max="32" width="11.7109375" bestFit="1" customWidth="1"/>
    <col min="33" max="34" width="12.42578125" bestFit="1" customWidth="1"/>
    <col min="35" max="35" width="11.7109375" bestFit="1" customWidth="1"/>
    <col min="36" max="36" width="11.28515625" bestFit="1" customWidth="1"/>
    <col min="37" max="37" width="11.7109375" bestFit="1" customWidth="1"/>
  </cols>
  <sheetData>
    <row r="1" spans="1:37" s="633" customFormat="1" hidden="1">
      <c r="A1" s="631" t="s">
        <v>1031</v>
      </c>
      <c r="B1" s="632" t="s">
        <v>1032</v>
      </c>
      <c r="D1" s="634"/>
      <c r="E1" s="634"/>
      <c r="F1" s="634"/>
      <c r="G1" s="634"/>
      <c r="H1" s="634"/>
      <c r="I1" s="634"/>
      <c r="J1" s="634"/>
      <c r="K1" s="634"/>
      <c r="L1" s="634"/>
      <c r="M1" s="634"/>
      <c r="N1" s="634"/>
      <c r="O1" s="634"/>
      <c r="P1" s="634"/>
      <c r="Q1" s="635"/>
      <c r="R1" s="635"/>
      <c r="S1" s="634"/>
      <c r="T1" s="635"/>
    </row>
    <row r="2" spans="1:37">
      <c r="A2" s="636" t="s">
        <v>1033</v>
      </c>
      <c r="Z2" s="526"/>
      <c r="AA2" s="526"/>
    </row>
    <row r="3" spans="1:37">
      <c r="A3" s="636" t="s">
        <v>1035</v>
      </c>
      <c r="Z3" s="526"/>
      <c r="AA3" s="526"/>
    </row>
    <row r="4" spans="1:37" ht="26.25" outlineLevel="1">
      <c r="A4" s="636" t="s">
        <v>1036</v>
      </c>
      <c r="B4" s="638" t="s">
        <v>1037</v>
      </c>
      <c r="Z4" s="526"/>
      <c r="AA4" s="526"/>
    </row>
    <row r="5" spans="1:37" ht="26.25" hidden="1">
      <c r="A5" s="636" t="s">
        <v>1036</v>
      </c>
      <c r="B5" s="638" t="s">
        <v>1038</v>
      </c>
      <c r="Z5" s="526"/>
      <c r="AA5" s="526"/>
    </row>
    <row r="6" spans="1:37" ht="21">
      <c r="A6" s="636" t="s">
        <v>1036</v>
      </c>
      <c r="B6" s="639" t="s">
        <v>1162</v>
      </c>
      <c r="C6" s="640"/>
      <c r="Z6" s="526"/>
      <c r="AA6" s="526"/>
    </row>
    <row r="7" spans="1:37" ht="21">
      <c r="A7" s="636" t="s">
        <v>1036</v>
      </c>
      <c r="B7" s="641" t="s">
        <v>1040</v>
      </c>
      <c r="C7" s="640"/>
      <c r="D7" s="642"/>
      <c r="E7" s="642"/>
      <c r="U7" s="517" t="s">
        <v>1041</v>
      </c>
      <c r="Z7" s="526"/>
      <c r="AA7" s="526"/>
    </row>
    <row r="8" spans="1:37" ht="21">
      <c r="A8" s="636" t="s">
        <v>1036</v>
      </c>
      <c r="B8" s="641" t="s">
        <v>1042</v>
      </c>
      <c r="C8" s="640"/>
      <c r="D8" s="642"/>
      <c r="E8" s="642"/>
      <c r="Z8" s="526"/>
      <c r="AA8" s="526"/>
      <c r="AB8" s="526"/>
      <c r="AC8" s="526"/>
      <c r="AD8" s="526"/>
      <c r="AE8" s="526"/>
      <c r="AF8" s="526"/>
      <c r="AG8" s="526"/>
      <c r="AH8" s="526"/>
      <c r="AI8" s="526"/>
      <c r="AJ8" s="526"/>
      <c r="AK8" s="526"/>
    </row>
    <row r="9" spans="1:37" ht="21.75" thickBot="1">
      <c r="A9" s="636" t="s">
        <v>1036</v>
      </c>
      <c r="B9" s="643"/>
      <c r="C9" s="640"/>
      <c r="D9" s="642"/>
      <c r="E9" s="642"/>
      <c r="Z9" s="526"/>
      <c r="AA9" s="526"/>
    </row>
    <row r="10" spans="1:37">
      <c r="A10" s="636" t="s">
        <v>1043</v>
      </c>
      <c r="B10" s="644" t="s">
        <v>1044</v>
      </c>
      <c r="C10" s="645" t="s">
        <v>1045</v>
      </c>
      <c r="D10" s="646" t="s">
        <v>1046</v>
      </c>
      <c r="E10" s="646" t="s">
        <v>1046</v>
      </c>
      <c r="F10" s="646"/>
      <c r="G10" s="647"/>
      <c r="H10" s="646" t="s">
        <v>1047</v>
      </c>
      <c r="I10" s="646" t="s">
        <v>1047</v>
      </c>
      <c r="J10" s="646"/>
      <c r="L10" s="646" t="s">
        <v>1048</v>
      </c>
      <c r="N10" s="648" t="s">
        <v>1049</v>
      </c>
      <c r="P10" s="646" t="s">
        <v>1048</v>
      </c>
      <c r="Q10" s="649" t="s">
        <v>1050</v>
      </c>
      <c r="R10" s="650" t="s">
        <v>1048</v>
      </c>
      <c r="S10" s="651" t="s">
        <v>1051</v>
      </c>
      <c r="T10" s="652" t="s">
        <v>1052</v>
      </c>
      <c r="U10" s="653" t="s">
        <v>1053</v>
      </c>
      <c r="Z10" s="654" t="s">
        <v>1054</v>
      </c>
      <c r="AA10" s="654" t="s">
        <v>1055</v>
      </c>
      <c r="AB10" s="654" t="s">
        <v>1056</v>
      </c>
      <c r="AC10" s="654" t="s">
        <v>1057</v>
      </c>
      <c r="AD10" s="654" t="s">
        <v>1058</v>
      </c>
      <c r="AE10" s="654" t="s">
        <v>1059</v>
      </c>
      <c r="AF10" s="654" t="s">
        <v>1060</v>
      </c>
      <c r="AG10" s="654" t="s">
        <v>1061</v>
      </c>
      <c r="AH10" s="654" t="s">
        <v>1062</v>
      </c>
      <c r="AI10" s="654" t="s">
        <v>1063</v>
      </c>
      <c r="AJ10" s="654" t="s">
        <v>1064</v>
      </c>
      <c r="AK10" s="654" t="s">
        <v>1065</v>
      </c>
    </row>
    <row r="11" spans="1:37">
      <c r="A11" s="636" t="s">
        <v>1036</v>
      </c>
      <c r="B11" s="655"/>
      <c r="C11" s="656"/>
      <c r="D11" s="657" t="s">
        <v>1066</v>
      </c>
      <c r="E11" s="657" t="s">
        <v>1067</v>
      </c>
      <c r="F11" s="657" t="s">
        <v>1068</v>
      </c>
      <c r="G11" s="647"/>
      <c r="H11" s="657" t="s">
        <v>1069</v>
      </c>
      <c r="I11" s="657" t="s">
        <v>1067</v>
      </c>
      <c r="J11" s="657" t="s">
        <v>1068</v>
      </c>
      <c r="L11" s="657" t="s">
        <v>1067</v>
      </c>
      <c r="N11" s="658" t="s">
        <v>1070</v>
      </c>
      <c r="P11" s="657" t="s">
        <v>1067</v>
      </c>
      <c r="Q11" s="659" t="s">
        <v>1071</v>
      </c>
      <c r="R11" s="660" t="s">
        <v>1072</v>
      </c>
      <c r="S11" s="661" t="s">
        <v>1073</v>
      </c>
      <c r="T11" s="662" t="s">
        <v>1071</v>
      </c>
      <c r="U11" s="663"/>
      <c r="Z11" s="657" t="s">
        <v>1066</v>
      </c>
      <c r="AA11" s="657" t="s">
        <v>1066</v>
      </c>
      <c r="AB11" s="657" t="s">
        <v>1066</v>
      </c>
      <c r="AC11" s="657" t="s">
        <v>1066</v>
      </c>
      <c r="AD11" s="657" t="s">
        <v>1066</v>
      </c>
      <c r="AE11" s="657" t="s">
        <v>1066</v>
      </c>
      <c r="AF11" s="657" t="s">
        <v>1066</v>
      </c>
      <c r="AG11" s="657" t="s">
        <v>1066</v>
      </c>
      <c r="AH11" s="657" t="s">
        <v>1066</v>
      </c>
      <c r="AI11" s="657" t="s">
        <v>1066</v>
      </c>
      <c r="AJ11" s="657" t="s">
        <v>1066</v>
      </c>
      <c r="AK11" s="657" t="s">
        <v>1066</v>
      </c>
    </row>
    <row r="12" spans="1:37">
      <c r="A12" s="636" t="s">
        <v>1036</v>
      </c>
      <c r="B12" s="664"/>
      <c r="C12" s="665"/>
      <c r="D12" s="666"/>
      <c r="E12" s="667"/>
      <c r="F12" s="666"/>
      <c r="G12" s="668"/>
      <c r="H12" s="666"/>
      <c r="I12" s="666"/>
      <c r="J12" s="666"/>
      <c r="K12" s="668"/>
      <c r="L12" s="666"/>
      <c r="M12" s="669"/>
      <c r="N12" s="670"/>
      <c r="O12" s="669"/>
      <c r="P12" s="670"/>
      <c r="Q12" s="671"/>
      <c r="R12" s="670"/>
      <c r="S12" s="672"/>
      <c r="T12" s="673"/>
      <c r="U12" s="674"/>
      <c r="Z12" s="675"/>
      <c r="AA12" s="675"/>
      <c r="AB12" s="675"/>
      <c r="AC12" s="675"/>
      <c r="AD12" s="675"/>
      <c r="AE12" s="675"/>
      <c r="AF12" s="675"/>
      <c r="AG12" s="675"/>
      <c r="AH12" s="675"/>
      <c r="AI12" s="675"/>
      <c r="AJ12" s="675"/>
      <c r="AK12" s="675"/>
    </row>
    <row r="13" spans="1:37">
      <c r="A13" s="636" t="s">
        <v>1074</v>
      </c>
      <c r="B13" s="676" t="s">
        <v>1163</v>
      </c>
      <c r="C13" s="677" t="s">
        <v>1164</v>
      </c>
      <c r="D13" s="670">
        <v>0</v>
      </c>
      <c r="E13" s="678">
        <v>0</v>
      </c>
      <c r="F13" s="670">
        <f>D13-E13</f>
        <v>0</v>
      </c>
      <c r="G13" s="669"/>
      <c r="H13" s="670">
        <v>0</v>
      </c>
      <c r="I13" s="678">
        <v>0</v>
      </c>
      <c r="J13" s="670">
        <f>H13-I13</f>
        <v>0</v>
      </c>
      <c r="K13" s="669"/>
      <c r="L13" s="670">
        <v>0</v>
      </c>
      <c r="M13" s="669"/>
      <c r="N13" s="670">
        <f>H13+L13</f>
        <v>0</v>
      </c>
      <c r="O13" s="669"/>
      <c r="P13" s="670">
        <v>0</v>
      </c>
      <c r="Q13" s="671">
        <v>0</v>
      </c>
      <c r="R13" s="670">
        <f>P13-N13</f>
        <v>0</v>
      </c>
      <c r="S13" s="679" t="str">
        <f>IF(P13-N13&lt;0,"F","U")</f>
        <v>U</v>
      </c>
      <c r="T13" s="680">
        <f>IFERROR($R13/$P13,0)</f>
        <v>0</v>
      </c>
      <c r="U13" s="681"/>
      <c r="V13" s="682" t="s">
        <v>1077</v>
      </c>
      <c r="W13" t="s">
        <v>757</v>
      </c>
      <c r="X13" s="682" t="s">
        <v>1165</v>
      </c>
      <c r="Y13" s="682" t="s">
        <v>1166</v>
      </c>
      <c r="Z13" s="683">
        <v>0</v>
      </c>
      <c r="AA13" s="683">
        <v>0</v>
      </c>
      <c r="AB13" s="683">
        <v>0</v>
      </c>
      <c r="AC13" s="683">
        <v>0</v>
      </c>
      <c r="AD13" s="683">
        <v>0</v>
      </c>
      <c r="AE13" s="683">
        <v>0</v>
      </c>
      <c r="AF13" s="683">
        <v>0</v>
      </c>
      <c r="AG13" s="683">
        <v>0</v>
      </c>
      <c r="AH13" s="683">
        <v>0</v>
      </c>
      <c r="AI13" s="683">
        <v>0</v>
      </c>
      <c r="AJ13" s="683">
        <v>0</v>
      </c>
      <c r="AK13" s="683">
        <v>0</v>
      </c>
    </row>
    <row r="14" spans="1:37" ht="30">
      <c r="A14" s="636" t="s">
        <v>1074</v>
      </c>
      <c r="B14" s="676" t="s">
        <v>1088</v>
      </c>
      <c r="C14" s="677" t="s">
        <v>1089</v>
      </c>
      <c r="D14" s="670">
        <v>0</v>
      </c>
      <c r="E14" s="678">
        <v>0</v>
      </c>
      <c r="F14" s="670">
        <f>D14-E14</f>
        <v>0</v>
      </c>
      <c r="G14" s="669"/>
      <c r="H14" s="670">
        <v>-1144944.3500000001</v>
      </c>
      <c r="I14" s="678">
        <v>0</v>
      </c>
      <c r="J14" s="670">
        <f>H14-I14</f>
        <v>-1144944.3500000001</v>
      </c>
      <c r="K14" s="669"/>
      <c r="L14" s="670">
        <v>0</v>
      </c>
      <c r="M14" s="669"/>
      <c r="N14" s="670">
        <f>H14+L14</f>
        <v>-1144944.3500000001</v>
      </c>
      <c r="O14" s="669"/>
      <c r="P14" s="670">
        <v>0</v>
      </c>
      <c r="Q14" s="671">
        <v>0</v>
      </c>
      <c r="R14" s="670">
        <f>P14-N14</f>
        <v>1144944.3500000001</v>
      </c>
      <c r="S14" s="679" t="str">
        <f>IF(P14-N14&lt;0,"F","U")</f>
        <v>U</v>
      </c>
      <c r="T14" s="680">
        <f>IFERROR($R14/$P14,0)</f>
        <v>0</v>
      </c>
      <c r="U14" s="681"/>
      <c r="V14" s="682" t="s">
        <v>1077</v>
      </c>
      <c r="W14" t="s">
        <v>757</v>
      </c>
      <c r="X14" s="682" t="s">
        <v>1167</v>
      </c>
      <c r="Y14" s="682" t="s">
        <v>1168</v>
      </c>
      <c r="Z14" s="683">
        <v>-1144944.3500000001</v>
      </c>
      <c r="AA14" s="683">
        <v>0</v>
      </c>
      <c r="AB14" s="683">
        <v>0</v>
      </c>
      <c r="AC14" s="683">
        <v>0</v>
      </c>
      <c r="AD14" s="683">
        <v>0</v>
      </c>
      <c r="AE14" s="683">
        <v>0</v>
      </c>
      <c r="AF14" s="683">
        <v>0</v>
      </c>
      <c r="AG14" s="683">
        <v>0</v>
      </c>
      <c r="AH14" s="683">
        <v>0</v>
      </c>
      <c r="AI14" s="683">
        <v>0</v>
      </c>
      <c r="AJ14" s="683">
        <v>0</v>
      </c>
      <c r="AK14" s="683">
        <v>0</v>
      </c>
    </row>
    <row r="15" spans="1:37">
      <c r="A15" s="636" t="s">
        <v>1074</v>
      </c>
      <c r="B15" s="676" t="s">
        <v>1169</v>
      </c>
      <c r="C15" s="677" t="s">
        <v>1170</v>
      </c>
      <c r="D15" s="670">
        <v>0</v>
      </c>
      <c r="E15" s="678">
        <v>0</v>
      </c>
      <c r="F15" s="670">
        <f>D15-E15</f>
        <v>0</v>
      </c>
      <c r="G15" s="669"/>
      <c r="H15" s="670">
        <v>4128.5</v>
      </c>
      <c r="I15" s="678">
        <v>0</v>
      </c>
      <c r="J15" s="670">
        <f>H15-I15</f>
        <v>4128.5</v>
      </c>
      <c r="K15" s="669"/>
      <c r="L15" s="670">
        <v>0</v>
      </c>
      <c r="M15" s="669"/>
      <c r="N15" s="670">
        <f>H15+L15</f>
        <v>4128.5</v>
      </c>
      <c r="O15" s="669"/>
      <c r="P15" s="670">
        <v>0</v>
      </c>
      <c r="Q15" s="671">
        <v>0</v>
      </c>
      <c r="R15" s="670">
        <f>P15-N15</f>
        <v>-4128.5</v>
      </c>
      <c r="S15" s="679" t="str">
        <f>IF(P15-N15&lt;0,"F","U")</f>
        <v>F</v>
      </c>
      <c r="T15" s="680">
        <f>IFERROR($R15/$P15,0)</f>
        <v>0</v>
      </c>
      <c r="U15" s="681"/>
      <c r="V15" s="682" t="s">
        <v>1077</v>
      </c>
      <c r="W15" t="s">
        <v>757</v>
      </c>
      <c r="X15" s="682" t="s">
        <v>1165</v>
      </c>
      <c r="Y15" s="682" t="s">
        <v>1171</v>
      </c>
      <c r="Z15" s="683">
        <v>0</v>
      </c>
      <c r="AA15" s="683">
        <v>0</v>
      </c>
      <c r="AB15" s="683">
        <v>39130.43</v>
      </c>
      <c r="AC15" s="683">
        <v>0</v>
      </c>
      <c r="AD15" s="683">
        <v>0</v>
      </c>
      <c r="AE15" s="683">
        <v>4128.5</v>
      </c>
      <c r="AF15" s="683">
        <v>0</v>
      </c>
      <c r="AG15" s="683">
        <v>-39130.43</v>
      </c>
      <c r="AH15" s="683">
        <v>0</v>
      </c>
      <c r="AI15" s="683">
        <v>0</v>
      </c>
      <c r="AJ15" s="683">
        <v>0</v>
      </c>
      <c r="AK15" s="683">
        <v>0</v>
      </c>
    </row>
    <row r="16" spans="1:37">
      <c r="A16" s="636" t="s">
        <v>1036</v>
      </c>
      <c r="B16" s="664"/>
      <c r="C16" s="677"/>
      <c r="D16" s="684"/>
      <c r="E16" s="684"/>
      <c r="F16" s="684"/>
      <c r="G16" s="669"/>
      <c r="H16" s="684"/>
      <c r="I16" s="684"/>
      <c r="J16" s="684"/>
      <c r="K16" s="669"/>
      <c r="L16" s="684"/>
      <c r="M16" s="669"/>
      <c r="N16" s="684"/>
      <c r="O16" s="669"/>
      <c r="P16" s="684"/>
      <c r="Q16" s="685"/>
      <c r="R16" s="684"/>
      <c r="S16" s="686"/>
      <c r="T16" s="687"/>
      <c r="U16" s="681"/>
      <c r="Z16" s="688"/>
      <c r="AA16" s="688"/>
      <c r="AB16" s="688"/>
      <c r="AC16" s="688"/>
      <c r="AD16" s="688"/>
      <c r="AE16" s="688"/>
      <c r="AF16" s="688"/>
      <c r="AG16" s="688"/>
      <c r="AH16" s="688"/>
      <c r="AI16" s="688"/>
      <c r="AJ16" s="688"/>
      <c r="AK16" s="688"/>
    </row>
    <row r="17" spans="1:37">
      <c r="A17" s="636" t="s">
        <v>1036</v>
      </c>
      <c r="B17" s="689"/>
      <c r="C17" s="690" t="s">
        <v>1091</v>
      </c>
      <c r="D17" s="691">
        <f>SUBTOTAL(9,D13:D16)</f>
        <v>0</v>
      </c>
      <c r="E17" s="691">
        <f>SUBTOTAL(9,E13:E16)</f>
        <v>0</v>
      </c>
      <c r="F17" s="691">
        <f>SUBTOTAL(9,F13:F16)</f>
        <v>0</v>
      </c>
      <c r="G17" s="692"/>
      <c r="H17" s="691">
        <f>SUBTOTAL(9,H13:H16)</f>
        <v>-1140815.8500000001</v>
      </c>
      <c r="I17" s="691">
        <f>SUBTOTAL(9,I13:I16)</f>
        <v>0</v>
      </c>
      <c r="J17" s="691">
        <f>SUBTOTAL(9,J13:J16)</f>
        <v>-1140815.8500000001</v>
      </c>
      <c r="K17" s="692"/>
      <c r="L17" s="691">
        <f>SUBTOTAL(9,L13:L16)</f>
        <v>0</v>
      </c>
      <c r="M17" s="692"/>
      <c r="N17" s="691">
        <f>SUBTOTAL(9,N13:N16)</f>
        <v>-1140815.8500000001</v>
      </c>
      <c r="O17" s="692"/>
      <c r="P17" s="691">
        <f>SUBTOTAL(9,P13:P16)</f>
        <v>0</v>
      </c>
      <c r="Q17" s="693">
        <f>IFERROR($H17/$P17,0)</f>
        <v>0</v>
      </c>
      <c r="R17" s="691">
        <f>SUBTOTAL(9,R13:R16)</f>
        <v>1140815.8500000001</v>
      </c>
      <c r="S17" s="679" t="str">
        <f>IF(P17-N17&lt;0,"F","U")</f>
        <v>U</v>
      </c>
      <c r="T17" s="680">
        <f>IFERROR($R17/$P17,0)</f>
        <v>0</v>
      </c>
      <c r="U17" s="694"/>
      <c r="Z17" s="695">
        <f t="shared" ref="Z17:AK17" si="0">SUBTOTAL(9,Z13:Z16)</f>
        <v>-1144944.3500000001</v>
      </c>
      <c r="AA17" s="695">
        <f t="shared" si="0"/>
        <v>0</v>
      </c>
      <c r="AB17" s="695">
        <f t="shared" si="0"/>
        <v>39130.43</v>
      </c>
      <c r="AC17" s="695">
        <f t="shared" si="0"/>
        <v>0</v>
      </c>
      <c r="AD17" s="695">
        <f t="shared" si="0"/>
        <v>0</v>
      </c>
      <c r="AE17" s="695">
        <f t="shared" si="0"/>
        <v>4128.5</v>
      </c>
      <c r="AF17" s="695">
        <f t="shared" si="0"/>
        <v>0</v>
      </c>
      <c r="AG17" s="695">
        <f t="shared" si="0"/>
        <v>-39130.43</v>
      </c>
      <c r="AH17" s="695">
        <f t="shared" si="0"/>
        <v>0</v>
      </c>
      <c r="AI17" s="695">
        <f t="shared" si="0"/>
        <v>0</v>
      </c>
      <c r="AJ17" s="695">
        <f t="shared" si="0"/>
        <v>0</v>
      </c>
      <c r="AK17" s="695">
        <f t="shared" si="0"/>
        <v>0</v>
      </c>
    </row>
    <row r="18" spans="1:37">
      <c r="A18" s="636" t="s">
        <v>1043</v>
      </c>
      <c r="B18" s="664"/>
      <c r="C18" s="677"/>
      <c r="D18" s="670"/>
      <c r="E18" s="670"/>
      <c r="F18" s="670"/>
      <c r="G18" s="669"/>
      <c r="H18" s="670"/>
      <c r="I18" s="670"/>
      <c r="J18" s="670"/>
      <c r="K18" s="669"/>
      <c r="L18" s="670"/>
      <c r="M18" s="669"/>
      <c r="N18" s="670"/>
      <c r="O18" s="669"/>
      <c r="P18" s="670"/>
      <c r="Q18" s="671"/>
      <c r="R18" s="670"/>
      <c r="S18" s="679"/>
      <c r="T18" s="673"/>
      <c r="U18" s="681"/>
      <c r="Z18" s="683"/>
      <c r="AA18" s="683"/>
      <c r="AB18" s="683"/>
      <c r="AC18" s="683"/>
      <c r="AD18" s="683"/>
      <c r="AE18" s="683"/>
      <c r="AF18" s="683"/>
      <c r="AG18" s="683"/>
      <c r="AH18" s="683"/>
      <c r="AI18" s="683"/>
      <c r="AJ18" s="683"/>
      <c r="AK18" s="683"/>
    </row>
    <row r="19" spans="1:37">
      <c r="A19" s="636" t="s">
        <v>1074</v>
      </c>
      <c r="B19" s="676" t="s">
        <v>1092</v>
      </c>
      <c r="C19" s="677" t="s">
        <v>1093</v>
      </c>
      <c r="D19" s="670">
        <v>380944.72</v>
      </c>
      <c r="E19" s="670">
        <v>348008.72</v>
      </c>
      <c r="F19" s="670">
        <f t="shared" ref="F19:F31" si="1">E19-D19</f>
        <v>-32936</v>
      </c>
      <c r="G19" s="669"/>
      <c r="H19" s="670">
        <v>4552947.6500000004</v>
      </c>
      <c r="I19" s="670">
        <v>4176103.54</v>
      </c>
      <c r="J19" s="670">
        <f t="shared" ref="J19:J31" si="2">I19-H19</f>
        <v>-376844.11000000034</v>
      </c>
      <c r="K19" s="669"/>
      <c r="L19" s="670">
        <v>4176103.54</v>
      </c>
      <c r="M19" s="669"/>
      <c r="N19" s="670">
        <f t="shared" ref="N19:N31" si="3">H19+L19</f>
        <v>8729051.1900000013</v>
      </c>
      <c r="O19" s="669"/>
      <c r="P19" s="670">
        <v>4176103.54</v>
      </c>
      <c r="Q19" s="671">
        <v>1.09023821042521</v>
      </c>
      <c r="R19" s="670">
        <f t="shared" ref="R19:R31" si="4">P19-N19</f>
        <v>-4552947.6500000013</v>
      </c>
      <c r="S19" s="679" t="str">
        <f t="shared" ref="S19:S31" si="5">IF(P19-N19&gt;0,"F","U")</f>
        <v>U</v>
      </c>
      <c r="T19" s="680">
        <f t="shared" ref="T19:T31" si="6">-IFERROR($R19/$P19,0)</f>
        <v>1.090238210425214</v>
      </c>
      <c r="U19" s="681"/>
      <c r="V19" s="682" t="s">
        <v>1094</v>
      </c>
      <c r="W19" t="s">
        <v>757</v>
      </c>
      <c r="X19" s="682" t="s">
        <v>1167</v>
      </c>
      <c r="Y19" s="682" t="s">
        <v>1172</v>
      </c>
      <c r="Z19" s="683">
        <v>376793.72</v>
      </c>
      <c r="AA19" s="683">
        <v>379352.33</v>
      </c>
      <c r="AB19" s="683">
        <v>370852.14</v>
      </c>
      <c r="AC19" s="683">
        <v>384049.45</v>
      </c>
      <c r="AD19" s="683">
        <v>372209.07</v>
      </c>
      <c r="AE19" s="683">
        <v>385250.21</v>
      </c>
      <c r="AF19" s="683">
        <v>389004.55</v>
      </c>
      <c r="AG19" s="683">
        <v>351555.17</v>
      </c>
      <c r="AH19" s="683">
        <v>390703.97</v>
      </c>
      <c r="AI19" s="683">
        <v>379539.85</v>
      </c>
      <c r="AJ19" s="683">
        <v>392692.47</v>
      </c>
      <c r="AK19" s="683">
        <v>380944.72</v>
      </c>
    </row>
    <row r="20" spans="1:37">
      <c r="A20" s="636" t="s">
        <v>1074</v>
      </c>
      <c r="B20" s="676" t="s">
        <v>1096</v>
      </c>
      <c r="C20" s="677" t="s">
        <v>1097</v>
      </c>
      <c r="D20" s="670">
        <v>10274.790000000001</v>
      </c>
      <c r="E20" s="670">
        <v>0</v>
      </c>
      <c r="F20" s="670">
        <f t="shared" si="1"/>
        <v>-10274.790000000001</v>
      </c>
      <c r="G20" s="669"/>
      <c r="H20" s="670">
        <v>122759.17</v>
      </c>
      <c r="I20" s="670">
        <v>0</v>
      </c>
      <c r="J20" s="670">
        <f t="shared" si="2"/>
        <v>-122759.17</v>
      </c>
      <c r="K20" s="669"/>
      <c r="L20" s="670">
        <v>0</v>
      </c>
      <c r="M20" s="669"/>
      <c r="N20" s="670">
        <f t="shared" si="3"/>
        <v>122759.17</v>
      </c>
      <c r="O20" s="669"/>
      <c r="P20" s="670">
        <v>0</v>
      </c>
      <c r="Q20" s="671">
        <v>0</v>
      </c>
      <c r="R20" s="670">
        <f t="shared" si="4"/>
        <v>-122759.17</v>
      </c>
      <c r="S20" s="679" t="str">
        <f t="shared" si="5"/>
        <v>U</v>
      </c>
      <c r="T20" s="680">
        <f t="shared" si="6"/>
        <v>0</v>
      </c>
      <c r="U20" s="681"/>
      <c r="V20" s="682" t="s">
        <v>1094</v>
      </c>
      <c r="W20" t="s">
        <v>757</v>
      </c>
      <c r="X20" s="682" t="s">
        <v>1167</v>
      </c>
      <c r="Y20" s="682" t="s">
        <v>1173</v>
      </c>
      <c r="Z20" s="683">
        <v>10409</v>
      </c>
      <c r="AA20" s="683">
        <v>10409</v>
      </c>
      <c r="AB20" s="683">
        <v>10073.23</v>
      </c>
      <c r="AC20" s="683">
        <v>10409</v>
      </c>
      <c r="AD20" s="683">
        <v>10073.23</v>
      </c>
      <c r="AE20" s="683">
        <v>10409</v>
      </c>
      <c r="AF20" s="683">
        <v>10409</v>
      </c>
      <c r="AG20" s="683">
        <v>9401.69</v>
      </c>
      <c r="AH20" s="683">
        <v>10409</v>
      </c>
      <c r="AI20" s="683">
        <v>10073.23</v>
      </c>
      <c r="AJ20" s="683">
        <v>10409</v>
      </c>
      <c r="AK20" s="683">
        <v>10274.790000000001</v>
      </c>
    </row>
    <row r="21" spans="1:37">
      <c r="A21" s="636" t="s">
        <v>1074</v>
      </c>
      <c r="B21" s="676" t="s">
        <v>1103</v>
      </c>
      <c r="C21" s="677" t="s">
        <v>1104</v>
      </c>
      <c r="D21" s="670">
        <v>48682.400000000001</v>
      </c>
      <c r="E21" s="670">
        <v>3637</v>
      </c>
      <c r="F21" s="670">
        <f t="shared" si="1"/>
        <v>-45045.4</v>
      </c>
      <c r="G21" s="669"/>
      <c r="H21" s="670">
        <v>88645.4</v>
      </c>
      <c r="I21" s="670">
        <v>43600</v>
      </c>
      <c r="J21" s="670">
        <f t="shared" si="2"/>
        <v>-45045.399999999994</v>
      </c>
      <c r="K21" s="669"/>
      <c r="L21" s="670">
        <v>43600</v>
      </c>
      <c r="M21" s="669"/>
      <c r="N21" s="670">
        <f t="shared" si="3"/>
        <v>132245.4</v>
      </c>
      <c r="O21" s="669"/>
      <c r="P21" s="670">
        <v>43600</v>
      </c>
      <c r="Q21" s="671">
        <v>2.0331513761467899</v>
      </c>
      <c r="R21" s="670">
        <f t="shared" si="4"/>
        <v>-88645.4</v>
      </c>
      <c r="S21" s="679" t="str">
        <f t="shared" si="5"/>
        <v>U</v>
      </c>
      <c r="T21" s="680">
        <f t="shared" si="6"/>
        <v>2.033151376146789</v>
      </c>
      <c r="U21" s="681"/>
      <c r="V21" s="682" t="s">
        <v>1094</v>
      </c>
      <c r="W21" t="s">
        <v>757</v>
      </c>
      <c r="X21" s="682" t="s">
        <v>1167</v>
      </c>
      <c r="Y21" s="682" t="s">
        <v>1174</v>
      </c>
      <c r="Z21" s="683">
        <v>3633</v>
      </c>
      <c r="AA21" s="683">
        <v>3633</v>
      </c>
      <c r="AB21" s="683">
        <v>3633</v>
      </c>
      <c r="AC21" s="683">
        <v>3633</v>
      </c>
      <c r="AD21" s="683">
        <v>3633</v>
      </c>
      <c r="AE21" s="683">
        <v>3633</v>
      </c>
      <c r="AF21" s="683">
        <v>3633</v>
      </c>
      <c r="AG21" s="683">
        <v>3633</v>
      </c>
      <c r="AH21" s="683">
        <v>3633</v>
      </c>
      <c r="AI21" s="683">
        <v>3633</v>
      </c>
      <c r="AJ21" s="683">
        <v>3633</v>
      </c>
      <c r="AK21" s="683">
        <v>48682.400000000001</v>
      </c>
    </row>
    <row r="22" spans="1:37">
      <c r="A22" s="636" t="s">
        <v>1074</v>
      </c>
      <c r="B22" s="676" t="s">
        <v>1106</v>
      </c>
      <c r="C22" s="677" t="s">
        <v>1107</v>
      </c>
      <c r="D22" s="670">
        <v>1821.23</v>
      </c>
      <c r="E22" s="670">
        <v>0</v>
      </c>
      <c r="F22" s="670">
        <f t="shared" si="1"/>
        <v>-1821.23</v>
      </c>
      <c r="G22" s="669"/>
      <c r="H22" s="670">
        <v>8979.11</v>
      </c>
      <c r="I22" s="670">
        <v>0</v>
      </c>
      <c r="J22" s="670">
        <f t="shared" si="2"/>
        <v>-8979.11</v>
      </c>
      <c r="K22" s="669"/>
      <c r="L22" s="670">
        <v>0</v>
      </c>
      <c r="M22" s="669"/>
      <c r="N22" s="670">
        <f t="shared" si="3"/>
        <v>8979.11</v>
      </c>
      <c r="O22" s="669"/>
      <c r="P22" s="670">
        <v>0</v>
      </c>
      <c r="Q22" s="671">
        <v>0</v>
      </c>
      <c r="R22" s="670">
        <f t="shared" si="4"/>
        <v>-8979.11</v>
      </c>
      <c r="S22" s="679" t="str">
        <f t="shared" si="5"/>
        <v>U</v>
      </c>
      <c r="T22" s="680">
        <f t="shared" si="6"/>
        <v>0</v>
      </c>
      <c r="U22" s="681"/>
      <c r="V22" s="682" t="s">
        <v>1094</v>
      </c>
      <c r="W22" t="s">
        <v>757</v>
      </c>
      <c r="X22" s="682" t="s">
        <v>1167</v>
      </c>
      <c r="Y22" s="682" t="s">
        <v>1175</v>
      </c>
      <c r="Z22" s="683">
        <v>0</v>
      </c>
      <c r="AA22" s="683">
        <v>1375.47</v>
      </c>
      <c r="AB22" s="683">
        <v>559.62</v>
      </c>
      <c r="AC22" s="683">
        <v>833.84</v>
      </c>
      <c r="AD22" s="683">
        <v>1247.48</v>
      </c>
      <c r="AE22" s="683">
        <v>367.76</v>
      </c>
      <c r="AF22" s="683">
        <v>146.37</v>
      </c>
      <c r="AG22" s="683">
        <v>474.51</v>
      </c>
      <c r="AH22" s="683">
        <v>909.09</v>
      </c>
      <c r="AI22" s="683">
        <v>0</v>
      </c>
      <c r="AJ22" s="683">
        <v>1243.74</v>
      </c>
      <c r="AK22" s="683">
        <v>1821.23</v>
      </c>
    </row>
    <row r="23" spans="1:37">
      <c r="A23" s="636" t="s">
        <v>1074</v>
      </c>
      <c r="B23" s="676" t="s">
        <v>1112</v>
      </c>
      <c r="C23" s="677" t="s">
        <v>1113</v>
      </c>
      <c r="D23" s="670">
        <v>867.22</v>
      </c>
      <c r="E23" s="670">
        <v>913</v>
      </c>
      <c r="F23" s="670">
        <f t="shared" si="1"/>
        <v>45.779999999999973</v>
      </c>
      <c r="G23" s="669"/>
      <c r="H23" s="670">
        <v>10359.030000000001</v>
      </c>
      <c r="I23" s="670">
        <v>11000</v>
      </c>
      <c r="J23" s="670">
        <f t="shared" si="2"/>
        <v>640.96999999999935</v>
      </c>
      <c r="K23" s="669"/>
      <c r="L23" s="670">
        <v>11000</v>
      </c>
      <c r="M23" s="669"/>
      <c r="N23" s="670">
        <f t="shared" si="3"/>
        <v>21359.03</v>
      </c>
      <c r="O23" s="669"/>
      <c r="P23" s="670">
        <v>11000</v>
      </c>
      <c r="Q23" s="671">
        <v>0.94172999999999996</v>
      </c>
      <c r="R23" s="670">
        <f t="shared" si="4"/>
        <v>-10359.029999999999</v>
      </c>
      <c r="S23" s="679" t="str">
        <f t="shared" si="5"/>
        <v>U</v>
      </c>
      <c r="T23" s="680">
        <f t="shared" si="6"/>
        <v>0.94172999999999984</v>
      </c>
      <c r="U23" s="681"/>
      <c r="V23" s="682" t="s">
        <v>1094</v>
      </c>
      <c r="W23" t="s">
        <v>757</v>
      </c>
      <c r="X23" s="682" t="s">
        <v>1167</v>
      </c>
      <c r="Y23" s="682" t="s">
        <v>1176</v>
      </c>
      <c r="Z23" s="683">
        <v>890.95</v>
      </c>
      <c r="AA23" s="683">
        <v>890.95</v>
      </c>
      <c r="AB23" s="683">
        <v>806.79</v>
      </c>
      <c r="AC23" s="683">
        <v>862.89</v>
      </c>
      <c r="AD23" s="683">
        <v>862.89</v>
      </c>
      <c r="AE23" s="683">
        <v>862.89</v>
      </c>
      <c r="AF23" s="683">
        <v>862.89</v>
      </c>
      <c r="AG23" s="683">
        <v>862.89</v>
      </c>
      <c r="AH23" s="683">
        <v>862.89</v>
      </c>
      <c r="AI23" s="683">
        <v>862.89</v>
      </c>
      <c r="AJ23" s="683">
        <v>862.89</v>
      </c>
      <c r="AK23" s="683">
        <v>867.22</v>
      </c>
    </row>
    <row r="24" spans="1:37">
      <c r="A24" s="636" t="s">
        <v>1074</v>
      </c>
      <c r="B24" s="676" t="s">
        <v>1115</v>
      </c>
      <c r="C24" s="677" t="s">
        <v>1116</v>
      </c>
      <c r="D24" s="670">
        <v>5630.77</v>
      </c>
      <c r="E24" s="670">
        <v>5525</v>
      </c>
      <c r="F24" s="670">
        <f t="shared" si="1"/>
        <v>-105.77000000000044</v>
      </c>
      <c r="G24" s="669"/>
      <c r="H24" s="670">
        <v>67569.25</v>
      </c>
      <c r="I24" s="670">
        <v>66300</v>
      </c>
      <c r="J24" s="670">
        <f t="shared" si="2"/>
        <v>-1269.25</v>
      </c>
      <c r="K24" s="669"/>
      <c r="L24" s="670">
        <v>66300</v>
      </c>
      <c r="M24" s="669"/>
      <c r="N24" s="670">
        <f t="shared" si="3"/>
        <v>133869.25</v>
      </c>
      <c r="O24" s="669"/>
      <c r="P24" s="670">
        <v>66300</v>
      </c>
      <c r="Q24" s="671">
        <v>1.0191440422322799</v>
      </c>
      <c r="R24" s="670">
        <f t="shared" si="4"/>
        <v>-67569.25</v>
      </c>
      <c r="S24" s="679" t="str">
        <f t="shared" si="5"/>
        <v>U</v>
      </c>
      <c r="T24" s="680">
        <f t="shared" si="6"/>
        <v>1.0191440422322775</v>
      </c>
      <c r="U24" s="681"/>
      <c r="V24" s="682" t="s">
        <v>1094</v>
      </c>
      <c r="W24" t="s">
        <v>757</v>
      </c>
      <c r="X24" s="682" t="s">
        <v>1167</v>
      </c>
      <c r="Y24" s="682" t="s">
        <v>1177</v>
      </c>
      <c r="Z24" s="683">
        <v>5428.06</v>
      </c>
      <c r="AA24" s="683">
        <v>5428.06</v>
      </c>
      <c r="AB24" s="683">
        <v>6036.2</v>
      </c>
      <c r="AC24" s="683">
        <v>5630.77</v>
      </c>
      <c r="AD24" s="683">
        <v>5630.77</v>
      </c>
      <c r="AE24" s="683">
        <v>5630.77</v>
      </c>
      <c r="AF24" s="683">
        <v>5630.77</v>
      </c>
      <c r="AG24" s="683">
        <v>5630.77</v>
      </c>
      <c r="AH24" s="683">
        <v>5630.77</v>
      </c>
      <c r="AI24" s="683">
        <v>5630.77</v>
      </c>
      <c r="AJ24" s="683">
        <v>5630.77</v>
      </c>
      <c r="AK24" s="683">
        <v>5630.77</v>
      </c>
    </row>
    <row r="25" spans="1:37">
      <c r="A25" s="636" t="s">
        <v>1074</v>
      </c>
      <c r="B25" s="676" t="s">
        <v>1121</v>
      </c>
      <c r="C25" s="677" t="s">
        <v>1122</v>
      </c>
      <c r="D25" s="670">
        <v>0</v>
      </c>
      <c r="E25" s="670">
        <v>0</v>
      </c>
      <c r="F25" s="670">
        <f t="shared" si="1"/>
        <v>0</v>
      </c>
      <c r="G25" s="669"/>
      <c r="H25" s="670">
        <v>0</v>
      </c>
      <c r="I25" s="670">
        <v>0</v>
      </c>
      <c r="J25" s="670">
        <f t="shared" si="2"/>
        <v>0</v>
      </c>
      <c r="K25" s="669"/>
      <c r="L25" s="670">
        <v>0</v>
      </c>
      <c r="M25" s="669"/>
      <c r="N25" s="670">
        <f t="shared" si="3"/>
        <v>0</v>
      </c>
      <c r="O25" s="669"/>
      <c r="P25" s="670">
        <v>0</v>
      </c>
      <c r="Q25" s="671">
        <v>0</v>
      </c>
      <c r="R25" s="670">
        <f t="shared" si="4"/>
        <v>0</v>
      </c>
      <c r="S25" s="679" t="str">
        <f t="shared" si="5"/>
        <v>U</v>
      </c>
      <c r="T25" s="680">
        <f t="shared" si="6"/>
        <v>0</v>
      </c>
      <c r="U25" s="681"/>
      <c r="V25" s="682" t="s">
        <v>1094</v>
      </c>
      <c r="W25" t="s">
        <v>757</v>
      </c>
      <c r="X25" s="682" t="s">
        <v>1167</v>
      </c>
      <c r="Y25" s="682" t="s">
        <v>1178</v>
      </c>
      <c r="Z25" s="683">
        <v>0</v>
      </c>
      <c r="AA25" s="683">
        <v>0</v>
      </c>
      <c r="AB25" s="683">
        <v>0</v>
      </c>
      <c r="AC25" s="683">
        <v>0</v>
      </c>
      <c r="AD25" s="683">
        <v>0</v>
      </c>
      <c r="AE25" s="683">
        <v>0</v>
      </c>
      <c r="AF25" s="683">
        <v>0</v>
      </c>
      <c r="AG25" s="683">
        <v>0</v>
      </c>
      <c r="AH25" s="683">
        <v>0</v>
      </c>
      <c r="AI25" s="683">
        <v>0</v>
      </c>
      <c r="AJ25" s="683">
        <v>0</v>
      </c>
      <c r="AK25" s="683">
        <v>0</v>
      </c>
    </row>
    <row r="26" spans="1:37">
      <c r="A26" s="636" t="s">
        <v>1074</v>
      </c>
      <c r="B26" s="676" t="s">
        <v>1124</v>
      </c>
      <c r="C26" s="677" t="s">
        <v>1125</v>
      </c>
      <c r="D26" s="670">
        <v>0</v>
      </c>
      <c r="E26" s="670">
        <v>0</v>
      </c>
      <c r="F26" s="670">
        <f t="shared" si="1"/>
        <v>0</v>
      </c>
      <c r="G26" s="669"/>
      <c r="H26" s="670">
        <v>0</v>
      </c>
      <c r="I26" s="670">
        <v>0</v>
      </c>
      <c r="J26" s="670">
        <f t="shared" si="2"/>
        <v>0</v>
      </c>
      <c r="K26" s="669"/>
      <c r="L26" s="670">
        <v>0</v>
      </c>
      <c r="M26" s="669"/>
      <c r="N26" s="670">
        <f t="shared" si="3"/>
        <v>0</v>
      </c>
      <c r="O26" s="669"/>
      <c r="P26" s="670">
        <v>0</v>
      </c>
      <c r="Q26" s="671">
        <v>0</v>
      </c>
      <c r="R26" s="670">
        <f t="shared" si="4"/>
        <v>0</v>
      </c>
      <c r="S26" s="679" t="str">
        <f t="shared" si="5"/>
        <v>U</v>
      </c>
      <c r="T26" s="680">
        <f t="shared" si="6"/>
        <v>0</v>
      </c>
      <c r="U26" s="681"/>
      <c r="V26" s="682" t="s">
        <v>1094</v>
      </c>
      <c r="W26" t="s">
        <v>757</v>
      </c>
      <c r="X26" s="682" t="s">
        <v>1167</v>
      </c>
      <c r="Y26" s="682" t="s">
        <v>1179</v>
      </c>
      <c r="Z26" s="683">
        <v>100.2</v>
      </c>
      <c r="AA26" s="683">
        <v>100.2</v>
      </c>
      <c r="AB26" s="683">
        <v>100.2</v>
      </c>
      <c r="AC26" s="683">
        <v>100.2</v>
      </c>
      <c r="AD26" s="683">
        <v>-400.8</v>
      </c>
      <c r="AE26" s="683">
        <v>0</v>
      </c>
      <c r="AF26" s="683">
        <v>0</v>
      </c>
      <c r="AG26" s="683">
        <v>0</v>
      </c>
      <c r="AH26" s="683">
        <v>0</v>
      </c>
      <c r="AI26" s="683">
        <v>0</v>
      </c>
      <c r="AJ26" s="683">
        <v>0</v>
      </c>
      <c r="AK26" s="683">
        <v>0</v>
      </c>
    </row>
    <row r="27" spans="1:37">
      <c r="A27" s="636" t="s">
        <v>1074</v>
      </c>
      <c r="B27" s="676" t="s">
        <v>1127</v>
      </c>
      <c r="C27" s="677" t="s">
        <v>1128</v>
      </c>
      <c r="D27" s="670">
        <v>133237.31</v>
      </c>
      <c r="E27" s="670">
        <v>82925</v>
      </c>
      <c r="F27" s="670">
        <f t="shared" si="1"/>
        <v>-50312.31</v>
      </c>
      <c r="G27" s="669"/>
      <c r="H27" s="670">
        <v>848004.55</v>
      </c>
      <c r="I27" s="670">
        <v>995100</v>
      </c>
      <c r="J27" s="670">
        <f t="shared" si="2"/>
        <v>147095.44999999995</v>
      </c>
      <c r="K27" s="669"/>
      <c r="L27" s="670">
        <v>995100</v>
      </c>
      <c r="M27" s="669"/>
      <c r="N27" s="670">
        <f t="shared" si="3"/>
        <v>1843104.55</v>
      </c>
      <c r="O27" s="669"/>
      <c r="P27" s="670">
        <v>995100</v>
      </c>
      <c r="Q27" s="671">
        <v>0.85218023314239799</v>
      </c>
      <c r="R27" s="670">
        <f t="shared" si="4"/>
        <v>-848004.55</v>
      </c>
      <c r="S27" s="679" t="str">
        <f t="shared" si="5"/>
        <v>U</v>
      </c>
      <c r="T27" s="680">
        <f t="shared" si="6"/>
        <v>0.85218023314239777</v>
      </c>
      <c r="U27" s="681"/>
      <c r="V27" s="682" t="s">
        <v>1094</v>
      </c>
      <c r="W27" t="s">
        <v>757</v>
      </c>
      <c r="X27" s="682" t="s">
        <v>1167</v>
      </c>
      <c r="Y27" s="682" t="s">
        <v>1180</v>
      </c>
      <c r="Z27" s="683">
        <v>53352.78</v>
      </c>
      <c r="AA27" s="683">
        <v>54655.22</v>
      </c>
      <c r="AB27" s="683">
        <v>86459.08</v>
      </c>
      <c r="AC27" s="683">
        <v>81756.98</v>
      </c>
      <c r="AD27" s="683">
        <v>68180.210000000006</v>
      </c>
      <c r="AE27" s="683">
        <v>80819.16</v>
      </c>
      <c r="AF27" s="683">
        <v>73137.53</v>
      </c>
      <c r="AG27" s="683">
        <v>69274.2</v>
      </c>
      <c r="AH27" s="683">
        <v>73959.48</v>
      </c>
      <c r="AI27" s="683">
        <v>42732.9</v>
      </c>
      <c r="AJ27" s="683">
        <v>30439.7</v>
      </c>
      <c r="AK27" s="683">
        <v>133237.31</v>
      </c>
    </row>
    <row r="28" spans="1:37">
      <c r="A28" s="636" t="s">
        <v>1074</v>
      </c>
      <c r="B28" s="676" t="s">
        <v>1133</v>
      </c>
      <c r="C28" s="677" t="s">
        <v>1134</v>
      </c>
      <c r="D28" s="670">
        <v>303142.73</v>
      </c>
      <c r="E28" s="670">
        <v>3633.37</v>
      </c>
      <c r="F28" s="670">
        <f t="shared" si="1"/>
        <v>-299509.36</v>
      </c>
      <c r="G28" s="669"/>
      <c r="H28" s="670">
        <v>323883</v>
      </c>
      <c r="I28" s="670">
        <v>43600</v>
      </c>
      <c r="J28" s="670">
        <f t="shared" si="2"/>
        <v>-280283</v>
      </c>
      <c r="K28" s="669"/>
      <c r="L28" s="670">
        <v>43600</v>
      </c>
      <c r="M28" s="669"/>
      <c r="N28" s="670">
        <f t="shared" si="3"/>
        <v>367483</v>
      </c>
      <c r="O28" s="669"/>
      <c r="P28" s="670">
        <v>43600</v>
      </c>
      <c r="Q28" s="671">
        <v>7.4285091743119303</v>
      </c>
      <c r="R28" s="670">
        <f t="shared" si="4"/>
        <v>-323883</v>
      </c>
      <c r="S28" s="679" t="str">
        <f t="shared" si="5"/>
        <v>U</v>
      </c>
      <c r="T28" s="680">
        <f t="shared" si="6"/>
        <v>7.4285091743119267</v>
      </c>
      <c r="U28" s="681"/>
      <c r="V28" s="682" t="s">
        <v>1094</v>
      </c>
      <c r="W28" t="s">
        <v>757</v>
      </c>
      <c r="X28" s="682" t="s">
        <v>1167</v>
      </c>
      <c r="Y28" s="682" t="s">
        <v>1181</v>
      </c>
      <c r="Z28" s="683">
        <v>268.42</v>
      </c>
      <c r="AA28" s="683">
        <v>0</v>
      </c>
      <c r="AB28" s="683">
        <v>8404.65</v>
      </c>
      <c r="AC28" s="683">
        <v>440.62</v>
      </c>
      <c r="AD28" s="683">
        <v>634.78</v>
      </c>
      <c r="AE28" s="683">
        <v>5592.26</v>
      </c>
      <c r="AF28" s="683">
        <v>1389.87</v>
      </c>
      <c r="AG28" s="683">
        <v>1410.5</v>
      </c>
      <c r="AH28" s="683">
        <v>760.01</v>
      </c>
      <c r="AI28" s="683">
        <v>1425.28</v>
      </c>
      <c r="AJ28" s="683">
        <v>413.88</v>
      </c>
      <c r="AK28" s="683">
        <v>303142.73</v>
      </c>
    </row>
    <row r="29" spans="1:37">
      <c r="A29" s="636" t="s">
        <v>1074</v>
      </c>
      <c r="B29" s="676" t="s">
        <v>1182</v>
      </c>
      <c r="C29" s="677" t="s">
        <v>1183</v>
      </c>
      <c r="D29" s="670">
        <v>0</v>
      </c>
      <c r="E29" s="670">
        <v>0</v>
      </c>
      <c r="F29" s="670">
        <f t="shared" si="1"/>
        <v>0</v>
      </c>
      <c r="G29" s="669"/>
      <c r="H29" s="670">
        <v>0</v>
      </c>
      <c r="I29" s="670">
        <v>0</v>
      </c>
      <c r="J29" s="670">
        <f t="shared" si="2"/>
        <v>0</v>
      </c>
      <c r="K29" s="669"/>
      <c r="L29" s="670">
        <v>0</v>
      </c>
      <c r="M29" s="669"/>
      <c r="N29" s="670">
        <f t="shared" si="3"/>
        <v>0</v>
      </c>
      <c r="O29" s="669"/>
      <c r="P29" s="670">
        <v>0</v>
      </c>
      <c r="Q29" s="671">
        <v>0</v>
      </c>
      <c r="R29" s="670">
        <f t="shared" si="4"/>
        <v>0</v>
      </c>
      <c r="S29" s="679" t="str">
        <f t="shared" si="5"/>
        <v>U</v>
      </c>
      <c r="T29" s="680">
        <f t="shared" si="6"/>
        <v>0</v>
      </c>
      <c r="U29" s="681"/>
      <c r="V29" s="682" t="s">
        <v>1094</v>
      </c>
      <c r="W29" t="s">
        <v>757</v>
      </c>
      <c r="X29" s="682" t="s">
        <v>1165</v>
      </c>
      <c r="Y29" s="682" t="s">
        <v>1184</v>
      </c>
      <c r="Z29" s="683">
        <v>0</v>
      </c>
      <c r="AA29" s="683">
        <v>0</v>
      </c>
      <c r="AB29" s="683">
        <v>0</v>
      </c>
      <c r="AC29" s="683">
        <v>0</v>
      </c>
      <c r="AD29" s="683">
        <v>0</v>
      </c>
      <c r="AE29" s="683">
        <v>0</v>
      </c>
      <c r="AF29" s="683">
        <v>0</v>
      </c>
      <c r="AG29" s="683">
        <v>0</v>
      </c>
      <c r="AH29" s="683">
        <v>0</v>
      </c>
      <c r="AI29" s="683">
        <v>0</v>
      </c>
      <c r="AJ29" s="683">
        <v>0</v>
      </c>
      <c r="AK29" s="683">
        <v>0</v>
      </c>
    </row>
    <row r="30" spans="1:37">
      <c r="A30" s="636" t="s">
        <v>1074</v>
      </c>
      <c r="B30" s="676" t="s">
        <v>1144</v>
      </c>
      <c r="C30" s="677" t="s">
        <v>1145</v>
      </c>
      <c r="D30" s="670">
        <v>27795.67</v>
      </c>
      <c r="E30" s="670">
        <v>47159.3</v>
      </c>
      <c r="F30" s="670">
        <f t="shared" si="1"/>
        <v>19363.630000000005</v>
      </c>
      <c r="G30" s="669"/>
      <c r="H30" s="670">
        <v>391257.15</v>
      </c>
      <c r="I30" s="670">
        <v>565912.15</v>
      </c>
      <c r="J30" s="670">
        <f t="shared" si="2"/>
        <v>174655</v>
      </c>
      <c r="K30" s="669"/>
      <c r="L30" s="670">
        <v>565912.15</v>
      </c>
      <c r="M30" s="669"/>
      <c r="N30" s="670">
        <f t="shared" si="3"/>
        <v>957169.3</v>
      </c>
      <c r="O30" s="669"/>
      <c r="P30" s="670">
        <v>565912.15</v>
      </c>
      <c r="Q30" s="671">
        <v>0.69137435907675804</v>
      </c>
      <c r="R30" s="670">
        <f t="shared" si="4"/>
        <v>-391257.15</v>
      </c>
      <c r="S30" s="679" t="str">
        <f t="shared" si="5"/>
        <v>U</v>
      </c>
      <c r="T30" s="680">
        <f t="shared" si="6"/>
        <v>0.69137435907675782</v>
      </c>
      <c r="U30" s="681"/>
      <c r="V30" s="682" t="s">
        <v>1094</v>
      </c>
      <c r="W30" t="s">
        <v>757</v>
      </c>
      <c r="X30" s="682" t="s">
        <v>1167</v>
      </c>
      <c r="Y30" s="682" t="s">
        <v>1185</v>
      </c>
      <c r="Z30" s="683">
        <v>36035.949999999997</v>
      </c>
      <c r="AA30" s="683">
        <v>36035.949999999997</v>
      </c>
      <c r="AB30" s="683">
        <v>33853.01</v>
      </c>
      <c r="AC30" s="683">
        <v>32836.61</v>
      </c>
      <c r="AD30" s="683">
        <v>32836.61</v>
      </c>
      <c r="AE30" s="683">
        <v>35123.51</v>
      </c>
      <c r="AF30" s="683">
        <v>31636.92</v>
      </c>
      <c r="AG30" s="683">
        <v>31636.92</v>
      </c>
      <c r="AH30" s="683">
        <v>31636.92</v>
      </c>
      <c r="AI30" s="683">
        <v>31874.19</v>
      </c>
      <c r="AJ30" s="683">
        <v>29954.89</v>
      </c>
      <c r="AK30" s="683">
        <v>27795.67</v>
      </c>
    </row>
    <row r="31" spans="1:37">
      <c r="A31" s="636" t="s">
        <v>1074</v>
      </c>
      <c r="B31" s="676" t="s">
        <v>1147</v>
      </c>
      <c r="C31" s="677" t="s">
        <v>1148</v>
      </c>
      <c r="D31" s="670">
        <v>22928.21</v>
      </c>
      <c r="E31" s="670">
        <v>30279.99</v>
      </c>
      <c r="F31" s="670">
        <f t="shared" si="1"/>
        <v>7351.7800000000025</v>
      </c>
      <c r="G31" s="669"/>
      <c r="H31" s="670">
        <v>63175.03</v>
      </c>
      <c r="I31" s="670">
        <v>210459.42</v>
      </c>
      <c r="J31" s="670">
        <f t="shared" si="2"/>
        <v>147284.39000000001</v>
      </c>
      <c r="K31" s="669"/>
      <c r="L31" s="670">
        <v>210459.42</v>
      </c>
      <c r="M31" s="669"/>
      <c r="N31" s="670">
        <f t="shared" si="3"/>
        <v>273634.45</v>
      </c>
      <c r="O31" s="669"/>
      <c r="P31" s="670">
        <v>210459.42</v>
      </c>
      <c r="Q31" s="671">
        <v>0.30017677517119401</v>
      </c>
      <c r="R31" s="670">
        <f t="shared" si="4"/>
        <v>-63175.03</v>
      </c>
      <c r="S31" s="679" t="str">
        <f t="shared" si="5"/>
        <v>U</v>
      </c>
      <c r="T31" s="680">
        <f t="shared" si="6"/>
        <v>0.30017677517119451</v>
      </c>
      <c r="U31" s="681"/>
      <c r="V31" s="682" t="s">
        <v>1149</v>
      </c>
      <c r="W31" t="s">
        <v>757</v>
      </c>
      <c r="X31" s="682" t="s">
        <v>1167</v>
      </c>
      <c r="Y31" s="682" t="s">
        <v>1186</v>
      </c>
      <c r="Z31" s="683">
        <v>13841.03</v>
      </c>
      <c r="AA31" s="683">
        <v>15332.8</v>
      </c>
      <c r="AB31" s="683">
        <v>16906.55</v>
      </c>
      <c r="AC31" s="683">
        <v>16594.810000000001</v>
      </c>
      <c r="AD31" s="683">
        <v>-112524.78</v>
      </c>
      <c r="AE31" s="683">
        <v>18517.02</v>
      </c>
      <c r="AF31" s="683">
        <v>7122.23</v>
      </c>
      <c r="AG31" s="683">
        <v>16004.47</v>
      </c>
      <c r="AH31" s="683">
        <v>17480.43</v>
      </c>
      <c r="AI31" s="683">
        <v>14990.07</v>
      </c>
      <c r="AJ31" s="683">
        <v>15982.19</v>
      </c>
      <c r="AK31" s="683">
        <v>22928.21</v>
      </c>
    </row>
    <row r="32" spans="1:37">
      <c r="A32" s="636" t="s">
        <v>1036</v>
      </c>
      <c r="B32" s="664"/>
      <c r="C32" s="677"/>
      <c r="D32" s="684"/>
      <c r="E32" s="684"/>
      <c r="F32" s="684"/>
      <c r="G32" s="669"/>
      <c r="H32" s="684"/>
      <c r="I32" s="684"/>
      <c r="J32" s="684"/>
      <c r="K32" s="669"/>
      <c r="L32" s="684"/>
      <c r="M32" s="669"/>
      <c r="N32" s="684"/>
      <c r="O32" s="669"/>
      <c r="P32" s="684"/>
      <c r="Q32" s="685"/>
      <c r="R32" s="684"/>
      <c r="S32" s="686"/>
      <c r="T32" s="687"/>
      <c r="U32" s="681"/>
      <c r="Z32" s="688"/>
      <c r="AA32" s="688"/>
      <c r="AB32" s="688"/>
      <c r="AC32" s="688"/>
      <c r="AD32" s="688"/>
      <c r="AE32" s="688"/>
      <c r="AF32" s="688"/>
      <c r="AG32" s="688"/>
      <c r="AH32" s="688"/>
      <c r="AI32" s="688"/>
      <c r="AJ32" s="688"/>
      <c r="AK32" s="688"/>
    </row>
    <row r="33" spans="1:37">
      <c r="A33" s="636" t="s">
        <v>1036</v>
      </c>
      <c r="B33" s="689"/>
      <c r="C33" s="690" t="s">
        <v>1151</v>
      </c>
      <c r="D33" s="696">
        <f>SUBTOTAL(9,D19:D32)</f>
        <v>935325.04999999993</v>
      </c>
      <c r="E33" s="696">
        <f>SUBTOTAL(9,E19:E32)</f>
        <v>522081.37999999995</v>
      </c>
      <c r="F33" s="696">
        <f>SUBTOTAL(9,F19:F32)</f>
        <v>-413243.66999999993</v>
      </c>
      <c r="G33" s="692"/>
      <c r="H33" s="696">
        <f>SUBTOTAL(9,H19:H32)</f>
        <v>6477579.3400000017</v>
      </c>
      <c r="I33" s="696">
        <f>SUBTOTAL(9,I19:I32)</f>
        <v>6112075.1100000003</v>
      </c>
      <c r="J33" s="696">
        <f>SUBTOTAL(9,J19:J32)</f>
        <v>-365504.23000000033</v>
      </c>
      <c r="K33" s="692"/>
      <c r="L33" s="696">
        <f>SUBTOTAL(9,L19:L32)</f>
        <v>6112075.1100000003</v>
      </c>
      <c r="M33" s="692"/>
      <c r="N33" s="696">
        <f>SUBTOTAL(9,N19:N32)</f>
        <v>12589654.450000001</v>
      </c>
      <c r="O33" s="692"/>
      <c r="P33" s="696">
        <f>SUBTOTAL(9,P19:P32)</f>
        <v>6112075.1100000003</v>
      </c>
      <c r="Q33" s="693">
        <f>IFERROR(H33/P33,0)</f>
        <v>1.0598003498684101</v>
      </c>
      <c r="R33" s="696">
        <f>SUBTOTAL(9,R19:R32)</f>
        <v>-6477579.3400000026</v>
      </c>
      <c r="S33" s="679" t="str">
        <f>IF(P33-R33&lt;0,"F","U")</f>
        <v>U</v>
      </c>
      <c r="T33" s="680">
        <f>IFERROR($R33/$P33,0)</f>
        <v>-1.0598003498684103</v>
      </c>
      <c r="U33" s="694"/>
      <c r="Z33" s="697">
        <f t="shared" ref="Z33:AK33" si="7">SUBTOTAL(9,Z19:Z32)</f>
        <v>500753.11</v>
      </c>
      <c r="AA33" s="697">
        <f t="shared" si="7"/>
        <v>507212.98</v>
      </c>
      <c r="AB33" s="697">
        <f t="shared" si="7"/>
        <v>537684.47000000009</v>
      </c>
      <c r="AC33" s="697">
        <f t="shared" si="7"/>
        <v>537148.17000000004</v>
      </c>
      <c r="AD33" s="697">
        <f t="shared" si="7"/>
        <v>382382.46000000008</v>
      </c>
      <c r="AE33" s="697">
        <f t="shared" si="7"/>
        <v>546205.58000000007</v>
      </c>
      <c r="AF33" s="697">
        <f t="shared" si="7"/>
        <v>522973.12999999995</v>
      </c>
      <c r="AG33" s="697">
        <f t="shared" si="7"/>
        <v>489884.12</v>
      </c>
      <c r="AH33" s="697">
        <f t="shared" si="7"/>
        <v>535985.56000000006</v>
      </c>
      <c r="AI33" s="697">
        <f t="shared" si="7"/>
        <v>490762.18000000005</v>
      </c>
      <c r="AJ33" s="697">
        <f t="shared" si="7"/>
        <v>491262.53</v>
      </c>
      <c r="AK33" s="697">
        <f t="shared" si="7"/>
        <v>935325.04999999993</v>
      </c>
    </row>
    <row r="34" spans="1:37">
      <c r="A34" s="636" t="s">
        <v>1036</v>
      </c>
      <c r="B34" s="664"/>
      <c r="C34" s="677"/>
      <c r="D34" s="670"/>
      <c r="E34" s="670"/>
      <c r="F34" s="670"/>
      <c r="G34" s="669"/>
      <c r="H34" s="670"/>
      <c r="I34" s="670"/>
      <c r="J34" s="670"/>
      <c r="K34" s="669"/>
      <c r="L34" s="670"/>
      <c r="M34" s="669"/>
      <c r="N34" s="670"/>
      <c r="O34" s="669"/>
      <c r="P34" s="670"/>
      <c r="Q34" s="671"/>
      <c r="R34" s="670"/>
      <c r="S34" s="679"/>
      <c r="T34" s="673"/>
      <c r="U34" s="681"/>
      <c r="Z34" s="683"/>
      <c r="AA34" s="683"/>
      <c r="AB34" s="683"/>
      <c r="AC34" s="683"/>
      <c r="AD34" s="683"/>
      <c r="AE34" s="683"/>
      <c r="AF34" s="683"/>
      <c r="AG34" s="683"/>
      <c r="AH34" s="683"/>
      <c r="AI34" s="683"/>
      <c r="AJ34" s="683"/>
      <c r="AK34" s="683"/>
    </row>
    <row r="35" spans="1:37">
      <c r="A35" s="636" t="s">
        <v>1036</v>
      </c>
      <c r="B35" s="689" t="s">
        <v>1152</v>
      </c>
      <c r="C35" s="690"/>
      <c r="D35" s="698">
        <f>D17-D33</f>
        <v>-935325.04999999993</v>
      </c>
      <c r="E35" s="698">
        <f>E17-E33</f>
        <v>-522081.37999999995</v>
      </c>
      <c r="F35" s="698">
        <f>F17+F33</f>
        <v>-413243.66999999993</v>
      </c>
      <c r="G35" s="692"/>
      <c r="H35" s="698">
        <f>H17-H33</f>
        <v>-7618395.1900000013</v>
      </c>
      <c r="I35" s="698">
        <f>I17-I33</f>
        <v>-6112075.1100000003</v>
      </c>
      <c r="J35" s="698">
        <f>J17+J33</f>
        <v>-1506320.0800000005</v>
      </c>
      <c r="K35" s="692"/>
      <c r="L35" s="698">
        <f>L17-L33</f>
        <v>-6112075.1100000003</v>
      </c>
      <c r="M35" s="692"/>
      <c r="N35" s="698">
        <f>N17-N33</f>
        <v>-13730470.300000001</v>
      </c>
      <c r="O35" s="692"/>
      <c r="P35" s="698">
        <f>P17-P33</f>
        <v>-6112075.1100000003</v>
      </c>
      <c r="Q35" s="699">
        <f>IFERROR(H35/P35,0)</f>
        <v>1.2464498640626163</v>
      </c>
      <c r="R35" s="698">
        <f>R17-R33</f>
        <v>7618395.1900000032</v>
      </c>
      <c r="S35" s="679" t="str">
        <f>IF(P35-R35&gt;0,"F","U")</f>
        <v>U</v>
      </c>
      <c r="T35" s="680">
        <f>IFERROR($R35/$P35,0)</f>
        <v>-1.2464498640626167</v>
      </c>
      <c r="U35" s="694"/>
      <c r="Z35" s="700">
        <f t="shared" ref="Z35:AK35" si="8">Z17-Z33</f>
        <v>-1645697.46</v>
      </c>
      <c r="AA35" s="700">
        <f t="shared" si="8"/>
        <v>-507212.98</v>
      </c>
      <c r="AB35" s="700">
        <f t="shared" si="8"/>
        <v>-498554.0400000001</v>
      </c>
      <c r="AC35" s="700">
        <f t="shared" si="8"/>
        <v>-537148.17000000004</v>
      </c>
      <c r="AD35" s="700">
        <f t="shared" si="8"/>
        <v>-382382.46000000008</v>
      </c>
      <c r="AE35" s="700">
        <f t="shared" si="8"/>
        <v>-542077.08000000007</v>
      </c>
      <c r="AF35" s="700">
        <f t="shared" si="8"/>
        <v>-522973.12999999995</v>
      </c>
      <c r="AG35" s="700">
        <f t="shared" si="8"/>
        <v>-529014.55000000005</v>
      </c>
      <c r="AH35" s="700">
        <f t="shared" si="8"/>
        <v>-535985.56000000006</v>
      </c>
      <c r="AI35" s="700">
        <f t="shared" si="8"/>
        <v>-490762.18000000005</v>
      </c>
      <c r="AJ35" s="700">
        <f t="shared" si="8"/>
        <v>-491262.53</v>
      </c>
      <c r="AK35" s="700">
        <f t="shared" si="8"/>
        <v>-935325.04999999993</v>
      </c>
    </row>
    <row r="36" spans="1:37" ht="15.75" thickBot="1">
      <c r="A36" s="636" t="s">
        <v>1036</v>
      </c>
      <c r="B36" s="701"/>
      <c r="C36" s="702"/>
      <c r="D36" s="703"/>
      <c r="E36" s="703"/>
      <c r="F36" s="703"/>
      <c r="G36" s="668"/>
      <c r="H36" s="703"/>
      <c r="I36" s="703"/>
      <c r="J36" s="703"/>
      <c r="K36" s="668"/>
      <c r="L36" s="703"/>
      <c r="M36" s="668"/>
      <c r="N36" s="703"/>
      <c r="O36" s="668"/>
      <c r="P36" s="703"/>
      <c r="Q36" s="704"/>
      <c r="R36" s="703"/>
      <c r="S36" s="705"/>
      <c r="T36" s="706"/>
      <c r="U36" s="707"/>
      <c r="Z36" s="708"/>
      <c r="AA36" s="708"/>
      <c r="AB36" s="708"/>
      <c r="AC36" s="708"/>
      <c r="AD36" s="708"/>
      <c r="AE36" s="708"/>
      <c r="AF36" s="708"/>
      <c r="AG36" s="708"/>
      <c r="AH36" s="708"/>
      <c r="AI36" s="708"/>
      <c r="AJ36" s="708"/>
      <c r="AK36" s="708"/>
    </row>
    <row r="37" spans="1:37">
      <c r="A37" s="709" t="s">
        <v>1043</v>
      </c>
      <c r="B37" s="710" t="s">
        <v>1153</v>
      </c>
      <c r="C37" s="711"/>
      <c r="D37" s="712"/>
      <c r="E37" s="712"/>
      <c r="F37" s="712"/>
      <c r="G37" s="692"/>
      <c r="H37" s="713"/>
      <c r="I37" s="712"/>
      <c r="J37" s="712"/>
      <c r="O37" s="714"/>
      <c r="P37" s="715"/>
      <c r="Q37" s="716"/>
      <c r="R37" s="717"/>
      <c r="S37" s="717"/>
      <c r="T37" s="717"/>
      <c r="U37" s="718"/>
      <c r="Z37" s="715"/>
      <c r="AA37" s="715"/>
      <c r="AB37" s="715"/>
      <c r="AC37" s="715"/>
      <c r="AD37" s="715"/>
      <c r="AE37" s="715"/>
      <c r="AF37" s="715"/>
      <c r="AG37" s="715"/>
      <c r="AH37" s="715"/>
      <c r="AI37" s="715"/>
      <c r="AJ37" s="715"/>
      <c r="AK37" s="715"/>
    </row>
    <row r="38" spans="1:37" ht="30">
      <c r="A38" s="636" t="s">
        <v>1074</v>
      </c>
      <c r="B38" s="724" t="s">
        <v>1187</v>
      </c>
      <c r="C38" s="720" t="s">
        <v>1188</v>
      </c>
      <c r="D38" s="721">
        <v>80247.34</v>
      </c>
      <c r="E38" s="721">
        <v>116125.2</v>
      </c>
      <c r="F38" s="670">
        <f>D38-E38</f>
        <v>-35877.86</v>
      </c>
      <c r="G38" s="669"/>
      <c r="H38" s="670">
        <v>571882.6</v>
      </c>
      <c r="I38" s="670">
        <v>1393502.62</v>
      </c>
      <c r="J38" s="670">
        <f>H38-I38</f>
        <v>-821620.02000000014</v>
      </c>
      <c r="L38" s="526">
        <v>1393502.62</v>
      </c>
      <c r="O38" s="714"/>
      <c r="P38" s="670">
        <v>1393502.62</v>
      </c>
      <c r="Q38" s="670">
        <v>0.41039219574628399</v>
      </c>
      <c r="R38" s="722"/>
      <c r="S38" s="722"/>
      <c r="T38" s="722"/>
      <c r="U38" s="723"/>
      <c r="V38" s="682" t="s">
        <v>1077</v>
      </c>
      <c r="W38" t="s">
        <v>757</v>
      </c>
      <c r="X38" s="682" t="s">
        <v>1167</v>
      </c>
      <c r="Y38" s="682" t="s">
        <v>1189</v>
      </c>
      <c r="Z38" s="670">
        <v>15158.4</v>
      </c>
      <c r="AA38" s="670">
        <v>86045.72</v>
      </c>
      <c r="AB38" s="670">
        <v>69064.86</v>
      </c>
      <c r="AC38" s="670">
        <v>56496.44</v>
      </c>
      <c r="AD38" s="670">
        <v>4746.8999999999996</v>
      </c>
      <c r="AE38" s="670">
        <v>27741.26</v>
      </c>
      <c r="AF38" s="670">
        <v>5832</v>
      </c>
      <c r="AG38" s="670">
        <v>9386.1</v>
      </c>
      <c r="AH38" s="670">
        <v>27292.48</v>
      </c>
      <c r="AI38" s="670">
        <v>189665.84</v>
      </c>
      <c r="AJ38" s="670">
        <v>205.26</v>
      </c>
      <c r="AK38" s="670">
        <v>80247.34</v>
      </c>
    </row>
    <row r="39" spans="1:37">
      <c r="A39" s="636" t="s">
        <v>1074</v>
      </c>
      <c r="B39" s="724" t="s">
        <v>1158</v>
      </c>
      <c r="C39" s="720" t="s">
        <v>1159</v>
      </c>
      <c r="D39" s="721">
        <v>0</v>
      </c>
      <c r="E39" s="721">
        <v>2139093</v>
      </c>
      <c r="F39" s="670">
        <f>D39-E39</f>
        <v>-2139093</v>
      </c>
      <c r="G39" s="669"/>
      <c r="H39" s="670">
        <v>15366381.58</v>
      </c>
      <c r="I39" s="670">
        <v>2139093</v>
      </c>
      <c r="J39" s="670">
        <f>H39-I39</f>
        <v>13227288.58</v>
      </c>
      <c r="L39" s="526">
        <v>2139093</v>
      </c>
      <c r="O39" s="714"/>
      <c r="P39" s="670">
        <v>2139093</v>
      </c>
      <c r="Q39" s="670">
        <v>7.1835967767647304</v>
      </c>
      <c r="R39" s="722"/>
      <c r="S39" s="722"/>
      <c r="T39" s="722"/>
      <c r="U39" s="723"/>
      <c r="V39" s="682" t="s">
        <v>1077</v>
      </c>
      <c r="W39" t="s">
        <v>757</v>
      </c>
      <c r="X39" s="682" t="s">
        <v>1167</v>
      </c>
      <c r="Y39" s="682" t="s">
        <v>1190</v>
      </c>
      <c r="Z39" s="670">
        <v>2052803.61</v>
      </c>
      <c r="AA39" s="670">
        <v>3738174.66</v>
      </c>
      <c r="AB39" s="670">
        <v>713815.08</v>
      </c>
      <c r="AC39" s="670">
        <v>432698.53</v>
      </c>
      <c r="AD39" s="670">
        <v>504668.23</v>
      </c>
      <c r="AE39" s="670">
        <v>3650952.14</v>
      </c>
      <c r="AF39" s="670">
        <v>145275.35</v>
      </c>
      <c r="AG39" s="670">
        <v>1417304.02</v>
      </c>
      <c r="AH39" s="670">
        <v>1432236.08</v>
      </c>
      <c r="AI39" s="670">
        <v>353686.3</v>
      </c>
      <c r="AJ39" s="670">
        <v>924767.58</v>
      </c>
      <c r="AK39" s="670">
        <v>0</v>
      </c>
    </row>
    <row r="40" spans="1:37">
      <c r="A40" s="636" t="s">
        <v>1074</v>
      </c>
      <c r="B40" s="719"/>
      <c r="C40" s="720"/>
      <c r="D40" s="721">
        <v>0</v>
      </c>
      <c r="E40" s="721">
        <v>0</v>
      </c>
      <c r="F40" s="670">
        <f>D40-E40</f>
        <v>0</v>
      </c>
      <c r="G40" s="669"/>
      <c r="H40" s="670">
        <v>0</v>
      </c>
      <c r="I40" s="670">
        <v>0</v>
      </c>
      <c r="J40" s="670">
        <f>H40-I40</f>
        <v>0</v>
      </c>
      <c r="L40" s="526">
        <v>0</v>
      </c>
      <c r="O40" s="714"/>
      <c r="P40" s="670">
        <v>0</v>
      </c>
      <c r="Q40" s="670">
        <v>0</v>
      </c>
      <c r="R40" s="722"/>
      <c r="S40" s="722"/>
      <c r="T40" s="722"/>
      <c r="U40" s="723"/>
      <c r="Z40" s="670">
        <v>0</v>
      </c>
      <c r="AA40" s="670">
        <v>0</v>
      </c>
      <c r="AB40" s="670">
        <v>0</v>
      </c>
      <c r="AC40" s="670">
        <v>0</v>
      </c>
      <c r="AD40" s="670">
        <v>0</v>
      </c>
      <c r="AE40" s="670">
        <v>0</v>
      </c>
      <c r="AF40" s="670">
        <v>0</v>
      </c>
      <c r="AG40" s="670">
        <v>0</v>
      </c>
      <c r="AH40" s="670">
        <v>0</v>
      </c>
      <c r="AI40" s="670">
        <v>0</v>
      </c>
      <c r="AJ40" s="670">
        <v>0</v>
      </c>
      <c r="AK40" s="670">
        <v>0</v>
      </c>
    </row>
    <row r="41" spans="1:37">
      <c r="A41" s="636" t="s">
        <v>1036</v>
      </c>
      <c r="B41" s="719"/>
      <c r="C41" s="720"/>
      <c r="D41" s="684"/>
      <c r="E41" s="684"/>
      <c r="F41" s="684"/>
      <c r="G41" s="669"/>
      <c r="H41" s="684"/>
      <c r="I41" s="684"/>
      <c r="J41" s="684"/>
      <c r="O41" s="714"/>
      <c r="P41" s="684"/>
      <c r="Q41" s="684"/>
      <c r="R41" s="722"/>
      <c r="S41" s="722"/>
      <c r="T41" s="722"/>
      <c r="U41" s="723"/>
      <c r="Z41" s="684"/>
      <c r="AA41" s="684"/>
      <c r="AB41" s="684"/>
      <c r="AC41" s="684"/>
      <c r="AD41" s="684"/>
      <c r="AE41" s="684"/>
      <c r="AF41" s="684"/>
      <c r="AG41" s="684"/>
      <c r="AH41" s="684"/>
      <c r="AI41" s="684"/>
      <c r="AJ41" s="684"/>
      <c r="AK41" s="684"/>
    </row>
    <row r="42" spans="1:37">
      <c r="A42" s="636" t="s">
        <v>1036</v>
      </c>
      <c r="B42" s="719"/>
      <c r="C42" s="720"/>
      <c r="D42" s="696">
        <f>SUBTOTAL(9,D37:D41)</f>
        <v>80247.34</v>
      </c>
      <c r="E42" s="696">
        <f>SUBTOTAL(9,E37:E41)</f>
        <v>2255218.2000000002</v>
      </c>
      <c r="F42" s="696">
        <f>SUBTOTAL(9,F37:F41)</f>
        <v>-2174970.86</v>
      </c>
      <c r="G42" s="692"/>
      <c r="H42" s="696">
        <f>SUBTOTAL(9,H37:H41)</f>
        <v>15938264.18</v>
      </c>
      <c r="I42" s="696">
        <f>SUBTOTAL(9,I37:I41)</f>
        <v>3532595.62</v>
      </c>
      <c r="J42" s="696">
        <f>SUBTOTAL(9,J37:J41)</f>
        <v>12405668.560000001</v>
      </c>
      <c r="O42" s="714"/>
      <c r="P42" s="696">
        <f>SUBTOTAL(9,P37:P41)</f>
        <v>3532595.62</v>
      </c>
      <c r="Q42" s="696">
        <f>IFERROR(L42/P42,0)</f>
        <v>0</v>
      </c>
      <c r="R42" s="722"/>
      <c r="S42" s="722"/>
      <c r="T42" s="722"/>
      <c r="U42" s="723"/>
      <c r="Z42" s="696">
        <f t="shared" ref="Z42:AK42" si="9">SUBTOTAL(9,Z37:Z41)</f>
        <v>2067962.01</v>
      </c>
      <c r="AA42" s="696">
        <f t="shared" si="9"/>
        <v>3824220.3800000004</v>
      </c>
      <c r="AB42" s="696">
        <f t="shared" si="9"/>
        <v>782879.94</v>
      </c>
      <c r="AC42" s="696">
        <f t="shared" si="9"/>
        <v>489194.97000000003</v>
      </c>
      <c r="AD42" s="696">
        <f t="shared" si="9"/>
        <v>509415.13</v>
      </c>
      <c r="AE42" s="696">
        <f t="shared" si="9"/>
        <v>3678693.4</v>
      </c>
      <c r="AF42" s="696">
        <f t="shared" si="9"/>
        <v>151107.35</v>
      </c>
      <c r="AG42" s="696">
        <f t="shared" si="9"/>
        <v>1426690.12</v>
      </c>
      <c r="AH42" s="696">
        <f t="shared" si="9"/>
        <v>1459528.56</v>
      </c>
      <c r="AI42" s="696">
        <f t="shared" si="9"/>
        <v>543352.14</v>
      </c>
      <c r="AJ42" s="696">
        <f t="shared" si="9"/>
        <v>924972.84</v>
      </c>
      <c r="AK42" s="696">
        <f t="shared" si="9"/>
        <v>80247.34</v>
      </c>
    </row>
    <row r="43" spans="1:37">
      <c r="A43" s="636" t="s">
        <v>1161</v>
      </c>
      <c r="B43" s="725"/>
      <c r="C43" s="726"/>
      <c r="D43" s="684"/>
      <c r="E43" s="684"/>
      <c r="F43" s="684"/>
      <c r="G43" s="669"/>
      <c r="H43" s="684"/>
      <c r="I43" s="684"/>
      <c r="J43" s="684"/>
      <c r="O43" s="714"/>
      <c r="P43" s="727"/>
      <c r="Q43" s="728"/>
      <c r="R43" s="729"/>
      <c r="S43" s="729"/>
      <c r="T43" s="729"/>
      <c r="U43" s="730"/>
      <c r="Z43" s="727"/>
      <c r="AA43" s="727"/>
      <c r="AB43" s="727"/>
      <c r="AC43" s="727"/>
      <c r="AD43" s="727"/>
      <c r="AE43" s="727"/>
      <c r="AF43" s="727"/>
      <c r="AG43" s="727"/>
      <c r="AH43" s="727"/>
      <c r="AI43" s="727"/>
      <c r="AJ43" s="727"/>
      <c r="AK43" s="727"/>
    </row>
    <row r="44" spans="1:37">
      <c r="A44" s="636" t="s">
        <v>1035</v>
      </c>
      <c r="Z44" s="526"/>
      <c r="AA44" s="526"/>
    </row>
    <row r="48" spans="1:37" ht="15.75">
      <c r="AA48" s="791" t="s">
        <v>1191</v>
      </c>
      <c r="AB48" s="791" t="s">
        <v>1045</v>
      </c>
      <c r="AC48" s="791" t="s">
        <v>1192</v>
      </c>
      <c r="AD48" s="791" t="s">
        <v>1193</v>
      </c>
      <c r="AE48" s="791" t="s">
        <v>1194</v>
      </c>
    </row>
    <row r="49" spans="27:31">
      <c r="AA49" s="792" t="s">
        <v>1195</v>
      </c>
      <c r="AB49" s="792" t="s">
        <v>1196</v>
      </c>
      <c r="AC49" s="557">
        <v>0</v>
      </c>
      <c r="AD49" s="557">
        <v>1994322.8</v>
      </c>
      <c r="AE49" s="792" t="s">
        <v>1197</v>
      </c>
    </row>
    <row r="50" spans="27:31">
      <c r="AA50" s="792" t="s">
        <v>1198</v>
      </c>
      <c r="AB50" s="792" t="s">
        <v>1199</v>
      </c>
      <c r="AC50" s="557">
        <v>0</v>
      </c>
      <c r="AD50" s="557">
        <v>1074687.75</v>
      </c>
      <c r="AE50" s="792" t="s">
        <v>1200</v>
      </c>
    </row>
    <row r="51" spans="27:31">
      <c r="AD51" s="557">
        <f>SUM(AD49:AD50)</f>
        <v>3069010.55</v>
      </c>
    </row>
  </sheetData>
  <pageMargins left="0.7" right="0.7" top="0.75" bottom="0.75" header="0.3" footer="0.3"/>
  <pageSetup paperSize="9" scale="50" fitToHeight="0"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theme="0" tint="-0.34998626667073579"/>
    <pageSetUpPr fitToPage="1"/>
  </sheetPr>
  <dimension ref="A1:AK47"/>
  <sheetViews>
    <sheetView showGridLines="0" topLeftCell="B1" zoomScale="40" zoomScaleNormal="40" workbookViewId="0">
      <selection activeCell="AQ23" sqref="AQ23"/>
    </sheetView>
  </sheetViews>
  <sheetFormatPr defaultColWidth="9.140625" defaultRowHeight="15" outlineLevelRow="1"/>
  <cols>
    <col min="1" max="1" width="14.7109375" style="636" hidden="1" customWidth="1"/>
    <col min="2" max="2" width="8.7109375" style="517" customWidth="1"/>
    <col min="3" max="3" width="30.7109375" customWidth="1"/>
    <col min="4" max="5" width="13.7109375" style="526" customWidth="1"/>
    <col min="6" max="6" width="12.5703125" style="526" bestFit="1" customWidth="1"/>
    <col min="7" max="7" width="2.5703125" style="526" customWidth="1"/>
    <col min="8" max="9" width="13.7109375" style="526" customWidth="1"/>
    <col min="10" max="10" width="13.5703125" style="526" bestFit="1" customWidth="1"/>
    <col min="11" max="11" width="1.7109375" style="526" customWidth="1"/>
    <col min="12" max="15" width="0" style="526" hidden="1" customWidth="1"/>
    <col min="16" max="16" width="13.7109375" style="526" customWidth="1"/>
    <col min="17" max="17" width="13.7109375" style="637" customWidth="1"/>
    <col min="18" max="18" width="0" style="637" hidden="1" customWidth="1"/>
    <col min="19" max="19" width="0" style="526" hidden="1" customWidth="1"/>
    <col min="20" max="20" width="0" style="637" hidden="1" customWidth="1"/>
    <col min="21" max="21" width="33.7109375" customWidth="1"/>
    <col min="22" max="25" width="0" hidden="1" customWidth="1"/>
    <col min="26" max="26" width="13.28515625" bestFit="1" customWidth="1"/>
    <col min="27" max="28" width="12.42578125" bestFit="1" customWidth="1"/>
    <col min="29" max="30" width="11.85546875" bestFit="1" customWidth="1"/>
    <col min="31" max="31" width="12.42578125" bestFit="1" customWidth="1"/>
    <col min="32" max="32" width="10.85546875" bestFit="1" customWidth="1"/>
    <col min="33" max="33" width="12.42578125" bestFit="1" customWidth="1"/>
    <col min="34" max="34" width="11.85546875" bestFit="1" customWidth="1"/>
    <col min="35" max="35" width="11.28515625" bestFit="1" customWidth="1"/>
    <col min="36" max="36" width="11.85546875" bestFit="1" customWidth="1"/>
    <col min="37" max="37" width="12.42578125" bestFit="1" customWidth="1"/>
  </cols>
  <sheetData>
    <row r="1" spans="1:37">
      <c r="A1" s="636" t="s">
        <v>1035</v>
      </c>
      <c r="Z1" s="526"/>
      <c r="AA1" s="526"/>
    </row>
    <row r="2" spans="1:37" ht="26.25" outlineLevel="1">
      <c r="A2" s="636" t="s">
        <v>1036</v>
      </c>
      <c r="B2" s="638" t="s">
        <v>1037</v>
      </c>
      <c r="Z2" s="526"/>
      <c r="AA2" s="526"/>
    </row>
    <row r="3" spans="1:37" ht="26.25" hidden="1">
      <c r="A3" s="636" t="s">
        <v>1036</v>
      </c>
      <c r="B3" s="638" t="s">
        <v>1038</v>
      </c>
      <c r="Z3" s="526"/>
      <c r="AA3" s="526"/>
    </row>
    <row r="4" spans="1:37" ht="21">
      <c r="A4" s="636" t="s">
        <v>1036</v>
      </c>
      <c r="B4" s="639" t="s">
        <v>1201</v>
      </c>
      <c r="C4" s="640"/>
      <c r="Z4" s="526"/>
      <c r="AA4" s="526"/>
    </row>
    <row r="5" spans="1:37" ht="21">
      <c r="A5" s="636" t="s">
        <v>1036</v>
      </c>
      <c r="B5" s="641" t="s">
        <v>1040</v>
      </c>
      <c r="C5" s="640"/>
      <c r="D5" s="642"/>
      <c r="E5" s="642"/>
      <c r="U5" s="517" t="s">
        <v>1041</v>
      </c>
      <c r="Z5" s="526"/>
      <c r="AA5" s="526"/>
    </row>
    <row r="6" spans="1:37" ht="21">
      <c r="A6" s="636" t="s">
        <v>1036</v>
      </c>
      <c r="B6" s="641" t="s">
        <v>1042</v>
      </c>
      <c r="C6" s="640"/>
      <c r="D6" s="642"/>
      <c r="E6" s="642"/>
      <c r="Z6" s="526"/>
      <c r="AA6" s="526"/>
      <c r="AB6" s="526"/>
      <c r="AC6" s="526"/>
      <c r="AD6" s="526"/>
      <c r="AE6" s="526"/>
      <c r="AF6" s="526"/>
      <c r="AG6" s="526"/>
      <c r="AH6" s="526"/>
      <c r="AI6" s="526"/>
      <c r="AJ6" s="526"/>
      <c r="AK6" s="526"/>
    </row>
    <row r="7" spans="1:37" ht="21.75" thickBot="1">
      <c r="A7" s="636" t="s">
        <v>1036</v>
      </c>
      <c r="B7" s="643"/>
      <c r="C7" s="640"/>
      <c r="D7" s="642"/>
      <c r="E7" s="642"/>
      <c r="Z7" s="526"/>
      <c r="AA7" s="526"/>
    </row>
    <row r="8" spans="1:37">
      <c r="A8" s="636" t="s">
        <v>1043</v>
      </c>
      <c r="B8" s="644" t="s">
        <v>1044</v>
      </c>
      <c r="C8" s="645" t="s">
        <v>1045</v>
      </c>
      <c r="D8" s="646" t="s">
        <v>1046</v>
      </c>
      <c r="E8" s="646" t="s">
        <v>1046</v>
      </c>
      <c r="F8" s="646"/>
      <c r="G8" s="647"/>
      <c r="H8" s="646" t="s">
        <v>1047</v>
      </c>
      <c r="I8" s="646" t="s">
        <v>1047</v>
      </c>
      <c r="J8" s="646"/>
      <c r="L8" s="646" t="s">
        <v>1048</v>
      </c>
      <c r="N8" s="648" t="s">
        <v>1049</v>
      </c>
      <c r="P8" s="646" t="s">
        <v>1048</v>
      </c>
      <c r="Q8" s="649" t="s">
        <v>1050</v>
      </c>
      <c r="R8" s="650" t="s">
        <v>1048</v>
      </c>
      <c r="S8" s="651" t="s">
        <v>1051</v>
      </c>
      <c r="T8" s="652" t="s">
        <v>1052</v>
      </c>
      <c r="U8" s="653" t="s">
        <v>1053</v>
      </c>
      <c r="Z8" s="654" t="s">
        <v>1054</v>
      </c>
      <c r="AA8" s="654" t="s">
        <v>1055</v>
      </c>
      <c r="AB8" s="654" t="s">
        <v>1056</v>
      </c>
      <c r="AC8" s="654" t="s">
        <v>1057</v>
      </c>
      <c r="AD8" s="654" t="s">
        <v>1058</v>
      </c>
      <c r="AE8" s="654" t="s">
        <v>1059</v>
      </c>
      <c r="AF8" s="654" t="s">
        <v>1060</v>
      </c>
      <c r="AG8" s="654" t="s">
        <v>1061</v>
      </c>
      <c r="AH8" s="654" t="s">
        <v>1062</v>
      </c>
      <c r="AI8" s="654" t="s">
        <v>1063</v>
      </c>
      <c r="AJ8" s="654" t="s">
        <v>1064</v>
      </c>
      <c r="AK8" s="654" t="s">
        <v>1065</v>
      </c>
    </row>
    <row r="9" spans="1:37">
      <c r="A9" s="636" t="s">
        <v>1036</v>
      </c>
      <c r="B9" s="655"/>
      <c r="C9" s="656"/>
      <c r="D9" s="657" t="s">
        <v>1066</v>
      </c>
      <c r="E9" s="657" t="s">
        <v>1067</v>
      </c>
      <c r="F9" s="657" t="s">
        <v>1068</v>
      </c>
      <c r="G9" s="647"/>
      <c r="H9" s="657" t="s">
        <v>1069</v>
      </c>
      <c r="I9" s="657" t="s">
        <v>1067</v>
      </c>
      <c r="J9" s="657" t="s">
        <v>1068</v>
      </c>
      <c r="L9" s="657" t="s">
        <v>1067</v>
      </c>
      <c r="N9" s="658" t="s">
        <v>1070</v>
      </c>
      <c r="P9" s="657" t="s">
        <v>1067</v>
      </c>
      <c r="Q9" s="659" t="s">
        <v>1071</v>
      </c>
      <c r="R9" s="660" t="s">
        <v>1072</v>
      </c>
      <c r="S9" s="661" t="s">
        <v>1073</v>
      </c>
      <c r="T9" s="662" t="s">
        <v>1071</v>
      </c>
      <c r="U9" s="663"/>
      <c r="Z9" s="657" t="s">
        <v>1066</v>
      </c>
      <c r="AA9" s="657" t="s">
        <v>1066</v>
      </c>
      <c r="AB9" s="657" t="s">
        <v>1066</v>
      </c>
      <c r="AC9" s="657" t="s">
        <v>1066</v>
      </c>
      <c r="AD9" s="657" t="s">
        <v>1066</v>
      </c>
      <c r="AE9" s="657" t="s">
        <v>1066</v>
      </c>
      <c r="AF9" s="657" t="s">
        <v>1066</v>
      </c>
      <c r="AG9" s="657" t="s">
        <v>1066</v>
      </c>
      <c r="AH9" s="657" t="s">
        <v>1066</v>
      </c>
      <c r="AI9" s="657" t="s">
        <v>1066</v>
      </c>
      <c r="AJ9" s="657" t="s">
        <v>1066</v>
      </c>
      <c r="AK9" s="657" t="s">
        <v>1066</v>
      </c>
    </row>
    <row r="10" spans="1:37">
      <c r="A10" s="636" t="s">
        <v>1036</v>
      </c>
      <c r="B10" s="664"/>
      <c r="C10" s="665"/>
      <c r="D10" s="666"/>
      <c r="E10" s="667"/>
      <c r="F10" s="666"/>
      <c r="G10" s="668"/>
      <c r="H10" s="666"/>
      <c r="I10" s="666"/>
      <c r="J10" s="666"/>
      <c r="K10" s="668"/>
      <c r="L10" s="666"/>
      <c r="M10" s="669"/>
      <c r="N10" s="670"/>
      <c r="O10" s="669"/>
      <c r="P10" s="670"/>
      <c r="Q10" s="671"/>
      <c r="R10" s="670"/>
      <c r="S10" s="672"/>
      <c r="T10" s="673"/>
      <c r="U10" s="674"/>
      <c r="Z10" s="675"/>
      <c r="AA10" s="675"/>
      <c r="AB10" s="675"/>
      <c r="AC10" s="675"/>
      <c r="AD10" s="675"/>
      <c r="AE10" s="675"/>
      <c r="AF10" s="675"/>
      <c r="AG10" s="675"/>
      <c r="AH10" s="675"/>
      <c r="AI10" s="675"/>
      <c r="AJ10" s="675"/>
      <c r="AK10" s="675"/>
    </row>
    <row r="11" spans="1:37">
      <c r="A11" s="636" t="s">
        <v>1074</v>
      </c>
      <c r="B11" s="676" t="s">
        <v>1202</v>
      </c>
      <c r="C11" s="677" t="s">
        <v>1203</v>
      </c>
      <c r="D11" s="670">
        <v>798203.01</v>
      </c>
      <c r="E11" s="678">
        <v>800223.92</v>
      </c>
      <c r="F11" s="670">
        <f>D11-E11</f>
        <v>-2020.9100000000326</v>
      </c>
      <c r="G11" s="669"/>
      <c r="H11" s="670">
        <v>9569302.0500000007</v>
      </c>
      <c r="I11" s="678">
        <v>9602685.5</v>
      </c>
      <c r="J11" s="670">
        <f>H11-I11</f>
        <v>-33383.449999999255</v>
      </c>
      <c r="K11" s="669"/>
      <c r="L11" s="670">
        <v>9602685.5</v>
      </c>
      <c r="M11" s="669"/>
      <c r="N11" s="670">
        <f>H11+L11</f>
        <v>19171987.550000001</v>
      </c>
      <c r="O11" s="669"/>
      <c r="P11" s="670">
        <v>9602685.5</v>
      </c>
      <c r="Q11" s="671">
        <v>0.99652352979799197</v>
      </c>
      <c r="R11" s="670">
        <f>P11-N11</f>
        <v>-9569302.0500000007</v>
      </c>
      <c r="S11" s="679" t="str">
        <f>IF(P11-N11&lt;0,"F","U")</f>
        <v>F</v>
      </c>
      <c r="T11" s="680">
        <f>IFERROR($R11/$P11,0)</f>
        <v>-0.99652352979799252</v>
      </c>
      <c r="U11" s="681"/>
      <c r="V11" s="682" t="s">
        <v>1077</v>
      </c>
      <c r="W11" t="s">
        <v>124</v>
      </c>
      <c r="X11" s="682" t="s">
        <v>1204</v>
      </c>
      <c r="Y11" s="682" t="s">
        <v>1205</v>
      </c>
      <c r="Z11" s="683">
        <v>797606.38</v>
      </c>
      <c r="AA11" s="683">
        <v>798126.84</v>
      </c>
      <c r="AB11" s="683">
        <v>793759.97</v>
      </c>
      <c r="AC11" s="683">
        <v>795640.82</v>
      </c>
      <c r="AD11" s="683">
        <v>800057.64</v>
      </c>
      <c r="AE11" s="683">
        <v>799707.59</v>
      </c>
      <c r="AF11" s="683">
        <v>795805.36</v>
      </c>
      <c r="AG11" s="683">
        <v>799852.6</v>
      </c>
      <c r="AH11" s="683">
        <v>796313.96</v>
      </c>
      <c r="AI11" s="683">
        <v>797636.38</v>
      </c>
      <c r="AJ11" s="683">
        <v>796591.5</v>
      </c>
      <c r="AK11" s="683">
        <v>798203.01</v>
      </c>
    </row>
    <row r="12" spans="1:37">
      <c r="A12" s="636" t="s">
        <v>1074</v>
      </c>
      <c r="B12" s="676" t="s">
        <v>1080</v>
      </c>
      <c r="C12" s="677" t="s">
        <v>1081</v>
      </c>
      <c r="D12" s="670">
        <v>0</v>
      </c>
      <c r="E12" s="678">
        <v>7649.16</v>
      </c>
      <c r="F12" s="670">
        <f>D12-E12</f>
        <v>-7649.16</v>
      </c>
      <c r="G12" s="669"/>
      <c r="H12" s="670">
        <v>44337.440000000002</v>
      </c>
      <c r="I12" s="678">
        <v>91789.7</v>
      </c>
      <c r="J12" s="670">
        <f>H12-I12</f>
        <v>-47452.259999999995</v>
      </c>
      <c r="K12" s="669"/>
      <c r="L12" s="670">
        <v>91789.7</v>
      </c>
      <c r="M12" s="669"/>
      <c r="N12" s="670">
        <f>H12+L12</f>
        <v>136127.14000000001</v>
      </c>
      <c r="O12" s="669"/>
      <c r="P12" s="670">
        <v>91789.7</v>
      </c>
      <c r="Q12" s="671">
        <v>0.48303284573323602</v>
      </c>
      <c r="R12" s="670">
        <f>P12-N12</f>
        <v>-44337.440000000017</v>
      </c>
      <c r="S12" s="679" t="str">
        <f>IF(P12-N12&lt;0,"F","U")</f>
        <v>F</v>
      </c>
      <c r="T12" s="680">
        <f>IFERROR($R12/$P12,0)</f>
        <v>-0.48303284573323607</v>
      </c>
      <c r="U12" s="681"/>
      <c r="V12" s="682" t="s">
        <v>1077</v>
      </c>
      <c r="W12" t="s">
        <v>124</v>
      </c>
      <c r="X12" s="682" t="s">
        <v>1206</v>
      </c>
      <c r="Y12" s="682" t="s">
        <v>1207</v>
      </c>
      <c r="Z12" s="683">
        <v>11084.36</v>
      </c>
      <c r="AA12" s="683">
        <v>0</v>
      </c>
      <c r="AB12" s="683">
        <v>0</v>
      </c>
      <c r="AC12" s="683">
        <v>11084.36</v>
      </c>
      <c r="AD12" s="683">
        <v>0</v>
      </c>
      <c r="AE12" s="683">
        <v>0</v>
      </c>
      <c r="AF12" s="683">
        <v>11084.36</v>
      </c>
      <c r="AG12" s="683">
        <v>0</v>
      </c>
      <c r="AH12" s="683">
        <v>0</v>
      </c>
      <c r="AI12" s="683">
        <v>11084.36</v>
      </c>
      <c r="AJ12" s="683">
        <v>0</v>
      </c>
      <c r="AK12" s="683">
        <v>0</v>
      </c>
    </row>
    <row r="13" spans="1:37">
      <c r="A13" s="636" t="s">
        <v>1074</v>
      </c>
      <c r="B13" s="676" t="s">
        <v>1208</v>
      </c>
      <c r="C13" s="677" t="s">
        <v>1209</v>
      </c>
      <c r="D13" s="670">
        <v>0</v>
      </c>
      <c r="E13" s="678">
        <v>0</v>
      </c>
      <c r="F13" s="670">
        <f>D13-E13</f>
        <v>0</v>
      </c>
      <c r="G13" s="669"/>
      <c r="H13" s="670">
        <v>278260.87</v>
      </c>
      <c r="I13" s="678">
        <v>0</v>
      </c>
      <c r="J13" s="670">
        <f>H13-I13</f>
        <v>278260.87</v>
      </c>
      <c r="K13" s="669"/>
      <c r="L13" s="670">
        <v>0</v>
      </c>
      <c r="M13" s="669"/>
      <c r="N13" s="670">
        <f>H13+L13</f>
        <v>278260.87</v>
      </c>
      <c r="O13" s="669"/>
      <c r="P13" s="670">
        <v>0</v>
      </c>
      <c r="Q13" s="671">
        <v>0</v>
      </c>
      <c r="R13" s="670">
        <f>P13-N13</f>
        <v>-278260.87</v>
      </c>
      <c r="S13" s="679" t="str">
        <f>IF(P13-N13&lt;0,"F","U")</f>
        <v>F</v>
      </c>
      <c r="T13" s="680">
        <f>IFERROR($R13/$P13,0)</f>
        <v>0</v>
      </c>
      <c r="U13" s="681"/>
      <c r="V13" s="682" t="s">
        <v>1077</v>
      </c>
      <c r="W13" t="s">
        <v>124</v>
      </c>
      <c r="X13" s="682" t="s">
        <v>1210</v>
      </c>
      <c r="Y13" s="682" t="s">
        <v>1211</v>
      </c>
      <c r="Z13" s="683">
        <v>0</v>
      </c>
      <c r="AA13" s="683">
        <v>0</v>
      </c>
      <c r="AB13" s="683">
        <v>278260.87</v>
      </c>
      <c r="AC13" s="683">
        <v>0</v>
      </c>
      <c r="AD13" s="683">
        <v>0</v>
      </c>
      <c r="AE13" s="683">
        <v>0</v>
      </c>
      <c r="AF13" s="683">
        <v>0</v>
      </c>
      <c r="AG13" s="683">
        <v>0</v>
      </c>
      <c r="AH13" s="683">
        <v>0</v>
      </c>
      <c r="AI13" s="683">
        <v>0</v>
      </c>
      <c r="AJ13" s="683">
        <v>0</v>
      </c>
      <c r="AK13" s="683">
        <v>0</v>
      </c>
    </row>
    <row r="14" spans="1:37" ht="30">
      <c r="A14" s="636" t="s">
        <v>1074</v>
      </c>
      <c r="B14" s="676" t="s">
        <v>1088</v>
      </c>
      <c r="C14" s="677" t="s">
        <v>1089</v>
      </c>
      <c r="D14" s="670">
        <v>0</v>
      </c>
      <c r="E14" s="678">
        <v>0</v>
      </c>
      <c r="F14" s="670">
        <f>D14-E14</f>
        <v>0</v>
      </c>
      <c r="G14" s="669"/>
      <c r="H14" s="670">
        <v>-1509802.08</v>
      </c>
      <c r="I14" s="678">
        <v>0</v>
      </c>
      <c r="J14" s="670">
        <f>H14-I14</f>
        <v>-1509802.08</v>
      </c>
      <c r="K14" s="669"/>
      <c r="L14" s="670">
        <v>0</v>
      </c>
      <c r="M14" s="669"/>
      <c r="N14" s="670">
        <f>H14+L14</f>
        <v>-1509802.08</v>
      </c>
      <c r="O14" s="669"/>
      <c r="P14" s="670">
        <v>0</v>
      </c>
      <c r="Q14" s="671">
        <v>0</v>
      </c>
      <c r="R14" s="670">
        <f>P14-N14</f>
        <v>1509802.08</v>
      </c>
      <c r="S14" s="679" t="str">
        <f>IF(P14-N14&lt;0,"F","U")</f>
        <v>U</v>
      </c>
      <c r="T14" s="680">
        <f>IFERROR($R14/$P14,0)</f>
        <v>0</v>
      </c>
      <c r="U14" s="681"/>
      <c r="V14" s="682" t="s">
        <v>1077</v>
      </c>
      <c r="W14" t="s">
        <v>124</v>
      </c>
      <c r="X14" s="682" t="s">
        <v>1204</v>
      </c>
      <c r="Y14" s="682" t="s">
        <v>1212</v>
      </c>
      <c r="Z14" s="683">
        <v>-1509802.08</v>
      </c>
      <c r="AA14" s="683">
        <v>0</v>
      </c>
      <c r="AB14" s="683">
        <v>0</v>
      </c>
      <c r="AC14" s="683">
        <v>0</v>
      </c>
      <c r="AD14" s="683">
        <v>0</v>
      </c>
      <c r="AE14" s="683">
        <v>0</v>
      </c>
      <c r="AF14" s="683">
        <v>0</v>
      </c>
      <c r="AG14" s="683">
        <v>0</v>
      </c>
      <c r="AH14" s="683">
        <v>0</v>
      </c>
      <c r="AI14" s="683">
        <v>0</v>
      </c>
      <c r="AJ14" s="683">
        <v>0</v>
      </c>
      <c r="AK14" s="683">
        <v>0</v>
      </c>
    </row>
    <row r="15" spans="1:37">
      <c r="A15" s="636" t="s">
        <v>1074</v>
      </c>
      <c r="B15" s="676" t="s">
        <v>1169</v>
      </c>
      <c r="C15" s="677" t="s">
        <v>1170</v>
      </c>
      <c r="D15" s="670">
        <v>31889.49</v>
      </c>
      <c r="E15" s="678">
        <v>0</v>
      </c>
      <c r="F15" s="670">
        <f>D15-E15</f>
        <v>31889.49</v>
      </c>
      <c r="G15" s="669"/>
      <c r="H15" s="670">
        <v>34056.22</v>
      </c>
      <c r="I15" s="678">
        <v>0</v>
      </c>
      <c r="J15" s="670">
        <f>H15-I15</f>
        <v>34056.22</v>
      </c>
      <c r="K15" s="669"/>
      <c r="L15" s="670">
        <v>0</v>
      </c>
      <c r="M15" s="669"/>
      <c r="N15" s="670">
        <f>H15+L15</f>
        <v>34056.22</v>
      </c>
      <c r="O15" s="669"/>
      <c r="P15" s="670">
        <v>0</v>
      </c>
      <c r="Q15" s="671">
        <v>0</v>
      </c>
      <c r="R15" s="670">
        <f>P15-N15</f>
        <v>-34056.22</v>
      </c>
      <c r="S15" s="679" t="str">
        <f>IF(P15-N15&lt;0,"F","U")</f>
        <v>F</v>
      </c>
      <c r="T15" s="680">
        <f>IFERROR($R15/$P15,0)</f>
        <v>0</v>
      </c>
      <c r="U15" s="681"/>
      <c r="V15" s="682" t="s">
        <v>1077</v>
      </c>
      <c r="W15" t="s">
        <v>124</v>
      </c>
      <c r="X15" s="682" t="s">
        <v>1213</v>
      </c>
      <c r="Y15" s="682" t="s">
        <v>1214</v>
      </c>
      <c r="Z15" s="683">
        <v>0</v>
      </c>
      <c r="AA15" s="683">
        <v>1591.3</v>
      </c>
      <c r="AB15" s="683">
        <v>163210.38</v>
      </c>
      <c r="AC15" s="683">
        <v>0</v>
      </c>
      <c r="AD15" s="683">
        <v>0</v>
      </c>
      <c r="AE15" s="683">
        <v>0</v>
      </c>
      <c r="AF15" s="683">
        <v>179774.88</v>
      </c>
      <c r="AG15" s="683">
        <v>-342409.83</v>
      </c>
      <c r="AH15" s="683">
        <v>0</v>
      </c>
      <c r="AI15" s="683">
        <v>0</v>
      </c>
      <c r="AJ15" s="683">
        <v>0</v>
      </c>
      <c r="AK15" s="683">
        <v>31889.49</v>
      </c>
    </row>
    <row r="16" spans="1:37">
      <c r="A16" s="636" t="s">
        <v>1036</v>
      </c>
      <c r="B16" s="664"/>
      <c r="C16" s="677"/>
      <c r="D16" s="684"/>
      <c r="E16" s="684"/>
      <c r="F16" s="684"/>
      <c r="G16" s="669"/>
      <c r="H16" s="684"/>
      <c r="I16" s="684"/>
      <c r="J16" s="684"/>
      <c r="K16" s="669"/>
      <c r="L16" s="684"/>
      <c r="M16" s="669"/>
      <c r="N16" s="684"/>
      <c r="O16" s="669"/>
      <c r="P16" s="684"/>
      <c r="Q16" s="685"/>
      <c r="R16" s="684"/>
      <c r="S16" s="686"/>
      <c r="T16" s="687"/>
      <c r="U16" s="681"/>
      <c r="Z16" s="688"/>
      <c r="AA16" s="688"/>
      <c r="AB16" s="688"/>
      <c r="AC16" s="688"/>
      <c r="AD16" s="688"/>
      <c r="AE16" s="688"/>
      <c r="AF16" s="688"/>
      <c r="AG16" s="688"/>
      <c r="AH16" s="688"/>
      <c r="AI16" s="688"/>
      <c r="AJ16" s="688"/>
      <c r="AK16" s="688"/>
    </row>
    <row r="17" spans="1:37">
      <c r="A17" s="636" t="s">
        <v>1036</v>
      </c>
      <c r="B17" s="689"/>
      <c r="C17" s="690" t="s">
        <v>1091</v>
      </c>
      <c r="D17" s="691">
        <f>SUBTOTAL(9,D11:D16)</f>
        <v>830092.5</v>
      </c>
      <c r="E17" s="691">
        <f>SUBTOTAL(9,E11:E16)</f>
        <v>807873.08000000007</v>
      </c>
      <c r="F17" s="691">
        <f>SUBTOTAL(9,F11:F16)</f>
        <v>22219.419999999969</v>
      </c>
      <c r="G17" s="692"/>
      <c r="H17" s="691">
        <f>SUBTOTAL(9,H11:H16)</f>
        <v>8416154.5</v>
      </c>
      <c r="I17" s="691">
        <f>SUBTOTAL(9,I11:I16)</f>
        <v>9694475.1999999993</v>
      </c>
      <c r="J17" s="691">
        <f>SUBTOTAL(9,J11:J16)</f>
        <v>-1278320.6999999995</v>
      </c>
      <c r="K17" s="692"/>
      <c r="L17" s="691">
        <f>SUBTOTAL(9,L11:L16)</f>
        <v>9694475.1999999993</v>
      </c>
      <c r="M17" s="692"/>
      <c r="N17" s="691">
        <f>SUBTOTAL(9,N11:N16)</f>
        <v>18110629.700000003</v>
      </c>
      <c r="O17" s="692"/>
      <c r="P17" s="691">
        <f>SUBTOTAL(9,P11:P16)</f>
        <v>9694475.1999999993</v>
      </c>
      <c r="Q17" s="693">
        <f>IFERROR($H17/$P17,0)</f>
        <v>0.86813925729574315</v>
      </c>
      <c r="R17" s="691">
        <f>SUBTOTAL(9,R11:R16)</f>
        <v>-8416154.5</v>
      </c>
      <c r="S17" s="679" t="str">
        <f>IF(P17-N17&lt;0,"F","U")</f>
        <v>F</v>
      </c>
      <c r="T17" s="680">
        <f>IFERROR($R17/$P17,0)</f>
        <v>-0.86813925729574315</v>
      </c>
      <c r="U17" s="694"/>
      <c r="Z17" s="695">
        <f t="shared" ref="Z17:AK17" si="0">SUBTOTAL(9,Z11:Z16)</f>
        <v>-701111.34000000008</v>
      </c>
      <c r="AA17" s="695">
        <f t="shared" si="0"/>
        <v>799718.14</v>
      </c>
      <c r="AB17" s="695">
        <f t="shared" si="0"/>
        <v>1235231.2199999997</v>
      </c>
      <c r="AC17" s="695">
        <f t="shared" si="0"/>
        <v>806725.17999999993</v>
      </c>
      <c r="AD17" s="695">
        <f t="shared" si="0"/>
        <v>800057.64</v>
      </c>
      <c r="AE17" s="695">
        <f t="shared" si="0"/>
        <v>799707.59</v>
      </c>
      <c r="AF17" s="695">
        <f t="shared" si="0"/>
        <v>986664.6</v>
      </c>
      <c r="AG17" s="695">
        <f t="shared" si="0"/>
        <v>457442.76999999996</v>
      </c>
      <c r="AH17" s="695">
        <f t="shared" si="0"/>
        <v>796313.96</v>
      </c>
      <c r="AI17" s="695">
        <f t="shared" si="0"/>
        <v>808720.74</v>
      </c>
      <c r="AJ17" s="695">
        <f t="shared" si="0"/>
        <v>796591.5</v>
      </c>
      <c r="AK17" s="695">
        <f t="shared" si="0"/>
        <v>830092.5</v>
      </c>
    </row>
    <row r="18" spans="1:37">
      <c r="A18" s="636" t="s">
        <v>1043</v>
      </c>
      <c r="B18" s="664"/>
      <c r="C18" s="677"/>
      <c r="D18" s="670"/>
      <c r="E18" s="670"/>
      <c r="F18" s="670"/>
      <c r="G18" s="669"/>
      <c r="H18" s="670"/>
      <c r="I18" s="670"/>
      <c r="J18" s="670"/>
      <c r="K18" s="669"/>
      <c r="L18" s="670"/>
      <c r="M18" s="669"/>
      <c r="N18" s="670"/>
      <c r="O18" s="669"/>
      <c r="P18" s="670"/>
      <c r="Q18" s="671"/>
      <c r="R18" s="670"/>
      <c r="S18" s="679"/>
      <c r="T18" s="673"/>
      <c r="U18" s="681"/>
      <c r="Z18" s="683"/>
      <c r="AA18" s="683"/>
      <c r="AB18" s="683"/>
      <c r="AC18" s="683"/>
      <c r="AD18" s="683"/>
      <c r="AE18" s="683"/>
      <c r="AF18" s="683"/>
      <c r="AG18" s="683"/>
      <c r="AH18" s="683"/>
      <c r="AI18" s="683"/>
      <c r="AJ18" s="683"/>
      <c r="AK18" s="683"/>
    </row>
    <row r="19" spans="1:37">
      <c r="A19" s="636" t="s">
        <v>1074</v>
      </c>
      <c r="B19" s="676" t="s">
        <v>1092</v>
      </c>
      <c r="C19" s="677" t="s">
        <v>1093</v>
      </c>
      <c r="D19" s="670">
        <v>441948.13</v>
      </c>
      <c r="E19" s="670">
        <v>419139.12</v>
      </c>
      <c r="F19" s="670">
        <f t="shared" ref="F19:F33" si="1">E19-D19</f>
        <v>-22809.010000000009</v>
      </c>
      <c r="G19" s="669"/>
      <c r="H19" s="670">
        <v>5290202.1100000003</v>
      </c>
      <c r="I19" s="670">
        <v>5029668.12</v>
      </c>
      <c r="J19" s="670">
        <f t="shared" ref="J19:J33" si="2">I19-H19</f>
        <v>-260533.99000000022</v>
      </c>
      <c r="K19" s="669"/>
      <c r="L19" s="670">
        <v>5029668.12</v>
      </c>
      <c r="M19" s="669"/>
      <c r="N19" s="670">
        <f t="shared" ref="N19:N33" si="3">H19+L19</f>
        <v>10319870.23</v>
      </c>
      <c r="O19" s="669"/>
      <c r="P19" s="670">
        <v>5029668.12</v>
      </c>
      <c r="Q19" s="671">
        <v>1.0517994396019901</v>
      </c>
      <c r="R19" s="670">
        <f t="shared" ref="R19:R33" si="4">P19-N19</f>
        <v>-5290202.1100000003</v>
      </c>
      <c r="S19" s="679" t="str">
        <f t="shared" ref="S19:S33" si="5">IF(P19-N19&gt;0,"F","U")</f>
        <v>U</v>
      </c>
      <c r="T19" s="680">
        <f t="shared" ref="T19:T33" si="6">-IFERROR($R19/$P19,0)</f>
        <v>1.0517994396019912</v>
      </c>
      <c r="U19" s="681"/>
      <c r="V19" s="682" t="s">
        <v>1094</v>
      </c>
      <c r="W19" t="s">
        <v>124</v>
      </c>
      <c r="X19" s="682" t="s">
        <v>1204</v>
      </c>
      <c r="Y19" s="682" t="s">
        <v>1215</v>
      </c>
      <c r="Z19" s="683">
        <v>437040.42</v>
      </c>
      <c r="AA19" s="683">
        <v>440339.07</v>
      </c>
      <c r="AB19" s="683">
        <v>427288.72</v>
      </c>
      <c r="AC19" s="683">
        <v>442228.23</v>
      </c>
      <c r="AD19" s="683">
        <v>436066.57</v>
      </c>
      <c r="AE19" s="683">
        <v>451245.35</v>
      </c>
      <c r="AF19" s="683">
        <v>453025.02</v>
      </c>
      <c r="AG19" s="683">
        <v>409731.89</v>
      </c>
      <c r="AH19" s="683">
        <v>454582.52</v>
      </c>
      <c r="AI19" s="683">
        <v>440835.56</v>
      </c>
      <c r="AJ19" s="683">
        <v>455870.63</v>
      </c>
      <c r="AK19" s="683">
        <v>441948.13</v>
      </c>
    </row>
    <row r="20" spans="1:37">
      <c r="A20" s="636" t="s">
        <v>1074</v>
      </c>
      <c r="B20" s="676" t="s">
        <v>1096</v>
      </c>
      <c r="C20" s="677" t="s">
        <v>1097</v>
      </c>
      <c r="D20" s="670">
        <v>2312.59</v>
      </c>
      <c r="E20" s="670">
        <v>0</v>
      </c>
      <c r="F20" s="670">
        <f t="shared" si="1"/>
        <v>-2312.59</v>
      </c>
      <c r="G20" s="669"/>
      <c r="H20" s="670">
        <v>26541.18</v>
      </c>
      <c r="I20" s="670">
        <v>0</v>
      </c>
      <c r="J20" s="670">
        <f t="shared" si="2"/>
        <v>-26541.18</v>
      </c>
      <c r="K20" s="669"/>
      <c r="L20" s="670">
        <v>0</v>
      </c>
      <c r="M20" s="669"/>
      <c r="N20" s="670">
        <f t="shared" si="3"/>
        <v>26541.18</v>
      </c>
      <c r="O20" s="669"/>
      <c r="P20" s="670">
        <v>0</v>
      </c>
      <c r="Q20" s="671">
        <v>0</v>
      </c>
      <c r="R20" s="670">
        <f t="shared" si="4"/>
        <v>-26541.18</v>
      </c>
      <c r="S20" s="679" t="str">
        <f t="shared" si="5"/>
        <v>U</v>
      </c>
      <c r="T20" s="680">
        <f t="shared" si="6"/>
        <v>0</v>
      </c>
      <c r="U20" s="681"/>
      <c r="V20" s="682" t="s">
        <v>1094</v>
      </c>
      <c r="W20" t="s">
        <v>124</v>
      </c>
      <c r="X20" s="682" t="s">
        <v>1216</v>
      </c>
      <c r="Y20" s="682" t="s">
        <v>1217</v>
      </c>
      <c r="Z20" s="683">
        <v>2242.0500000000002</v>
      </c>
      <c r="AA20" s="683">
        <v>2242.0500000000002</v>
      </c>
      <c r="AB20" s="683">
        <v>2169.7199999999998</v>
      </c>
      <c r="AC20" s="683">
        <v>2242.0500000000002</v>
      </c>
      <c r="AD20" s="683">
        <v>2169.7199999999998</v>
      </c>
      <c r="AE20" s="683">
        <v>2242.0500000000002</v>
      </c>
      <c r="AF20" s="683">
        <v>2242.0500000000002</v>
      </c>
      <c r="AG20" s="683">
        <v>2025.08</v>
      </c>
      <c r="AH20" s="683">
        <v>2242.0500000000002</v>
      </c>
      <c r="AI20" s="683">
        <v>2169.7199999999998</v>
      </c>
      <c r="AJ20" s="683">
        <v>2242.0500000000002</v>
      </c>
      <c r="AK20" s="683">
        <v>2312.59</v>
      </c>
    </row>
    <row r="21" spans="1:37">
      <c r="A21" s="636" t="s">
        <v>1074</v>
      </c>
      <c r="B21" s="676" t="s">
        <v>1218</v>
      </c>
      <c r="C21" s="677" t="s">
        <v>1219</v>
      </c>
      <c r="D21" s="670">
        <v>1056.3</v>
      </c>
      <c r="E21" s="670">
        <v>0</v>
      </c>
      <c r="F21" s="670">
        <f t="shared" si="1"/>
        <v>-1056.3</v>
      </c>
      <c r="G21" s="669"/>
      <c r="H21" s="670">
        <v>1056.3</v>
      </c>
      <c r="I21" s="670">
        <v>0</v>
      </c>
      <c r="J21" s="670">
        <f t="shared" si="2"/>
        <v>-1056.3</v>
      </c>
      <c r="K21" s="669"/>
      <c r="L21" s="670">
        <v>0</v>
      </c>
      <c r="M21" s="669"/>
      <c r="N21" s="670">
        <f t="shared" si="3"/>
        <v>1056.3</v>
      </c>
      <c r="O21" s="669"/>
      <c r="P21" s="670">
        <v>0</v>
      </c>
      <c r="Q21" s="671">
        <v>0</v>
      </c>
      <c r="R21" s="670">
        <f t="shared" si="4"/>
        <v>-1056.3</v>
      </c>
      <c r="S21" s="679" t="str">
        <f t="shared" si="5"/>
        <v>U</v>
      </c>
      <c r="T21" s="680">
        <f t="shared" si="6"/>
        <v>0</v>
      </c>
      <c r="U21" s="681"/>
      <c r="V21" s="682" t="s">
        <v>1094</v>
      </c>
      <c r="W21" t="s">
        <v>124</v>
      </c>
      <c r="X21" s="682" t="s">
        <v>1213</v>
      </c>
      <c r="Y21" s="682" t="s">
        <v>1220</v>
      </c>
      <c r="Z21" s="683">
        <v>0</v>
      </c>
      <c r="AA21" s="683">
        <v>0</v>
      </c>
      <c r="AB21" s="683">
        <v>0</v>
      </c>
      <c r="AC21" s="683">
        <v>0</v>
      </c>
      <c r="AD21" s="683">
        <v>0</v>
      </c>
      <c r="AE21" s="683">
        <v>0</v>
      </c>
      <c r="AF21" s="683">
        <v>0</v>
      </c>
      <c r="AG21" s="683">
        <v>0</v>
      </c>
      <c r="AH21" s="683">
        <v>0</v>
      </c>
      <c r="AI21" s="683">
        <v>0</v>
      </c>
      <c r="AJ21" s="683">
        <v>0</v>
      </c>
      <c r="AK21" s="683">
        <v>1056.3</v>
      </c>
    </row>
    <row r="22" spans="1:37">
      <c r="A22" s="636" t="s">
        <v>1074</v>
      </c>
      <c r="B22" s="676" t="s">
        <v>1103</v>
      </c>
      <c r="C22" s="677" t="s">
        <v>1104</v>
      </c>
      <c r="D22" s="670">
        <v>69045.59</v>
      </c>
      <c r="E22" s="670">
        <v>23863</v>
      </c>
      <c r="F22" s="670">
        <f t="shared" si="1"/>
        <v>-45182.59</v>
      </c>
      <c r="G22" s="669"/>
      <c r="H22" s="670">
        <v>331582.58</v>
      </c>
      <c r="I22" s="670">
        <v>286400</v>
      </c>
      <c r="J22" s="670">
        <f t="shared" si="2"/>
        <v>-45182.580000000016</v>
      </c>
      <c r="K22" s="669"/>
      <c r="L22" s="670">
        <v>286400</v>
      </c>
      <c r="M22" s="669"/>
      <c r="N22" s="670">
        <f t="shared" si="3"/>
        <v>617982.58000000007</v>
      </c>
      <c r="O22" s="669"/>
      <c r="P22" s="670">
        <v>286400</v>
      </c>
      <c r="Q22" s="671">
        <v>1.15776040502793</v>
      </c>
      <c r="R22" s="670">
        <f t="shared" si="4"/>
        <v>-331582.58000000007</v>
      </c>
      <c r="S22" s="679" t="str">
        <f t="shared" si="5"/>
        <v>U</v>
      </c>
      <c r="T22" s="680">
        <f t="shared" si="6"/>
        <v>1.1577604050279333</v>
      </c>
      <c r="U22" s="681"/>
      <c r="V22" s="682" t="s">
        <v>1094</v>
      </c>
      <c r="W22" t="s">
        <v>124</v>
      </c>
      <c r="X22" s="682" t="s">
        <v>1204</v>
      </c>
      <c r="Y22" s="682" t="s">
        <v>1221</v>
      </c>
      <c r="Z22" s="683">
        <v>23866.99</v>
      </c>
      <c r="AA22" s="683">
        <v>23867</v>
      </c>
      <c r="AB22" s="683">
        <v>23867</v>
      </c>
      <c r="AC22" s="683">
        <v>23867</v>
      </c>
      <c r="AD22" s="683">
        <v>23867</v>
      </c>
      <c r="AE22" s="683">
        <v>23867</v>
      </c>
      <c r="AF22" s="683">
        <v>23867</v>
      </c>
      <c r="AG22" s="683">
        <v>23867</v>
      </c>
      <c r="AH22" s="683">
        <v>23867</v>
      </c>
      <c r="AI22" s="683">
        <v>23867</v>
      </c>
      <c r="AJ22" s="683">
        <v>23867</v>
      </c>
      <c r="AK22" s="683">
        <v>69045.59</v>
      </c>
    </row>
    <row r="23" spans="1:37">
      <c r="A23" s="636" t="s">
        <v>1074</v>
      </c>
      <c r="B23" s="676" t="s">
        <v>1106</v>
      </c>
      <c r="C23" s="677" t="s">
        <v>1107</v>
      </c>
      <c r="D23" s="670">
        <v>1468.79</v>
      </c>
      <c r="E23" s="670">
        <v>0</v>
      </c>
      <c r="F23" s="670">
        <f t="shared" si="1"/>
        <v>-1468.79</v>
      </c>
      <c r="G23" s="669"/>
      <c r="H23" s="670">
        <v>12183.29</v>
      </c>
      <c r="I23" s="670">
        <v>0</v>
      </c>
      <c r="J23" s="670">
        <f t="shared" si="2"/>
        <v>-12183.29</v>
      </c>
      <c r="K23" s="669"/>
      <c r="L23" s="670">
        <v>0</v>
      </c>
      <c r="M23" s="669"/>
      <c r="N23" s="670">
        <f t="shared" si="3"/>
        <v>12183.29</v>
      </c>
      <c r="O23" s="669"/>
      <c r="P23" s="670">
        <v>0</v>
      </c>
      <c r="Q23" s="671">
        <v>0</v>
      </c>
      <c r="R23" s="670">
        <f t="shared" si="4"/>
        <v>-12183.29</v>
      </c>
      <c r="S23" s="679" t="str">
        <f t="shared" si="5"/>
        <v>U</v>
      </c>
      <c r="T23" s="680">
        <f t="shared" si="6"/>
        <v>0</v>
      </c>
      <c r="U23" s="681"/>
      <c r="V23" s="682" t="s">
        <v>1094</v>
      </c>
      <c r="W23" t="s">
        <v>124</v>
      </c>
      <c r="X23" s="682" t="s">
        <v>1204</v>
      </c>
      <c r="Y23" s="682" t="s">
        <v>1222</v>
      </c>
      <c r="Z23" s="683">
        <v>0</v>
      </c>
      <c r="AA23" s="683">
        <v>2058.91</v>
      </c>
      <c r="AB23" s="683">
        <v>837.68</v>
      </c>
      <c r="AC23" s="683">
        <v>1248.1500000000001</v>
      </c>
      <c r="AD23" s="683">
        <v>1867.33</v>
      </c>
      <c r="AE23" s="683">
        <v>550.51</v>
      </c>
      <c r="AF23" s="683">
        <v>219.07</v>
      </c>
      <c r="AG23" s="683">
        <v>710.32</v>
      </c>
      <c r="AH23" s="683">
        <v>1360.79</v>
      </c>
      <c r="AI23" s="683">
        <v>0</v>
      </c>
      <c r="AJ23" s="683">
        <v>1861.74</v>
      </c>
      <c r="AK23" s="683">
        <v>1468.79</v>
      </c>
    </row>
    <row r="24" spans="1:37">
      <c r="A24" s="636" t="s">
        <v>1074</v>
      </c>
      <c r="B24" s="676" t="s">
        <v>1109</v>
      </c>
      <c r="C24" s="677" t="s">
        <v>1110</v>
      </c>
      <c r="D24" s="670">
        <v>74434.539999999994</v>
      </c>
      <c r="E24" s="670">
        <v>71768</v>
      </c>
      <c r="F24" s="670">
        <f t="shared" si="1"/>
        <v>-2666.5399999999936</v>
      </c>
      <c r="G24" s="669"/>
      <c r="H24" s="670">
        <v>961100.18</v>
      </c>
      <c r="I24" s="670">
        <v>861480</v>
      </c>
      <c r="J24" s="670">
        <f t="shared" si="2"/>
        <v>-99620.180000000051</v>
      </c>
      <c r="K24" s="669"/>
      <c r="L24" s="670">
        <v>861480</v>
      </c>
      <c r="M24" s="669"/>
      <c r="N24" s="670">
        <f t="shared" si="3"/>
        <v>1822580.1800000002</v>
      </c>
      <c r="O24" s="669"/>
      <c r="P24" s="670">
        <v>861480</v>
      </c>
      <c r="Q24" s="671">
        <v>1.11563841296374</v>
      </c>
      <c r="R24" s="670">
        <f t="shared" si="4"/>
        <v>-961100.18000000017</v>
      </c>
      <c r="S24" s="679" t="str">
        <f t="shared" si="5"/>
        <v>U</v>
      </c>
      <c r="T24" s="680">
        <f t="shared" si="6"/>
        <v>1.1156384129637371</v>
      </c>
      <c r="U24" s="681"/>
      <c r="V24" s="682" t="s">
        <v>1094</v>
      </c>
      <c r="W24" t="s">
        <v>124</v>
      </c>
      <c r="X24" s="682" t="s">
        <v>1204</v>
      </c>
      <c r="Y24" s="682" t="s">
        <v>1223</v>
      </c>
      <c r="Z24" s="683">
        <v>84927.57</v>
      </c>
      <c r="AA24" s="683">
        <v>82980.45</v>
      </c>
      <c r="AB24" s="683">
        <v>78665.84</v>
      </c>
      <c r="AC24" s="683">
        <v>72013.490000000005</v>
      </c>
      <c r="AD24" s="683">
        <v>80941.56</v>
      </c>
      <c r="AE24" s="683">
        <v>93110.1</v>
      </c>
      <c r="AF24" s="683">
        <v>71517.710000000006</v>
      </c>
      <c r="AG24" s="683">
        <v>81522.53</v>
      </c>
      <c r="AH24" s="683">
        <v>84334.56</v>
      </c>
      <c r="AI24" s="683">
        <v>81196.37</v>
      </c>
      <c r="AJ24" s="683">
        <v>75455.460000000006</v>
      </c>
      <c r="AK24" s="683">
        <v>74434.539999999994</v>
      </c>
    </row>
    <row r="25" spans="1:37">
      <c r="A25" s="636" t="s">
        <v>1074</v>
      </c>
      <c r="B25" s="676" t="s">
        <v>1112</v>
      </c>
      <c r="C25" s="677" t="s">
        <v>1113</v>
      </c>
      <c r="D25" s="670">
        <v>741.77</v>
      </c>
      <c r="E25" s="670">
        <v>788</v>
      </c>
      <c r="F25" s="670">
        <f t="shared" si="1"/>
        <v>46.230000000000018</v>
      </c>
      <c r="G25" s="669"/>
      <c r="H25" s="670">
        <v>11252.04</v>
      </c>
      <c r="I25" s="670">
        <v>9500</v>
      </c>
      <c r="J25" s="670">
        <f t="shared" si="2"/>
        <v>-1752.0400000000009</v>
      </c>
      <c r="K25" s="669"/>
      <c r="L25" s="670">
        <v>9500</v>
      </c>
      <c r="M25" s="669"/>
      <c r="N25" s="670">
        <f t="shared" si="3"/>
        <v>20752.04</v>
      </c>
      <c r="O25" s="669"/>
      <c r="P25" s="670">
        <v>9500</v>
      </c>
      <c r="Q25" s="671">
        <v>1.18442526315789</v>
      </c>
      <c r="R25" s="670">
        <f t="shared" si="4"/>
        <v>-11252.04</v>
      </c>
      <c r="S25" s="679" t="str">
        <f t="shared" si="5"/>
        <v>U</v>
      </c>
      <c r="T25" s="680">
        <f t="shared" si="6"/>
        <v>1.1844252631578949</v>
      </c>
      <c r="U25" s="681"/>
      <c r="V25" s="682" t="s">
        <v>1094</v>
      </c>
      <c r="W25" t="s">
        <v>124</v>
      </c>
      <c r="X25" s="682" t="s">
        <v>1204</v>
      </c>
      <c r="Y25" s="682" t="s">
        <v>1224</v>
      </c>
      <c r="Z25" s="683">
        <v>759.57</v>
      </c>
      <c r="AA25" s="683">
        <v>759.57</v>
      </c>
      <c r="AB25" s="683">
        <v>3086.57</v>
      </c>
      <c r="AC25" s="683">
        <v>738.07</v>
      </c>
      <c r="AD25" s="683">
        <v>738.07</v>
      </c>
      <c r="AE25" s="683">
        <v>738.07</v>
      </c>
      <c r="AF25" s="683">
        <v>738.07</v>
      </c>
      <c r="AG25" s="683">
        <v>738.07</v>
      </c>
      <c r="AH25" s="683">
        <v>738.07</v>
      </c>
      <c r="AI25" s="683">
        <v>738.07</v>
      </c>
      <c r="AJ25" s="683">
        <v>738.07</v>
      </c>
      <c r="AK25" s="683">
        <v>741.77</v>
      </c>
    </row>
    <row r="26" spans="1:37">
      <c r="A26" s="636" t="s">
        <v>1074</v>
      </c>
      <c r="B26" s="676" t="s">
        <v>1115</v>
      </c>
      <c r="C26" s="677" t="s">
        <v>1116</v>
      </c>
      <c r="D26" s="670">
        <v>4612.16</v>
      </c>
      <c r="E26" s="670">
        <v>4526</v>
      </c>
      <c r="F26" s="670">
        <f t="shared" si="1"/>
        <v>-86.159999999999854</v>
      </c>
      <c r="G26" s="669"/>
      <c r="H26" s="670">
        <v>55345.95</v>
      </c>
      <c r="I26" s="670">
        <v>54400</v>
      </c>
      <c r="J26" s="670">
        <f t="shared" si="2"/>
        <v>-945.94999999999709</v>
      </c>
      <c r="K26" s="669"/>
      <c r="L26" s="670">
        <v>54400</v>
      </c>
      <c r="M26" s="669"/>
      <c r="N26" s="670">
        <f t="shared" si="3"/>
        <v>109745.95</v>
      </c>
      <c r="O26" s="669"/>
      <c r="P26" s="670">
        <v>54400</v>
      </c>
      <c r="Q26" s="671">
        <v>1.01738878676471</v>
      </c>
      <c r="R26" s="670">
        <f t="shared" si="4"/>
        <v>-55345.95</v>
      </c>
      <c r="S26" s="679" t="str">
        <f t="shared" si="5"/>
        <v>U</v>
      </c>
      <c r="T26" s="680">
        <f t="shared" si="6"/>
        <v>1.0173887867647058</v>
      </c>
      <c r="U26" s="681"/>
      <c r="V26" s="682" t="s">
        <v>1094</v>
      </c>
      <c r="W26" t="s">
        <v>124</v>
      </c>
      <c r="X26" s="682" t="s">
        <v>1213</v>
      </c>
      <c r="Y26" s="682" t="s">
        <v>1225</v>
      </c>
      <c r="Z26" s="683">
        <v>4451.8999999999996</v>
      </c>
      <c r="AA26" s="683">
        <v>4451.8999999999996</v>
      </c>
      <c r="AB26" s="683">
        <v>4932.71</v>
      </c>
      <c r="AC26" s="683">
        <v>4612.16</v>
      </c>
      <c r="AD26" s="683">
        <v>4612.16</v>
      </c>
      <c r="AE26" s="683">
        <v>4612.16</v>
      </c>
      <c r="AF26" s="683">
        <v>4612.16</v>
      </c>
      <c r="AG26" s="683">
        <v>4612.16</v>
      </c>
      <c r="AH26" s="683">
        <v>4612.16</v>
      </c>
      <c r="AI26" s="683">
        <v>4612.16</v>
      </c>
      <c r="AJ26" s="683">
        <v>4612.16</v>
      </c>
      <c r="AK26" s="683">
        <v>4612.16</v>
      </c>
    </row>
    <row r="27" spans="1:37">
      <c r="A27" s="636" t="s">
        <v>1074</v>
      </c>
      <c r="B27" s="676" t="s">
        <v>1121</v>
      </c>
      <c r="C27" s="677" t="s">
        <v>1122</v>
      </c>
      <c r="D27" s="670">
        <v>0</v>
      </c>
      <c r="E27" s="670">
        <v>0</v>
      </c>
      <c r="F27" s="670">
        <f t="shared" si="1"/>
        <v>0</v>
      </c>
      <c r="G27" s="669"/>
      <c r="H27" s="670">
        <v>2325</v>
      </c>
      <c r="I27" s="670">
        <v>0</v>
      </c>
      <c r="J27" s="670">
        <f t="shared" si="2"/>
        <v>-2325</v>
      </c>
      <c r="K27" s="669"/>
      <c r="L27" s="670">
        <v>0</v>
      </c>
      <c r="M27" s="669"/>
      <c r="N27" s="670">
        <f t="shared" si="3"/>
        <v>2325</v>
      </c>
      <c r="O27" s="669"/>
      <c r="P27" s="670">
        <v>0</v>
      </c>
      <c r="Q27" s="671">
        <v>0</v>
      </c>
      <c r="R27" s="670">
        <f t="shared" si="4"/>
        <v>-2325</v>
      </c>
      <c r="S27" s="679" t="str">
        <f t="shared" si="5"/>
        <v>U</v>
      </c>
      <c r="T27" s="680">
        <f t="shared" si="6"/>
        <v>0</v>
      </c>
      <c r="U27" s="681"/>
      <c r="V27" s="682" t="s">
        <v>1094</v>
      </c>
      <c r="W27" t="s">
        <v>124</v>
      </c>
      <c r="X27" s="682" t="s">
        <v>1204</v>
      </c>
      <c r="Y27" s="682" t="s">
        <v>1226</v>
      </c>
      <c r="Z27" s="683">
        <v>0</v>
      </c>
      <c r="AA27" s="683">
        <v>0</v>
      </c>
      <c r="AB27" s="683">
        <v>400</v>
      </c>
      <c r="AC27" s="683">
        <v>1925</v>
      </c>
      <c r="AD27" s="683">
        <v>0</v>
      </c>
      <c r="AE27" s="683">
        <v>0</v>
      </c>
      <c r="AF27" s="683">
        <v>0</v>
      </c>
      <c r="AG27" s="683">
        <v>0</v>
      </c>
      <c r="AH27" s="683">
        <v>0</v>
      </c>
      <c r="AI27" s="683">
        <v>0</v>
      </c>
      <c r="AJ27" s="683">
        <v>0</v>
      </c>
      <c r="AK27" s="683">
        <v>0</v>
      </c>
    </row>
    <row r="28" spans="1:37">
      <c r="A28" s="636" t="s">
        <v>1074</v>
      </c>
      <c r="B28" s="676" t="s">
        <v>1124</v>
      </c>
      <c r="C28" s="677" t="s">
        <v>1125</v>
      </c>
      <c r="D28" s="670">
        <v>0</v>
      </c>
      <c r="E28" s="670">
        <v>0</v>
      </c>
      <c r="F28" s="670">
        <f t="shared" si="1"/>
        <v>0</v>
      </c>
      <c r="G28" s="669"/>
      <c r="H28" s="670">
        <v>0</v>
      </c>
      <c r="I28" s="670">
        <v>0</v>
      </c>
      <c r="J28" s="670">
        <f t="shared" si="2"/>
        <v>0</v>
      </c>
      <c r="K28" s="669"/>
      <c r="L28" s="670">
        <v>0</v>
      </c>
      <c r="M28" s="669"/>
      <c r="N28" s="670">
        <f t="shared" si="3"/>
        <v>0</v>
      </c>
      <c r="O28" s="669"/>
      <c r="P28" s="670">
        <v>0</v>
      </c>
      <c r="Q28" s="671">
        <v>0</v>
      </c>
      <c r="R28" s="670">
        <f t="shared" si="4"/>
        <v>0</v>
      </c>
      <c r="S28" s="679" t="str">
        <f t="shared" si="5"/>
        <v>U</v>
      </c>
      <c r="T28" s="680">
        <f t="shared" si="6"/>
        <v>0</v>
      </c>
      <c r="U28" s="681"/>
      <c r="V28" s="682" t="s">
        <v>1094</v>
      </c>
      <c r="W28" t="s">
        <v>124</v>
      </c>
      <c r="X28" s="682" t="s">
        <v>1204</v>
      </c>
      <c r="Y28" s="682" t="s">
        <v>1227</v>
      </c>
      <c r="Z28" s="683">
        <v>972.6</v>
      </c>
      <c r="AA28" s="683">
        <v>972.6</v>
      </c>
      <c r="AB28" s="683">
        <v>972.6</v>
      </c>
      <c r="AC28" s="683">
        <v>972.6</v>
      </c>
      <c r="AD28" s="683">
        <v>-3890.4</v>
      </c>
      <c r="AE28" s="683">
        <v>0</v>
      </c>
      <c r="AF28" s="683">
        <v>0</v>
      </c>
      <c r="AG28" s="683">
        <v>0</v>
      </c>
      <c r="AH28" s="683">
        <v>0</v>
      </c>
      <c r="AI28" s="683">
        <v>0</v>
      </c>
      <c r="AJ28" s="683">
        <v>0</v>
      </c>
      <c r="AK28" s="683">
        <v>0</v>
      </c>
    </row>
    <row r="29" spans="1:37">
      <c r="A29" s="636" t="s">
        <v>1074</v>
      </c>
      <c r="B29" s="676" t="s">
        <v>1127</v>
      </c>
      <c r="C29" s="677" t="s">
        <v>1128</v>
      </c>
      <c r="D29" s="670">
        <v>501504.9</v>
      </c>
      <c r="E29" s="670">
        <v>324941.63</v>
      </c>
      <c r="F29" s="670">
        <f t="shared" si="1"/>
        <v>-176563.27000000002</v>
      </c>
      <c r="G29" s="669"/>
      <c r="H29" s="670">
        <v>4252243.3099999996</v>
      </c>
      <c r="I29" s="670">
        <v>3899300</v>
      </c>
      <c r="J29" s="670">
        <f t="shared" si="2"/>
        <v>-352943.30999999959</v>
      </c>
      <c r="K29" s="669"/>
      <c r="L29" s="670">
        <v>3899300</v>
      </c>
      <c r="M29" s="669"/>
      <c r="N29" s="670">
        <f t="shared" si="3"/>
        <v>8151543.3099999996</v>
      </c>
      <c r="O29" s="669"/>
      <c r="P29" s="670">
        <v>3899300</v>
      </c>
      <c r="Q29" s="671">
        <v>1.09051453081322</v>
      </c>
      <c r="R29" s="670">
        <f t="shared" si="4"/>
        <v>-4252243.3099999996</v>
      </c>
      <c r="S29" s="679" t="str">
        <f t="shared" si="5"/>
        <v>U</v>
      </c>
      <c r="T29" s="680">
        <f t="shared" si="6"/>
        <v>1.0905145308132227</v>
      </c>
      <c r="U29" s="681"/>
      <c r="V29" s="682" t="s">
        <v>1094</v>
      </c>
      <c r="W29" t="s">
        <v>124</v>
      </c>
      <c r="X29" s="682" t="s">
        <v>1204</v>
      </c>
      <c r="Y29" s="682" t="s">
        <v>1228</v>
      </c>
      <c r="Z29" s="683">
        <v>267415.07</v>
      </c>
      <c r="AA29" s="683">
        <v>378727.98</v>
      </c>
      <c r="AB29" s="683">
        <v>328932.99</v>
      </c>
      <c r="AC29" s="683">
        <v>354102.84</v>
      </c>
      <c r="AD29" s="683">
        <v>370657.78</v>
      </c>
      <c r="AE29" s="683">
        <v>349201</v>
      </c>
      <c r="AF29" s="683">
        <v>327160.33</v>
      </c>
      <c r="AG29" s="683">
        <v>371201.75</v>
      </c>
      <c r="AH29" s="683">
        <v>254463.65</v>
      </c>
      <c r="AI29" s="683">
        <v>287594.69</v>
      </c>
      <c r="AJ29" s="683">
        <v>461280.33</v>
      </c>
      <c r="AK29" s="683">
        <v>501504.9</v>
      </c>
    </row>
    <row r="30" spans="1:37">
      <c r="A30" s="636" t="s">
        <v>1074</v>
      </c>
      <c r="B30" s="676" t="s">
        <v>1133</v>
      </c>
      <c r="C30" s="677" t="s">
        <v>1134</v>
      </c>
      <c r="D30" s="670">
        <v>26861.74</v>
      </c>
      <c r="E30" s="670">
        <v>10475</v>
      </c>
      <c r="F30" s="670">
        <f t="shared" si="1"/>
        <v>-16386.740000000002</v>
      </c>
      <c r="G30" s="669"/>
      <c r="H30" s="670">
        <v>83415.12</v>
      </c>
      <c r="I30" s="670">
        <v>125700</v>
      </c>
      <c r="J30" s="670">
        <f t="shared" si="2"/>
        <v>42284.880000000005</v>
      </c>
      <c r="K30" s="669"/>
      <c r="L30" s="670">
        <v>125700</v>
      </c>
      <c r="M30" s="669"/>
      <c r="N30" s="670">
        <f t="shared" si="3"/>
        <v>209115.12</v>
      </c>
      <c r="O30" s="669"/>
      <c r="P30" s="670">
        <v>125700</v>
      </c>
      <c r="Q30" s="671">
        <v>0.66360477326969003</v>
      </c>
      <c r="R30" s="670">
        <f t="shared" si="4"/>
        <v>-83415.12</v>
      </c>
      <c r="S30" s="679" t="str">
        <f t="shared" si="5"/>
        <v>U</v>
      </c>
      <c r="T30" s="680">
        <f t="shared" si="6"/>
        <v>0.6636047732696897</v>
      </c>
      <c r="U30" s="681"/>
      <c r="V30" s="682" t="s">
        <v>1094</v>
      </c>
      <c r="W30" t="s">
        <v>124</v>
      </c>
      <c r="X30" s="682" t="s">
        <v>1204</v>
      </c>
      <c r="Y30" s="682" t="s">
        <v>1229</v>
      </c>
      <c r="Z30" s="683">
        <v>2605.0500000000002</v>
      </c>
      <c r="AA30" s="683">
        <v>0</v>
      </c>
      <c r="AB30" s="683">
        <v>13887.12</v>
      </c>
      <c r="AC30" s="683">
        <v>1200.56</v>
      </c>
      <c r="AD30" s="683">
        <v>4405.4399999999996</v>
      </c>
      <c r="AE30" s="683">
        <v>9738.02</v>
      </c>
      <c r="AF30" s="683">
        <v>2080.4699999999998</v>
      </c>
      <c r="AG30" s="683">
        <v>3030.13</v>
      </c>
      <c r="AH30" s="683">
        <v>2007.11</v>
      </c>
      <c r="AI30" s="683">
        <v>5118.6499999999996</v>
      </c>
      <c r="AJ30" s="683">
        <v>12480.83</v>
      </c>
      <c r="AK30" s="683">
        <v>26861.74</v>
      </c>
    </row>
    <row r="31" spans="1:37">
      <c r="A31" s="636" t="s">
        <v>1074</v>
      </c>
      <c r="B31" s="676" t="s">
        <v>1140</v>
      </c>
      <c r="C31" s="677" t="s">
        <v>1141</v>
      </c>
      <c r="D31" s="670">
        <v>0</v>
      </c>
      <c r="E31" s="670">
        <v>0</v>
      </c>
      <c r="F31" s="670">
        <f t="shared" si="1"/>
        <v>0</v>
      </c>
      <c r="G31" s="669"/>
      <c r="H31" s="670">
        <v>0</v>
      </c>
      <c r="I31" s="670">
        <v>0</v>
      </c>
      <c r="J31" s="670">
        <f t="shared" si="2"/>
        <v>0</v>
      </c>
      <c r="K31" s="669"/>
      <c r="L31" s="670">
        <v>0</v>
      </c>
      <c r="M31" s="669"/>
      <c r="N31" s="670">
        <f t="shared" si="3"/>
        <v>0</v>
      </c>
      <c r="O31" s="669"/>
      <c r="P31" s="670">
        <v>0</v>
      </c>
      <c r="Q31" s="671">
        <v>0</v>
      </c>
      <c r="R31" s="670">
        <f t="shared" si="4"/>
        <v>0</v>
      </c>
      <c r="S31" s="679" t="str">
        <f t="shared" si="5"/>
        <v>U</v>
      </c>
      <c r="T31" s="680">
        <f t="shared" si="6"/>
        <v>0</v>
      </c>
      <c r="U31" s="681"/>
      <c r="V31" s="682" t="s">
        <v>1094</v>
      </c>
      <c r="W31" t="s">
        <v>124</v>
      </c>
      <c r="X31" s="682" t="s">
        <v>1204</v>
      </c>
      <c r="Y31" s="682" t="s">
        <v>1230</v>
      </c>
      <c r="Z31" s="683">
        <v>0</v>
      </c>
      <c r="AA31" s="683">
        <v>0</v>
      </c>
      <c r="AB31" s="683">
        <v>0</v>
      </c>
      <c r="AC31" s="683">
        <v>0</v>
      </c>
      <c r="AD31" s="683">
        <v>0</v>
      </c>
      <c r="AE31" s="683">
        <v>0</v>
      </c>
      <c r="AF31" s="683">
        <v>0</v>
      </c>
      <c r="AG31" s="683">
        <v>0</v>
      </c>
      <c r="AH31" s="683">
        <v>0</v>
      </c>
      <c r="AI31" s="683">
        <v>0</v>
      </c>
      <c r="AJ31" s="683">
        <v>0</v>
      </c>
      <c r="AK31" s="683">
        <v>0</v>
      </c>
    </row>
    <row r="32" spans="1:37">
      <c r="A32" s="636" t="s">
        <v>1074</v>
      </c>
      <c r="B32" s="676" t="s">
        <v>1144</v>
      </c>
      <c r="C32" s="677" t="s">
        <v>1145</v>
      </c>
      <c r="D32" s="670">
        <v>49970.52</v>
      </c>
      <c r="E32" s="670">
        <v>170335.8</v>
      </c>
      <c r="F32" s="670">
        <f t="shared" si="1"/>
        <v>120365.28</v>
      </c>
      <c r="G32" s="669"/>
      <c r="H32" s="670">
        <v>703394.48</v>
      </c>
      <c r="I32" s="670">
        <v>2044019.7</v>
      </c>
      <c r="J32" s="670">
        <f t="shared" si="2"/>
        <v>1340625.22</v>
      </c>
      <c r="K32" s="669"/>
      <c r="L32" s="670">
        <v>2044019.7</v>
      </c>
      <c r="M32" s="669"/>
      <c r="N32" s="670">
        <f t="shared" si="3"/>
        <v>2747414.1799999997</v>
      </c>
      <c r="O32" s="669"/>
      <c r="P32" s="670">
        <v>2044019.7</v>
      </c>
      <c r="Q32" s="671">
        <v>0.34412314127892202</v>
      </c>
      <c r="R32" s="670">
        <f t="shared" si="4"/>
        <v>-703394.47999999975</v>
      </c>
      <c r="S32" s="679" t="str">
        <f t="shared" si="5"/>
        <v>U</v>
      </c>
      <c r="T32" s="680">
        <f t="shared" si="6"/>
        <v>0.34412314127892202</v>
      </c>
      <c r="U32" s="681"/>
      <c r="V32" s="682" t="s">
        <v>1094</v>
      </c>
      <c r="W32" t="s">
        <v>124</v>
      </c>
      <c r="X32" s="682" t="s">
        <v>1204</v>
      </c>
      <c r="Y32" s="682" t="s">
        <v>1231</v>
      </c>
      <c r="Z32" s="683">
        <v>64784.74</v>
      </c>
      <c r="AA32" s="683">
        <v>64784.74</v>
      </c>
      <c r="AB32" s="683">
        <v>60860.28</v>
      </c>
      <c r="AC32" s="683">
        <v>59033.03</v>
      </c>
      <c r="AD32" s="683">
        <v>59033.03</v>
      </c>
      <c r="AE32" s="683">
        <v>63144.34</v>
      </c>
      <c r="AF32" s="683">
        <v>56876.23</v>
      </c>
      <c r="AG32" s="683">
        <v>56876.23</v>
      </c>
      <c r="AH32" s="683">
        <v>56876.23</v>
      </c>
      <c r="AI32" s="683">
        <v>57302.8</v>
      </c>
      <c r="AJ32" s="683">
        <v>53852.31</v>
      </c>
      <c r="AK32" s="683">
        <v>49970.52</v>
      </c>
    </row>
    <row r="33" spans="1:37">
      <c r="A33" s="636" t="s">
        <v>1074</v>
      </c>
      <c r="B33" s="676" t="s">
        <v>1147</v>
      </c>
      <c r="C33" s="677" t="s">
        <v>1148</v>
      </c>
      <c r="D33" s="670">
        <v>106870.38</v>
      </c>
      <c r="E33" s="670">
        <v>138003.73000000001</v>
      </c>
      <c r="F33" s="670">
        <f t="shared" si="1"/>
        <v>31133.350000000006</v>
      </c>
      <c r="G33" s="669"/>
      <c r="H33" s="670">
        <v>294464.34000000003</v>
      </c>
      <c r="I33" s="670">
        <v>959187.45</v>
      </c>
      <c r="J33" s="670">
        <f t="shared" si="2"/>
        <v>664723.10999999987</v>
      </c>
      <c r="K33" s="669"/>
      <c r="L33" s="670">
        <v>959187.45</v>
      </c>
      <c r="M33" s="669"/>
      <c r="N33" s="670">
        <f t="shared" si="3"/>
        <v>1253651.79</v>
      </c>
      <c r="O33" s="669"/>
      <c r="P33" s="670">
        <v>959187.45</v>
      </c>
      <c r="Q33" s="671">
        <v>0.30699352874143598</v>
      </c>
      <c r="R33" s="670">
        <f t="shared" si="4"/>
        <v>-294464.34000000008</v>
      </c>
      <c r="S33" s="679" t="str">
        <f t="shared" si="5"/>
        <v>U</v>
      </c>
      <c r="T33" s="680">
        <f t="shared" si="6"/>
        <v>0.30699352874143643</v>
      </c>
      <c r="U33" s="681"/>
      <c r="V33" s="682" t="s">
        <v>1149</v>
      </c>
      <c r="W33" t="s">
        <v>124</v>
      </c>
      <c r="X33" s="682" t="s">
        <v>1204</v>
      </c>
      <c r="Y33" s="682" t="s">
        <v>1232</v>
      </c>
      <c r="Z33" s="683">
        <v>64514.22</v>
      </c>
      <c r="AA33" s="683">
        <v>71467.509999999995</v>
      </c>
      <c r="AB33" s="683">
        <v>78802.880000000005</v>
      </c>
      <c r="AC33" s="683">
        <v>77349.850000000006</v>
      </c>
      <c r="AD33" s="683">
        <v>-524487.64</v>
      </c>
      <c r="AE33" s="683">
        <v>86309.42</v>
      </c>
      <c r="AF33" s="683">
        <v>33197.33</v>
      </c>
      <c r="AG33" s="683">
        <v>74598.23</v>
      </c>
      <c r="AH33" s="683">
        <v>81477.789999999994</v>
      </c>
      <c r="AI33" s="683">
        <v>69870.03</v>
      </c>
      <c r="AJ33" s="683">
        <v>74494.34</v>
      </c>
      <c r="AK33" s="683">
        <v>106870.38</v>
      </c>
    </row>
    <row r="34" spans="1:37">
      <c r="A34" s="636" t="s">
        <v>1036</v>
      </c>
      <c r="B34" s="664"/>
      <c r="C34" s="677"/>
      <c r="D34" s="684"/>
      <c r="E34" s="684"/>
      <c r="F34" s="684"/>
      <c r="G34" s="669"/>
      <c r="H34" s="684"/>
      <c r="I34" s="684"/>
      <c r="J34" s="684"/>
      <c r="K34" s="669"/>
      <c r="L34" s="684"/>
      <c r="M34" s="669"/>
      <c r="N34" s="684"/>
      <c r="O34" s="669"/>
      <c r="P34" s="684"/>
      <c r="Q34" s="685"/>
      <c r="R34" s="684"/>
      <c r="S34" s="686"/>
      <c r="T34" s="687"/>
      <c r="U34" s="681"/>
      <c r="Z34" s="688"/>
      <c r="AA34" s="688"/>
      <c r="AB34" s="688"/>
      <c r="AC34" s="688"/>
      <c r="AD34" s="688"/>
      <c r="AE34" s="688"/>
      <c r="AF34" s="688"/>
      <c r="AG34" s="688"/>
      <c r="AH34" s="688"/>
      <c r="AI34" s="688"/>
      <c r="AJ34" s="688"/>
      <c r="AK34" s="688"/>
    </row>
    <row r="35" spans="1:37">
      <c r="A35" s="636" t="s">
        <v>1036</v>
      </c>
      <c r="B35" s="689"/>
      <c r="C35" s="690" t="s">
        <v>1151</v>
      </c>
      <c r="D35" s="696">
        <f>SUBTOTAL(9,D19:D34)</f>
        <v>1280827.4100000001</v>
      </c>
      <c r="E35" s="696">
        <f>SUBTOTAL(9,E19:E34)</f>
        <v>1163840.28</v>
      </c>
      <c r="F35" s="696">
        <f>SUBTOTAL(9,F19:F34)</f>
        <v>-116987.13</v>
      </c>
      <c r="G35" s="692"/>
      <c r="H35" s="696">
        <f>SUBTOTAL(9,H19:H34)</f>
        <v>12025105.879999999</v>
      </c>
      <c r="I35" s="696">
        <f>SUBTOTAL(9,I19:I34)</f>
        <v>13269655.27</v>
      </c>
      <c r="J35" s="696">
        <f>SUBTOTAL(9,J19:J34)</f>
        <v>1244549.3900000001</v>
      </c>
      <c r="K35" s="692"/>
      <c r="L35" s="696">
        <f>SUBTOTAL(9,L19:L34)</f>
        <v>13269655.27</v>
      </c>
      <c r="M35" s="692"/>
      <c r="N35" s="696">
        <f>SUBTOTAL(9,N19:N34)</f>
        <v>25294761.149999999</v>
      </c>
      <c r="O35" s="692"/>
      <c r="P35" s="696">
        <f>SUBTOTAL(9,P19:P34)</f>
        <v>13269655.27</v>
      </c>
      <c r="Q35" s="693">
        <f>IFERROR(H35/P35,0)</f>
        <v>0.90621087249993038</v>
      </c>
      <c r="R35" s="696">
        <f>SUBTOTAL(9,R19:R34)</f>
        <v>-12025105.880000001</v>
      </c>
      <c r="S35" s="679" t="str">
        <f>IF(P35-R35&lt;0,"F","U")</f>
        <v>U</v>
      </c>
      <c r="T35" s="680">
        <f>IFERROR($R35/$P35,0)</f>
        <v>-0.90621087249993049</v>
      </c>
      <c r="U35" s="694"/>
      <c r="Z35" s="697">
        <f t="shared" ref="Z35:AK35" si="7">SUBTOTAL(9,Z19:Z34)</f>
        <v>953580.17999999993</v>
      </c>
      <c r="AA35" s="697">
        <f t="shared" si="7"/>
        <v>1072651.7799999998</v>
      </c>
      <c r="AB35" s="697">
        <f t="shared" si="7"/>
        <v>1024704.1099999999</v>
      </c>
      <c r="AC35" s="697">
        <f t="shared" si="7"/>
        <v>1041533.0300000001</v>
      </c>
      <c r="AD35" s="697">
        <f t="shared" si="7"/>
        <v>455980.61999999988</v>
      </c>
      <c r="AE35" s="697">
        <f t="shared" si="7"/>
        <v>1084758.02</v>
      </c>
      <c r="AF35" s="697">
        <f t="shared" si="7"/>
        <v>975535.43999999983</v>
      </c>
      <c r="AG35" s="697">
        <f t="shared" si="7"/>
        <v>1028913.39</v>
      </c>
      <c r="AH35" s="697">
        <f t="shared" si="7"/>
        <v>966561.92999999993</v>
      </c>
      <c r="AI35" s="697">
        <f t="shared" si="7"/>
        <v>973305.04999999993</v>
      </c>
      <c r="AJ35" s="697">
        <f t="shared" si="7"/>
        <v>1166754.92</v>
      </c>
      <c r="AK35" s="697">
        <f t="shared" si="7"/>
        <v>1280827.4100000001</v>
      </c>
    </row>
    <row r="36" spans="1:37">
      <c r="A36" s="636" t="s">
        <v>1036</v>
      </c>
      <c r="B36" s="664"/>
      <c r="C36" s="677"/>
      <c r="D36" s="670"/>
      <c r="E36" s="670"/>
      <c r="F36" s="670"/>
      <c r="G36" s="669"/>
      <c r="H36" s="670"/>
      <c r="I36" s="670"/>
      <c r="J36" s="670"/>
      <c r="K36" s="669"/>
      <c r="L36" s="670"/>
      <c r="M36" s="669"/>
      <c r="N36" s="670"/>
      <c r="O36" s="669"/>
      <c r="P36" s="670"/>
      <c r="Q36" s="671"/>
      <c r="R36" s="670"/>
      <c r="S36" s="679"/>
      <c r="T36" s="673"/>
      <c r="U36" s="681"/>
      <c r="Z36" s="683"/>
      <c r="AA36" s="683"/>
      <c r="AB36" s="683"/>
      <c r="AC36" s="683"/>
      <c r="AD36" s="683"/>
      <c r="AE36" s="683"/>
      <c r="AF36" s="683"/>
      <c r="AG36" s="683"/>
      <c r="AH36" s="683"/>
      <c r="AI36" s="683"/>
      <c r="AJ36" s="683"/>
      <c r="AK36" s="683"/>
    </row>
    <row r="37" spans="1:37">
      <c r="A37" s="636" t="s">
        <v>1036</v>
      </c>
      <c r="B37" s="689" t="s">
        <v>1152</v>
      </c>
      <c r="C37" s="690"/>
      <c r="D37" s="698">
        <f>D17-D35</f>
        <v>-450734.91000000015</v>
      </c>
      <c r="E37" s="698">
        <f>E17-E35</f>
        <v>-355967.19999999995</v>
      </c>
      <c r="F37" s="698">
        <f>F17+F35</f>
        <v>-94767.710000000036</v>
      </c>
      <c r="G37" s="692"/>
      <c r="H37" s="698">
        <f>H17-H35</f>
        <v>-3608951.379999999</v>
      </c>
      <c r="I37" s="698">
        <f>I17-I35</f>
        <v>-3575180.0700000003</v>
      </c>
      <c r="J37" s="698">
        <f>J17+J35</f>
        <v>-33771.309999999357</v>
      </c>
      <c r="K37" s="692"/>
      <c r="L37" s="698">
        <f>L17-L35</f>
        <v>-3575180.0700000003</v>
      </c>
      <c r="M37" s="692"/>
      <c r="N37" s="698">
        <f>N17-N35</f>
        <v>-7184131.4499999955</v>
      </c>
      <c r="O37" s="692"/>
      <c r="P37" s="698">
        <f>P17-P35</f>
        <v>-3575180.0700000003</v>
      </c>
      <c r="Q37" s="699">
        <f>IFERROR(H37/P37,0)</f>
        <v>1.0094460444897251</v>
      </c>
      <c r="R37" s="698">
        <f>R17-R35</f>
        <v>3608951.3800000008</v>
      </c>
      <c r="S37" s="679" t="str">
        <f>IF(P37-R37&gt;0,"F","U")</f>
        <v>U</v>
      </c>
      <c r="T37" s="680">
        <f>IFERROR($R37/$P37,0)</f>
        <v>-1.0094460444897257</v>
      </c>
      <c r="U37" s="694"/>
      <c r="Z37" s="700">
        <f t="shared" ref="Z37:AK37" si="8">Z17-Z35</f>
        <v>-1654691.52</v>
      </c>
      <c r="AA37" s="700">
        <f t="shared" si="8"/>
        <v>-272933.63999999978</v>
      </c>
      <c r="AB37" s="700">
        <f t="shared" si="8"/>
        <v>210527.10999999987</v>
      </c>
      <c r="AC37" s="700">
        <f t="shared" si="8"/>
        <v>-234807.85000000021</v>
      </c>
      <c r="AD37" s="700">
        <f t="shared" si="8"/>
        <v>344077.02000000014</v>
      </c>
      <c r="AE37" s="700">
        <f t="shared" si="8"/>
        <v>-285050.43000000005</v>
      </c>
      <c r="AF37" s="700">
        <f t="shared" si="8"/>
        <v>11129.160000000149</v>
      </c>
      <c r="AG37" s="700">
        <f t="shared" si="8"/>
        <v>-571470.62000000011</v>
      </c>
      <c r="AH37" s="700">
        <f t="shared" si="8"/>
        <v>-170247.96999999997</v>
      </c>
      <c r="AI37" s="700">
        <f t="shared" si="8"/>
        <v>-164584.30999999994</v>
      </c>
      <c r="AJ37" s="700">
        <f t="shared" si="8"/>
        <v>-370163.41999999993</v>
      </c>
      <c r="AK37" s="700">
        <f t="shared" si="8"/>
        <v>-450734.91000000015</v>
      </c>
    </row>
    <row r="38" spans="1:37" ht="15.75" thickBot="1">
      <c r="A38" s="636" t="s">
        <v>1036</v>
      </c>
      <c r="B38" s="701"/>
      <c r="C38" s="702"/>
      <c r="D38" s="703"/>
      <c r="E38" s="703"/>
      <c r="F38" s="703"/>
      <c r="G38" s="668"/>
      <c r="H38" s="703"/>
      <c r="I38" s="703"/>
      <c r="J38" s="703"/>
      <c r="K38" s="668"/>
      <c r="L38" s="703"/>
      <c r="M38" s="668"/>
      <c r="N38" s="703"/>
      <c r="O38" s="668"/>
      <c r="P38" s="703"/>
      <c r="Q38" s="704"/>
      <c r="R38" s="703"/>
      <c r="S38" s="705"/>
      <c r="T38" s="706"/>
      <c r="U38" s="707"/>
      <c r="Z38" s="708"/>
      <c r="AA38" s="708"/>
      <c r="AB38" s="708"/>
      <c r="AC38" s="708"/>
      <c r="AD38" s="708"/>
      <c r="AE38" s="708"/>
      <c r="AF38" s="708"/>
      <c r="AG38" s="708"/>
      <c r="AH38" s="708"/>
      <c r="AI38" s="708"/>
      <c r="AJ38" s="708"/>
      <c r="AK38" s="708"/>
    </row>
    <row r="39" spans="1:37">
      <c r="A39" s="709" t="s">
        <v>1043</v>
      </c>
      <c r="B39" s="710" t="s">
        <v>1153</v>
      </c>
      <c r="C39" s="711"/>
      <c r="D39" s="712"/>
      <c r="E39" s="712"/>
      <c r="F39" s="712"/>
      <c r="G39" s="692"/>
      <c r="H39" s="713"/>
      <c r="I39" s="712"/>
      <c r="J39" s="712"/>
      <c r="O39" s="714"/>
      <c r="P39" s="715"/>
      <c r="Q39" s="716"/>
      <c r="R39" s="717"/>
      <c r="S39" s="717"/>
      <c r="T39" s="717"/>
      <c r="U39" s="718"/>
      <c r="Z39" s="715"/>
      <c r="AA39" s="715"/>
      <c r="AB39" s="715"/>
      <c r="AC39" s="715"/>
      <c r="AD39" s="715"/>
      <c r="AE39" s="715"/>
      <c r="AF39" s="715"/>
      <c r="AG39" s="715"/>
      <c r="AH39" s="715"/>
      <c r="AI39" s="715"/>
      <c r="AJ39" s="715"/>
      <c r="AK39" s="715"/>
    </row>
    <row r="40" spans="1:37" ht="30">
      <c r="A40" s="636" t="s">
        <v>1074</v>
      </c>
      <c r="B40" s="724" t="s">
        <v>1233</v>
      </c>
      <c r="C40" s="720" t="s">
        <v>1234</v>
      </c>
      <c r="D40" s="721">
        <v>753416.95</v>
      </c>
      <c r="E40" s="721">
        <v>248936.66</v>
      </c>
      <c r="F40" s="670">
        <f>D40-E40</f>
        <v>504480.28999999992</v>
      </c>
      <c r="G40" s="669"/>
      <c r="H40" s="670">
        <v>4562106.17</v>
      </c>
      <c r="I40" s="670">
        <v>2987239.59</v>
      </c>
      <c r="J40" s="670">
        <f>H40-I40</f>
        <v>1574866.58</v>
      </c>
      <c r="L40" s="526">
        <v>2987239.59</v>
      </c>
      <c r="O40" s="714"/>
      <c r="P40" s="670">
        <v>2987239.59</v>
      </c>
      <c r="Q40" s="670">
        <v>1.52719794731965</v>
      </c>
      <c r="R40" s="722"/>
      <c r="S40" s="722"/>
      <c r="T40" s="722"/>
      <c r="U40" s="723"/>
      <c r="V40" s="682" t="s">
        <v>1077</v>
      </c>
      <c r="W40" t="s">
        <v>124</v>
      </c>
      <c r="X40" s="682" t="s">
        <v>1235</v>
      </c>
      <c r="Y40" s="682" t="s">
        <v>1236</v>
      </c>
      <c r="Z40" s="670">
        <v>292558.57</v>
      </c>
      <c r="AA40" s="670">
        <v>215891.62</v>
      </c>
      <c r="AB40" s="670">
        <v>180240.64000000001</v>
      </c>
      <c r="AC40" s="670">
        <v>449100.35</v>
      </c>
      <c r="AD40" s="670">
        <v>572733.39</v>
      </c>
      <c r="AE40" s="670">
        <v>510841.63</v>
      </c>
      <c r="AF40" s="670">
        <v>42851.33</v>
      </c>
      <c r="AG40" s="670">
        <v>400024.84</v>
      </c>
      <c r="AH40" s="670">
        <v>473392.2</v>
      </c>
      <c r="AI40" s="670">
        <v>121853.46</v>
      </c>
      <c r="AJ40" s="670">
        <v>549201.18999999994</v>
      </c>
      <c r="AK40" s="670">
        <v>753416.95</v>
      </c>
    </row>
    <row r="41" spans="1:37" ht="30">
      <c r="A41" s="636" t="s">
        <v>1074</v>
      </c>
      <c r="B41" s="724" t="s">
        <v>1237</v>
      </c>
      <c r="C41" s="720" t="s">
        <v>1238</v>
      </c>
      <c r="D41" s="721">
        <v>0</v>
      </c>
      <c r="E41" s="721">
        <v>0</v>
      </c>
      <c r="F41" s="670">
        <f>D41-E41</f>
        <v>0</v>
      </c>
      <c r="G41" s="669"/>
      <c r="H41" s="670">
        <v>556358.23</v>
      </c>
      <c r="I41" s="670">
        <v>0</v>
      </c>
      <c r="J41" s="670">
        <f>H41-I41</f>
        <v>556358.23</v>
      </c>
      <c r="L41" s="526">
        <v>0</v>
      </c>
      <c r="O41" s="714"/>
      <c r="P41" s="670">
        <v>0</v>
      </c>
      <c r="Q41" s="670">
        <v>0</v>
      </c>
      <c r="R41" s="722"/>
      <c r="S41" s="722"/>
      <c r="T41" s="722"/>
      <c r="U41" s="723"/>
      <c r="V41" s="682" t="s">
        <v>1077</v>
      </c>
      <c r="W41" t="s">
        <v>124</v>
      </c>
      <c r="X41" s="682" t="s">
        <v>1210</v>
      </c>
      <c r="Y41" s="682" t="s">
        <v>1239</v>
      </c>
      <c r="Z41" s="670">
        <v>0</v>
      </c>
      <c r="AA41" s="670">
        <v>0</v>
      </c>
      <c r="AB41" s="670">
        <v>0</v>
      </c>
      <c r="AC41" s="670">
        <v>0</v>
      </c>
      <c r="AD41" s="670">
        <v>0</v>
      </c>
      <c r="AE41" s="670">
        <v>0</v>
      </c>
      <c r="AF41" s="670">
        <v>0</v>
      </c>
      <c r="AG41" s="670">
        <v>342409.83</v>
      </c>
      <c r="AH41" s="670">
        <v>213948.4</v>
      </c>
      <c r="AI41" s="670">
        <v>0</v>
      </c>
      <c r="AJ41" s="670">
        <v>0</v>
      </c>
      <c r="AK41" s="670">
        <v>0</v>
      </c>
    </row>
    <row r="42" spans="1:37">
      <c r="A42" s="636" t="s">
        <v>1074</v>
      </c>
      <c r="B42" s="724" t="s">
        <v>1158</v>
      </c>
      <c r="C42" s="720" t="s">
        <v>1159</v>
      </c>
      <c r="D42" s="721">
        <v>1925.44</v>
      </c>
      <c r="E42" s="721">
        <v>1342176</v>
      </c>
      <c r="F42" s="670">
        <f>D42-E42</f>
        <v>-1340250.56</v>
      </c>
      <c r="G42" s="669"/>
      <c r="H42" s="670">
        <v>8110448.5</v>
      </c>
      <c r="I42" s="670">
        <v>1342176</v>
      </c>
      <c r="J42" s="670">
        <f>H42-I42</f>
        <v>6768272.5</v>
      </c>
      <c r="L42" s="526">
        <v>1342176</v>
      </c>
      <c r="O42" s="714"/>
      <c r="P42" s="670">
        <v>1342176</v>
      </c>
      <c r="Q42" s="670">
        <v>6.0427607854707599</v>
      </c>
      <c r="R42" s="722"/>
      <c r="S42" s="722"/>
      <c r="T42" s="722"/>
      <c r="U42" s="723"/>
      <c r="V42" s="682" t="s">
        <v>1077</v>
      </c>
      <c r="W42" t="s">
        <v>124</v>
      </c>
      <c r="X42" s="682" t="s">
        <v>1216</v>
      </c>
      <c r="Y42" s="682" t="s">
        <v>1240</v>
      </c>
      <c r="Z42" s="670">
        <v>1826475.75</v>
      </c>
      <c r="AA42" s="670">
        <v>984787.76</v>
      </c>
      <c r="AB42" s="670">
        <v>392932.65</v>
      </c>
      <c r="AC42" s="670">
        <v>548032.98</v>
      </c>
      <c r="AD42" s="670">
        <v>554496.68999999994</v>
      </c>
      <c r="AE42" s="670">
        <v>1267770.02</v>
      </c>
      <c r="AF42" s="670">
        <v>199012.55</v>
      </c>
      <c r="AG42" s="670">
        <v>810613.54</v>
      </c>
      <c r="AH42" s="670">
        <v>764131.06</v>
      </c>
      <c r="AI42" s="670">
        <v>126463.59</v>
      </c>
      <c r="AJ42" s="670">
        <v>633806.47</v>
      </c>
      <c r="AK42" s="670">
        <v>1925.44</v>
      </c>
    </row>
    <row r="43" spans="1:37">
      <c r="A43" s="636" t="s">
        <v>1074</v>
      </c>
      <c r="B43" s="719"/>
      <c r="C43" s="720"/>
      <c r="D43" s="721">
        <v>0</v>
      </c>
      <c r="E43" s="721">
        <v>0</v>
      </c>
      <c r="F43" s="670">
        <f>D43-E43</f>
        <v>0</v>
      </c>
      <c r="G43" s="669"/>
      <c r="H43" s="670">
        <v>0</v>
      </c>
      <c r="I43" s="670">
        <v>0</v>
      </c>
      <c r="J43" s="670">
        <f>H43-I43</f>
        <v>0</v>
      </c>
      <c r="L43" s="526">
        <v>0</v>
      </c>
      <c r="O43" s="714"/>
      <c r="P43" s="670">
        <v>0</v>
      </c>
      <c r="Q43" s="670">
        <v>0</v>
      </c>
      <c r="R43" s="722"/>
      <c r="S43" s="722"/>
      <c r="T43" s="722"/>
      <c r="U43" s="723"/>
      <c r="Z43" s="670">
        <v>0</v>
      </c>
      <c r="AA43" s="670">
        <v>0</v>
      </c>
      <c r="AB43" s="670">
        <v>0</v>
      </c>
      <c r="AC43" s="670">
        <v>0</v>
      </c>
      <c r="AD43" s="670">
        <v>0</v>
      </c>
      <c r="AE43" s="670">
        <v>0</v>
      </c>
      <c r="AF43" s="670">
        <v>0</v>
      </c>
      <c r="AG43" s="670">
        <v>0</v>
      </c>
      <c r="AH43" s="670">
        <v>0</v>
      </c>
      <c r="AI43" s="670">
        <v>0</v>
      </c>
      <c r="AJ43" s="670">
        <v>0</v>
      </c>
      <c r="AK43" s="670">
        <v>0</v>
      </c>
    </row>
    <row r="44" spans="1:37">
      <c r="A44" s="636" t="s">
        <v>1036</v>
      </c>
      <c r="B44" s="719"/>
      <c r="C44" s="720"/>
      <c r="D44" s="684"/>
      <c r="E44" s="684"/>
      <c r="F44" s="684"/>
      <c r="G44" s="669"/>
      <c r="H44" s="684"/>
      <c r="I44" s="684"/>
      <c r="J44" s="684"/>
      <c r="O44" s="714"/>
      <c r="P44" s="684"/>
      <c r="Q44" s="684"/>
      <c r="R44" s="722"/>
      <c r="S44" s="722"/>
      <c r="T44" s="722"/>
      <c r="U44" s="723"/>
      <c r="Z44" s="684"/>
      <c r="AA44" s="684"/>
      <c r="AB44" s="684"/>
      <c r="AC44" s="684"/>
      <c r="AD44" s="684"/>
      <c r="AE44" s="684"/>
      <c r="AF44" s="684"/>
      <c r="AG44" s="684"/>
      <c r="AH44" s="684"/>
      <c r="AI44" s="684"/>
      <c r="AJ44" s="684"/>
      <c r="AK44" s="684"/>
    </row>
    <row r="45" spans="1:37">
      <c r="A45" s="636" t="s">
        <v>1036</v>
      </c>
      <c r="B45" s="719"/>
      <c r="C45" s="720"/>
      <c r="D45" s="696">
        <f>SUBTOTAL(9,D39:D44)</f>
        <v>755342.3899999999</v>
      </c>
      <c r="E45" s="696">
        <f>SUBTOTAL(9,E39:E44)</f>
        <v>1591112.66</v>
      </c>
      <c r="F45" s="696">
        <f>SUBTOTAL(9,F39:F44)</f>
        <v>-835770.27000000014</v>
      </c>
      <c r="G45" s="692"/>
      <c r="H45" s="696">
        <f>SUBTOTAL(9,H39:H44)</f>
        <v>13228912.9</v>
      </c>
      <c r="I45" s="696">
        <f>SUBTOTAL(9,I39:I44)</f>
        <v>4329415.59</v>
      </c>
      <c r="J45" s="696">
        <f>SUBTOTAL(9,J39:J44)</f>
        <v>8899497.3100000005</v>
      </c>
      <c r="O45" s="714"/>
      <c r="P45" s="696">
        <f>SUBTOTAL(9,P39:P44)</f>
        <v>4329415.59</v>
      </c>
      <c r="Q45" s="696">
        <f>IFERROR(L45/P45,0)</f>
        <v>0</v>
      </c>
      <c r="R45" s="722"/>
      <c r="S45" s="722"/>
      <c r="T45" s="722"/>
      <c r="U45" s="723"/>
      <c r="Z45" s="696">
        <f t="shared" ref="Z45:AK45" si="9">SUBTOTAL(9,Z39:Z44)</f>
        <v>2119034.3199999998</v>
      </c>
      <c r="AA45" s="696">
        <f t="shared" si="9"/>
        <v>1200679.3799999999</v>
      </c>
      <c r="AB45" s="696">
        <f t="shared" si="9"/>
        <v>573173.29</v>
      </c>
      <c r="AC45" s="696">
        <f t="shared" si="9"/>
        <v>997133.33</v>
      </c>
      <c r="AD45" s="696">
        <f t="shared" si="9"/>
        <v>1127230.08</v>
      </c>
      <c r="AE45" s="696">
        <f t="shared" si="9"/>
        <v>1778611.65</v>
      </c>
      <c r="AF45" s="696">
        <f t="shared" si="9"/>
        <v>241863.88</v>
      </c>
      <c r="AG45" s="696">
        <f t="shared" si="9"/>
        <v>1553048.21</v>
      </c>
      <c r="AH45" s="696">
        <f t="shared" si="9"/>
        <v>1451471.6600000001</v>
      </c>
      <c r="AI45" s="696">
        <f t="shared" si="9"/>
        <v>248317.05</v>
      </c>
      <c r="AJ45" s="696">
        <f t="shared" si="9"/>
        <v>1183007.6599999999</v>
      </c>
      <c r="AK45" s="696">
        <f t="shared" si="9"/>
        <v>755342.3899999999</v>
      </c>
    </row>
    <row r="46" spans="1:37">
      <c r="A46" s="636" t="s">
        <v>1161</v>
      </c>
      <c r="B46" s="725"/>
      <c r="C46" s="726"/>
      <c r="D46" s="684"/>
      <c r="E46" s="684"/>
      <c r="F46" s="684"/>
      <c r="G46" s="669"/>
      <c r="H46" s="684"/>
      <c r="I46" s="684"/>
      <c r="J46" s="684"/>
      <c r="O46" s="714"/>
      <c r="P46" s="727"/>
      <c r="Q46" s="728"/>
      <c r="R46" s="729"/>
      <c r="S46" s="729"/>
      <c r="T46" s="729"/>
      <c r="U46" s="730"/>
      <c r="Z46" s="727"/>
      <c r="AA46" s="727"/>
      <c r="AB46" s="727"/>
      <c r="AC46" s="727"/>
      <c r="AD46" s="727"/>
      <c r="AE46" s="727"/>
      <c r="AF46" s="727"/>
      <c r="AG46" s="727"/>
      <c r="AH46" s="727"/>
      <c r="AI46" s="727"/>
      <c r="AJ46" s="727"/>
      <c r="AK46" s="727"/>
    </row>
    <row r="47" spans="1:37">
      <c r="A47" s="636" t="s">
        <v>1035</v>
      </c>
      <c r="Z47" s="526"/>
      <c r="AA47" s="526"/>
    </row>
  </sheetData>
  <pageMargins left="0.7" right="0.7" top="0.75" bottom="0.75" header="0.3" footer="0.3"/>
  <pageSetup paperSize="9" scale="5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theme="0" tint="-0.34998626667073579"/>
    <pageSetUpPr fitToPage="1"/>
  </sheetPr>
  <dimension ref="A1:AF322"/>
  <sheetViews>
    <sheetView showGridLines="0" topLeftCell="F2" zoomScale="55" zoomScaleNormal="55" workbookViewId="0">
      <selection activeCell="AF6" sqref="AF6"/>
    </sheetView>
  </sheetViews>
  <sheetFormatPr defaultColWidth="9.140625" defaultRowHeight="15" outlineLevelCol="1"/>
  <cols>
    <col min="1" max="1" width="3.28515625" style="636" hidden="1" customWidth="1"/>
    <col min="2" max="2" width="18.85546875" customWidth="1"/>
    <col min="3" max="3" width="10.5703125" customWidth="1" outlineLevel="1"/>
    <col min="4" max="4" width="8.140625" customWidth="1"/>
    <col min="5" max="5" width="40.7109375" customWidth="1" collapsed="1"/>
    <col min="6" max="6" width="21" style="40" customWidth="1"/>
    <col min="7" max="9" width="13.5703125" customWidth="1"/>
    <col min="10" max="14" width="13.5703125" hidden="1" customWidth="1" outlineLevel="1"/>
    <col min="15" max="15" width="70" hidden="1" customWidth="1" outlineLevel="1"/>
    <col min="16" max="16" width="13.5703125" customWidth="1" collapsed="1"/>
    <col min="17" max="18" width="13.5703125" customWidth="1"/>
    <col min="19" max="19" width="16.42578125" style="762" customWidth="1"/>
    <col min="20" max="20" width="17.5703125" style="762" customWidth="1"/>
    <col min="21" max="21" width="15.85546875" style="762" customWidth="1"/>
    <col min="22" max="22" width="1.7109375" style="762" customWidth="1"/>
    <col min="23" max="24" width="11.42578125" style="762" customWidth="1"/>
    <col min="25" max="25" width="20" style="763" customWidth="1"/>
    <col min="26" max="27" width="11.42578125" style="762" customWidth="1"/>
    <col min="28" max="28" width="32.7109375" style="763" customWidth="1"/>
    <col min="31" max="31" width="16.85546875" bestFit="1" customWidth="1"/>
    <col min="32" max="32" width="11" bestFit="1" customWidth="1"/>
  </cols>
  <sheetData>
    <row r="1" spans="1:32" s="633" customFormat="1" hidden="1">
      <c r="A1" s="631" t="s">
        <v>1031</v>
      </c>
      <c r="B1" s="633" t="s">
        <v>1032</v>
      </c>
      <c r="F1" s="759"/>
      <c r="S1" s="760"/>
      <c r="T1" s="760"/>
      <c r="U1" s="760"/>
      <c r="V1" s="760"/>
      <c r="W1" s="760"/>
      <c r="X1" s="760"/>
      <c r="Y1" s="761"/>
      <c r="Z1" s="760"/>
      <c r="AA1" s="760"/>
      <c r="AB1" s="761"/>
    </row>
    <row r="2" spans="1:32" ht="26.25">
      <c r="A2" s="636" t="s">
        <v>1033</v>
      </c>
      <c r="B2" s="731" t="s">
        <v>1241</v>
      </c>
    </row>
    <row r="3" spans="1:32" ht="18.75">
      <c r="A3" s="636" t="s">
        <v>1242</v>
      </c>
      <c r="B3" s="732" t="s">
        <v>1243</v>
      </c>
    </row>
    <row r="4" spans="1:32" ht="23.1" customHeight="1">
      <c r="A4" s="636" t="s">
        <v>1244</v>
      </c>
      <c r="B4" s="733" t="s">
        <v>1245</v>
      </c>
    </row>
    <row r="5" spans="1:32" ht="15.75" thickBot="1">
      <c r="A5" s="636" t="s">
        <v>1033</v>
      </c>
      <c r="B5" s="734"/>
      <c r="AD5" t="s">
        <v>1246</v>
      </c>
      <c r="AE5" t="s">
        <v>1246</v>
      </c>
      <c r="AF5" t="s">
        <v>1246</v>
      </c>
    </row>
    <row r="6" spans="1:32" ht="45" customHeight="1">
      <c r="A6" s="636" t="s">
        <v>1247</v>
      </c>
      <c r="B6" s="735" t="s">
        <v>1248</v>
      </c>
      <c r="C6" s="736" t="s">
        <v>1249</v>
      </c>
      <c r="D6" s="737" t="s">
        <v>1250</v>
      </c>
      <c r="E6" s="738" t="s">
        <v>1251</v>
      </c>
      <c r="F6" s="739" t="s">
        <v>1252</v>
      </c>
      <c r="G6" s="764" t="s">
        <v>1253</v>
      </c>
      <c r="H6" s="765" t="s">
        <v>1254</v>
      </c>
      <c r="I6" s="766" t="s">
        <v>1255</v>
      </c>
      <c r="J6" s="767" t="s">
        <v>1256</v>
      </c>
      <c r="K6" s="768" t="s">
        <v>1257</v>
      </c>
      <c r="L6" s="769" t="s">
        <v>1258</v>
      </c>
      <c r="M6" s="770" t="s">
        <v>1259</v>
      </c>
      <c r="N6" s="771" t="s">
        <v>1260</v>
      </c>
      <c r="O6" s="772" t="s">
        <v>1261</v>
      </c>
      <c r="P6" s="773" t="s">
        <v>1262</v>
      </c>
      <c r="Q6" s="773" t="s">
        <v>1263</v>
      </c>
      <c r="R6" s="773" t="s">
        <v>1264</v>
      </c>
      <c r="S6" s="774" t="s">
        <v>1265</v>
      </c>
      <c r="T6" s="774" t="s">
        <v>1266</v>
      </c>
      <c r="U6" s="774" t="s">
        <v>1267</v>
      </c>
      <c r="W6" s="775" t="s">
        <v>1268</v>
      </c>
      <c r="X6" s="775" t="s">
        <v>1269</v>
      </c>
      <c r="Y6" s="775" t="s">
        <v>1270</v>
      </c>
      <c r="Z6" s="776" t="s">
        <v>1271</v>
      </c>
      <c r="AA6" s="776" t="s">
        <v>1272</v>
      </c>
      <c r="AB6" s="776" t="s">
        <v>1273</v>
      </c>
      <c r="AC6" s="777" t="s">
        <v>1274</v>
      </c>
      <c r="AD6" t="s">
        <v>1262</v>
      </c>
      <c r="AE6" t="s">
        <v>1264</v>
      </c>
      <c r="AF6" t="s">
        <v>1263</v>
      </c>
    </row>
    <row r="7" spans="1:32" ht="15" customHeight="1">
      <c r="A7" s="636" t="s">
        <v>1275</v>
      </c>
      <c r="B7" s="740" t="s">
        <v>1276</v>
      </c>
      <c r="C7" s="741"/>
      <c r="D7" s="742" t="s">
        <v>1277</v>
      </c>
      <c r="E7" s="743" t="s">
        <v>1278</v>
      </c>
      <c r="F7" s="744" t="s">
        <v>1279</v>
      </c>
      <c r="G7" s="745">
        <v>0</v>
      </c>
      <c r="H7" s="746">
        <f>-2886.67+3015</f>
        <v>128.32999999999993</v>
      </c>
      <c r="I7" s="745">
        <f>G7-H7</f>
        <v>-128.32999999999993</v>
      </c>
      <c r="J7" s="746">
        <v>60996.98</v>
      </c>
      <c r="K7" s="746">
        <v>1266627.96</v>
      </c>
      <c r="L7" s="778">
        <f>H7+J7</f>
        <v>61125.310000000005</v>
      </c>
      <c r="M7" s="745">
        <f>G7-L7</f>
        <v>-61125.310000000005</v>
      </c>
      <c r="N7" s="779">
        <f>IFERROR(L7/G7,0)</f>
        <v>0</v>
      </c>
      <c r="O7" s="780" t="s">
        <v>1280</v>
      </c>
      <c r="P7" s="781">
        <v>0.25</v>
      </c>
      <c r="Q7" s="781">
        <v>0.5</v>
      </c>
      <c r="R7" s="781">
        <v>0.25</v>
      </c>
      <c r="S7" s="782">
        <f>$H7*P7</f>
        <v>32.082499999999982</v>
      </c>
      <c r="T7" s="782">
        <f>$H7*Q7</f>
        <v>64.164999999999964</v>
      </c>
      <c r="U7" s="782">
        <f>$H7*R7</f>
        <v>32.082499999999982</v>
      </c>
      <c r="W7" s="782"/>
      <c r="X7" s="782"/>
      <c r="Y7" s="783"/>
      <c r="Z7" s="782"/>
      <c r="AA7" s="782"/>
      <c r="AB7" s="783"/>
      <c r="AC7" s="777">
        <f>H7-SUM(S7:U7)</f>
        <v>0</v>
      </c>
      <c r="AD7" s="790">
        <f>$G7*P7</f>
        <v>0</v>
      </c>
      <c r="AE7" s="790">
        <f t="shared" ref="AE7:AE70" si="0">$G7*R7</f>
        <v>0</v>
      </c>
      <c r="AF7" s="790">
        <f>$G7*Q7</f>
        <v>0</v>
      </c>
    </row>
    <row r="8" spans="1:32" ht="15" customHeight="1" thickBot="1">
      <c r="A8" s="636" t="s">
        <v>1242</v>
      </c>
      <c r="B8" s="747" t="str">
        <f>B7</f>
        <v>3 Waters</v>
      </c>
      <c r="C8" s="748"/>
      <c r="D8" s="749"/>
      <c r="E8" s="750" t="str">
        <f>B7&amp;" - Sub Total"</f>
        <v>3 Waters - Sub Total</v>
      </c>
      <c r="F8" s="751"/>
      <c r="G8" s="752">
        <f>SUBTOTAL(9,G7:G7)</f>
        <v>0</v>
      </c>
      <c r="H8" s="752">
        <f>SUBTOTAL(9,H7:H7)</f>
        <v>128.32999999999993</v>
      </c>
      <c r="I8" s="752">
        <f>G8-H8</f>
        <v>-128.32999999999993</v>
      </c>
      <c r="J8" s="752">
        <f>SUBTOTAL(9,J7:J7)</f>
        <v>60996.98</v>
      </c>
      <c r="K8" s="752">
        <f>SUBTOTAL(9,K7:K7)</f>
        <v>1266627.96</v>
      </c>
      <c r="L8" s="752">
        <f>SUBTOTAL(9,L7:L7)</f>
        <v>61125.310000000005</v>
      </c>
      <c r="M8" s="752">
        <f>SUBTOTAL(9,M7:M7)</f>
        <v>-61125.310000000005</v>
      </c>
      <c r="N8" s="784">
        <f>IFERROR(L8/#REF!,0)</f>
        <v>0</v>
      </c>
      <c r="O8" s="785"/>
      <c r="P8" s="752"/>
      <c r="Q8" s="752"/>
      <c r="R8" s="752"/>
      <c r="S8" s="786"/>
      <c r="T8" s="786"/>
      <c r="U8" s="786"/>
      <c r="W8" s="786"/>
      <c r="X8" s="786"/>
      <c r="Y8" s="787"/>
      <c r="Z8" s="786"/>
      <c r="AA8" s="786"/>
      <c r="AB8" s="787"/>
      <c r="AC8" s="777"/>
      <c r="AD8" s="790">
        <f t="shared" ref="AD8:AD71" si="1">$G8*P8</f>
        <v>0</v>
      </c>
      <c r="AE8" s="790">
        <f t="shared" si="0"/>
        <v>0</v>
      </c>
      <c r="AF8" s="790">
        <f t="shared" ref="AF8:AF71" si="2">$G8*Q8</f>
        <v>0</v>
      </c>
    </row>
    <row r="9" spans="1:32" ht="15" customHeight="1">
      <c r="A9" s="636" t="s">
        <v>1281</v>
      </c>
      <c r="B9" s="753"/>
      <c r="C9" s="754"/>
      <c r="D9" s="754"/>
      <c r="E9" s="753"/>
      <c r="F9" s="755"/>
      <c r="G9" s="756"/>
      <c r="H9" s="756"/>
      <c r="I9" s="756"/>
      <c r="J9" s="756"/>
      <c r="K9" s="756"/>
      <c r="L9" s="756"/>
      <c r="M9" s="756"/>
      <c r="N9" s="753"/>
      <c r="O9" s="753"/>
      <c r="AC9" s="777"/>
      <c r="AD9" s="790">
        <f t="shared" si="1"/>
        <v>0</v>
      </c>
      <c r="AE9" s="790">
        <f t="shared" si="0"/>
        <v>0</v>
      </c>
      <c r="AF9" s="790">
        <f t="shared" si="2"/>
        <v>0</v>
      </c>
    </row>
    <row r="10" spans="1:32" ht="15" customHeight="1">
      <c r="A10" s="636" t="s">
        <v>1074</v>
      </c>
      <c r="B10" s="740" t="s">
        <v>1282</v>
      </c>
      <c r="C10" s="741" t="s">
        <v>1283</v>
      </c>
      <c r="D10" s="742" t="s">
        <v>1284</v>
      </c>
      <c r="E10" s="743" t="s">
        <v>1285</v>
      </c>
      <c r="F10" s="744" t="s">
        <v>1286</v>
      </c>
      <c r="G10" s="745">
        <v>156871.70000000001</v>
      </c>
      <c r="H10" s="746">
        <v>152104.63</v>
      </c>
      <c r="I10" s="745">
        <f t="shared" ref="I10:I37" si="3">G10-H10</f>
        <v>4767.070000000007</v>
      </c>
      <c r="J10" s="746">
        <v>0</v>
      </c>
      <c r="K10" s="746">
        <v>0</v>
      </c>
      <c r="L10" s="778">
        <f t="shared" ref="L10:L36" si="4">H10+J10</f>
        <v>152104.63</v>
      </c>
      <c r="M10" s="745">
        <f t="shared" ref="M10:M36" si="5">G10-L10</f>
        <v>4767.070000000007</v>
      </c>
      <c r="N10" s="779">
        <f t="shared" ref="N10:N36" si="6">IFERROR(L10/G10,0)</f>
        <v>0.9696116635441574</v>
      </c>
      <c r="O10" s="780" t="s">
        <v>1287</v>
      </c>
      <c r="P10" s="781">
        <v>0</v>
      </c>
      <c r="Q10" s="781">
        <v>0.8</v>
      </c>
      <c r="R10" s="781">
        <v>0.2</v>
      </c>
      <c r="S10" s="782">
        <f t="shared" ref="S10:U25" si="7">$H10*P10</f>
        <v>0</v>
      </c>
      <c r="T10" s="782">
        <f t="shared" si="7"/>
        <v>121683.70400000001</v>
      </c>
      <c r="U10" s="782">
        <f t="shared" si="7"/>
        <v>30420.926000000003</v>
      </c>
      <c r="W10" s="782"/>
      <c r="X10" s="782"/>
      <c r="Y10" s="783"/>
      <c r="Z10" s="782"/>
      <c r="AA10" s="782"/>
      <c r="AB10" s="783"/>
      <c r="AC10" s="777">
        <f t="shared" ref="AC10:AC73" si="8">H10-SUM(S10:U10)</f>
        <v>0</v>
      </c>
      <c r="AD10" s="790">
        <f t="shared" si="1"/>
        <v>0</v>
      </c>
      <c r="AE10" s="790">
        <f t="shared" si="0"/>
        <v>31374.340000000004</v>
      </c>
      <c r="AF10" s="790">
        <f t="shared" si="2"/>
        <v>125497.36000000002</v>
      </c>
    </row>
    <row r="11" spans="1:32" ht="15" customHeight="1">
      <c r="A11" s="636" t="s">
        <v>1074</v>
      </c>
      <c r="B11" s="740" t="s">
        <v>1282</v>
      </c>
      <c r="C11" s="741" t="s">
        <v>1288</v>
      </c>
      <c r="D11" s="742" t="s">
        <v>1289</v>
      </c>
      <c r="E11" s="743" t="s">
        <v>1290</v>
      </c>
      <c r="F11" s="744" t="s">
        <v>1291</v>
      </c>
      <c r="G11" s="745">
        <v>7888899.5199999996</v>
      </c>
      <c r="H11" s="746">
        <v>6510020.2199999997</v>
      </c>
      <c r="I11" s="745">
        <f t="shared" si="3"/>
        <v>1378879.2999999998</v>
      </c>
      <c r="J11" s="746">
        <v>226647.85</v>
      </c>
      <c r="K11" s="746">
        <v>0</v>
      </c>
      <c r="L11" s="778">
        <f t="shared" si="4"/>
        <v>6736668.0699999994</v>
      </c>
      <c r="M11" s="745">
        <f t="shared" si="5"/>
        <v>1152231.4500000002</v>
      </c>
      <c r="N11" s="779">
        <f t="shared" si="6"/>
        <v>0.8539426890811761</v>
      </c>
      <c r="O11" s="780" t="s">
        <v>1292</v>
      </c>
      <c r="P11" s="781">
        <v>9.8900000000000002E-2</v>
      </c>
      <c r="Q11" s="781">
        <v>0</v>
      </c>
      <c r="R11" s="781">
        <v>0.90110000000000001</v>
      </c>
      <c r="S11" s="782">
        <f t="shared" si="7"/>
        <v>643840.99975800002</v>
      </c>
      <c r="T11" s="782">
        <f t="shared" si="7"/>
        <v>0</v>
      </c>
      <c r="U11" s="782">
        <f t="shared" si="7"/>
        <v>5866179.2202420002</v>
      </c>
      <c r="W11" s="782"/>
      <c r="X11" s="782"/>
      <c r="Y11" s="783"/>
      <c r="Z11" s="782"/>
      <c r="AA11" s="782"/>
      <c r="AB11" s="783"/>
      <c r="AC11" s="777">
        <f t="shared" si="8"/>
        <v>0</v>
      </c>
      <c r="AD11" s="790">
        <f t="shared" si="1"/>
        <v>780212.16252799996</v>
      </c>
      <c r="AE11" s="790">
        <f t="shared" si="0"/>
        <v>7108687.3574719997</v>
      </c>
      <c r="AF11" s="790">
        <f t="shared" si="2"/>
        <v>0</v>
      </c>
    </row>
    <row r="12" spans="1:32" ht="15" customHeight="1">
      <c r="A12" s="636" t="s">
        <v>1074</v>
      </c>
      <c r="B12" s="740" t="s">
        <v>1282</v>
      </c>
      <c r="C12" s="741" t="s">
        <v>1293</v>
      </c>
      <c r="D12" s="742" t="s">
        <v>1294</v>
      </c>
      <c r="E12" s="743" t="s">
        <v>1295</v>
      </c>
      <c r="F12" s="744" t="s">
        <v>1286</v>
      </c>
      <c r="G12" s="745">
        <v>361557.84</v>
      </c>
      <c r="H12" s="746">
        <v>14231</v>
      </c>
      <c r="I12" s="745">
        <f t="shared" si="3"/>
        <v>347326.84</v>
      </c>
      <c r="J12" s="746">
        <v>18809</v>
      </c>
      <c r="K12" s="746">
        <v>0</v>
      </c>
      <c r="L12" s="778">
        <f t="shared" si="4"/>
        <v>33040</v>
      </c>
      <c r="M12" s="745">
        <f t="shared" si="5"/>
        <v>328517.84000000003</v>
      </c>
      <c r="N12" s="779">
        <f t="shared" si="6"/>
        <v>9.1382335949346305E-2</v>
      </c>
      <c r="O12" s="780" t="s">
        <v>1287</v>
      </c>
      <c r="P12" s="781">
        <v>0.27500000000000002</v>
      </c>
      <c r="Q12" s="781">
        <v>0.5544</v>
      </c>
      <c r="R12" s="781">
        <v>0.1706</v>
      </c>
      <c r="S12" s="782">
        <f t="shared" si="7"/>
        <v>3913.5250000000001</v>
      </c>
      <c r="T12" s="782">
        <f t="shared" si="7"/>
        <v>7889.6664000000001</v>
      </c>
      <c r="U12" s="782">
        <f t="shared" si="7"/>
        <v>2427.8085999999998</v>
      </c>
      <c r="W12" s="782"/>
      <c r="X12" s="782"/>
      <c r="Y12" s="783"/>
      <c r="Z12" s="782"/>
      <c r="AA12" s="782"/>
      <c r="AB12" s="783"/>
      <c r="AC12" s="777">
        <f t="shared" si="8"/>
        <v>0</v>
      </c>
      <c r="AD12" s="790">
        <f t="shared" si="1"/>
        <v>99428.406000000017</v>
      </c>
      <c r="AE12" s="790">
        <f t="shared" si="0"/>
        <v>61681.767504000003</v>
      </c>
      <c r="AF12" s="790">
        <f t="shared" si="2"/>
        <v>200447.66649600002</v>
      </c>
    </row>
    <row r="13" spans="1:32" ht="15" customHeight="1">
      <c r="A13" s="636" t="s">
        <v>1074</v>
      </c>
      <c r="B13" s="740" t="s">
        <v>1282</v>
      </c>
      <c r="C13" s="741" t="s">
        <v>1296</v>
      </c>
      <c r="D13" s="742" t="s">
        <v>1297</v>
      </c>
      <c r="E13" s="743" t="s">
        <v>1298</v>
      </c>
      <c r="F13" s="744" t="s">
        <v>1299</v>
      </c>
      <c r="G13" s="745">
        <v>100000</v>
      </c>
      <c r="H13" s="746">
        <v>100000</v>
      </c>
      <c r="I13" s="745">
        <f t="shared" si="3"/>
        <v>0</v>
      </c>
      <c r="J13" s="746">
        <v>16099.18</v>
      </c>
      <c r="K13" s="746">
        <v>48644.94</v>
      </c>
      <c r="L13" s="778">
        <f t="shared" si="4"/>
        <v>116099.18</v>
      </c>
      <c r="M13" s="745">
        <f t="shared" si="5"/>
        <v>-16099.179999999993</v>
      </c>
      <c r="N13" s="779">
        <f t="shared" si="6"/>
        <v>1.1609917999999999</v>
      </c>
      <c r="O13" s="780" t="s">
        <v>1300</v>
      </c>
      <c r="P13" s="781">
        <v>0.27500000000000002</v>
      </c>
      <c r="Q13" s="781">
        <v>0</v>
      </c>
      <c r="R13" s="781">
        <v>0.72499999999999998</v>
      </c>
      <c r="S13" s="782">
        <f t="shared" si="7"/>
        <v>27500.000000000004</v>
      </c>
      <c r="T13" s="782">
        <f t="shared" si="7"/>
        <v>0</v>
      </c>
      <c r="U13" s="782">
        <f t="shared" si="7"/>
        <v>72500</v>
      </c>
      <c r="W13" s="782"/>
      <c r="X13" s="782"/>
      <c r="Y13" s="783"/>
      <c r="Z13" s="782"/>
      <c r="AA13" s="782"/>
      <c r="AB13" s="783"/>
      <c r="AC13" s="777">
        <f t="shared" si="8"/>
        <v>0</v>
      </c>
      <c r="AD13" s="790">
        <f t="shared" si="1"/>
        <v>27500.000000000004</v>
      </c>
      <c r="AE13" s="790">
        <f t="shared" si="0"/>
        <v>72500</v>
      </c>
      <c r="AF13" s="790">
        <f t="shared" si="2"/>
        <v>0</v>
      </c>
    </row>
    <row r="14" spans="1:32" ht="15" customHeight="1">
      <c r="A14" s="636" t="s">
        <v>1074</v>
      </c>
      <c r="B14" s="740" t="s">
        <v>1282</v>
      </c>
      <c r="C14" s="741" t="s">
        <v>1301</v>
      </c>
      <c r="D14" s="742" t="s">
        <v>1302</v>
      </c>
      <c r="E14" s="743" t="s">
        <v>1303</v>
      </c>
      <c r="F14" s="744" t="s">
        <v>1286</v>
      </c>
      <c r="G14" s="745">
        <v>8511</v>
      </c>
      <c r="H14" s="746">
        <v>8348.83</v>
      </c>
      <c r="I14" s="745">
        <f t="shared" si="3"/>
        <v>162.17000000000007</v>
      </c>
      <c r="J14" s="746">
        <v>0</v>
      </c>
      <c r="K14" s="746">
        <v>0</v>
      </c>
      <c r="L14" s="778">
        <f t="shared" si="4"/>
        <v>8348.83</v>
      </c>
      <c r="M14" s="745">
        <f t="shared" si="5"/>
        <v>162.17000000000007</v>
      </c>
      <c r="N14" s="779">
        <f t="shared" si="6"/>
        <v>0.98094583480202091</v>
      </c>
      <c r="O14" s="780" t="s">
        <v>1304</v>
      </c>
      <c r="P14" s="781">
        <v>0</v>
      </c>
      <c r="Q14" s="781">
        <v>0.8</v>
      </c>
      <c r="R14" s="781">
        <v>0.2</v>
      </c>
      <c r="S14" s="782">
        <f t="shared" si="7"/>
        <v>0</v>
      </c>
      <c r="T14" s="782">
        <f t="shared" si="7"/>
        <v>6679.0640000000003</v>
      </c>
      <c r="U14" s="782">
        <f t="shared" si="7"/>
        <v>1669.7660000000001</v>
      </c>
      <c r="W14" s="782"/>
      <c r="X14" s="782"/>
      <c r="Y14" s="783"/>
      <c r="Z14" s="782"/>
      <c r="AA14" s="782"/>
      <c r="AB14" s="783"/>
      <c r="AC14" s="777">
        <f t="shared" si="8"/>
        <v>0</v>
      </c>
      <c r="AD14" s="790">
        <f t="shared" si="1"/>
        <v>0</v>
      </c>
      <c r="AE14" s="790">
        <f t="shared" si="0"/>
        <v>1702.2</v>
      </c>
      <c r="AF14" s="790">
        <f t="shared" si="2"/>
        <v>6808.8</v>
      </c>
    </row>
    <row r="15" spans="1:32" ht="15" customHeight="1">
      <c r="A15" s="636" t="s">
        <v>1074</v>
      </c>
      <c r="B15" s="740" t="s">
        <v>1282</v>
      </c>
      <c r="C15" s="741" t="s">
        <v>1305</v>
      </c>
      <c r="D15" s="742" t="s">
        <v>1306</v>
      </c>
      <c r="E15" s="743" t="s">
        <v>1307</v>
      </c>
      <c r="F15" s="744" t="s">
        <v>1291</v>
      </c>
      <c r="G15" s="745">
        <v>50950</v>
      </c>
      <c r="H15" s="746">
        <v>0</v>
      </c>
      <c r="I15" s="745">
        <f t="shared" si="3"/>
        <v>50950</v>
      </c>
      <c r="J15" s="746">
        <v>0</v>
      </c>
      <c r="K15" s="746">
        <v>0</v>
      </c>
      <c r="L15" s="778">
        <f t="shared" si="4"/>
        <v>0</v>
      </c>
      <c r="M15" s="745">
        <f t="shared" si="5"/>
        <v>50950</v>
      </c>
      <c r="N15" s="779">
        <f t="shared" si="6"/>
        <v>0</v>
      </c>
      <c r="O15" s="780" t="s">
        <v>1308</v>
      </c>
      <c r="P15" s="781">
        <v>0</v>
      </c>
      <c r="Q15" s="781">
        <v>0</v>
      </c>
      <c r="R15" s="781">
        <v>1</v>
      </c>
      <c r="S15" s="782">
        <f t="shared" si="7"/>
        <v>0</v>
      </c>
      <c r="T15" s="782">
        <f t="shared" si="7"/>
        <v>0</v>
      </c>
      <c r="U15" s="782">
        <f t="shared" si="7"/>
        <v>0</v>
      </c>
      <c r="W15" s="782"/>
      <c r="X15" s="782"/>
      <c r="Y15" s="783"/>
      <c r="Z15" s="782"/>
      <c r="AA15" s="782"/>
      <c r="AB15" s="783"/>
      <c r="AC15" s="777">
        <f t="shared" si="8"/>
        <v>0</v>
      </c>
      <c r="AD15" s="790">
        <f t="shared" si="1"/>
        <v>0</v>
      </c>
      <c r="AE15" s="790">
        <f t="shared" si="0"/>
        <v>50950</v>
      </c>
      <c r="AF15" s="790">
        <f t="shared" si="2"/>
        <v>0</v>
      </c>
    </row>
    <row r="16" spans="1:32" ht="15" customHeight="1">
      <c r="A16" s="636" t="s">
        <v>1074</v>
      </c>
      <c r="B16" s="740" t="s">
        <v>1282</v>
      </c>
      <c r="C16" s="741" t="s">
        <v>1309</v>
      </c>
      <c r="D16" s="742" t="s">
        <v>1310</v>
      </c>
      <c r="E16" s="743" t="s">
        <v>1311</v>
      </c>
      <c r="F16" s="744" t="s">
        <v>1312</v>
      </c>
      <c r="G16" s="745">
        <v>622050.22</v>
      </c>
      <c r="H16" s="746">
        <v>79939.259999999995</v>
      </c>
      <c r="I16" s="745">
        <f t="shared" si="3"/>
        <v>542110.96</v>
      </c>
      <c r="J16" s="746">
        <v>48367.5</v>
      </c>
      <c r="K16" s="746">
        <v>0</v>
      </c>
      <c r="L16" s="778">
        <f t="shared" si="4"/>
        <v>128306.76</v>
      </c>
      <c r="M16" s="745">
        <f t="shared" si="5"/>
        <v>493743.45999999996</v>
      </c>
      <c r="N16" s="779">
        <f t="shared" si="6"/>
        <v>0.20626431094261169</v>
      </c>
      <c r="O16" s="780" t="s">
        <v>1313</v>
      </c>
      <c r="P16" s="781">
        <v>0</v>
      </c>
      <c r="Q16" s="781">
        <v>0</v>
      </c>
      <c r="R16" s="781">
        <v>1</v>
      </c>
      <c r="S16" s="782">
        <f t="shared" si="7"/>
        <v>0</v>
      </c>
      <c r="T16" s="782">
        <f t="shared" si="7"/>
        <v>0</v>
      </c>
      <c r="U16" s="782">
        <f t="shared" si="7"/>
        <v>79939.259999999995</v>
      </c>
      <c r="W16" s="782"/>
      <c r="X16" s="782"/>
      <c r="Y16" s="783"/>
      <c r="Z16" s="782"/>
      <c r="AA16" s="782"/>
      <c r="AB16" s="783"/>
      <c r="AC16" s="777">
        <f t="shared" si="8"/>
        <v>0</v>
      </c>
      <c r="AD16" s="790">
        <f t="shared" si="1"/>
        <v>0</v>
      </c>
      <c r="AE16" s="790">
        <f t="shared" si="0"/>
        <v>622050.22</v>
      </c>
      <c r="AF16" s="790">
        <f t="shared" si="2"/>
        <v>0</v>
      </c>
    </row>
    <row r="17" spans="1:32" ht="15" customHeight="1">
      <c r="A17" s="636" t="s">
        <v>1074</v>
      </c>
      <c r="B17" s="740" t="s">
        <v>1282</v>
      </c>
      <c r="C17" s="741" t="s">
        <v>1314</v>
      </c>
      <c r="D17" s="742" t="s">
        <v>1315</v>
      </c>
      <c r="E17" s="743" t="s">
        <v>1316</v>
      </c>
      <c r="F17" s="744" t="s">
        <v>1317</v>
      </c>
      <c r="G17" s="745">
        <v>100000</v>
      </c>
      <c r="H17" s="746">
        <v>51204.800000000003</v>
      </c>
      <c r="I17" s="745">
        <f t="shared" si="3"/>
        <v>48795.199999999997</v>
      </c>
      <c r="J17" s="746">
        <v>5357.1</v>
      </c>
      <c r="K17" s="746">
        <v>0</v>
      </c>
      <c r="L17" s="778">
        <f t="shared" si="4"/>
        <v>56561.9</v>
      </c>
      <c r="M17" s="745">
        <f t="shared" si="5"/>
        <v>43438.1</v>
      </c>
      <c r="N17" s="779">
        <f t="shared" si="6"/>
        <v>0.56561899999999998</v>
      </c>
      <c r="O17" s="780" t="s">
        <v>1318</v>
      </c>
      <c r="P17" s="781">
        <v>0</v>
      </c>
      <c r="Q17" s="781">
        <v>0</v>
      </c>
      <c r="R17" s="781">
        <v>1</v>
      </c>
      <c r="S17" s="782">
        <f t="shared" si="7"/>
        <v>0</v>
      </c>
      <c r="T17" s="782">
        <f t="shared" si="7"/>
        <v>0</v>
      </c>
      <c r="U17" s="782">
        <f t="shared" si="7"/>
        <v>51204.800000000003</v>
      </c>
      <c r="W17" s="782"/>
      <c r="X17" s="782"/>
      <c r="Y17" s="783"/>
      <c r="Z17" s="782"/>
      <c r="AA17" s="782"/>
      <c r="AB17" s="783"/>
      <c r="AC17" s="777">
        <f t="shared" si="8"/>
        <v>0</v>
      </c>
      <c r="AD17" s="790">
        <f t="shared" si="1"/>
        <v>0</v>
      </c>
      <c r="AE17" s="790">
        <f t="shared" si="0"/>
        <v>100000</v>
      </c>
      <c r="AF17" s="790">
        <f t="shared" si="2"/>
        <v>0</v>
      </c>
    </row>
    <row r="18" spans="1:32" ht="15" customHeight="1">
      <c r="A18" s="636" t="s">
        <v>1074</v>
      </c>
      <c r="B18" s="740" t="s">
        <v>1282</v>
      </c>
      <c r="C18" s="741" t="s">
        <v>1319</v>
      </c>
      <c r="D18" s="742" t="s">
        <v>1320</v>
      </c>
      <c r="E18" s="743" t="s">
        <v>1321</v>
      </c>
      <c r="F18" s="744" t="s">
        <v>1291</v>
      </c>
      <c r="G18" s="745">
        <v>28071.39</v>
      </c>
      <c r="H18" s="746">
        <v>5684.18</v>
      </c>
      <c r="I18" s="745">
        <f t="shared" si="3"/>
        <v>22387.21</v>
      </c>
      <c r="J18" s="746">
        <v>17400.599999999999</v>
      </c>
      <c r="K18" s="746">
        <v>0</v>
      </c>
      <c r="L18" s="778">
        <f t="shared" si="4"/>
        <v>23084.78</v>
      </c>
      <c r="M18" s="745">
        <f t="shared" si="5"/>
        <v>4986.6100000000006</v>
      </c>
      <c r="N18" s="779">
        <f t="shared" si="6"/>
        <v>0.82235970502351319</v>
      </c>
      <c r="O18" s="780" t="s">
        <v>1322</v>
      </c>
      <c r="P18" s="781">
        <v>0</v>
      </c>
      <c r="Q18" s="781">
        <v>0</v>
      </c>
      <c r="R18" s="781">
        <v>1</v>
      </c>
      <c r="S18" s="782">
        <f t="shared" si="7"/>
        <v>0</v>
      </c>
      <c r="T18" s="782">
        <f t="shared" si="7"/>
        <v>0</v>
      </c>
      <c r="U18" s="782">
        <f t="shared" si="7"/>
        <v>5684.18</v>
      </c>
      <c r="W18" s="782"/>
      <c r="X18" s="782"/>
      <c r="Y18" s="783"/>
      <c r="Z18" s="782"/>
      <c r="AA18" s="782"/>
      <c r="AB18" s="783"/>
      <c r="AC18" s="777">
        <f t="shared" si="8"/>
        <v>0</v>
      </c>
      <c r="AD18" s="790">
        <f t="shared" si="1"/>
        <v>0</v>
      </c>
      <c r="AE18" s="790">
        <f t="shared" si="0"/>
        <v>28071.39</v>
      </c>
      <c r="AF18" s="790">
        <f t="shared" si="2"/>
        <v>0</v>
      </c>
    </row>
    <row r="19" spans="1:32" ht="57" customHeight="1">
      <c r="A19" s="636" t="s">
        <v>1074</v>
      </c>
      <c r="B19" s="740" t="s">
        <v>1282</v>
      </c>
      <c r="C19" s="741" t="s">
        <v>1323</v>
      </c>
      <c r="D19" s="742" t="s">
        <v>1324</v>
      </c>
      <c r="E19" s="743" t="s">
        <v>1325</v>
      </c>
      <c r="F19" s="744" t="s">
        <v>1291</v>
      </c>
      <c r="G19" s="745">
        <v>1503046</v>
      </c>
      <c r="H19" s="746">
        <v>638437.92000000004</v>
      </c>
      <c r="I19" s="745">
        <f t="shared" si="3"/>
        <v>864608.08</v>
      </c>
      <c r="J19" s="746">
        <v>51487.41</v>
      </c>
      <c r="K19" s="746">
        <v>3336987.78</v>
      </c>
      <c r="L19" s="778">
        <f t="shared" si="4"/>
        <v>689925.33000000007</v>
      </c>
      <c r="M19" s="745">
        <f t="shared" si="5"/>
        <v>813120.66999999993</v>
      </c>
      <c r="N19" s="779">
        <f t="shared" si="6"/>
        <v>0.45901810723025116</v>
      </c>
      <c r="O19" s="780" t="s">
        <v>1326</v>
      </c>
      <c r="P19" s="781">
        <v>0</v>
      </c>
      <c r="Q19" s="781">
        <v>1</v>
      </c>
      <c r="R19" s="781">
        <v>0</v>
      </c>
      <c r="S19" s="782">
        <f t="shared" si="7"/>
        <v>0</v>
      </c>
      <c r="T19" s="782">
        <f t="shared" si="7"/>
        <v>638437.92000000004</v>
      </c>
      <c r="U19" s="782">
        <f t="shared" si="7"/>
        <v>0</v>
      </c>
      <c r="W19" s="782"/>
      <c r="X19" s="782"/>
      <c r="Y19" s="783"/>
      <c r="Z19" s="781">
        <v>0.44</v>
      </c>
      <c r="AA19" s="782"/>
      <c r="AB19" s="783" t="s">
        <v>1327</v>
      </c>
      <c r="AC19" s="777">
        <f t="shared" si="8"/>
        <v>0</v>
      </c>
      <c r="AD19" s="790">
        <f t="shared" si="1"/>
        <v>0</v>
      </c>
      <c r="AE19" s="790">
        <f t="shared" si="0"/>
        <v>0</v>
      </c>
      <c r="AF19" s="790">
        <f t="shared" si="2"/>
        <v>1503046</v>
      </c>
    </row>
    <row r="20" spans="1:32" ht="15" customHeight="1">
      <c r="A20" s="636" t="s">
        <v>1074</v>
      </c>
      <c r="B20" s="740" t="s">
        <v>1282</v>
      </c>
      <c r="C20" s="741"/>
      <c r="D20" s="742" t="s">
        <v>1328</v>
      </c>
      <c r="E20" s="743" t="s">
        <v>1329</v>
      </c>
      <c r="F20" s="744" t="s">
        <v>1286</v>
      </c>
      <c r="G20" s="745">
        <v>23801.4</v>
      </c>
      <c r="H20" s="746">
        <v>23255.19</v>
      </c>
      <c r="I20" s="745">
        <f t="shared" si="3"/>
        <v>546.21000000000276</v>
      </c>
      <c r="J20" s="746">
        <v>2790</v>
      </c>
      <c r="K20" s="746">
        <v>0</v>
      </c>
      <c r="L20" s="778">
        <f t="shared" si="4"/>
        <v>26045.19</v>
      </c>
      <c r="M20" s="745">
        <f t="shared" si="5"/>
        <v>-2243.7899999999972</v>
      </c>
      <c r="N20" s="779">
        <f t="shared" si="6"/>
        <v>1.0942713453830446</v>
      </c>
      <c r="O20" s="780" t="s">
        <v>1330</v>
      </c>
      <c r="P20" s="781">
        <v>1</v>
      </c>
      <c r="Q20" s="781">
        <v>0</v>
      </c>
      <c r="R20" s="781">
        <v>0</v>
      </c>
      <c r="S20" s="782">
        <f t="shared" si="7"/>
        <v>23255.19</v>
      </c>
      <c r="T20" s="782">
        <f t="shared" si="7"/>
        <v>0</v>
      </c>
      <c r="U20" s="782">
        <f t="shared" si="7"/>
        <v>0</v>
      </c>
      <c r="W20" s="782"/>
      <c r="X20" s="782"/>
      <c r="Y20" s="783"/>
      <c r="Z20" s="782"/>
      <c r="AA20" s="782"/>
      <c r="AB20" s="783"/>
      <c r="AC20" s="777">
        <f t="shared" si="8"/>
        <v>0</v>
      </c>
      <c r="AD20" s="790">
        <f t="shared" si="1"/>
        <v>23801.4</v>
      </c>
      <c r="AE20" s="790">
        <f t="shared" si="0"/>
        <v>0</v>
      </c>
      <c r="AF20" s="790">
        <f t="shared" si="2"/>
        <v>0</v>
      </c>
    </row>
    <row r="21" spans="1:32" ht="15" customHeight="1">
      <c r="A21" s="636" t="s">
        <v>1074</v>
      </c>
      <c r="B21" s="740" t="s">
        <v>1282</v>
      </c>
      <c r="C21" s="741" t="s">
        <v>1331</v>
      </c>
      <c r="D21" s="742" t="s">
        <v>1332</v>
      </c>
      <c r="E21" s="743" t="s">
        <v>1333</v>
      </c>
      <c r="F21" s="744" t="s">
        <v>1334</v>
      </c>
      <c r="G21" s="745">
        <v>202095.79</v>
      </c>
      <c r="H21" s="746">
        <v>0</v>
      </c>
      <c r="I21" s="745">
        <f t="shared" si="3"/>
        <v>202095.79</v>
      </c>
      <c r="J21" s="746">
        <v>0</v>
      </c>
      <c r="K21" s="746">
        <v>0</v>
      </c>
      <c r="L21" s="778">
        <f t="shared" si="4"/>
        <v>0</v>
      </c>
      <c r="M21" s="745">
        <f t="shared" si="5"/>
        <v>202095.79</v>
      </c>
      <c r="N21" s="779">
        <f t="shared" si="6"/>
        <v>0</v>
      </c>
      <c r="O21" s="780" t="s">
        <v>1335</v>
      </c>
      <c r="P21" s="781">
        <v>0.2</v>
      </c>
      <c r="Q21" s="781">
        <v>0</v>
      </c>
      <c r="R21" s="781">
        <v>0.8</v>
      </c>
      <c r="S21" s="782">
        <f t="shared" si="7"/>
        <v>0</v>
      </c>
      <c r="T21" s="782">
        <f t="shared" si="7"/>
        <v>0</v>
      </c>
      <c r="U21" s="782">
        <f t="shared" si="7"/>
        <v>0</v>
      </c>
      <c r="W21" s="782"/>
      <c r="X21" s="782"/>
      <c r="Y21" s="783"/>
      <c r="Z21" s="782"/>
      <c r="AA21" s="782"/>
      <c r="AB21" s="783"/>
      <c r="AC21" s="777">
        <f t="shared" si="8"/>
        <v>0</v>
      </c>
      <c r="AD21" s="790">
        <f t="shared" si="1"/>
        <v>40419.158000000003</v>
      </c>
      <c r="AE21" s="790">
        <f t="shared" si="0"/>
        <v>161676.63200000001</v>
      </c>
      <c r="AF21" s="790">
        <f t="shared" si="2"/>
        <v>0</v>
      </c>
    </row>
    <row r="22" spans="1:32" ht="15" customHeight="1">
      <c r="A22" s="636" t="s">
        <v>1074</v>
      </c>
      <c r="B22" s="740" t="s">
        <v>1282</v>
      </c>
      <c r="C22" s="741" t="s">
        <v>1336</v>
      </c>
      <c r="D22" s="742" t="s">
        <v>1337</v>
      </c>
      <c r="E22" s="743" t="s">
        <v>1338</v>
      </c>
      <c r="F22" s="744" t="s">
        <v>1286</v>
      </c>
      <c r="G22" s="745">
        <v>31636</v>
      </c>
      <c r="H22" s="746">
        <v>31377.23</v>
      </c>
      <c r="I22" s="745">
        <f t="shared" si="3"/>
        <v>258.77000000000044</v>
      </c>
      <c r="J22" s="746">
        <v>180</v>
      </c>
      <c r="K22" s="746">
        <v>0</v>
      </c>
      <c r="L22" s="778">
        <f t="shared" si="4"/>
        <v>31557.23</v>
      </c>
      <c r="M22" s="745">
        <f t="shared" si="5"/>
        <v>78.770000000000437</v>
      </c>
      <c r="N22" s="779">
        <f t="shared" si="6"/>
        <v>0.99751011505879372</v>
      </c>
      <c r="O22" s="780" t="s">
        <v>1287</v>
      </c>
      <c r="P22" s="781">
        <v>0</v>
      </c>
      <c r="Q22" s="781">
        <v>0.8</v>
      </c>
      <c r="R22" s="781">
        <v>0.2</v>
      </c>
      <c r="S22" s="782">
        <f t="shared" si="7"/>
        <v>0</v>
      </c>
      <c r="T22" s="782">
        <f t="shared" si="7"/>
        <v>25101.784</v>
      </c>
      <c r="U22" s="782">
        <f t="shared" si="7"/>
        <v>6275.4459999999999</v>
      </c>
      <c r="W22" s="782"/>
      <c r="X22" s="782"/>
      <c r="Y22" s="783"/>
      <c r="Z22" s="782"/>
      <c r="AA22" s="782"/>
      <c r="AB22" s="783"/>
      <c r="AC22" s="777">
        <f t="shared" si="8"/>
        <v>0</v>
      </c>
      <c r="AD22" s="790">
        <f t="shared" si="1"/>
        <v>0</v>
      </c>
      <c r="AE22" s="790">
        <f t="shared" si="0"/>
        <v>6327.2000000000007</v>
      </c>
      <c r="AF22" s="790">
        <f t="shared" si="2"/>
        <v>25308.800000000003</v>
      </c>
    </row>
    <row r="23" spans="1:32" ht="15" customHeight="1">
      <c r="A23" s="636" t="s">
        <v>1074</v>
      </c>
      <c r="B23" s="740" t="s">
        <v>1282</v>
      </c>
      <c r="C23" s="741" t="s">
        <v>1339</v>
      </c>
      <c r="D23" s="742" t="s">
        <v>1340</v>
      </c>
      <c r="E23" s="743" t="s">
        <v>1341</v>
      </c>
      <c r="F23" s="744" t="s">
        <v>1312</v>
      </c>
      <c r="G23" s="745">
        <v>540000</v>
      </c>
      <c r="H23" s="746">
        <v>272829.7</v>
      </c>
      <c r="I23" s="745">
        <f t="shared" si="3"/>
        <v>267170.3</v>
      </c>
      <c r="J23" s="746">
        <v>224085.30000000002</v>
      </c>
      <c r="K23" s="746">
        <v>0</v>
      </c>
      <c r="L23" s="778">
        <f t="shared" si="4"/>
        <v>496915</v>
      </c>
      <c r="M23" s="745">
        <f t="shared" si="5"/>
        <v>43085</v>
      </c>
      <c r="N23" s="779">
        <f t="shared" si="6"/>
        <v>0.92021296296296295</v>
      </c>
      <c r="O23" s="780" t="s">
        <v>1342</v>
      </c>
      <c r="P23" s="781">
        <v>0.15</v>
      </c>
      <c r="Q23" s="781">
        <v>0.5</v>
      </c>
      <c r="R23" s="781">
        <v>0.35</v>
      </c>
      <c r="S23" s="782">
        <f t="shared" si="7"/>
        <v>40924.455000000002</v>
      </c>
      <c r="T23" s="782">
        <f t="shared" si="7"/>
        <v>136414.85</v>
      </c>
      <c r="U23" s="782">
        <f t="shared" si="7"/>
        <v>95490.395000000004</v>
      </c>
      <c r="W23" s="782"/>
      <c r="X23" s="782"/>
      <c r="Y23" s="783"/>
      <c r="Z23" s="782"/>
      <c r="AA23" s="782"/>
      <c r="AB23" s="783"/>
      <c r="AC23" s="777">
        <f t="shared" si="8"/>
        <v>0</v>
      </c>
      <c r="AD23" s="790">
        <f t="shared" si="1"/>
        <v>81000</v>
      </c>
      <c r="AE23" s="790">
        <f t="shared" si="0"/>
        <v>189000</v>
      </c>
      <c r="AF23" s="790">
        <f t="shared" si="2"/>
        <v>270000</v>
      </c>
    </row>
    <row r="24" spans="1:32" ht="15" customHeight="1">
      <c r="A24" s="636" t="s">
        <v>1074</v>
      </c>
      <c r="B24" s="740" t="s">
        <v>1282</v>
      </c>
      <c r="C24" s="741" t="s">
        <v>1343</v>
      </c>
      <c r="D24" s="742" t="s">
        <v>1344</v>
      </c>
      <c r="E24" s="743" t="s">
        <v>1345</v>
      </c>
      <c r="F24" s="744" t="s">
        <v>1291</v>
      </c>
      <c r="G24" s="745">
        <v>86719</v>
      </c>
      <c r="H24" s="746">
        <v>198.51</v>
      </c>
      <c r="I24" s="745">
        <f t="shared" si="3"/>
        <v>86520.49</v>
      </c>
      <c r="J24" s="746">
        <v>53443</v>
      </c>
      <c r="K24" s="746">
        <v>0</v>
      </c>
      <c r="L24" s="778">
        <f t="shared" si="4"/>
        <v>53641.51</v>
      </c>
      <c r="M24" s="745">
        <f t="shared" si="5"/>
        <v>33077.49</v>
      </c>
      <c r="N24" s="779">
        <f t="shared" si="6"/>
        <v>0.61856698070780336</v>
      </c>
      <c r="O24" s="780" t="s">
        <v>1346</v>
      </c>
      <c r="P24" s="781">
        <v>0</v>
      </c>
      <c r="Q24" s="781">
        <v>0.8</v>
      </c>
      <c r="R24" s="781">
        <v>0.2</v>
      </c>
      <c r="S24" s="782">
        <f t="shared" si="7"/>
        <v>0</v>
      </c>
      <c r="T24" s="782">
        <f t="shared" si="7"/>
        <v>158.80799999999999</v>
      </c>
      <c r="U24" s="782">
        <f t="shared" si="7"/>
        <v>39.701999999999998</v>
      </c>
      <c r="W24" s="782"/>
      <c r="X24" s="782"/>
      <c r="Y24" s="783"/>
      <c r="Z24" s="782"/>
      <c r="AA24" s="782"/>
      <c r="AB24" s="783"/>
      <c r="AC24" s="777">
        <f t="shared" si="8"/>
        <v>0</v>
      </c>
      <c r="AD24" s="790">
        <f t="shared" si="1"/>
        <v>0</v>
      </c>
      <c r="AE24" s="790">
        <f t="shared" si="0"/>
        <v>17343.8</v>
      </c>
      <c r="AF24" s="790">
        <f t="shared" si="2"/>
        <v>69375.199999999997</v>
      </c>
    </row>
    <row r="25" spans="1:32" ht="15" customHeight="1">
      <c r="A25" s="636" t="s">
        <v>1074</v>
      </c>
      <c r="B25" s="740" t="s">
        <v>1282</v>
      </c>
      <c r="C25" s="741" t="s">
        <v>1347</v>
      </c>
      <c r="D25" s="742" t="s">
        <v>1348</v>
      </c>
      <c r="E25" s="743" t="s">
        <v>1349</v>
      </c>
      <c r="F25" s="744" t="s">
        <v>1291</v>
      </c>
      <c r="G25" s="745">
        <v>32386.38</v>
      </c>
      <c r="H25" s="746">
        <v>198.51</v>
      </c>
      <c r="I25" s="745">
        <f t="shared" si="3"/>
        <v>32187.870000000003</v>
      </c>
      <c r="J25" s="746">
        <v>17803</v>
      </c>
      <c r="K25" s="746">
        <v>0</v>
      </c>
      <c r="L25" s="778">
        <f t="shared" si="4"/>
        <v>18001.509999999998</v>
      </c>
      <c r="M25" s="745">
        <f t="shared" si="5"/>
        <v>14384.870000000003</v>
      </c>
      <c r="N25" s="779">
        <f t="shared" si="6"/>
        <v>0.55583581740225363</v>
      </c>
      <c r="O25" s="780" t="s">
        <v>1350</v>
      </c>
      <c r="P25" s="781">
        <v>0</v>
      </c>
      <c r="Q25" s="781">
        <v>1</v>
      </c>
      <c r="R25" s="781">
        <v>0</v>
      </c>
      <c r="S25" s="782">
        <f t="shared" si="7"/>
        <v>0</v>
      </c>
      <c r="T25" s="782">
        <f t="shared" si="7"/>
        <v>198.51</v>
      </c>
      <c r="U25" s="782">
        <f t="shared" si="7"/>
        <v>0</v>
      </c>
      <c r="W25" s="782"/>
      <c r="X25" s="782"/>
      <c r="Y25" s="783"/>
      <c r="Z25" s="782"/>
      <c r="AA25" s="782"/>
      <c r="AB25" s="783"/>
      <c r="AC25" s="777">
        <f t="shared" si="8"/>
        <v>0</v>
      </c>
      <c r="AD25" s="790">
        <f t="shared" si="1"/>
        <v>0</v>
      </c>
      <c r="AE25" s="790">
        <f t="shared" si="0"/>
        <v>0</v>
      </c>
      <c r="AF25" s="790">
        <f t="shared" si="2"/>
        <v>32386.38</v>
      </c>
    </row>
    <row r="26" spans="1:32" ht="15" customHeight="1">
      <c r="A26" s="636" t="s">
        <v>1074</v>
      </c>
      <c r="B26" s="740" t="s">
        <v>1282</v>
      </c>
      <c r="C26" s="741" t="s">
        <v>1351</v>
      </c>
      <c r="D26" s="742" t="s">
        <v>1352</v>
      </c>
      <c r="E26" s="743" t="s">
        <v>1353</v>
      </c>
      <c r="F26" s="744" t="s">
        <v>1291</v>
      </c>
      <c r="G26" s="745">
        <v>2600001</v>
      </c>
      <c r="H26" s="746">
        <v>1590243.63</v>
      </c>
      <c r="I26" s="745">
        <f t="shared" si="3"/>
        <v>1009757.3700000001</v>
      </c>
      <c r="J26" s="746">
        <v>7060.41</v>
      </c>
      <c r="K26" s="746">
        <v>668995.15</v>
      </c>
      <c r="L26" s="778">
        <f t="shared" si="4"/>
        <v>1597304.0399999998</v>
      </c>
      <c r="M26" s="745">
        <f t="shared" si="5"/>
        <v>1002696.9600000002</v>
      </c>
      <c r="N26" s="779">
        <f t="shared" si="6"/>
        <v>0.6143474714048186</v>
      </c>
      <c r="O26" s="780" t="s">
        <v>1354</v>
      </c>
      <c r="P26" s="781">
        <v>0.27500000000000002</v>
      </c>
      <c r="Q26" s="781">
        <v>0.2072</v>
      </c>
      <c r="R26" s="781">
        <v>0.51780000000000004</v>
      </c>
      <c r="S26" s="782">
        <f t="shared" ref="S26:U36" si="9">$H26*P26</f>
        <v>437316.99825</v>
      </c>
      <c r="T26" s="782">
        <f t="shared" si="9"/>
        <v>329498.48013599997</v>
      </c>
      <c r="U26" s="782">
        <f t="shared" si="9"/>
        <v>823428.15161399997</v>
      </c>
      <c r="W26" s="782"/>
      <c r="X26" s="782"/>
      <c r="Y26" s="783"/>
      <c r="Z26" s="782"/>
      <c r="AA26" s="782"/>
      <c r="AB26" s="783"/>
      <c r="AC26" s="777">
        <f t="shared" si="8"/>
        <v>0</v>
      </c>
      <c r="AD26" s="790">
        <f t="shared" si="1"/>
        <v>715000.27500000002</v>
      </c>
      <c r="AE26" s="790">
        <f t="shared" si="0"/>
        <v>1346280.5178</v>
      </c>
      <c r="AF26" s="790">
        <f t="shared" si="2"/>
        <v>538720.20719999995</v>
      </c>
    </row>
    <row r="27" spans="1:32" ht="15" customHeight="1">
      <c r="A27" s="636" t="s">
        <v>1074</v>
      </c>
      <c r="B27" s="740" t="s">
        <v>1282</v>
      </c>
      <c r="C27" s="741" t="s">
        <v>1355</v>
      </c>
      <c r="D27" s="742" t="s">
        <v>1356</v>
      </c>
      <c r="E27" s="743" t="s">
        <v>1357</v>
      </c>
      <c r="F27" s="744" t="s">
        <v>1286</v>
      </c>
      <c r="G27" s="745">
        <v>39874.980000000003</v>
      </c>
      <c r="H27" s="746">
        <v>6150</v>
      </c>
      <c r="I27" s="745">
        <f t="shared" si="3"/>
        <v>33724.980000000003</v>
      </c>
      <c r="J27" s="746">
        <v>0</v>
      </c>
      <c r="K27" s="746">
        <v>0</v>
      </c>
      <c r="L27" s="778">
        <f t="shared" si="4"/>
        <v>6150</v>
      </c>
      <c r="M27" s="745">
        <f t="shared" si="5"/>
        <v>33724.980000000003</v>
      </c>
      <c r="N27" s="779">
        <f t="shared" si="6"/>
        <v>0.15423205227939926</v>
      </c>
      <c r="O27" s="780" t="s">
        <v>1358</v>
      </c>
      <c r="P27" s="781">
        <v>0</v>
      </c>
      <c r="Q27" s="781">
        <v>0.8</v>
      </c>
      <c r="R27" s="781">
        <v>0.2</v>
      </c>
      <c r="S27" s="782">
        <f t="shared" si="9"/>
        <v>0</v>
      </c>
      <c r="T27" s="782">
        <f t="shared" si="9"/>
        <v>4920</v>
      </c>
      <c r="U27" s="782">
        <f t="shared" si="9"/>
        <v>1230</v>
      </c>
      <c r="W27" s="782"/>
      <c r="X27" s="782"/>
      <c r="Y27" s="783"/>
      <c r="Z27" s="782"/>
      <c r="AA27" s="782"/>
      <c r="AB27" s="783"/>
      <c r="AC27" s="777">
        <f t="shared" si="8"/>
        <v>0</v>
      </c>
      <c r="AD27" s="790">
        <f t="shared" si="1"/>
        <v>0</v>
      </c>
      <c r="AE27" s="790">
        <f t="shared" si="0"/>
        <v>7974.996000000001</v>
      </c>
      <c r="AF27" s="790">
        <f t="shared" si="2"/>
        <v>31899.984000000004</v>
      </c>
    </row>
    <row r="28" spans="1:32" ht="15" customHeight="1">
      <c r="A28" s="636" t="s">
        <v>1074</v>
      </c>
      <c r="B28" s="740" t="s">
        <v>1282</v>
      </c>
      <c r="C28" s="741"/>
      <c r="D28" s="742" t="s">
        <v>1359</v>
      </c>
      <c r="E28" s="743" t="s">
        <v>1360</v>
      </c>
      <c r="F28" s="744" t="s">
        <v>1291</v>
      </c>
      <c r="G28" s="745">
        <v>66750</v>
      </c>
      <c r="H28" s="746">
        <v>44964.94</v>
      </c>
      <c r="I28" s="745">
        <f t="shared" si="3"/>
        <v>21785.059999999998</v>
      </c>
      <c r="J28" s="746">
        <v>21995.73</v>
      </c>
      <c r="K28" s="746">
        <v>0</v>
      </c>
      <c r="L28" s="778">
        <f t="shared" si="4"/>
        <v>66960.67</v>
      </c>
      <c r="M28" s="745">
        <f t="shared" si="5"/>
        <v>-210.66999999999825</v>
      </c>
      <c r="N28" s="779">
        <f t="shared" si="6"/>
        <v>1.0031561048689139</v>
      </c>
      <c r="O28" s="780" t="s">
        <v>1361</v>
      </c>
      <c r="P28" s="781">
        <v>0</v>
      </c>
      <c r="Q28" s="781">
        <v>1</v>
      </c>
      <c r="R28" s="781">
        <v>0</v>
      </c>
      <c r="S28" s="782">
        <f t="shared" si="9"/>
        <v>0</v>
      </c>
      <c r="T28" s="782">
        <f t="shared" si="9"/>
        <v>44964.94</v>
      </c>
      <c r="U28" s="782">
        <f t="shared" si="9"/>
        <v>0</v>
      </c>
      <c r="W28" s="782"/>
      <c r="X28" s="782"/>
      <c r="Y28" s="783"/>
      <c r="Z28" s="782"/>
      <c r="AA28" s="782"/>
      <c r="AB28" s="783"/>
      <c r="AC28" s="777">
        <f t="shared" si="8"/>
        <v>0</v>
      </c>
      <c r="AD28" s="790">
        <f t="shared" si="1"/>
        <v>0</v>
      </c>
      <c r="AE28" s="790">
        <f t="shared" si="0"/>
        <v>0</v>
      </c>
      <c r="AF28" s="790">
        <f t="shared" si="2"/>
        <v>66750</v>
      </c>
    </row>
    <row r="29" spans="1:32" ht="15" customHeight="1">
      <c r="A29" s="636" t="s">
        <v>1074</v>
      </c>
      <c r="B29" s="740" t="s">
        <v>1282</v>
      </c>
      <c r="C29" s="741"/>
      <c r="D29" s="742" t="s">
        <v>1362</v>
      </c>
      <c r="E29" s="743" t="s">
        <v>1363</v>
      </c>
      <c r="F29" s="744" t="s">
        <v>1291</v>
      </c>
      <c r="G29" s="745">
        <v>415000</v>
      </c>
      <c r="H29" s="746">
        <v>386646.35</v>
      </c>
      <c r="I29" s="745">
        <f t="shared" si="3"/>
        <v>28353.650000000023</v>
      </c>
      <c r="J29" s="746">
        <v>14879.6</v>
      </c>
      <c r="K29" s="746">
        <v>0</v>
      </c>
      <c r="L29" s="778">
        <f t="shared" si="4"/>
        <v>401525.94999999995</v>
      </c>
      <c r="M29" s="745">
        <f t="shared" si="5"/>
        <v>13474.050000000047</v>
      </c>
      <c r="N29" s="779">
        <f t="shared" si="6"/>
        <v>0.96753240963855414</v>
      </c>
      <c r="O29" s="780" t="s">
        <v>1364</v>
      </c>
      <c r="P29" s="781">
        <v>1</v>
      </c>
      <c r="Q29" s="781">
        <v>0</v>
      </c>
      <c r="R29" s="781">
        <v>0</v>
      </c>
      <c r="S29" s="782">
        <f t="shared" si="9"/>
        <v>386646.35</v>
      </c>
      <c r="T29" s="782">
        <f t="shared" si="9"/>
        <v>0</v>
      </c>
      <c r="U29" s="782">
        <f t="shared" si="9"/>
        <v>0</v>
      </c>
      <c r="W29" s="782"/>
      <c r="X29" s="782"/>
      <c r="Y29" s="783"/>
      <c r="Z29" s="782"/>
      <c r="AA29" s="782"/>
      <c r="AB29" s="783"/>
      <c r="AC29" s="777">
        <f t="shared" si="8"/>
        <v>0</v>
      </c>
      <c r="AD29" s="790">
        <f t="shared" si="1"/>
        <v>415000</v>
      </c>
      <c r="AE29" s="790">
        <f t="shared" si="0"/>
        <v>0</v>
      </c>
      <c r="AF29" s="790">
        <f t="shared" si="2"/>
        <v>0</v>
      </c>
    </row>
    <row r="30" spans="1:32" ht="15" customHeight="1">
      <c r="A30" s="636" t="s">
        <v>1074</v>
      </c>
      <c r="B30" s="740" t="s">
        <v>1282</v>
      </c>
      <c r="C30" s="741" t="s">
        <v>1365</v>
      </c>
      <c r="D30" s="742" t="s">
        <v>1366</v>
      </c>
      <c r="E30" s="743" t="s">
        <v>1367</v>
      </c>
      <c r="F30" s="744" t="s">
        <v>1368</v>
      </c>
      <c r="G30" s="745">
        <v>13992</v>
      </c>
      <c r="H30" s="746">
        <v>13992.96</v>
      </c>
      <c r="I30" s="745">
        <f t="shared" si="3"/>
        <v>-0.95999999999912689</v>
      </c>
      <c r="J30" s="746">
        <v>0</v>
      </c>
      <c r="K30" s="746">
        <v>0</v>
      </c>
      <c r="L30" s="778">
        <f t="shared" si="4"/>
        <v>13992.96</v>
      </c>
      <c r="M30" s="745">
        <f t="shared" si="5"/>
        <v>-0.95999999999912689</v>
      </c>
      <c r="N30" s="779">
        <f t="shared" si="6"/>
        <v>1.0000686106346484</v>
      </c>
      <c r="O30" s="780" t="s">
        <v>1369</v>
      </c>
      <c r="P30" s="781">
        <v>0</v>
      </c>
      <c r="Q30" s="781">
        <v>0.5</v>
      </c>
      <c r="R30" s="781">
        <v>0.5</v>
      </c>
      <c r="S30" s="782">
        <f t="shared" si="9"/>
        <v>0</v>
      </c>
      <c r="T30" s="782">
        <f t="shared" si="9"/>
        <v>6996.48</v>
      </c>
      <c r="U30" s="782">
        <f t="shared" si="9"/>
        <v>6996.48</v>
      </c>
      <c r="W30" s="782"/>
      <c r="X30" s="782"/>
      <c r="Y30" s="783"/>
      <c r="Z30" s="782"/>
      <c r="AA30" s="782"/>
      <c r="AB30" s="783"/>
      <c r="AC30" s="777">
        <f t="shared" si="8"/>
        <v>0</v>
      </c>
      <c r="AD30" s="790">
        <f t="shared" si="1"/>
        <v>0</v>
      </c>
      <c r="AE30" s="790">
        <f t="shared" si="0"/>
        <v>6996</v>
      </c>
      <c r="AF30" s="790">
        <f t="shared" si="2"/>
        <v>6996</v>
      </c>
    </row>
    <row r="31" spans="1:32" ht="15" customHeight="1">
      <c r="A31" s="636" t="s">
        <v>1074</v>
      </c>
      <c r="B31" s="740" t="s">
        <v>1282</v>
      </c>
      <c r="C31" s="741" t="s">
        <v>1370</v>
      </c>
      <c r="D31" s="742" t="s">
        <v>1371</v>
      </c>
      <c r="E31" s="743" t="s">
        <v>1372</v>
      </c>
      <c r="F31" s="744" t="s">
        <v>1317</v>
      </c>
      <c r="G31" s="745">
        <v>199998</v>
      </c>
      <c r="H31" s="746">
        <v>90988.63</v>
      </c>
      <c r="I31" s="745">
        <f t="shared" si="3"/>
        <v>109009.37</v>
      </c>
      <c r="J31" s="746">
        <v>78163.820000000007</v>
      </c>
      <c r="K31" s="746">
        <v>0</v>
      </c>
      <c r="L31" s="778">
        <f t="shared" si="4"/>
        <v>169152.45</v>
      </c>
      <c r="M31" s="745">
        <f t="shared" si="5"/>
        <v>30845.549999999988</v>
      </c>
      <c r="N31" s="779">
        <f t="shared" si="6"/>
        <v>0.84577070770707707</v>
      </c>
      <c r="O31" s="780" t="s">
        <v>1373</v>
      </c>
      <c r="P31" s="781">
        <v>1</v>
      </c>
      <c r="Q31" s="781">
        <v>0</v>
      </c>
      <c r="R31" s="781">
        <v>0</v>
      </c>
      <c r="S31" s="782">
        <f t="shared" si="9"/>
        <v>90988.63</v>
      </c>
      <c r="T31" s="782">
        <f t="shared" si="9"/>
        <v>0</v>
      </c>
      <c r="U31" s="782">
        <f t="shared" si="9"/>
        <v>0</v>
      </c>
      <c r="W31" s="782"/>
      <c r="X31" s="782"/>
      <c r="Y31" s="783"/>
      <c r="Z31" s="782"/>
      <c r="AA31" s="782"/>
      <c r="AB31" s="783"/>
      <c r="AC31" s="777">
        <f t="shared" si="8"/>
        <v>0</v>
      </c>
      <c r="AD31" s="790">
        <f t="shared" si="1"/>
        <v>199998</v>
      </c>
      <c r="AE31" s="790">
        <f t="shared" si="0"/>
        <v>0</v>
      </c>
      <c r="AF31" s="790">
        <f t="shared" si="2"/>
        <v>0</v>
      </c>
    </row>
    <row r="32" spans="1:32" ht="15" customHeight="1">
      <c r="A32" s="636" t="s">
        <v>1074</v>
      </c>
      <c r="B32" s="740" t="s">
        <v>1282</v>
      </c>
      <c r="C32" s="741"/>
      <c r="D32" s="742" t="s">
        <v>1374</v>
      </c>
      <c r="E32" s="743" t="s">
        <v>1375</v>
      </c>
      <c r="F32" s="744" t="s">
        <v>1286</v>
      </c>
      <c r="G32" s="745">
        <v>8380</v>
      </c>
      <c r="H32" s="746">
        <v>7730</v>
      </c>
      <c r="I32" s="745">
        <f t="shared" si="3"/>
        <v>650</v>
      </c>
      <c r="J32" s="746">
        <v>0</v>
      </c>
      <c r="K32" s="746">
        <v>0</v>
      </c>
      <c r="L32" s="778">
        <f t="shared" si="4"/>
        <v>7730</v>
      </c>
      <c r="M32" s="745">
        <f t="shared" si="5"/>
        <v>650</v>
      </c>
      <c r="N32" s="779">
        <f t="shared" si="6"/>
        <v>0.92243436754176611</v>
      </c>
      <c r="O32" s="780" t="s">
        <v>1376</v>
      </c>
      <c r="P32" s="781">
        <v>0</v>
      </c>
      <c r="Q32" s="781">
        <v>0</v>
      </c>
      <c r="R32" s="781">
        <v>1</v>
      </c>
      <c r="S32" s="782">
        <f t="shared" si="9"/>
        <v>0</v>
      </c>
      <c r="T32" s="782">
        <f t="shared" si="9"/>
        <v>0</v>
      </c>
      <c r="U32" s="782">
        <f t="shared" si="9"/>
        <v>7730</v>
      </c>
      <c r="W32" s="782"/>
      <c r="X32" s="782"/>
      <c r="Y32" s="783"/>
      <c r="Z32" s="782"/>
      <c r="AA32" s="782"/>
      <c r="AB32" s="783"/>
      <c r="AC32" s="777">
        <f t="shared" si="8"/>
        <v>0</v>
      </c>
      <c r="AD32" s="790">
        <f t="shared" si="1"/>
        <v>0</v>
      </c>
      <c r="AE32" s="790">
        <f t="shared" si="0"/>
        <v>8380</v>
      </c>
      <c r="AF32" s="790">
        <f t="shared" si="2"/>
        <v>0</v>
      </c>
    </row>
    <row r="33" spans="1:32" ht="15" customHeight="1">
      <c r="A33" s="636" t="s">
        <v>1074</v>
      </c>
      <c r="B33" s="740" t="s">
        <v>1282</v>
      </c>
      <c r="C33" s="741"/>
      <c r="D33" s="742" t="s">
        <v>1377</v>
      </c>
      <c r="E33" s="743" t="s">
        <v>1378</v>
      </c>
      <c r="F33" s="744" t="s">
        <v>1291</v>
      </c>
      <c r="G33" s="745">
        <v>1192631</v>
      </c>
      <c r="H33" s="746">
        <v>903151.35</v>
      </c>
      <c r="I33" s="745">
        <f t="shared" si="3"/>
        <v>289479.65000000002</v>
      </c>
      <c r="J33" s="746">
        <v>0</v>
      </c>
      <c r="K33" s="746">
        <v>0</v>
      </c>
      <c r="L33" s="778">
        <f t="shared" si="4"/>
        <v>903151.35</v>
      </c>
      <c r="M33" s="745">
        <f t="shared" si="5"/>
        <v>289479.65000000002</v>
      </c>
      <c r="N33" s="779">
        <f t="shared" si="6"/>
        <v>0.75727643336455286</v>
      </c>
      <c r="O33" s="780" t="s">
        <v>1379</v>
      </c>
      <c r="P33" s="781">
        <v>0</v>
      </c>
      <c r="Q33" s="781">
        <v>1</v>
      </c>
      <c r="R33" s="781">
        <v>0</v>
      </c>
      <c r="S33" s="782">
        <f t="shared" si="9"/>
        <v>0</v>
      </c>
      <c r="T33" s="782">
        <f t="shared" si="9"/>
        <v>903151.35</v>
      </c>
      <c r="U33" s="782">
        <f t="shared" si="9"/>
        <v>0</v>
      </c>
      <c r="W33" s="782"/>
      <c r="X33" s="782"/>
      <c r="Y33" s="783"/>
      <c r="Z33" s="781">
        <v>1</v>
      </c>
      <c r="AA33" s="782"/>
      <c r="AB33" s="783" t="s">
        <v>1380</v>
      </c>
      <c r="AC33" s="777">
        <f t="shared" si="8"/>
        <v>0</v>
      </c>
      <c r="AD33" s="790">
        <f t="shared" si="1"/>
        <v>0</v>
      </c>
      <c r="AE33" s="790">
        <f t="shared" si="0"/>
        <v>0</v>
      </c>
      <c r="AF33" s="790">
        <f t="shared" si="2"/>
        <v>1192631</v>
      </c>
    </row>
    <row r="34" spans="1:32" ht="15" customHeight="1">
      <c r="A34" s="636" t="s">
        <v>1074</v>
      </c>
      <c r="B34" s="740" t="s">
        <v>1282</v>
      </c>
      <c r="C34" s="741"/>
      <c r="D34" s="742" t="s">
        <v>1381</v>
      </c>
      <c r="E34" s="743" t="s">
        <v>1382</v>
      </c>
      <c r="F34" s="744" t="s">
        <v>1291</v>
      </c>
      <c r="G34" s="745">
        <v>400000</v>
      </c>
      <c r="H34" s="746">
        <v>33449.81</v>
      </c>
      <c r="I34" s="745">
        <f t="shared" si="3"/>
        <v>366550.19</v>
      </c>
      <c r="J34" s="746">
        <v>53685.8</v>
      </c>
      <c r="K34" s="746">
        <v>0</v>
      </c>
      <c r="L34" s="778">
        <f t="shared" si="4"/>
        <v>87135.61</v>
      </c>
      <c r="M34" s="745">
        <f t="shared" si="5"/>
        <v>312864.39</v>
      </c>
      <c r="N34" s="779">
        <f t="shared" si="6"/>
        <v>0.21783902499999999</v>
      </c>
      <c r="O34" s="780" t="s">
        <v>1383</v>
      </c>
      <c r="P34" s="781">
        <v>0</v>
      </c>
      <c r="Q34" s="781">
        <v>0</v>
      </c>
      <c r="R34" s="781">
        <v>1</v>
      </c>
      <c r="S34" s="782">
        <f t="shared" si="9"/>
        <v>0</v>
      </c>
      <c r="T34" s="782">
        <f t="shared" si="9"/>
        <v>0</v>
      </c>
      <c r="U34" s="782">
        <f t="shared" si="9"/>
        <v>33449.81</v>
      </c>
      <c r="W34" s="782"/>
      <c r="X34" s="782"/>
      <c r="Y34" s="783"/>
      <c r="Z34" s="782"/>
      <c r="AA34" s="782"/>
      <c r="AB34" s="783"/>
      <c r="AC34" s="777">
        <f t="shared" si="8"/>
        <v>0</v>
      </c>
      <c r="AD34" s="790">
        <f t="shared" si="1"/>
        <v>0</v>
      </c>
      <c r="AE34" s="790">
        <f t="shared" si="0"/>
        <v>400000</v>
      </c>
      <c r="AF34" s="790">
        <f t="shared" si="2"/>
        <v>0</v>
      </c>
    </row>
    <row r="35" spans="1:32" ht="15" customHeight="1">
      <c r="A35" s="636" t="s">
        <v>1074</v>
      </c>
      <c r="B35" s="740" t="s">
        <v>1282</v>
      </c>
      <c r="C35" s="741"/>
      <c r="D35" s="742" t="s">
        <v>1384</v>
      </c>
      <c r="E35" s="743" t="s">
        <v>1385</v>
      </c>
      <c r="F35" s="744" t="s">
        <v>1291</v>
      </c>
      <c r="G35" s="745">
        <v>82734</v>
      </c>
      <c r="H35" s="746">
        <v>0</v>
      </c>
      <c r="I35" s="745">
        <f t="shared" si="3"/>
        <v>82734</v>
      </c>
      <c r="J35" s="746">
        <v>5844.73</v>
      </c>
      <c r="K35" s="746">
        <v>0</v>
      </c>
      <c r="L35" s="778">
        <f t="shared" si="4"/>
        <v>5844.73</v>
      </c>
      <c r="M35" s="745">
        <f t="shared" si="5"/>
        <v>76889.27</v>
      </c>
      <c r="N35" s="779">
        <f t="shared" si="6"/>
        <v>7.0644837672540914E-2</v>
      </c>
      <c r="O35" s="780" t="s">
        <v>1386</v>
      </c>
      <c r="P35" s="781">
        <v>0</v>
      </c>
      <c r="Q35" s="781">
        <v>0</v>
      </c>
      <c r="R35" s="781">
        <v>1</v>
      </c>
      <c r="S35" s="782">
        <f t="shared" si="9"/>
        <v>0</v>
      </c>
      <c r="T35" s="782">
        <f t="shared" si="9"/>
        <v>0</v>
      </c>
      <c r="U35" s="782">
        <f t="shared" si="9"/>
        <v>0</v>
      </c>
      <c r="W35" s="782"/>
      <c r="X35" s="782"/>
      <c r="Y35" s="783"/>
      <c r="Z35" s="782"/>
      <c r="AA35" s="782"/>
      <c r="AB35" s="783"/>
      <c r="AC35" s="777">
        <f t="shared" si="8"/>
        <v>0</v>
      </c>
      <c r="AD35" s="790">
        <f t="shared" si="1"/>
        <v>0</v>
      </c>
      <c r="AE35" s="790">
        <f t="shared" si="0"/>
        <v>82734</v>
      </c>
      <c r="AF35" s="790">
        <f t="shared" si="2"/>
        <v>0</v>
      </c>
    </row>
    <row r="36" spans="1:32" ht="15" customHeight="1">
      <c r="A36" s="636" t="s">
        <v>1074</v>
      </c>
      <c r="B36" s="740" t="s">
        <v>1282</v>
      </c>
      <c r="C36" s="741"/>
      <c r="D36" s="742" t="s">
        <v>1387</v>
      </c>
      <c r="E36" s="743" t="s">
        <v>1388</v>
      </c>
      <c r="F36" s="744" t="s">
        <v>1291</v>
      </c>
      <c r="G36" s="745">
        <v>100000</v>
      </c>
      <c r="H36" s="746">
        <v>0</v>
      </c>
      <c r="I36" s="745">
        <f t="shared" si="3"/>
        <v>100000</v>
      </c>
      <c r="J36" s="746">
        <v>5844.72</v>
      </c>
      <c r="K36" s="746">
        <v>0</v>
      </c>
      <c r="L36" s="778">
        <f t="shared" si="4"/>
        <v>5844.72</v>
      </c>
      <c r="M36" s="745">
        <f t="shared" si="5"/>
        <v>94155.28</v>
      </c>
      <c r="N36" s="779">
        <f t="shared" si="6"/>
        <v>5.8447200000000005E-2</v>
      </c>
      <c r="O36" s="780" t="s">
        <v>1389</v>
      </c>
      <c r="P36" s="781">
        <v>0</v>
      </c>
      <c r="Q36" s="781">
        <v>0</v>
      </c>
      <c r="R36" s="781">
        <v>1</v>
      </c>
      <c r="S36" s="782">
        <f t="shared" si="9"/>
        <v>0</v>
      </c>
      <c r="T36" s="782">
        <f t="shared" si="9"/>
        <v>0</v>
      </c>
      <c r="U36" s="782">
        <f t="shared" si="9"/>
        <v>0</v>
      </c>
      <c r="W36" s="782"/>
      <c r="X36" s="782"/>
      <c r="Y36" s="783"/>
      <c r="Z36" s="782"/>
      <c r="AA36" s="782"/>
      <c r="AB36" s="783"/>
      <c r="AC36" s="777">
        <f t="shared" si="8"/>
        <v>0</v>
      </c>
      <c r="AD36" s="790">
        <f t="shared" si="1"/>
        <v>0</v>
      </c>
      <c r="AE36" s="790">
        <f t="shared" si="0"/>
        <v>100000</v>
      </c>
      <c r="AF36" s="790">
        <f t="shared" si="2"/>
        <v>0</v>
      </c>
    </row>
    <row r="37" spans="1:32" ht="15" customHeight="1" thickBot="1">
      <c r="A37" s="636" t="s">
        <v>1036</v>
      </c>
      <c r="B37" s="747" t="str">
        <f>B10</f>
        <v>Buildings</v>
      </c>
      <c r="C37" s="748"/>
      <c r="D37" s="749"/>
      <c r="E37" s="750" t="str">
        <f>B10&amp;" - Sub Total"</f>
        <v>Buildings - Sub Total</v>
      </c>
      <c r="F37" s="751"/>
      <c r="G37" s="752">
        <f>SUBTOTAL(9,G10:G36)</f>
        <v>16855957.220000003</v>
      </c>
      <c r="H37" s="752">
        <f>SUBTOTAL(9,H10:H36)</f>
        <v>10965147.65</v>
      </c>
      <c r="I37" s="752">
        <f t="shared" si="3"/>
        <v>5890809.5700000022</v>
      </c>
      <c r="J37" s="752">
        <f>SUBTOTAL(9,J10:J36)</f>
        <v>869944.75</v>
      </c>
      <c r="K37" s="752">
        <f>SUBTOTAL(9,K10:K36)</f>
        <v>4054627.8699999996</v>
      </c>
      <c r="L37" s="752">
        <f>SUBTOTAL(9,L10:L36)</f>
        <v>11835092.399999999</v>
      </c>
      <c r="M37" s="752">
        <f>SUBTOTAL(9,M10:M36)</f>
        <v>5020864.8200000012</v>
      </c>
      <c r="N37" s="784">
        <f>IFERROR(L37/#REF!,0)</f>
        <v>0</v>
      </c>
      <c r="O37" s="785"/>
      <c r="P37" s="752"/>
      <c r="Q37" s="752"/>
      <c r="R37" s="752"/>
      <c r="S37" s="786"/>
      <c r="T37" s="786"/>
      <c r="U37" s="786"/>
      <c r="W37" s="786"/>
      <c r="X37" s="786"/>
      <c r="Y37" s="787"/>
      <c r="Z37" s="786"/>
      <c r="AA37" s="786"/>
      <c r="AB37" s="787"/>
      <c r="AC37" s="777"/>
      <c r="AD37" s="790">
        <f t="shared" si="1"/>
        <v>0</v>
      </c>
      <c r="AE37" s="790">
        <f t="shared" si="0"/>
        <v>0</v>
      </c>
      <c r="AF37" s="790">
        <f t="shared" si="2"/>
        <v>0</v>
      </c>
    </row>
    <row r="38" spans="1:32" ht="15" customHeight="1">
      <c r="A38" s="636" t="s">
        <v>1161</v>
      </c>
      <c r="B38" s="753"/>
      <c r="C38" s="754"/>
      <c r="D38" s="754"/>
      <c r="E38" s="753"/>
      <c r="F38" s="755"/>
      <c r="G38" s="756"/>
      <c r="H38" s="756"/>
      <c r="I38" s="756"/>
      <c r="J38" s="756"/>
      <c r="K38" s="756"/>
      <c r="L38" s="756"/>
      <c r="M38" s="756"/>
      <c r="N38" s="753"/>
      <c r="O38" s="753"/>
      <c r="AC38" s="777"/>
      <c r="AD38" s="790">
        <f t="shared" si="1"/>
        <v>0</v>
      </c>
      <c r="AE38" s="790">
        <f t="shared" si="0"/>
        <v>0</v>
      </c>
      <c r="AF38" s="790">
        <f t="shared" si="2"/>
        <v>0</v>
      </c>
    </row>
    <row r="39" spans="1:32" ht="15" customHeight="1">
      <c r="A39" s="636" t="s">
        <v>1074</v>
      </c>
      <c r="B39" s="740" t="s">
        <v>1390</v>
      </c>
      <c r="C39" s="741"/>
      <c r="D39" s="742" t="s">
        <v>1391</v>
      </c>
      <c r="E39" s="743" t="s">
        <v>1392</v>
      </c>
      <c r="F39" s="744" t="s">
        <v>1393</v>
      </c>
      <c r="G39" s="745">
        <v>292593</v>
      </c>
      <c r="H39" s="746">
        <v>100296.66</v>
      </c>
      <c r="I39" s="745">
        <f t="shared" ref="I39:I40" si="10">G39-H39</f>
        <v>192296.34</v>
      </c>
      <c r="J39" s="746">
        <v>10231.14</v>
      </c>
      <c r="K39" s="746">
        <v>0</v>
      </c>
      <c r="L39" s="778">
        <f>H39+J39</f>
        <v>110527.8</v>
      </c>
      <c r="M39" s="745">
        <f>G39-L39</f>
        <v>182065.2</v>
      </c>
      <c r="N39" s="779">
        <f>IFERROR(L39/G39,0)</f>
        <v>0.37775271452153675</v>
      </c>
      <c r="O39" s="780" t="s">
        <v>1394</v>
      </c>
      <c r="P39" s="781">
        <v>0</v>
      </c>
      <c r="Q39" s="781">
        <v>0.8</v>
      </c>
      <c r="R39" s="781">
        <v>0.2</v>
      </c>
      <c r="S39" s="782">
        <f t="shared" ref="S39:U39" si="11">$H39*P39</f>
        <v>0</v>
      </c>
      <c r="T39" s="782">
        <f t="shared" si="11"/>
        <v>80237.328000000009</v>
      </c>
      <c r="U39" s="782">
        <f t="shared" si="11"/>
        <v>20059.332000000002</v>
      </c>
      <c r="W39" s="782"/>
      <c r="X39" s="782"/>
      <c r="Y39" s="783"/>
      <c r="Z39" s="782"/>
      <c r="AA39" s="782"/>
      <c r="AB39" s="783"/>
      <c r="AC39" s="777">
        <f t="shared" si="8"/>
        <v>0</v>
      </c>
      <c r="AD39" s="790">
        <f t="shared" si="1"/>
        <v>0</v>
      </c>
      <c r="AE39" s="790">
        <f t="shared" si="0"/>
        <v>58518.600000000006</v>
      </c>
      <c r="AF39" s="790">
        <f t="shared" si="2"/>
        <v>234074.40000000002</v>
      </c>
    </row>
    <row r="40" spans="1:32" ht="15" customHeight="1" thickBot="1">
      <c r="A40" s="636" t="s">
        <v>1036</v>
      </c>
      <c r="B40" s="747" t="e">
        <f>#REF!</f>
        <v>#REF!</v>
      </c>
      <c r="C40" s="748"/>
      <c r="D40" s="749"/>
      <c r="E40" s="750" t="str">
        <f>B39&amp;" - Sub Total"</f>
        <v>Camp Grounds - Sub Total</v>
      </c>
      <c r="F40" s="751"/>
      <c r="G40" s="752">
        <f>SUBTOTAL(9,G39:G39)</f>
        <v>292593</v>
      </c>
      <c r="H40" s="752">
        <f>SUBTOTAL(9,H39:H39)</f>
        <v>100296.66</v>
      </c>
      <c r="I40" s="752">
        <f t="shared" si="10"/>
        <v>192296.34</v>
      </c>
      <c r="J40" s="752">
        <f>SUBTOTAL(9,J39:J39)</f>
        <v>10231.14</v>
      </c>
      <c r="K40" s="752">
        <f>SUBTOTAL(9,K39:K39)</f>
        <v>0</v>
      </c>
      <c r="L40" s="752">
        <f>SUBTOTAL(9,L39:L39)</f>
        <v>110527.8</v>
      </c>
      <c r="M40" s="752">
        <f>SUBTOTAL(9,M39:M39)</f>
        <v>182065.2</v>
      </c>
      <c r="N40" s="784">
        <f>IFERROR(L40/#REF!,0)</f>
        <v>0</v>
      </c>
      <c r="O40" s="785"/>
      <c r="P40" s="752"/>
      <c r="Q40" s="752"/>
      <c r="R40" s="752"/>
      <c r="S40" s="786"/>
      <c r="T40" s="786"/>
      <c r="U40" s="786"/>
      <c r="W40" s="786"/>
      <c r="X40" s="786"/>
      <c r="Y40" s="787"/>
      <c r="Z40" s="786"/>
      <c r="AA40" s="786"/>
      <c r="AB40" s="787"/>
      <c r="AC40" s="777"/>
      <c r="AD40" s="790">
        <f t="shared" si="1"/>
        <v>0</v>
      </c>
      <c r="AE40" s="790">
        <f t="shared" si="0"/>
        <v>0</v>
      </c>
      <c r="AF40" s="790">
        <f t="shared" si="2"/>
        <v>0</v>
      </c>
    </row>
    <row r="41" spans="1:32" ht="15" customHeight="1">
      <c r="A41" s="636" t="s">
        <v>1161</v>
      </c>
      <c r="B41" s="753"/>
      <c r="C41" s="754"/>
      <c r="D41" s="754"/>
      <c r="E41" s="753"/>
      <c r="F41" s="755"/>
      <c r="G41" s="756"/>
      <c r="H41" s="756"/>
      <c r="I41" s="756"/>
      <c r="J41" s="756"/>
      <c r="K41" s="756"/>
      <c r="L41" s="756"/>
      <c r="M41" s="756"/>
      <c r="N41" s="753"/>
      <c r="O41" s="753"/>
      <c r="AC41" s="777"/>
      <c r="AD41" s="790">
        <f t="shared" si="1"/>
        <v>0</v>
      </c>
      <c r="AE41" s="790">
        <f t="shared" si="0"/>
        <v>0</v>
      </c>
      <c r="AF41" s="790">
        <f t="shared" si="2"/>
        <v>0</v>
      </c>
    </row>
    <row r="42" spans="1:32" ht="15" customHeight="1">
      <c r="A42" s="636" t="s">
        <v>1074</v>
      </c>
      <c r="B42" s="740" t="s">
        <v>1395</v>
      </c>
      <c r="C42" s="741" t="s">
        <v>1396</v>
      </c>
      <c r="D42" s="742" t="s">
        <v>1397</v>
      </c>
      <c r="E42" s="743" t="s">
        <v>1398</v>
      </c>
      <c r="F42" s="744" t="s">
        <v>1399</v>
      </c>
      <c r="G42" s="745">
        <v>336508</v>
      </c>
      <c r="H42" s="746">
        <v>186735.69</v>
      </c>
      <c r="I42" s="745">
        <f t="shared" ref="I42:I50" si="12">G42-H42</f>
        <v>149772.31</v>
      </c>
      <c r="J42" s="746">
        <v>70573.5</v>
      </c>
      <c r="K42" s="746">
        <v>0</v>
      </c>
      <c r="L42" s="778">
        <f t="shared" ref="L42:L49" si="13">H42+J42</f>
        <v>257309.19</v>
      </c>
      <c r="M42" s="745">
        <f t="shared" ref="M42:M49" si="14">G42-L42</f>
        <v>79198.81</v>
      </c>
      <c r="N42" s="779">
        <f t="shared" ref="N42:N49" si="15">IFERROR(L42/G42,0)</f>
        <v>0.76464509016130378</v>
      </c>
      <c r="O42" s="780" t="s">
        <v>1400</v>
      </c>
      <c r="P42" s="781">
        <v>0</v>
      </c>
      <c r="Q42" s="781">
        <v>0</v>
      </c>
      <c r="R42" s="781">
        <v>1</v>
      </c>
      <c r="S42" s="782">
        <f t="shared" ref="S42:U49" si="16">$H42*P42</f>
        <v>0</v>
      </c>
      <c r="T42" s="782">
        <f t="shared" si="16"/>
        <v>0</v>
      </c>
      <c r="U42" s="782">
        <f t="shared" si="16"/>
        <v>186735.69</v>
      </c>
      <c r="W42" s="782"/>
      <c r="X42" s="782"/>
      <c r="Y42" s="783"/>
      <c r="Z42" s="782"/>
      <c r="AA42" s="782"/>
      <c r="AB42" s="783"/>
      <c r="AC42" s="777">
        <f t="shared" si="8"/>
        <v>0</v>
      </c>
      <c r="AD42" s="790">
        <f t="shared" si="1"/>
        <v>0</v>
      </c>
      <c r="AE42" s="790">
        <f t="shared" si="0"/>
        <v>336508</v>
      </c>
      <c r="AF42" s="790">
        <f t="shared" si="2"/>
        <v>0</v>
      </c>
    </row>
    <row r="43" spans="1:32" ht="15" customHeight="1">
      <c r="A43" s="636" t="s">
        <v>1074</v>
      </c>
      <c r="B43" s="740" t="s">
        <v>1395</v>
      </c>
      <c r="C43" s="741" t="s">
        <v>1401</v>
      </c>
      <c r="D43" s="742" t="s">
        <v>1402</v>
      </c>
      <c r="E43" s="743" t="s">
        <v>1403</v>
      </c>
      <c r="F43" s="744" t="s">
        <v>1399</v>
      </c>
      <c r="G43" s="745">
        <v>33216</v>
      </c>
      <c r="H43" s="746">
        <v>10357.030000000001</v>
      </c>
      <c r="I43" s="745">
        <f t="shared" si="12"/>
        <v>22858.97</v>
      </c>
      <c r="J43" s="746">
        <v>133.41999999999999</v>
      </c>
      <c r="K43" s="746">
        <v>0</v>
      </c>
      <c r="L43" s="778">
        <f t="shared" si="13"/>
        <v>10490.45</v>
      </c>
      <c r="M43" s="745">
        <f t="shared" si="14"/>
        <v>22725.55</v>
      </c>
      <c r="N43" s="779">
        <f t="shared" si="15"/>
        <v>0.31582520472061659</v>
      </c>
      <c r="O43" s="780" t="s">
        <v>1404</v>
      </c>
      <c r="P43" s="781">
        <v>0</v>
      </c>
      <c r="Q43" s="781">
        <v>1</v>
      </c>
      <c r="R43" s="781">
        <v>0</v>
      </c>
      <c r="S43" s="782">
        <f t="shared" si="16"/>
        <v>0</v>
      </c>
      <c r="T43" s="782">
        <f t="shared" si="16"/>
        <v>10357.030000000001</v>
      </c>
      <c r="U43" s="782">
        <f t="shared" si="16"/>
        <v>0</v>
      </c>
      <c r="W43" s="782"/>
      <c r="X43" s="782"/>
      <c r="Y43" s="783"/>
      <c r="Z43" s="782"/>
      <c r="AA43" s="782"/>
      <c r="AB43" s="783"/>
      <c r="AC43" s="777">
        <f t="shared" si="8"/>
        <v>0</v>
      </c>
      <c r="AD43" s="790">
        <f t="shared" si="1"/>
        <v>0</v>
      </c>
      <c r="AE43" s="790">
        <f t="shared" si="0"/>
        <v>0</v>
      </c>
      <c r="AF43" s="790">
        <f t="shared" si="2"/>
        <v>33216</v>
      </c>
    </row>
    <row r="44" spans="1:32" ht="15" customHeight="1">
      <c r="A44" s="636" t="s">
        <v>1074</v>
      </c>
      <c r="B44" s="740" t="s">
        <v>1395</v>
      </c>
      <c r="C44" s="741" t="s">
        <v>1405</v>
      </c>
      <c r="D44" s="742" t="s">
        <v>1406</v>
      </c>
      <c r="E44" s="743" t="s">
        <v>1407</v>
      </c>
      <c r="F44" s="744" t="s">
        <v>1399</v>
      </c>
      <c r="G44" s="745">
        <v>150000</v>
      </c>
      <c r="H44" s="746">
        <v>121316.56</v>
      </c>
      <c r="I44" s="745">
        <f t="shared" si="12"/>
        <v>28683.440000000002</v>
      </c>
      <c r="J44" s="746">
        <v>22492.32</v>
      </c>
      <c r="K44" s="746">
        <v>0</v>
      </c>
      <c r="L44" s="778">
        <f t="shared" si="13"/>
        <v>143808.88</v>
      </c>
      <c r="M44" s="745">
        <f t="shared" si="14"/>
        <v>6191.1199999999953</v>
      </c>
      <c r="N44" s="779">
        <f t="shared" si="15"/>
        <v>0.9587258666666667</v>
      </c>
      <c r="O44" s="780" t="s">
        <v>1408</v>
      </c>
      <c r="P44" s="781">
        <v>0</v>
      </c>
      <c r="Q44" s="781">
        <v>1</v>
      </c>
      <c r="R44" s="781">
        <v>0</v>
      </c>
      <c r="S44" s="782">
        <f t="shared" si="16"/>
        <v>0</v>
      </c>
      <c r="T44" s="782">
        <f t="shared" si="16"/>
        <v>121316.56</v>
      </c>
      <c r="U44" s="782">
        <f t="shared" si="16"/>
        <v>0</v>
      </c>
      <c r="W44" s="782"/>
      <c r="X44" s="782"/>
      <c r="Y44" s="783"/>
      <c r="Z44" s="782"/>
      <c r="AA44" s="782"/>
      <c r="AB44" s="783"/>
      <c r="AC44" s="777">
        <f t="shared" si="8"/>
        <v>0</v>
      </c>
      <c r="AD44" s="790">
        <f t="shared" si="1"/>
        <v>0</v>
      </c>
      <c r="AE44" s="790">
        <f t="shared" si="0"/>
        <v>0</v>
      </c>
      <c r="AF44" s="790">
        <f t="shared" si="2"/>
        <v>150000</v>
      </c>
    </row>
    <row r="45" spans="1:32" ht="15" customHeight="1">
      <c r="A45" s="636" t="s">
        <v>1074</v>
      </c>
      <c r="B45" s="740" t="s">
        <v>1395</v>
      </c>
      <c r="C45" s="741" t="s">
        <v>1409</v>
      </c>
      <c r="D45" s="742" t="s">
        <v>1410</v>
      </c>
      <c r="E45" s="743" t="s">
        <v>1411</v>
      </c>
      <c r="F45" s="744" t="s">
        <v>1399</v>
      </c>
      <c r="G45" s="745">
        <v>129750</v>
      </c>
      <c r="H45" s="746">
        <v>49500</v>
      </c>
      <c r="I45" s="745">
        <f t="shared" si="12"/>
        <v>80250</v>
      </c>
      <c r="J45" s="746">
        <v>2974.78</v>
      </c>
      <c r="K45" s="746">
        <v>0</v>
      </c>
      <c r="L45" s="778">
        <f t="shared" si="13"/>
        <v>52474.78</v>
      </c>
      <c r="M45" s="745">
        <f t="shared" si="14"/>
        <v>77275.22</v>
      </c>
      <c r="N45" s="779">
        <f t="shared" si="15"/>
        <v>0.40442990366088633</v>
      </c>
      <c r="O45" s="780" t="s">
        <v>1412</v>
      </c>
      <c r="P45" s="781">
        <v>0</v>
      </c>
      <c r="Q45" s="781">
        <v>0</v>
      </c>
      <c r="R45" s="781">
        <v>1</v>
      </c>
      <c r="S45" s="782">
        <f t="shared" si="16"/>
        <v>0</v>
      </c>
      <c r="T45" s="782">
        <f t="shared" si="16"/>
        <v>0</v>
      </c>
      <c r="U45" s="782">
        <f t="shared" si="16"/>
        <v>49500</v>
      </c>
      <c r="W45" s="782"/>
      <c r="X45" s="782"/>
      <c r="Y45" s="783"/>
      <c r="Z45" s="782"/>
      <c r="AA45" s="782"/>
      <c r="AB45" s="783"/>
      <c r="AC45" s="777">
        <f t="shared" si="8"/>
        <v>0</v>
      </c>
      <c r="AD45" s="790">
        <f t="shared" si="1"/>
        <v>0</v>
      </c>
      <c r="AE45" s="790">
        <f t="shared" si="0"/>
        <v>129750</v>
      </c>
      <c r="AF45" s="790">
        <f t="shared" si="2"/>
        <v>0</v>
      </c>
    </row>
    <row r="46" spans="1:32" ht="15" customHeight="1">
      <c r="A46" s="636" t="s">
        <v>1074</v>
      </c>
      <c r="B46" s="740" t="s">
        <v>1395</v>
      </c>
      <c r="C46" s="741" t="s">
        <v>1413</v>
      </c>
      <c r="D46" s="742" t="s">
        <v>1414</v>
      </c>
      <c r="E46" s="743" t="s">
        <v>1415</v>
      </c>
      <c r="F46" s="744" t="s">
        <v>1399</v>
      </c>
      <c r="G46" s="745">
        <v>18943.5</v>
      </c>
      <c r="H46" s="746">
        <v>10041.69</v>
      </c>
      <c r="I46" s="745">
        <f t="shared" si="12"/>
        <v>8901.81</v>
      </c>
      <c r="J46" s="746">
        <v>0</v>
      </c>
      <c r="K46" s="746">
        <v>0</v>
      </c>
      <c r="L46" s="778">
        <f t="shared" si="13"/>
        <v>10041.69</v>
      </c>
      <c r="M46" s="745">
        <f t="shared" si="14"/>
        <v>8901.81</v>
      </c>
      <c r="N46" s="779">
        <f t="shared" si="15"/>
        <v>0.53008630928814637</v>
      </c>
      <c r="O46" s="780" t="s">
        <v>1416</v>
      </c>
      <c r="P46" s="781">
        <v>0</v>
      </c>
      <c r="Q46" s="781">
        <v>1</v>
      </c>
      <c r="R46" s="781">
        <v>0</v>
      </c>
      <c r="S46" s="782">
        <f t="shared" si="16"/>
        <v>0</v>
      </c>
      <c r="T46" s="782">
        <f t="shared" si="16"/>
        <v>10041.69</v>
      </c>
      <c r="U46" s="782">
        <f t="shared" si="16"/>
        <v>0</v>
      </c>
      <c r="W46" s="782"/>
      <c r="X46" s="782"/>
      <c r="Y46" s="783"/>
      <c r="Z46" s="782"/>
      <c r="AA46" s="782"/>
      <c r="AB46" s="783"/>
      <c r="AC46" s="777">
        <f t="shared" si="8"/>
        <v>0</v>
      </c>
      <c r="AD46" s="790">
        <f t="shared" si="1"/>
        <v>0</v>
      </c>
      <c r="AE46" s="790">
        <f t="shared" si="0"/>
        <v>0</v>
      </c>
      <c r="AF46" s="790">
        <f t="shared" si="2"/>
        <v>18943.5</v>
      </c>
    </row>
    <row r="47" spans="1:32" ht="15" customHeight="1">
      <c r="A47" s="636" t="s">
        <v>1074</v>
      </c>
      <c r="B47" s="740" t="s">
        <v>1395</v>
      </c>
      <c r="C47" s="741" t="s">
        <v>1417</v>
      </c>
      <c r="D47" s="742" t="s">
        <v>1418</v>
      </c>
      <c r="E47" s="743" t="s">
        <v>1419</v>
      </c>
      <c r="F47" s="744" t="s">
        <v>1399</v>
      </c>
      <c r="G47" s="745">
        <v>110477.86</v>
      </c>
      <c r="H47" s="746">
        <v>39159.39</v>
      </c>
      <c r="I47" s="745">
        <f t="shared" si="12"/>
        <v>71318.47</v>
      </c>
      <c r="J47" s="746">
        <v>1722.7</v>
      </c>
      <c r="K47" s="746">
        <v>0</v>
      </c>
      <c r="L47" s="778">
        <f t="shared" si="13"/>
        <v>40882.089999999997</v>
      </c>
      <c r="M47" s="745">
        <f t="shared" si="14"/>
        <v>69595.77</v>
      </c>
      <c r="N47" s="779">
        <f t="shared" si="15"/>
        <v>0.37004780867406373</v>
      </c>
      <c r="O47" s="780" t="s">
        <v>1420</v>
      </c>
      <c r="P47" s="781">
        <v>0</v>
      </c>
      <c r="Q47" s="781">
        <v>1</v>
      </c>
      <c r="R47" s="781">
        <v>0</v>
      </c>
      <c r="S47" s="782">
        <f t="shared" si="16"/>
        <v>0</v>
      </c>
      <c r="T47" s="782">
        <f t="shared" si="16"/>
        <v>39159.39</v>
      </c>
      <c r="U47" s="782">
        <f t="shared" si="16"/>
        <v>0</v>
      </c>
      <c r="W47" s="782"/>
      <c r="X47" s="782"/>
      <c r="Y47" s="783"/>
      <c r="Z47" s="782"/>
      <c r="AA47" s="782"/>
      <c r="AB47" s="783"/>
      <c r="AC47" s="777">
        <f t="shared" si="8"/>
        <v>0</v>
      </c>
      <c r="AD47" s="790">
        <f t="shared" si="1"/>
        <v>0</v>
      </c>
      <c r="AE47" s="790">
        <f t="shared" si="0"/>
        <v>0</v>
      </c>
      <c r="AF47" s="790">
        <f t="shared" si="2"/>
        <v>110477.86</v>
      </c>
    </row>
    <row r="48" spans="1:32" ht="15" customHeight="1">
      <c r="A48" s="636" t="s">
        <v>1074</v>
      </c>
      <c r="B48" s="740" t="s">
        <v>1395</v>
      </c>
      <c r="C48" s="741" t="s">
        <v>1421</v>
      </c>
      <c r="D48" s="742" t="s">
        <v>1422</v>
      </c>
      <c r="E48" s="743" t="s">
        <v>1423</v>
      </c>
      <c r="F48" s="744" t="s">
        <v>1399</v>
      </c>
      <c r="G48" s="745">
        <v>36330</v>
      </c>
      <c r="H48" s="746">
        <v>2720</v>
      </c>
      <c r="I48" s="745">
        <f t="shared" si="12"/>
        <v>33610</v>
      </c>
      <c r="J48" s="746">
        <v>0</v>
      </c>
      <c r="K48" s="746">
        <v>0</v>
      </c>
      <c r="L48" s="778">
        <f t="shared" si="13"/>
        <v>2720</v>
      </c>
      <c r="M48" s="745">
        <f t="shared" si="14"/>
        <v>33610</v>
      </c>
      <c r="N48" s="779">
        <f t="shared" si="15"/>
        <v>7.4869254060005511E-2</v>
      </c>
      <c r="O48" s="780" t="s">
        <v>1424</v>
      </c>
      <c r="P48" s="781">
        <v>0</v>
      </c>
      <c r="Q48" s="781">
        <v>1</v>
      </c>
      <c r="R48" s="781">
        <v>0</v>
      </c>
      <c r="S48" s="782">
        <f t="shared" si="16"/>
        <v>0</v>
      </c>
      <c r="T48" s="782">
        <f t="shared" si="16"/>
        <v>2720</v>
      </c>
      <c r="U48" s="782">
        <f t="shared" si="16"/>
        <v>0</v>
      </c>
      <c r="W48" s="782"/>
      <c r="X48" s="782"/>
      <c r="Y48" s="783"/>
      <c r="Z48" s="782"/>
      <c r="AA48" s="782"/>
      <c r="AB48" s="783"/>
      <c r="AC48" s="777">
        <f t="shared" si="8"/>
        <v>0</v>
      </c>
      <c r="AD48" s="790">
        <f t="shared" si="1"/>
        <v>0</v>
      </c>
      <c r="AE48" s="790">
        <f t="shared" si="0"/>
        <v>0</v>
      </c>
      <c r="AF48" s="790">
        <f t="shared" si="2"/>
        <v>36330</v>
      </c>
    </row>
    <row r="49" spans="1:32" ht="15" customHeight="1">
      <c r="A49" s="636" t="s">
        <v>1074</v>
      </c>
      <c r="B49" s="740" t="s">
        <v>1395</v>
      </c>
      <c r="C49" s="741" t="s">
        <v>1425</v>
      </c>
      <c r="D49" s="742" t="s">
        <v>1426</v>
      </c>
      <c r="E49" s="743" t="s">
        <v>1427</v>
      </c>
      <c r="F49" s="744" t="s">
        <v>1399</v>
      </c>
      <c r="G49" s="745">
        <v>389250</v>
      </c>
      <c r="H49" s="746">
        <v>71351.72</v>
      </c>
      <c r="I49" s="745">
        <f t="shared" si="12"/>
        <v>317898.28000000003</v>
      </c>
      <c r="J49" s="746">
        <v>127394.01999999999</v>
      </c>
      <c r="K49" s="746">
        <v>0</v>
      </c>
      <c r="L49" s="778">
        <f t="shared" si="13"/>
        <v>198745.74</v>
      </c>
      <c r="M49" s="745">
        <f t="shared" si="14"/>
        <v>190504.26</v>
      </c>
      <c r="N49" s="779">
        <f t="shared" si="15"/>
        <v>0.5105863583815029</v>
      </c>
      <c r="O49" s="780" t="s">
        <v>1428</v>
      </c>
      <c r="P49" s="781">
        <v>0</v>
      </c>
      <c r="Q49" s="781">
        <v>1</v>
      </c>
      <c r="R49" s="781">
        <v>0</v>
      </c>
      <c r="S49" s="782">
        <f t="shared" si="16"/>
        <v>0</v>
      </c>
      <c r="T49" s="782">
        <f t="shared" si="16"/>
        <v>71351.72</v>
      </c>
      <c r="U49" s="782">
        <f t="shared" si="16"/>
        <v>0</v>
      </c>
      <c r="W49" s="782"/>
      <c r="X49" s="782"/>
      <c r="Y49" s="783"/>
      <c r="Z49" s="782"/>
      <c r="AA49" s="782"/>
      <c r="AB49" s="783"/>
      <c r="AC49" s="777">
        <f t="shared" si="8"/>
        <v>0</v>
      </c>
      <c r="AD49" s="790">
        <f t="shared" si="1"/>
        <v>0</v>
      </c>
      <c r="AE49" s="790">
        <f t="shared" si="0"/>
        <v>0</v>
      </c>
      <c r="AF49" s="790">
        <f t="shared" si="2"/>
        <v>389250</v>
      </c>
    </row>
    <row r="50" spans="1:32" ht="15" customHeight="1" thickBot="1">
      <c r="A50" s="636" t="s">
        <v>1036</v>
      </c>
      <c r="B50" s="747" t="str">
        <f>B42</f>
        <v>Information Management</v>
      </c>
      <c r="C50" s="748"/>
      <c r="D50" s="749"/>
      <c r="E50" s="750" t="str">
        <f>B42&amp;" - Sub Total"</f>
        <v>Information Management - Sub Total</v>
      </c>
      <c r="F50" s="751"/>
      <c r="G50" s="752">
        <f>SUBTOTAL(9,G42:G49)</f>
        <v>1204475.3599999999</v>
      </c>
      <c r="H50" s="752">
        <f>SUBTOTAL(9,H42:H49)</f>
        <v>491182.08000000007</v>
      </c>
      <c r="I50" s="752">
        <f t="shared" si="12"/>
        <v>713293.2799999998</v>
      </c>
      <c r="J50" s="752">
        <f>SUBTOTAL(9,J42:J49)</f>
        <v>225290.74</v>
      </c>
      <c r="K50" s="752">
        <f>SUBTOTAL(9,K42:K49)</f>
        <v>0</v>
      </c>
      <c r="L50" s="752">
        <f>SUBTOTAL(9,L42:L49)</f>
        <v>716472.82000000007</v>
      </c>
      <c r="M50" s="752">
        <f>SUBTOTAL(9,M42:M49)</f>
        <v>488002.54000000004</v>
      </c>
      <c r="N50" s="784">
        <f>IFERROR(L50/#REF!,0)</f>
        <v>0</v>
      </c>
      <c r="O50" s="785"/>
      <c r="P50" s="752"/>
      <c r="Q50" s="752"/>
      <c r="R50" s="752"/>
      <c r="S50" s="786"/>
      <c r="T50" s="786"/>
      <c r="U50" s="786"/>
      <c r="W50" s="786"/>
      <c r="X50" s="786"/>
      <c r="Y50" s="787"/>
      <c r="Z50" s="786"/>
      <c r="AA50" s="786"/>
      <c r="AB50" s="787"/>
      <c r="AC50" s="777"/>
      <c r="AD50" s="790">
        <f t="shared" si="1"/>
        <v>0</v>
      </c>
      <c r="AE50" s="790">
        <f t="shared" si="0"/>
        <v>0</v>
      </c>
      <c r="AF50" s="790">
        <f t="shared" si="2"/>
        <v>0</v>
      </c>
    </row>
    <row r="51" spans="1:32" ht="15" customHeight="1">
      <c r="A51" s="636" t="s">
        <v>1161</v>
      </c>
      <c r="B51" s="753"/>
      <c r="C51" s="754"/>
      <c r="D51" s="754"/>
      <c r="E51" s="753"/>
      <c r="F51" s="755"/>
      <c r="G51" s="756"/>
      <c r="H51" s="756"/>
      <c r="I51" s="756"/>
      <c r="J51" s="756"/>
      <c r="K51" s="756"/>
      <c r="L51" s="756"/>
      <c r="M51" s="756"/>
      <c r="N51" s="753"/>
      <c r="O51" s="753"/>
      <c r="AC51" s="777"/>
      <c r="AD51" s="790">
        <f t="shared" si="1"/>
        <v>0</v>
      </c>
      <c r="AE51" s="790">
        <f t="shared" si="0"/>
        <v>0</v>
      </c>
      <c r="AF51" s="790">
        <f t="shared" si="2"/>
        <v>0</v>
      </c>
    </row>
    <row r="52" spans="1:32" ht="15" customHeight="1">
      <c r="A52" s="636" t="s">
        <v>1161</v>
      </c>
      <c r="B52" s="753"/>
      <c r="C52" s="754"/>
      <c r="D52" s="754"/>
      <c r="E52" s="753"/>
      <c r="F52" s="755"/>
      <c r="G52" s="756"/>
      <c r="H52" s="756"/>
      <c r="I52" s="756"/>
      <c r="J52" s="756"/>
      <c r="K52" s="756"/>
      <c r="L52" s="756"/>
      <c r="M52" s="756"/>
      <c r="N52" s="753"/>
      <c r="O52" s="753"/>
      <c r="AC52" s="777"/>
      <c r="AD52" s="790">
        <f t="shared" si="1"/>
        <v>0</v>
      </c>
      <c r="AE52" s="790">
        <f t="shared" si="0"/>
        <v>0</v>
      </c>
      <c r="AF52" s="790">
        <f t="shared" si="2"/>
        <v>0</v>
      </c>
    </row>
    <row r="53" spans="1:32" ht="15" customHeight="1">
      <c r="A53" s="636" t="s">
        <v>1074</v>
      </c>
      <c r="B53" s="740" t="s">
        <v>1429</v>
      </c>
      <c r="C53" s="741" t="s">
        <v>1430</v>
      </c>
      <c r="D53" s="742" t="s">
        <v>1431</v>
      </c>
      <c r="E53" s="743" t="s">
        <v>1432</v>
      </c>
      <c r="F53" s="744" t="s">
        <v>1433</v>
      </c>
      <c r="G53" s="745">
        <v>318744</v>
      </c>
      <c r="H53" s="746">
        <v>317657.45</v>
      </c>
      <c r="I53" s="745">
        <f t="shared" ref="I53:I60" si="17">G53-H53</f>
        <v>1086.5499999999884</v>
      </c>
      <c r="J53" s="746">
        <v>296597.08</v>
      </c>
      <c r="K53" s="746">
        <v>0</v>
      </c>
      <c r="L53" s="778">
        <f t="shared" ref="L53:L59" si="18">H53+J53</f>
        <v>614254.53</v>
      </c>
      <c r="M53" s="745">
        <f t="shared" ref="M53:M59" si="19">G53-L53</f>
        <v>-295510.53000000003</v>
      </c>
      <c r="N53" s="779">
        <f t="shared" ref="N53:N59" si="20">IFERROR(L53/G53,0)</f>
        <v>1.9271093102928998</v>
      </c>
      <c r="O53" s="780" t="s">
        <v>1434</v>
      </c>
      <c r="P53" s="781">
        <v>0.11799999999999999</v>
      </c>
      <c r="Q53" s="781">
        <v>0.66149999999999998</v>
      </c>
      <c r="R53" s="781">
        <v>0.2205</v>
      </c>
      <c r="S53" s="782">
        <f t="shared" ref="S53:U59" si="21">$H53*P53</f>
        <v>37483.579100000003</v>
      </c>
      <c r="T53" s="782">
        <f t="shared" si="21"/>
        <v>210130.40317500001</v>
      </c>
      <c r="U53" s="782">
        <f t="shared" si="21"/>
        <v>70043.46772500001</v>
      </c>
      <c r="W53" s="782"/>
      <c r="X53" s="782"/>
      <c r="Y53" s="783"/>
      <c r="Z53" s="782"/>
      <c r="AA53" s="782"/>
      <c r="AB53" s="783"/>
      <c r="AC53" s="777">
        <f t="shared" si="8"/>
        <v>0</v>
      </c>
      <c r="AD53" s="790">
        <f t="shared" si="1"/>
        <v>37611.792000000001</v>
      </c>
      <c r="AE53" s="790">
        <f t="shared" si="0"/>
        <v>70283.051999999996</v>
      </c>
      <c r="AF53" s="790">
        <f t="shared" si="2"/>
        <v>210849.15599999999</v>
      </c>
    </row>
    <row r="54" spans="1:32" ht="15" customHeight="1">
      <c r="A54" s="636" t="s">
        <v>1074</v>
      </c>
      <c r="B54" s="740" t="s">
        <v>1429</v>
      </c>
      <c r="C54" s="741" t="s">
        <v>1435</v>
      </c>
      <c r="D54" s="742" t="s">
        <v>1436</v>
      </c>
      <c r="E54" s="743" t="s">
        <v>1437</v>
      </c>
      <c r="F54" s="744" t="s">
        <v>1399</v>
      </c>
      <c r="G54" s="745">
        <v>150000</v>
      </c>
      <c r="H54" s="746">
        <v>55755.01</v>
      </c>
      <c r="I54" s="745">
        <f t="shared" si="17"/>
        <v>94244.989999999991</v>
      </c>
      <c r="J54" s="746">
        <v>82135.3</v>
      </c>
      <c r="K54" s="746">
        <v>0</v>
      </c>
      <c r="L54" s="778">
        <f t="shared" si="18"/>
        <v>137890.31</v>
      </c>
      <c r="M54" s="745">
        <f t="shared" si="19"/>
        <v>12109.690000000002</v>
      </c>
      <c r="N54" s="779">
        <f t="shared" si="20"/>
        <v>0.91926873333333337</v>
      </c>
      <c r="O54" s="780" t="s">
        <v>1438</v>
      </c>
      <c r="P54" s="781">
        <v>0</v>
      </c>
      <c r="Q54" s="781">
        <v>1</v>
      </c>
      <c r="R54" s="781">
        <v>0</v>
      </c>
      <c r="S54" s="782">
        <f t="shared" si="21"/>
        <v>0</v>
      </c>
      <c r="T54" s="782">
        <f t="shared" si="21"/>
        <v>55755.01</v>
      </c>
      <c r="U54" s="782">
        <f t="shared" si="21"/>
        <v>0</v>
      </c>
      <c r="W54" s="782"/>
      <c r="X54" s="782"/>
      <c r="Y54" s="783"/>
      <c r="Z54" s="782"/>
      <c r="AA54" s="782"/>
      <c r="AB54" s="783"/>
      <c r="AC54" s="777">
        <f t="shared" si="8"/>
        <v>0</v>
      </c>
      <c r="AD54" s="790">
        <f t="shared" si="1"/>
        <v>0</v>
      </c>
      <c r="AE54" s="790">
        <f t="shared" si="0"/>
        <v>0</v>
      </c>
      <c r="AF54" s="790">
        <f t="shared" si="2"/>
        <v>150000</v>
      </c>
    </row>
    <row r="55" spans="1:32" ht="15" customHeight="1">
      <c r="A55" s="636" t="s">
        <v>1074</v>
      </c>
      <c r="B55" s="740" t="s">
        <v>1429</v>
      </c>
      <c r="C55" s="741" t="s">
        <v>1439</v>
      </c>
      <c r="D55" s="742" t="s">
        <v>1440</v>
      </c>
      <c r="E55" s="743" t="s">
        <v>1441</v>
      </c>
      <c r="F55" s="744" t="s">
        <v>1286</v>
      </c>
      <c r="G55" s="745">
        <v>20000</v>
      </c>
      <c r="H55" s="746">
        <v>34791.86</v>
      </c>
      <c r="I55" s="745">
        <f t="shared" si="17"/>
        <v>-14791.86</v>
      </c>
      <c r="J55" s="746">
        <v>10845.65</v>
      </c>
      <c r="K55" s="746">
        <v>0</v>
      </c>
      <c r="L55" s="778">
        <f t="shared" si="18"/>
        <v>45637.51</v>
      </c>
      <c r="M55" s="745">
        <f t="shared" si="19"/>
        <v>-25637.510000000002</v>
      </c>
      <c r="N55" s="779">
        <f t="shared" si="20"/>
        <v>2.2818754999999999</v>
      </c>
      <c r="O55" s="780" t="s">
        <v>1442</v>
      </c>
      <c r="P55" s="781">
        <v>0</v>
      </c>
      <c r="Q55" s="781">
        <v>0.8</v>
      </c>
      <c r="R55" s="781">
        <v>0.2</v>
      </c>
      <c r="S55" s="782">
        <f t="shared" si="21"/>
        <v>0</v>
      </c>
      <c r="T55" s="782">
        <f t="shared" si="21"/>
        <v>27833.488000000001</v>
      </c>
      <c r="U55" s="782">
        <f t="shared" si="21"/>
        <v>6958.3720000000003</v>
      </c>
      <c r="W55" s="782"/>
      <c r="X55" s="782"/>
      <c r="Y55" s="783"/>
      <c r="Z55" s="782"/>
      <c r="AA55" s="782"/>
      <c r="AB55" s="783"/>
      <c r="AC55" s="777">
        <f t="shared" si="8"/>
        <v>0</v>
      </c>
      <c r="AD55" s="790">
        <f t="shared" si="1"/>
        <v>0</v>
      </c>
      <c r="AE55" s="790">
        <f t="shared" si="0"/>
        <v>4000</v>
      </c>
      <c r="AF55" s="790">
        <f t="shared" si="2"/>
        <v>16000</v>
      </c>
    </row>
    <row r="56" spans="1:32" ht="15" customHeight="1">
      <c r="A56" s="636" t="s">
        <v>1074</v>
      </c>
      <c r="B56" s="740" t="s">
        <v>1429</v>
      </c>
      <c r="C56" s="741" t="s">
        <v>1443</v>
      </c>
      <c r="D56" s="742" t="s">
        <v>1444</v>
      </c>
      <c r="E56" s="743" t="s">
        <v>1445</v>
      </c>
      <c r="F56" s="744" t="s">
        <v>1286</v>
      </c>
      <c r="G56" s="745">
        <v>8255.02</v>
      </c>
      <c r="H56" s="746">
        <v>2505.6</v>
      </c>
      <c r="I56" s="745">
        <f t="shared" si="17"/>
        <v>5749.42</v>
      </c>
      <c r="J56" s="746">
        <v>0</v>
      </c>
      <c r="K56" s="746">
        <v>0</v>
      </c>
      <c r="L56" s="778">
        <f t="shared" si="18"/>
        <v>2505.6</v>
      </c>
      <c r="M56" s="745">
        <f t="shared" si="19"/>
        <v>5749.42</v>
      </c>
      <c r="N56" s="779">
        <f t="shared" si="20"/>
        <v>0.30352440090999172</v>
      </c>
      <c r="O56" s="780" t="s">
        <v>1442</v>
      </c>
      <c r="P56" s="781">
        <v>0</v>
      </c>
      <c r="Q56" s="781">
        <v>0.8</v>
      </c>
      <c r="R56" s="781">
        <v>0.2</v>
      </c>
      <c r="S56" s="782">
        <f t="shared" si="21"/>
        <v>0</v>
      </c>
      <c r="T56" s="782">
        <f t="shared" si="21"/>
        <v>2004.48</v>
      </c>
      <c r="U56" s="782">
        <f t="shared" si="21"/>
        <v>501.12</v>
      </c>
      <c r="W56" s="782"/>
      <c r="X56" s="782"/>
      <c r="Y56" s="783"/>
      <c r="Z56" s="782"/>
      <c r="AA56" s="782"/>
      <c r="AB56" s="783"/>
      <c r="AC56" s="777">
        <f t="shared" si="8"/>
        <v>0</v>
      </c>
      <c r="AD56" s="790">
        <f t="shared" si="1"/>
        <v>0</v>
      </c>
      <c r="AE56" s="790">
        <f t="shared" si="0"/>
        <v>1651.0040000000001</v>
      </c>
      <c r="AF56" s="790">
        <f t="shared" si="2"/>
        <v>6604.0160000000005</v>
      </c>
    </row>
    <row r="57" spans="1:32" ht="15" customHeight="1">
      <c r="A57" s="636" t="s">
        <v>1074</v>
      </c>
      <c r="B57" s="740" t="s">
        <v>1429</v>
      </c>
      <c r="C57" s="741" t="s">
        <v>1446</v>
      </c>
      <c r="D57" s="742" t="s">
        <v>1447</v>
      </c>
      <c r="E57" s="743" t="s">
        <v>1448</v>
      </c>
      <c r="F57" s="744" t="s">
        <v>1433</v>
      </c>
      <c r="G57" s="745">
        <v>25850</v>
      </c>
      <c r="H57" s="746">
        <v>18872.150000000001</v>
      </c>
      <c r="I57" s="745">
        <f t="shared" si="17"/>
        <v>6977.8499999999985</v>
      </c>
      <c r="J57" s="746">
        <v>0</v>
      </c>
      <c r="K57" s="746">
        <v>0</v>
      </c>
      <c r="L57" s="778">
        <f t="shared" si="18"/>
        <v>18872.150000000001</v>
      </c>
      <c r="M57" s="745">
        <f t="shared" si="19"/>
        <v>6977.8499999999985</v>
      </c>
      <c r="N57" s="779">
        <f t="shared" si="20"/>
        <v>0.73006382978723405</v>
      </c>
      <c r="O57" s="780" t="s">
        <v>1449</v>
      </c>
      <c r="P57" s="781">
        <v>0</v>
      </c>
      <c r="Q57" s="781">
        <v>0.8</v>
      </c>
      <c r="R57" s="781">
        <v>0.2</v>
      </c>
      <c r="S57" s="782">
        <f t="shared" si="21"/>
        <v>0</v>
      </c>
      <c r="T57" s="782">
        <f t="shared" si="21"/>
        <v>15097.720000000001</v>
      </c>
      <c r="U57" s="782">
        <f t="shared" si="21"/>
        <v>3774.4300000000003</v>
      </c>
      <c r="W57" s="782"/>
      <c r="X57" s="782"/>
      <c r="Y57" s="783"/>
      <c r="Z57" s="782"/>
      <c r="AA57" s="782"/>
      <c r="AB57" s="783"/>
      <c r="AC57" s="777">
        <f t="shared" si="8"/>
        <v>0</v>
      </c>
      <c r="AD57" s="790">
        <f t="shared" si="1"/>
        <v>0</v>
      </c>
      <c r="AE57" s="790">
        <f t="shared" si="0"/>
        <v>5170</v>
      </c>
      <c r="AF57" s="790">
        <f t="shared" si="2"/>
        <v>20680</v>
      </c>
    </row>
    <row r="58" spans="1:32" ht="15" customHeight="1">
      <c r="A58" s="636" t="s">
        <v>1074</v>
      </c>
      <c r="B58" s="740" t="s">
        <v>1429</v>
      </c>
      <c r="C58" s="741" t="s">
        <v>1450</v>
      </c>
      <c r="D58" s="742" t="s">
        <v>1451</v>
      </c>
      <c r="E58" s="743" t="s">
        <v>1452</v>
      </c>
      <c r="F58" s="744" t="s">
        <v>1433</v>
      </c>
      <c r="G58" s="745">
        <v>20001</v>
      </c>
      <c r="H58" s="746">
        <v>21601.86</v>
      </c>
      <c r="I58" s="745">
        <f t="shared" si="17"/>
        <v>-1600.8600000000006</v>
      </c>
      <c r="J58" s="746">
        <v>0</v>
      </c>
      <c r="K58" s="746">
        <v>0</v>
      </c>
      <c r="L58" s="778">
        <f t="shared" si="18"/>
        <v>21601.86</v>
      </c>
      <c r="M58" s="745">
        <f t="shared" si="19"/>
        <v>-1600.8600000000006</v>
      </c>
      <c r="N58" s="779">
        <f t="shared" si="20"/>
        <v>1.0800389980500975</v>
      </c>
      <c r="O58" s="780" t="s">
        <v>1453</v>
      </c>
      <c r="P58" s="781">
        <v>0.3473</v>
      </c>
      <c r="Q58" s="781">
        <v>0</v>
      </c>
      <c r="R58" s="781">
        <v>0.65269999999999995</v>
      </c>
      <c r="S58" s="782">
        <f t="shared" si="21"/>
        <v>7502.3259779999998</v>
      </c>
      <c r="T58" s="782">
        <f t="shared" si="21"/>
        <v>0</v>
      </c>
      <c r="U58" s="782">
        <f t="shared" si="21"/>
        <v>14099.534022</v>
      </c>
      <c r="W58" s="782"/>
      <c r="X58" s="782"/>
      <c r="Y58" s="783"/>
      <c r="Z58" s="782"/>
      <c r="AA58" s="782"/>
      <c r="AB58" s="783"/>
      <c r="AC58" s="777">
        <f t="shared" si="8"/>
        <v>0</v>
      </c>
      <c r="AD58" s="790">
        <f t="shared" si="1"/>
        <v>6946.3473000000004</v>
      </c>
      <c r="AE58" s="790">
        <f t="shared" si="0"/>
        <v>13054.652699999999</v>
      </c>
      <c r="AF58" s="790">
        <f t="shared" si="2"/>
        <v>0</v>
      </c>
    </row>
    <row r="59" spans="1:32" ht="15" customHeight="1">
      <c r="A59" s="636" t="s">
        <v>1074</v>
      </c>
      <c r="B59" s="740" t="s">
        <v>1429</v>
      </c>
      <c r="C59" s="741" t="s">
        <v>1454</v>
      </c>
      <c r="D59" s="742" t="s">
        <v>1455</v>
      </c>
      <c r="E59" s="743" t="s">
        <v>1456</v>
      </c>
      <c r="F59" s="744" t="s">
        <v>1433</v>
      </c>
      <c r="G59" s="745">
        <v>25850</v>
      </c>
      <c r="H59" s="746">
        <v>22867.360000000001</v>
      </c>
      <c r="I59" s="745">
        <f t="shared" si="17"/>
        <v>2982.6399999999994</v>
      </c>
      <c r="J59" s="746">
        <v>0</v>
      </c>
      <c r="K59" s="746">
        <v>0</v>
      </c>
      <c r="L59" s="778">
        <f t="shared" si="18"/>
        <v>22867.360000000001</v>
      </c>
      <c r="M59" s="745">
        <f t="shared" si="19"/>
        <v>2982.6399999999994</v>
      </c>
      <c r="N59" s="779">
        <f t="shared" si="20"/>
        <v>0.88461740812379108</v>
      </c>
      <c r="O59" s="780" t="s">
        <v>1457</v>
      </c>
      <c r="P59" s="781">
        <v>0</v>
      </c>
      <c r="Q59" s="781">
        <v>0.8</v>
      </c>
      <c r="R59" s="781">
        <v>0.2</v>
      </c>
      <c r="S59" s="782">
        <f t="shared" si="21"/>
        <v>0</v>
      </c>
      <c r="T59" s="782">
        <f t="shared" si="21"/>
        <v>18293.888000000003</v>
      </c>
      <c r="U59" s="782">
        <f t="shared" si="21"/>
        <v>4573.4720000000007</v>
      </c>
      <c r="W59" s="782"/>
      <c r="X59" s="782"/>
      <c r="Y59" s="783"/>
      <c r="Z59" s="782"/>
      <c r="AA59" s="782"/>
      <c r="AB59" s="783"/>
      <c r="AC59" s="777">
        <f t="shared" si="8"/>
        <v>0</v>
      </c>
      <c r="AD59" s="790">
        <f t="shared" si="1"/>
        <v>0</v>
      </c>
      <c r="AE59" s="790">
        <f t="shared" si="0"/>
        <v>5170</v>
      </c>
      <c r="AF59" s="790">
        <f t="shared" si="2"/>
        <v>20680</v>
      </c>
    </row>
    <row r="60" spans="1:32" ht="15" customHeight="1" thickBot="1">
      <c r="A60" s="636" t="s">
        <v>1036</v>
      </c>
      <c r="B60" s="747" t="e">
        <f>#REF!</f>
        <v>#REF!</v>
      </c>
      <c r="C60" s="748"/>
      <c r="D60" s="749"/>
      <c r="E60" s="750" t="str">
        <f>B59&amp;" - Sub Total"</f>
        <v>Libraries - Sub Total</v>
      </c>
      <c r="F60" s="751"/>
      <c r="G60" s="752">
        <f>SUBTOTAL(9,G53:G59)</f>
        <v>568700.02</v>
      </c>
      <c r="H60" s="752">
        <f>SUBTOTAL(9,H53:H59)</f>
        <v>474051.29</v>
      </c>
      <c r="I60" s="752">
        <f t="shared" si="17"/>
        <v>94648.73000000004</v>
      </c>
      <c r="J60" s="752">
        <f>SUBTOTAL(9,J53:J59)</f>
        <v>389578.03</v>
      </c>
      <c r="K60" s="752">
        <f>SUBTOTAL(9,K53:K59)</f>
        <v>0</v>
      </c>
      <c r="L60" s="752">
        <f>SUBTOTAL(9,L53:L59)</f>
        <v>863629.32000000007</v>
      </c>
      <c r="M60" s="752">
        <f>SUBTOTAL(9,M53:M59)</f>
        <v>-294929.30000000005</v>
      </c>
      <c r="N60" s="784">
        <f>IFERROR(L60/#REF!,0)</f>
        <v>0</v>
      </c>
      <c r="O60" s="785"/>
      <c r="P60" s="752"/>
      <c r="Q60" s="752"/>
      <c r="R60" s="752"/>
      <c r="S60" s="786"/>
      <c r="T60" s="786"/>
      <c r="U60" s="786"/>
      <c r="W60" s="786"/>
      <c r="X60" s="786"/>
      <c r="Y60" s="787"/>
      <c r="Z60" s="786"/>
      <c r="AA60" s="786"/>
      <c r="AB60" s="787"/>
      <c r="AC60" s="777"/>
      <c r="AD60" s="790">
        <f t="shared" si="1"/>
        <v>0</v>
      </c>
      <c r="AE60" s="790">
        <f t="shared" si="0"/>
        <v>0</v>
      </c>
      <c r="AF60" s="790">
        <f t="shared" si="2"/>
        <v>0</v>
      </c>
    </row>
    <row r="61" spans="1:32" ht="15" customHeight="1">
      <c r="A61" s="636" t="s">
        <v>1161</v>
      </c>
      <c r="B61" s="753"/>
      <c r="C61" s="754"/>
      <c r="D61" s="754"/>
      <c r="E61" s="753"/>
      <c r="F61" s="755"/>
      <c r="G61" s="756"/>
      <c r="H61" s="756"/>
      <c r="I61" s="756"/>
      <c r="J61" s="756"/>
      <c r="K61" s="756"/>
      <c r="L61" s="756"/>
      <c r="M61" s="756"/>
      <c r="N61" s="753"/>
      <c r="O61" s="753"/>
      <c r="AC61" s="777"/>
      <c r="AD61" s="790">
        <f t="shared" si="1"/>
        <v>0</v>
      </c>
      <c r="AE61" s="790">
        <f t="shared" si="0"/>
        <v>0</v>
      </c>
      <c r="AF61" s="790">
        <f t="shared" si="2"/>
        <v>0</v>
      </c>
    </row>
    <row r="62" spans="1:32" ht="15" customHeight="1">
      <c r="A62" s="636" t="s">
        <v>1074</v>
      </c>
      <c r="B62" s="740" t="s">
        <v>1458</v>
      </c>
      <c r="C62" s="741" t="s">
        <v>1459</v>
      </c>
      <c r="D62" s="742" t="s">
        <v>1460</v>
      </c>
      <c r="E62" s="743" t="s">
        <v>1461</v>
      </c>
      <c r="F62" s="744" t="s">
        <v>1462</v>
      </c>
      <c r="G62" s="745">
        <v>1038</v>
      </c>
      <c r="H62" s="746">
        <v>0</v>
      </c>
      <c r="I62" s="745">
        <f t="shared" ref="I62:I66" si="22">G62-H62</f>
        <v>1038</v>
      </c>
      <c r="J62" s="746">
        <v>0</v>
      </c>
      <c r="K62" s="746">
        <v>0</v>
      </c>
      <c r="L62" s="778">
        <f t="shared" ref="L62:L65" si="23">H62+J62</f>
        <v>0</v>
      </c>
      <c r="M62" s="745">
        <f t="shared" ref="M62:M65" si="24">G62-L62</f>
        <v>1038</v>
      </c>
      <c r="N62" s="779">
        <f t="shared" ref="N62:N65" si="25">IFERROR(L62/G62,0)</f>
        <v>0</v>
      </c>
      <c r="O62" s="780" t="s">
        <v>1463</v>
      </c>
      <c r="P62" s="781">
        <v>0</v>
      </c>
      <c r="Q62" s="781">
        <v>0</v>
      </c>
      <c r="R62" s="781">
        <v>1</v>
      </c>
      <c r="S62" s="782">
        <f t="shared" ref="S62:U65" si="26">$H62*P62</f>
        <v>0</v>
      </c>
      <c r="T62" s="782">
        <f t="shared" si="26"/>
        <v>0</v>
      </c>
      <c r="U62" s="782">
        <f t="shared" si="26"/>
        <v>0</v>
      </c>
      <c r="W62" s="782"/>
      <c r="X62" s="782"/>
      <c r="Y62" s="783"/>
      <c r="Z62" s="782"/>
      <c r="AA62" s="782"/>
      <c r="AB62" s="783"/>
      <c r="AC62" s="777">
        <f t="shared" si="8"/>
        <v>0</v>
      </c>
      <c r="AD62" s="790">
        <f t="shared" si="1"/>
        <v>0</v>
      </c>
      <c r="AE62" s="790">
        <f t="shared" si="0"/>
        <v>1038</v>
      </c>
      <c r="AF62" s="790">
        <f t="shared" si="2"/>
        <v>0</v>
      </c>
    </row>
    <row r="63" spans="1:32" ht="15" customHeight="1">
      <c r="A63" s="636" t="s">
        <v>1074</v>
      </c>
      <c r="B63" s="740" t="s">
        <v>1458</v>
      </c>
      <c r="C63" s="741" t="s">
        <v>1464</v>
      </c>
      <c r="D63" s="742" t="s">
        <v>1465</v>
      </c>
      <c r="E63" s="743" t="s">
        <v>1466</v>
      </c>
      <c r="F63" s="744" t="s">
        <v>1467</v>
      </c>
      <c r="G63" s="745">
        <v>15570</v>
      </c>
      <c r="H63" s="746">
        <v>0</v>
      </c>
      <c r="I63" s="745">
        <f t="shared" si="22"/>
        <v>15570</v>
      </c>
      <c r="J63" s="746">
        <v>0</v>
      </c>
      <c r="K63" s="746">
        <v>0</v>
      </c>
      <c r="L63" s="778">
        <f t="shared" si="23"/>
        <v>0</v>
      </c>
      <c r="M63" s="745">
        <f t="shared" si="24"/>
        <v>15570</v>
      </c>
      <c r="N63" s="779">
        <f t="shared" si="25"/>
        <v>0</v>
      </c>
      <c r="O63" s="780" t="s">
        <v>1468</v>
      </c>
      <c r="P63" s="781">
        <v>0</v>
      </c>
      <c r="Q63" s="781">
        <v>0</v>
      </c>
      <c r="R63" s="781">
        <v>1</v>
      </c>
      <c r="S63" s="782">
        <f t="shared" si="26"/>
        <v>0</v>
      </c>
      <c r="T63" s="782">
        <f t="shared" si="26"/>
        <v>0</v>
      </c>
      <c r="U63" s="782">
        <f t="shared" si="26"/>
        <v>0</v>
      </c>
      <c r="W63" s="782"/>
      <c r="X63" s="782"/>
      <c r="Y63" s="783"/>
      <c r="Z63" s="782"/>
      <c r="AA63" s="782"/>
      <c r="AB63" s="783"/>
      <c r="AC63" s="777">
        <f t="shared" si="8"/>
        <v>0</v>
      </c>
      <c r="AD63" s="790">
        <f t="shared" si="1"/>
        <v>0</v>
      </c>
      <c r="AE63" s="790">
        <f t="shared" si="0"/>
        <v>15570</v>
      </c>
      <c r="AF63" s="790">
        <f t="shared" si="2"/>
        <v>0</v>
      </c>
    </row>
    <row r="64" spans="1:32" ht="15" customHeight="1">
      <c r="A64" s="636" t="s">
        <v>1074</v>
      </c>
      <c r="B64" s="740" t="s">
        <v>1458</v>
      </c>
      <c r="C64" s="741" t="s">
        <v>1469</v>
      </c>
      <c r="D64" s="742" t="s">
        <v>1470</v>
      </c>
      <c r="E64" s="743" t="s">
        <v>1471</v>
      </c>
      <c r="F64" s="744" t="s">
        <v>1472</v>
      </c>
      <c r="G64" s="745">
        <v>3836000</v>
      </c>
      <c r="H64" s="746">
        <v>1765203.21</v>
      </c>
      <c r="I64" s="745">
        <f t="shared" si="22"/>
        <v>2070796.79</v>
      </c>
      <c r="J64" s="746">
        <v>1708711.7600000002</v>
      </c>
      <c r="K64" s="746">
        <v>0</v>
      </c>
      <c r="L64" s="778">
        <f t="shared" si="23"/>
        <v>3473914.97</v>
      </c>
      <c r="M64" s="745">
        <f t="shared" si="24"/>
        <v>362085.0299999998</v>
      </c>
      <c r="N64" s="779">
        <f t="shared" si="25"/>
        <v>0.90560869916579778</v>
      </c>
      <c r="O64" s="780" t="s">
        <v>1473</v>
      </c>
      <c r="P64" s="781">
        <v>0</v>
      </c>
      <c r="Q64" s="781">
        <v>0.5</v>
      </c>
      <c r="R64" s="781">
        <v>0.5</v>
      </c>
      <c r="S64" s="782">
        <f t="shared" si="26"/>
        <v>0</v>
      </c>
      <c r="T64" s="782">
        <f t="shared" si="26"/>
        <v>882601.60499999998</v>
      </c>
      <c r="U64" s="782">
        <f t="shared" si="26"/>
        <v>882601.60499999998</v>
      </c>
      <c r="W64" s="782"/>
      <c r="X64" s="782"/>
      <c r="Y64" s="783"/>
      <c r="Z64" s="781">
        <v>1</v>
      </c>
      <c r="AA64" s="782"/>
      <c r="AB64" s="783" t="s">
        <v>1474</v>
      </c>
      <c r="AC64" s="777">
        <f t="shared" si="8"/>
        <v>0</v>
      </c>
      <c r="AD64" s="790">
        <f t="shared" si="1"/>
        <v>0</v>
      </c>
      <c r="AE64" s="790">
        <f t="shared" si="0"/>
        <v>1918000</v>
      </c>
      <c r="AF64" s="790">
        <f t="shared" si="2"/>
        <v>1918000</v>
      </c>
    </row>
    <row r="65" spans="1:32" ht="15" customHeight="1">
      <c r="A65" s="636" t="s">
        <v>1074</v>
      </c>
      <c r="B65" s="740" t="s">
        <v>1458</v>
      </c>
      <c r="C65" s="741"/>
      <c r="D65" s="742" t="s">
        <v>1475</v>
      </c>
      <c r="E65" s="743" t="s">
        <v>1476</v>
      </c>
      <c r="F65" s="744" t="s">
        <v>1477</v>
      </c>
      <c r="G65" s="745">
        <v>624000</v>
      </c>
      <c r="H65" s="746">
        <v>624000</v>
      </c>
      <c r="I65" s="745">
        <f t="shared" si="22"/>
        <v>0</v>
      </c>
      <c r="J65" s="746">
        <v>104000</v>
      </c>
      <c r="K65" s="746">
        <v>0</v>
      </c>
      <c r="L65" s="778">
        <f t="shared" si="23"/>
        <v>728000</v>
      </c>
      <c r="M65" s="745">
        <f t="shared" si="24"/>
        <v>-104000</v>
      </c>
      <c r="N65" s="779">
        <f t="shared" si="25"/>
        <v>1.1666666666666667</v>
      </c>
      <c r="O65" s="780" t="s">
        <v>1478</v>
      </c>
      <c r="P65" s="781">
        <v>0</v>
      </c>
      <c r="Q65" s="781">
        <v>0.5</v>
      </c>
      <c r="R65" s="781">
        <v>0.5</v>
      </c>
      <c r="S65" s="782">
        <f t="shared" si="26"/>
        <v>0</v>
      </c>
      <c r="T65" s="782">
        <f t="shared" si="26"/>
        <v>312000</v>
      </c>
      <c r="U65" s="782">
        <f t="shared" si="26"/>
        <v>312000</v>
      </c>
      <c r="W65" s="782"/>
      <c r="X65" s="782"/>
      <c r="Y65" s="783"/>
      <c r="Z65" s="782"/>
      <c r="AA65" s="782"/>
      <c r="AB65" s="783"/>
      <c r="AC65" s="777">
        <f t="shared" si="8"/>
        <v>0</v>
      </c>
      <c r="AD65" s="790">
        <f t="shared" si="1"/>
        <v>0</v>
      </c>
      <c r="AE65" s="790">
        <f t="shared" si="0"/>
        <v>312000</v>
      </c>
      <c r="AF65" s="790">
        <f t="shared" si="2"/>
        <v>312000</v>
      </c>
    </row>
    <row r="66" spans="1:32" ht="15" customHeight="1" thickBot="1">
      <c r="A66" s="636" t="s">
        <v>1036</v>
      </c>
      <c r="B66" s="747" t="e">
        <f>#REF!</f>
        <v>#REF!</v>
      </c>
      <c r="C66" s="748"/>
      <c r="D66" s="749"/>
      <c r="E66" s="750" t="str">
        <f>B65&amp;" - Sub Total"</f>
        <v>Not Applicable - Sub Total</v>
      </c>
      <c r="F66" s="751"/>
      <c r="G66" s="752">
        <f>SUBTOTAL(9,G62:G65)</f>
        <v>4476608</v>
      </c>
      <c r="H66" s="752">
        <f>SUBTOTAL(9,H62:H65)</f>
        <v>2389203.21</v>
      </c>
      <c r="I66" s="752">
        <f t="shared" si="22"/>
        <v>2087404.79</v>
      </c>
      <c r="J66" s="752">
        <f>SUBTOTAL(9,J62:J65)</f>
        <v>1812711.7600000002</v>
      </c>
      <c r="K66" s="752">
        <f>SUBTOTAL(9,K62:K65)</f>
        <v>0</v>
      </c>
      <c r="L66" s="752">
        <f>SUBTOTAL(9,L62:L65)</f>
        <v>4201914.9700000007</v>
      </c>
      <c r="M66" s="752">
        <f>SUBTOTAL(9,M62:M65)</f>
        <v>274693.0299999998</v>
      </c>
      <c r="N66" s="784">
        <f>IFERROR(L66/#REF!,0)</f>
        <v>0</v>
      </c>
      <c r="O66" s="785"/>
      <c r="P66" s="752"/>
      <c r="Q66" s="752"/>
      <c r="R66" s="752"/>
      <c r="S66" s="786"/>
      <c r="T66" s="786"/>
      <c r="U66" s="786"/>
      <c r="W66" s="786"/>
      <c r="X66" s="786"/>
      <c r="Y66" s="787"/>
      <c r="Z66" s="786"/>
      <c r="AA66" s="786"/>
      <c r="AB66" s="787"/>
      <c r="AC66" s="777"/>
      <c r="AD66" s="790">
        <f t="shared" si="1"/>
        <v>0</v>
      </c>
      <c r="AE66" s="790">
        <f t="shared" si="0"/>
        <v>0</v>
      </c>
      <c r="AF66" s="790">
        <f t="shared" si="2"/>
        <v>0</v>
      </c>
    </row>
    <row r="67" spans="1:32" ht="15" customHeight="1">
      <c r="A67" s="636" t="s">
        <v>1161</v>
      </c>
      <c r="B67" s="753"/>
      <c r="C67" s="754"/>
      <c r="D67" s="754"/>
      <c r="E67" s="753"/>
      <c r="F67" s="755"/>
      <c r="G67" s="756"/>
      <c r="H67" s="756"/>
      <c r="I67" s="756"/>
      <c r="J67" s="756"/>
      <c r="K67" s="756"/>
      <c r="L67" s="756"/>
      <c r="M67" s="756"/>
      <c r="N67" s="753"/>
      <c r="O67" s="753"/>
      <c r="AC67" s="777"/>
      <c r="AD67" s="790">
        <f t="shared" si="1"/>
        <v>0</v>
      </c>
      <c r="AE67" s="790">
        <f t="shared" si="0"/>
        <v>0</v>
      </c>
      <c r="AF67" s="790">
        <f t="shared" si="2"/>
        <v>0</v>
      </c>
    </row>
    <row r="68" spans="1:32" ht="15" customHeight="1">
      <c r="A68" s="636" t="s">
        <v>1074</v>
      </c>
      <c r="B68" s="740" t="s">
        <v>1479</v>
      </c>
      <c r="C68" s="741" t="s">
        <v>1480</v>
      </c>
      <c r="D68" s="742" t="s">
        <v>1481</v>
      </c>
      <c r="E68" s="743" t="s">
        <v>1482</v>
      </c>
      <c r="F68" s="744" t="s">
        <v>1483</v>
      </c>
      <c r="G68" s="745">
        <v>37630</v>
      </c>
      <c r="H68" s="746">
        <v>28119.08</v>
      </c>
      <c r="I68" s="745">
        <f t="shared" ref="I68:I114" si="27">G68-H68</f>
        <v>9510.9199999999983</v>
      </c>
      <c r="J68" s="746">
        <v>389</v>
      </c>
      <c r="K68" s="746">
        <v>0</v>
      </c>
      <c r="L68" s="778">
        <f t="shared" ref="L68:L113" si="28">H68+J68</f>
        <v>28508.080000000002</v>
      </c>
      <c r="M68" s="745">
        <f t="shared" ref="M68:M113" si="29">G68-L68</f>
        <v>9121.9199999999983</v>
      </c>
      <c r="N68" s="779">
        <f t="shared" ref="N68:N113" si="30">IFERROR(L68/G68,0)</f>
        <v>0.75758915758703171</v>
      </c>
      <c r="O68" s="780" t="s">
        <v>1484</v>
      </c>
      <c r="P68" s="781">
        <v>0</v>
      </c>
      <c r="Q68" s="781">
        <v>0.8</v>
      </c>
      <c r="R68" s="781">
        <v>0.2</v>
      </c>
      <c r="S68" s="782">
        <f t="shared" ref="S68:U96" si="31">$H68*P68</f>
        <v>0</v>
      </c>
      <c r="T68" s="782">
        <f t="shared" si="31"/>
        <v>22495.264000000003</v>
      </c>
      <c r="U68" s="782">
        <f t="shared" si="31"/>
        <v>5623.8160000000007</v>
      </c>
      <c r="W68" s="782"/>
      <c r="X68" s="782"/>
      <c r="Y68" s="783"/>
      <c r="Z68" s="782"/>
      <c r="AA68" s="782"/>
      <c r="AB68" s="783"/>
      <c r="AC68" s="777">
        <f t="shared" si="8"/>
        <v>0</v>
      </c>
      <c r="AD68" s="790">
        <f t="shared" si="1"/>
        <v>0</v>
      </c>
      <c r="AE68" s="790">
        <f t="shared" si="0"/>
        <v>7526</v>
      </c>
      <c r="AF68" s="790">
        <f t="shared" si="2"/>
        <v>30104</v>
      </c>
    </row>
    <row r="69" spans="1:32" ht="15" customHeight="1">
      <c r="A69" s="636" t="s">
        <v>1074</v>
      </c>
      <c r="B69" s="740" t="s">
        <v>1479</v>
      </c>
      <c r="C69" s="741" t="s">
        <v>1485</v>
      </c>
      <c r="D69" s="742" t="s">
        <v>1486</v>
      </c>
      <c r="E69" s="743" t="s">
        <v>1487</v>
      </c>
      <c r="F69" s="744" t="s">
        <v>1483</v>
      </c>
      <c r="G69" s="745">
        <v>42960</v>
      </c>
      <c r="H69" s="746">
        <v>22925.02</v>
      </c>
      <c r="I69" s="745">
        <f t="shared" si="27"/>
        <v>20034.98</v>
      </c>
      <c r="J69" s="746">
        <v>1250</v>
      </c>
      <c r="K69" s="746">
        <v>0</v>
      </c>
      <c r="L69" s="778">
        <f t="shared" si="28"/>
        <v>24175.02</v>
      </c>
      <c r="M69" s="745">
        <f t="shared" si="29"/>
        <v>18784.98</v>
      </c>
      <c r="N69" s="779">
        <f t="shared" si="30"/>
        <v>0.56273324022346372</v>
      </c>
      <c r="O69" s="780" t="s">
        <v>1488</v>
      </c>
      <c r="P69" s="781">
        <v>0</v>
      </c>
      <c r="Q69" s="781">
        <v>0.8</v>
      </c>
      <c r="R69" s="781">
        <v>0.2</v>
      </c>
      <c r="S69" s="782">
        <f t="shared" si="31"/>
        <v>0</v>
      </c>
      <c r="T69" s="782">
        <f t="shared" si="31"/>
        <v>18340.016</v>
      </c>
      <c r="U69" s="782">
        <f t="shared" si="31"/>
        <v>4585.0039999999999</v>
      </c>
      <c r="W69" s="782"/>
      <c r="X69" s="782"/>
      <c r="Y69" s="783"/>
      <c r="Z69" s="782"/>
      <c r="AA69" s="782"/>
      <c r="AB69" s="783"/>
      <c r="AC69" s="777">
        <f t="shared" si="8"/>
        <v>0</v>
      </c>
      <c r="AD69" s="790">
        <f t="shared" si="1"/>
        <v>0</v>
      </c>
      <c r="AE69" s="790">
        <f t="shared" si="0"/>
        <v>8592</v>
      </c>
      <c r="AF69" s="790">
        <f t="shared" si="2"/>
        <v>34368</v>
      </c>
    </row>
    <row r="70" spans="1:32" ht="15" customHeight="1">
      <c r="A70" s="636" t="s">
        <v>1074</v>
      </c>
      <c r="B70" s="740" t="s">
        <v>1479</v>
      </c>
      <c r="C70" s="741" t="s">
        <v>1489</v>
      </c>
      <c r="D70" s="742" t="s">
        <v>1490</v>
      </c>
      <c r="E70" s="743" t="s">
        <v>1491</v>
      </c>
      <c r="F70" s="744" t="s">
        <v>1492</v>
      </c>
      <c r="G70" s="745">
        <v>35658</v>
      </c>
      <c r="H70" s="746">
        <v>12366.8</v>
      </c>
      <c r="I70" s="745">
        <f t="shared" si="27"/>
        <v>23291.200000000001</v>
      </c>
      <c r="J70" s="746">
        <v>0</v>
      </c>
      <c r="K70" s="746">
        <v>0</v>
      </c>
      <c r="L70" s="778">
        <f t="shared" si="28"/>
        <v>12366.8</v>
      </c>
      <c r="M70" s="745">
        <f t="shared" si="29"/>
        <v>23291.200000000001</v>
      </c>
      <c r="N70" s="779">
        <f t="shared" si="30"/>
        <v>0.34681698356610013</v>
      </c>
      <c r="O70" s="780" t="s">
        <v>1493</v>
      </c>
      <c r="P70" s="781">
        <v>0.28999999999999998</v>
      </c>
      <c r="Q70" s="781">
        <v>0</v>
      </c>
      <c r="R70" s="781">
        <v>0.71</v>
      </c>
      <c r="S70" s="782">
        <f t="shared" si="31"/>
        <v>3586.3719999999994</v>
      </c>
      <c r="T70" s="782">
        <f t="shared" si="31"/>
        <v>0</v>
      </c>
      <c r="U70" s="782">
        <f t="shared" si="31"/>
        <v>8780.4279999999999</v>
      </c>
      <c r="W70" s="782"/>
      <c r="X70" s="782"/>
      <c r="Y70" s="783"/>
      <c r="Z70" s="782"/>
      <c r="AA70" s="782"/>
      <c r="AB70" s="783"/>
      <c r="AC70" s="777">
        <f t="shared" si="8"/>
        <v>0</v>
      </c>
      <c r="AD70" s="790">
        <f t="shared" si="1"/>
        <v>10340.82</v>
      </c>
      <c r="AE70" s="790">
        <f t="shared" si="0"/>
        <v>25317.18</v>
      </c>
      <c r="AF70" s="790">
        <f t="shared" si="2"/>
        <v>0</v>
      </c>
    </row>
    <row r="71" spans="1:32" ht="15" customHeight="1">
      <c r="A71" s="636" t="s">
        <v>1074</v>
      </c>
      <c r="B71" s="740" t="s">
        <v>1479</v>
      </c>
      <c r="C71" s="741" t="s">
        <v>1494</v>
      </c>
      <c r="D71" s="742" t="s">
        <v>1495</v>
      </c>
      <c r="E71" s="743" t="s">
        <v>1496</v>
      </c>
      <c r="F71" s="744" t="s">
        <v>1497</v>
      </c>
      <c r="G71" s="745">
        <v>346344</v>
      </c>
      <c r="H71" s="746">
        <v>349849.93</v>
      </c>
      <c r="I71" s="745">
        <f t="shared" si="27"/>
        <v>-3505.929999999993</v>
      </c>
      <c r="J71" s="746">
        <v>3500</v>
      </c>
      <c r="K71" s="746">
        <v>0</v>
      </c>
      <c r="L71" s="778">
        <f t="shared" si="28"/>
        <v>353349.93</v>
      </c>
      <c r="M71" s="745">
        <f t="shared" si="29"/>
        <v>-7005.929999999993</v>
      </c>
      <c r="N71" s="779">
        <f t="shared" si="30"/>
        <v>1.0202282412861201</v>
      </c>
      <c r="O71" s="780" t="s">
        <v>1496</v>
      </c>
      <c r="P71" s="781">
        <v>0</v>
      </c>
      <c r="Q71" s="781">
        <v>0.6</v>
      </c>
      <c r="R71" s="781">
        <v>0.4</v>
      </c>
      <c r="S71" s="782">
        <f t="shared" si="31"/>
        <v>0</v>
      </c>
      <c r="T71" s="782">
        <f t="shared" si="31"/>
        <v>209909.95799999998</v>
      </c>
      <c r="U71" s="782">
        <f t="shared" si="31"/>
        <v>139939.97200000001</v>
      </c>
      <c r="W71" s="782"/>
      <c r="X71" s="782"/>
      <c r="Y71" s="783"/>
      <c r="Z71" s="782"/>
      <c r="AA71" s="782"/>
      <c r="AB71" s="783"/>
      <c r="AC71" s="777">
        <f t="shared" si="8"/>
        <v>0</v>
      </c>
      <c r="AD71" s="790">
        <f t="shared" si="1"/>
        <v>0</v>
      </c>
      <c r="AE71" s="790">
        <f t="shared" ref="AE71:AE134" si="32">$G71*R71</f>
        <v>138537.60000000001</v>
      </c>
      <c r="AF71" s="790">
        <f t="shared" si="2"/>
        <v>207806.4</v>
      </c>
    </row>
    <row r="72" spans="1:32" ht="15" customHeight="1">
      <c r="A72" s="636" t="s">
        <v>1074</v>
      </c>
      <c r="B72" s="740" t="s">
        <v>1479</v>
      </c>
      <c r="C72" s="741" t="s">
        <v>1498</v>
      </c>
      <c r="D72" s="742" t="s">
        <v>1499</v>
      </c>
      <c r="E72" s="743" t="s">
        <v>1500</v>
      </c>
      <c r="F72" s="744" t="s">
        <v>1497</v>
      </c>
      <c r="G72" s="745">
        <v>388732</v>
      </c>
      <c r="H72" s="746">
        <v>384710.6</v>
      </c>
      <c r="I72" s="745">
        <f t="shared" si="27"/>
        <v>4021.4000000000233</v>
      </c>
      <c r="J72" s="746">
        <v>0</v>
      </c>
      <c r="K72" s="746">
        <v>0</v>
      </c>
      <c r="L72" s="778">
        <f t="shared" si="28"/>
        <v>384710.6</v>
      </c>
      <c r="M72" s="745">
        <f t="shared" si="29"/>
        <v>4021.4000000000233</v>
      </c>
      <c r="N72" s="779">
        <f t="shared" si="30"/>
        <v>0.98965508370805588</v>
      </c>
      <c r="O72" s="780" t="s">
        <v>1500</v>
      </c>
      <c r="P72" s="781">
        <v>0</v>
      </c>
      <c r="Q72" s="781">
        <v>0.8</v>
      </c>
      <c r="R72" s="781">
        <v>0.2</v>
      </c>
      <c r="S72" s="782">
        <f t="shared" si="31"/>
        <v>0</v>
      </c>
      <c r="T72" s="782">
        <f t="shared" si="31"/>
        <v>307768.48</v>
      </c>
      <c r="U72" s="782">
        <f t="shared" si="31"/>
        <v>76942.12</v>
      </c>
      <c r="W72" s="782"/>
      <c r="X72" s="782"/>
      <c r="Y72" s="783"/>
      <c r="Z72" s="782"/>
      <c r="AA72" s="782"/>
      <c r="AB72" s="783"/>
      <c r="AC72" s="777">
        <f t="shared" si="8"/>
        <v>0</v>
      </c>
      <c r="AD72" s="790">
        <f t="shared" ref="AD72:AD135" si="33">$G72*P72</f>
        <v>0</v>
      </c>
      <c r="AE72" s="790">
        <f t="shared" si="32"/>
        <v>77746.400000000009</v>
      </c>
      <c r="AF72" s="790">
        <f t="shared" ref="AF72:AF135" si="34">$G72*Q72</f>
        <v>310985.60000000003</v>
      </c>
    </row>
    <row r="73" spans="1:32" ht="15" customHeight="1">
      <c r="A73" s="636" t="s">
        <v>1074</v>
      </c>
      <c r="B73" s="740" t="s">
        <v>1479</v>
      </c>
      <c r="C73" s="741" t="s">
        <v>1501</v>
      </c>
      <c r="D73" s="742" t="s">
        <v>1502</v>
      </c>
      <c r="E73" s="743" t="s">
        <v>1503</v>
      </c>
      <c r="F73" s="744" t="s">
        <v>1497</v>
      </c>
      <c r="G73" s="745">
        <v>326059</v>
      </c>
      <c r="H73" s="746">
        <v>375184.27</v>
      </c>
      <c r="I73" s="745">
        <f t="shared" si="27"/>
        <v>-49125.270000000019</v>
      </c>
      <c r="J73" s="746">
        <v>76905.350000000006</v>
      </c>
      <c r="K73" s="746">
        <v>0</v>
      </c>
      <c r="L73" s="778">
        <f t="shared" si="28"/>
        <v>452089.62</v>
      </c>
      <c r="M73" s="745">
        <f t="shared" si="29"/>
        <v>-126030.62</v>
      </c>
      <c r="N73" s="779">
        <f t="shared" si="30"/>
        <v>1.3865270395848603</v>
      </c>
      <c r="O73" s="788" t="s">
        <v>1504</v>
      </c>
      <c r="P73" s="781">
        <v>0</v>
      </c>
      <c r="Q73" s="781">
        <v>0.8</v>
      </c>
      <c r="R73" s="781">
        <v>0.2</v>
      </c>
      <c r="S73" s="782">
        <f t="shared" si="31"/>
        <v>0</v>
      </c>
      <c r="T73" s="782">
        <f t="shared" si="31"/>
        <v>300147.41600000003</v>
      </c>
      <c r="U73" s="782">
        <f t="shared" si="31"/>
        <v>75036.854000000007</v>
      </c>
      <c r="W73" s="782"/>
      <c r="X73" s="782"/>
      <c r="Y73" s="783"/>
      <c r="Z73" s="782"/>
      <c r="AA73" s="782"/>
      <c r="AB73" s="783"/>
      <c r="AC73" s="777">
        <f t="shared" si="8"/>
        <v>0</v>
      </c>
      <c r="AD73" s="790">
        <f t="shared" si="33"/>
        <v>0</v>
      </c>
      <c r="AE73" s="790">
        <f t="shared" si="32"/>
        <v>65211.8</v>
      </c>
      <c r="AF73" s="790">
        <f t="shared" si="34"/>
        <v>260847.2</v>
      </c>
    </row>
    <row r="74" spans="1:32" ht="15" customHeight="1">
      <c r="A74" s="636" t="s">
        <v>1074</v>
      </c>
      <c r="B74" s="740" t="s">
        <v>1479</v>
      </c>
      <c r="C74" s="741" t="s">
        <v>1505</v>
      </c>
      <c r="D74" s="742" t="s">
        <v>1506</v>
      </c>
      <c r="E74" s="743" t="s">
        <v>1507</v>
      </c>
      <c r="F74" s="744" t="s">
        <v>1497</v>
      </c>
      <c r="G74" s="745">
        <v>194069</v>
      </c>
      <c r="H74" s="746">
        <v>193362.6</v>
      </c>
      <c r="I74" s="745">
        <f t="shared" si="27"/>
        <v>706.39999999999418</v>
      </c>
      <c r="J74" s="746">
        <v>32300.7</v>
      </c>
      <c r="K74" s="746">
        <v>0</v>
      </c>
      <c r="L74" s="778">
        <f t="shared" si="28"/>
        <v>225663.30000000002</v>
      </c>
      <c r="M74" s="745">
        <f t="shared" si="29"/>
        <v>-31594.300000000017</v>
      </c>
      <c r="N74" s="779">
        <f t="shared" si="30"/>
        <v>1.1627993136461774</v>
      </c>
      <c r="O74" s="780" t="s">
        <v>1508</v>
      </c>
      <c r="P74" s="781">
        <v>0</v>
      </c>
      <c r="Q74" s="781">
        <v>0.8</v>
      </c>
      <c r="R74" s="781">
        <v>0.2</v>
      </c>
      <c r="S74" s="782">
        <f t="shared" si="31"/>
        <v>0</v>
      </c>
      <c r="T74" s="782">
        <f t="shared" si="31"/>
        <v>154690.08000000002</v>
      </c>
      <c r="U74" s="782">
        <f t="shared" si="31"/>
        <v>38672.520000000004</v>
      </c>
      <c r="W74" s="782"/>
      <c r="X74" s="782"/>
      <c r="Y74" s="783"/>
      <c r="Z74" s="782"/>
      <c r="AA74" s="782"/>
      <c r="AB74" s="783"/>
      <c r="AC74" s="777">
        <f t="shared" ref="AC74:AC137" si="35">H74-SUM(S74:U74)</f>
        <v>0</v>
      </c>
      <c r="AD74" s="790">
        <f t="shared" si="33"/>
        <v>0</v>
      </c>
      <c r="AE74" s="790">
        <f t="shared" si="32"/>
        <v>38813.800000000003</v>
      </c>
      <c r="AF74" s="790">
        <f t="shared" si="34"/>
        <v>155255.20000000001</v>
      </c>
    </row>
    <row r="75" spans="1:32" ht="15" customHeight="1">
      <c r="A75" s="636" t="s">
        <v>1074</v>
      </c>
      <c r="B75" s="740" t="s">
        <v>1479</v>
      </c>
      <c r="C75" s="741" t="s">
        <v>1509</v>
      </c>
      <c r="D75" s="742" t="s">
        <v>1510</v>
      </c>
      <c r="E75" s="743" t="s">
        <v>1511</v>
      </c>
      <c r="F75" s="744" t="s">
        <v>1492</v>
      </c>
      <c r="G75" s="745">
        <v>845100</v>
      </c>
      <c r="H75" s="746">
        <v>239178.07</v>
      </c>
      <c r="I75" s="745">
        <f t="shared" si="27"/>
        <v>605921.92999999993</v>
      </c>
      <c r="J75" s="746">
        <v>211652.21</v>
      </c>
      <c r="K75" s="746">
        <v>617287.63</v>
      </c>
      <c r="L75" s="778">
        <f t="shared" si="28"/>
        <v>450830.28</v>
      </c>
      <c r="M75" s="745">
        <f t="shared" si="29"/>
        <v>394269.72</v>
      </c>
      <c r="N75" s="779">
        <f t="shared" si="30"/>
        <v>0.53346382676606319</v>
      </c>
      <c r="O75" s="780" t="s">
        <v>1512</v>
      </c>
      <c r="P75" s="781">
        <v>0.27500000000000002</v>
      </c>
      <c r="Q75" s="781">
        <v>0.1673</v>
      </c>
      <c r="R75" s="781">
        <v>0.55769999999999997</v>
      </c>
      <c r="S75" s="782">
        <f t="shared" si="31"/>
        <v>65773.969250000009</v>
      </c>
      <c r="T75" s="782">
        <f t="shared" si="31"/>
        <v>40014.491111000003</v>
      </c>
      <c r="U75" s="782">
        <f t="shared" si="31"/>
        <v>133389.609639</v>
      </c>
      <c r="W75" s="782"/>
      <c r="X75" s="782"/>
      <c r="Y75" s="783"/>
      <c r="Z75" s="782"/>
      <c r="AA75" s="782"/>
      <c r="AB75" s="783"/>
      <c r="AC75" s="777">
        <f t="shared" si="35"/>
        <v>0</v>
      </c>
      <c r="AD75" s="790">
        <f t="shared" si="33"/>
        <v>232402.50000000003</v>
      </c>
      <c r="AE75" s="790">
        <f t="shared" si="32"/>
        <v>471312.26999999996</v>
      </c>
      <c r="AF75" s="790">
        <f t="shared" si="34"/>
        <v>141385.23000000001</v>
      </c>
    </row>
    <row r="76" spans="1:32" ht="15" customHeight="1">
      <c r="A76" s="636" t="s">
        <v>1074</v>
      </c>
      <c r="B76" s="740" t="s">
        <v>1479</v>
      </c>
      <c r="C76" s="741" t="s">
        <v>1513</v>
      </c>
      <c r="D76" s="742" t="s">
        <v>1514</v>
      </c>
      <c r="E76" s="743" t="s">
        <v>1515</v>
      </c>
      <c r="F76" s="744" t="s">
        <v>1497</v>
      </c>
      <c r="G76" s="745">
        <v>180040</v>
      </c>
      <c r="H76" s="746">
        <v>158228</v>
      </c>
      <c r="I76" s="745">
        <f t="shared" si="27"/>
        <v>21812</v>
      </c>
      <c r="J76" s="746">
        <v>9331.1200000000008</v>
      </c>
      <c r="K76" s="746">
        <v>0</v>
      </c>
      <c r="L76" s="778">
        <f t="shared" si="28"/>
        <v>167559.12</v>
      </c>
      <c r="M76" s="745">
        <f t="shared" si="29"/>
        <v>12480.880000000005</v>
      </c>
      <c r="N76" s="779">
        <f t="shared" si="30"/>
        <v>0.93067718284825596</v>
      </c>
      <c r="O76" s="780" t="s">
        <v>1516</v>
      </c>
      <c r="P76" s="781">
        <v>0</v>
      </c>
      <c r="Q76" s="781">
        <v>0.8</v>
      </c>
      <c r="R76" s="781">
        <v>0.2</v>
      </c>
      <c r="S76" s="782">
        <f t="shared" si="31"/>
        <v>0</v>
      </c>
      <c r="T76" s="782">
        <f t="shared" si="31"/>
        <v>126582.40000000001</v>
      </c>
      <c r="U76" s="782">
        <f t="shared" si="31"/>
        <v>31645.600000000002</v>
      </c>
      <c r="W76" s="782"/>
      <c r="X76" s="782"/>
      <c r="Y76" s="783"/>
      <c r="Z76" s="782"/>
      <c r="AA76" s="782"/>
      <c r="AB76" s="783"/>
      <c r="AC76" s="777">
        <f t="shared" si="35"/>
        <v>0</v>
      </c>
      <c r="AD76" s="790">
        <f t="shared" si="33"/>
        <v>0</v>
      </c>
      <c r="AE76" s="790">
        <f t="shared" si="32"/>
        <v>36008</v>
      </c>
      <c r="AF76" s="790">
        <f t="shared" si="34"/>
        <v>144032</v>
      </c>
    </row>
    <row r="77" spans="1:32" ht="15" customHeight="1">
      <c r="A77" s="636" t="s">
        <v>1074</v>
      </c>
      <c r="B77" s="740" t="s">
        <v>1479</v>
      </c>
      <c r="C77" s="741" t="s">
        <v>1517</v>
      </c>
      <c r="D77" s="742" t="s">
        <v>1518</v>
      </c>
      <c r="E77" s="743" t="s">
        <v>1519</v>
      </c>
      <c r="F77" s="744" t="s">
        <v>1497</v>
      </c>
      <c r="G77" s="745">
        <v>80040</v>
      </c>
      <c r="H77" s="746">
        <v>1774.03</v>
      </c>
      <c r="I77" s="745">
        <f t="shared" si="27"/>
        <v>78265.97</v>
      </c>
      <c r="J77" s="746">
        <v>0</v>
      </c>
      <c r="K77" s="746">
        <v>0</v>
      </c>
      <c r="L77" s="778">
        <f t="shared" si="28"/>
        <v>1774.03</v>
      </c>
      <c r="M77" s="745">
        <f t="shared" si="29"/>
        <v>78265.97</v>
      </c>
      <c r="N77" s="779">
        <f t="shared" si="30"/>
        <v>2.2164292853573214E-2</v>
      </c>
      <c r="O77" s="780" t="s">
        <v>1520</v>
      </c>
      <c r="P77" s="781">
        <v>0</v>
      </c>
      <c r="Q77" s="781">
        <v>0.8</v>
      </c>
      <c r="R77" s="781">
        <v>0.2</v>
      </c>
      <c r="S77" s="782">
        <f t="shared" si="31"/>
        <v>0</v>
      </c>
      <c r="T77" s="782">
        <f t="shared" si="31"/>
        <v>1419.2240000000002</v>
      </c>
      <c r="U77" s="782">
        <f t="shared" si="31"/>
        <v>354.80600000000004</v>
      </c>
      <c r="W77" s="782"/>
      <c r="X77" s="782"/>
      <c r="Y77" s="783"/>
      <c r="Z77" s="782"/>
      <c r="AA77" s="782"/>
      <c r="AB77" s="783"/>
      <c r="AC77" s="777">
        <f t="shared" si="35"/>
        <v>0</v>
      </c>
      <c r="AD77" s="790">
        <f t="shared" si="33"/>
        <v>0</v>
      </c>
      <c r="AE77" s="790">
        <f t="shared" si="32"/>
        <v>16008</v>
      </c>
      <c r="AF77" s="790">
        <f t="shared" si="34"/>
        <v>64032</v>
      </c>
    </row>
    <row r="78" spans="1:32" ht="15" customHeight="1">
      <c r="A78" s="636" t="s">
        <v>1074</v>
      </c>
      <c r="B78" s="740" t="s">
        <v>1479</v>
      </c>
      <c r="C78" s="741" t="s">
        <v>1521</v>
      </c>
      <c r="D78" s="742" t="s">
        <v>1522</v>
      </c>
      <c r="E78" s="743" t="s">
        <v>1523</v>
      </c>
      <c r="F78" s="744" t="s">
        <v>1497</v>
      </c>
      <c r="G78" s="745">
        <v>87277</v>
      </c>
      <c r="H78" s="746">
        <v>39899.74</v>
      </c>
      <c r="I78" s="745">
        <f t="shared" si="27"/>
        <v>47377.26</v>
      </c>
      <c r="J78" s="746">
        <v>0</v>
      </c>
      <c r="K78" s="746">
        <v>0</v>
      </c>
      <c r="L78" s="778">
        <f t="shared" si="28"/>
        <v>39899.74</v>
      </c>
      <c r="M78" s="745">
        <f t="shared" si="29"/>
        <v>47377.26</v>
      </c>
      <c r="N78" s="779">
        <f t="shared" si="30"/>
        <v>0.45716213893694785</v>
      </c>
      <c r="O78" s="780" t="s">
        <v>1524</v>
      </c>
      <c r="P78" s="781">
        <v>0.21</v>
      </c>
      <c r="Q78" s="781">
        <v>0.71</v>
      </c>
      <c r="R78" s="781">
        <v>0.08</v>
      </c>
      <c r="S78" s="782">
        <f t="shared" si="31"/>
        <v>8378.9453999999987</v>
      </c>
      <c r="T78" s="782">
        <f t="shared" si="31"/>
        <v>28328.815399999996</v>
      </c>
      <c r="U78" s="782">
        <f t="shared" si="31"/>
        <v>3191.9791999999998</v>
      </c>
      <c r="W78" s="782"/>
      <c r="X78" s="782"/>
      <c r="Y78" s="783"/>
      <c r="Z78" s="782"/>
      <c r="AA78" s="782"/>
      <c r="AB78" s="783"/>
      <c r="AC78" s="777">
        <f t="shared" si="35"/>
        <v>0</v>
      </c>
      <c r="AD78" s="790">
        <f t="shared" si="33"/>
        <v>18328.169999999998</v>
      </c>
      <c r="AE78" s="790">
        <f t="shared" si="32"/>
        <v>6982.16</v>
      </c>
      <c r="AF78" s="790">
        <f t="shared" si="34"/>
        <v>61966.67</v>
      </c>
    </row>
    <row r="79" spans="1:32" ht="15" customHeight="1">
      <c r="A79" s="636" t="s">
        <v>1074</v>
      </c>
      <c r="B79" s="740" t="s">
        <v>1479</v>
      </c>
      <c r="C79" s="741" t="s">
        <v>1525</v>
      </c>
      <c r="D79" s="742" t="s">
        <v>1526</v>
      </c>
      <c r="E79" s="743" t="s">
        <v>1527</v>
      </c>
      <c r="F79" s="744" t="s">
        <v>1492</v>
      </c>
      <c r="G79" s="745">
        <v>246650</v>
      </c>
      <c r="H79" s="746">
        <v>173285.95</v>
      </c>
      <c r="I79" s="745">
        <f t="shared" si="27"/>
        <v>73364.049999999988</v>
      </c>
      <c r="J79" s="746">
        <v>3623.83</v>
      </c>
      <c r="K79" s="746">
        <v>0</v>
      </c>
      <c r="L79" s="778">
        <f t="shared" si="28"/>
        <v>176909.78</v>
      </c>
      <c r="M79" s="745">
        <f t="shared" si="29"/>
        <v>69740.22</v>
      </c>
      <c r="N79" s="779">
        <f t="shared" si="30"/>
        <v>0.71725027366713967</v>
      </c>
      <c r="O79" s="780" t="s">
        <v>1528</v>
      </c>
      <c r="P79" s="781">
        <v>0.27500000000000002</v>
      </c>
      <c r="Q79" s="781">
        <v>0.36249999999999999</v>
      </c>
      <c r="R79" s="781">
        <v>0.36249999999999999</v>
      </c>
      <c r="S79" s="782">
        <f t="shared" si="31"/>
        <v>47653.63625000001</v>
      </c>
      <c r="T79" s="782">
        <f t="shared" si="31"/>
        <v>62816.156875000001</v>
      </c>
      <c r="U79" s="782">
        <f t="shared" si="31"/>
        <v>62816.156875000001</v>
      </c>
      <c r="W79" s="782"/>
      <c r="X79" s="782"/>
      <c r="Y79" s="783"/>
      <c r="Z79" s="781">
        <v>1</v>
      </c>
      <c r="AA79" s="782"/>
      <c r="AB79" s="783" t="s">
        <v>1529</v>
      </c>
      <c r="AC79" s="777">
        <f t="shared" si="35"/>
        <v>0</v>
      </c>
      <c r="AD79" s="790">
        <f t="shared" si="33"/>
        <v>67828.75</v>
      </c>
      <c r="AE79" s="790">
        <f t="shared" si="32"/>
        <v>89410.625</v>
      </c>
      <c r="AF79" s="790">
        <f t="shared" si="34"/>
        <v>89410.625</v>
      </c>
    </row>
    <row r="80" spans="1:32" ht="15" customHeight="1">
      <c r="A80" s="636" t="s">
        <v>1074</v>
      </c>
      <c r="B80" s="740" t="s">
        <v>1479</v>
      </c>
      <c r="C80" s="741" t="s">
        <v>1530</v>
      </c>
      <c r="D80" s="742" t="s">
        <v>1531</v>
      </c>
      <c r="E80" s="743" t="s">
        <v>1532</v>
      </c>
      <c r="F80" s="744" t="s">
        <v>1492</v>
      </c>
      <c r="G80" s="745">
        <v>217902</v>
      </c>
      <c r="H80" s="746">
        <v>33606.51</v>
      </c>
      <c r="I80" s="745">
        <f t="shared" si="27"/>
        <v>184295.49</v>
      </c>
      <c r="J80" s="746">
        <v>20554.8</v>
      </c>
      <c r="K80" s="746">
        <v>0</v>
      </c>
      <c r="L80" s="778">
        <f t="shared" si="28"/>
        <v>54161.31</v>
      </c>
      <c r="M80" s="745">
        <f t="shared" si="29"/>
        <v>163740.69</v>
      </c>
      <c r="N80" s="779">
        <f t="shared" si="30"/>
        <v>0.24855811328028196</v>
      </c>
      <c r="O80" s="780" t="s">
        <v>1533</v>
      </c>
      <c r="P80" s="781">
        <v>0</v>
      </c>
      <c r="Q80" s="781">
        <v>0</v>
      </c>
      <c r="R80" s="781">
        <v>1</v>
      </c>
      <c r="S80" s="782">
        <f t="shared" si="31"/>
        <v>0</v>
      </c>
      <c r="T80" s="782">
        <f t="shared" si="31"/>
        <v>0</v>
      </c>
      <c r="U80" s="782">
        <f t="shared" si="31"/>
        <v>33606.51</v>
      </c>
      <c r="W80" s="782"/>
      <c r="X80" s="782"/>
      <c r="Y80" s="783"/>
      <c r="Z80" s="782"/>
      <c r="AA80" s="782"/>
      <c r="AB80" s="783"/>
      <c r="AC80" s="777">
        <f t="shared" si="35"/>
        <v>0</v>
      </c>
      <c r="AD80" s="790">
        <f t="shared" si="33"/>
        <v>0</v>
      </c>
      <c r="AE80" s="790">
        <f t="shared" si="32"/>
        <v>217902</v>
      </c>
      <c r="AF80" s="790">
        <f t="shared" si="34"/>
        <v>0</v>
      </c>
    </row>
    <row r="81" spans="1:32" ht="15" customHeight="1">
      <c r="A81" s="636" t="s">
        <v>1074</v>
      </c>
      <c r="B81" s="740" t="s">
        <v>1479</v>
      </c>
      <c r="C81" s="741" t="s">
        <v>1534</v>
      </c>
      <c r="D81" s="742" t="s">
        <v>1535</v>
      </c>
      <c r="E81" s="743" t="s">
        <v>1536</v>
      </c>
      <c r="F81" s="744" t="s">
        <v>1483</v>
      </c>
      <c r="G81" s="745">
        <v>31019</v>
      </c>
      <c r="H81" s="746">
        <v>27258.73</v>
      </c>
      <c r="I81" s="745">
        <f t="shared" si="27"/>
        <v>3760.2700000000004</v>
      </c>
      <c r="J81" s="746">
        <v>3758</v>
      </c>
      <c r="K81" s="746">
        <v>0</v>
      </c>
      <c r="L81" s="778">
        <f t="shared" si="28"/>
        <v>31016.73</v>
      </c>
      <c r="M81" s="745">
        <f t="shared" si="29"/>
        <v>2.2700000000004366</v>
      </c>
      <c r="N81" s="779">
        <f t="shared" si="30"/>
        <v>0.99992681904639091</v>
      </c>
      <c r="O81" s="780" t="s">
        <v>1537</v>
      </c>
      <c r="P81" s="781">
        <v>0</v>
      </c>
      <c r="Q81" s="781">
        <v>0.8</v>
      </c>
      <c r="R81" s="781">
        <v>0.2</v>
      </c>
      <c r="S81" s="782">
        <f t="shared" si="31"/>
        <v>0</v>
      </c>
      <c r="T81" s="782">
        <f t="shared" si="31"/>
        <v>21806.984</v>
      </c>
      <c r="U81" s="782">
        <f t="shared" si="31"/>
        <v>5451.7460000000001</v>
      </c>
      <c r="W81" s="782"/>
      <c r="X81" s="782"/>
      <c r="Y81" s="783"/>
      <c r="Z81" s="782"/>
      <c r="AA81" s="782"/>
      <c r="AB81" s="783"/>
      <c r="AC81" s="777">
        <f t="shared" si="35"/>
        <v>0</v>
      </c>
      <c r="AD81" s="790">
        <f t="shared" si="33"/>
        <v>0</v>
      </c>
      <c r="AE81" s="790">
        <f t="shared" si="32"/>
        <v>6203.8</v>
      </c>
      <c r="AF81" s="790">
        <f t="shared" si="34"/>
        <v>24815.200000000001</v>
      </c>
    </row>
    <row r="82" spans="1:32" ht="15" customHeight="1">
      <c r="A82" s="636" t="s">
        <v>1074</v>
      </c>
      <c r="B82" s="740" t="s">
        <v>1479</v>
      </c>
      <c r="C82" s="741" t="s">
        <v>1538</v>
      </c>
      <c r="D82" s="742" t="s">
        <v>1539</v>
      </c>
      <c r="E82" s="743" t="s">
        <v>1540</v>
      </c>
      <c r="F82" s="744" t="s">
        <v>1497</v>
      </c>
      <c r="G82" s="745">
        <v>81360</v>
      </c>
      <c r="H82" s="746">
        <v>115763.83</v>
      </c>
      <c r="I82" s="745">
        <f t="shared" si="27"/>
        <v>-34403.83</v>
      </c>
      <c r="J82" s="746">
        <v>0</v>
      </c>
      <c r="K82" s="746">
        <v>0</v>
      </c>
      <c r="L82" s="778">
        <f t="shared" si="28"/>
        <v>115763.83</v>
      </c>
      <c r="M82" s="745">
        <f t="shared" si="29"/>
        <v>-34403.83</v>
      </c>
      <c r="N82" s="779">
        <f t="shared" si="30"/>
        <v>1.4228592674532941</v>
      </c>
      <c r="O82" s="780" t="s">
        <v>1541</v>
      </c>
      <c r="P82" s="781">
        <v>0.2321</v>
      </c>
      <c r="Q82" s="781">
        <v>0</v>
      </c>
      <c r="R82" s="781">
        <v>0.76790000000000003</v>
      </c>
      <c r="S82" s="782">
        <f t="shared" si="31"/>
        <v>26868.784942999999</v>
      </c>
      <c r="T82" s="782">
        <f t="shared" si="31"/>
        <v>0</v>
      </c>
      <c r="U82" s="782">
        <f t="shared" si="31"/>
        <v>88895.04505700001</v>
      </c>
      <c r="W82" s="782"/>
      <c r="X82" s="782"/>
      <c r="Y82" s="783"/>
      <c r="Z82" s="782"/>
      <c r="AA82" s="782"/>
      <c r="AB82" s="783"/>
      <c r="AC82" s="777">
        <f t="shared" si="35"/>
        <v>0</v>
      </c>
      <c r="AD82" s="790">
        <f t="shared" si="33"/>
        <v>18883.655999999999</v>
      </c>
      <c r="AE82" s="790">
        <f t="shared" si="32"/>
        <v>62476.344000000005</v>
      </c>
      <c r="AF82" s="790">
        <f t="shared" si="34"/>
        <v>0</v>
      </c>
    </row>
    <row r="83" spans="1:32" ht="15" customHeight="1">
      <c r="A83" s="636" t="s">
        <v>1074</v>
      </c>
      <c r="B83" s="740" t="s">
        <v>1479</v>
      </c>
      <c r="C83" s="741" t="s">
        <v>1542</v>
      </c>
      <c r="D83" s="742" t="s">
        <v>1543</v>
      </c>
      <c r="E83" s="743" t="s">
        <v>1544</v>
      </c>
      <c r="F83" s="744" t="s">
        <v>1497</v>
      </c>
      <c r="G83" s="745">
        <v>71020</v>
      </c>
      <c r="H83" s="746">
        <v>63696.29</v>
      </c>
      <c r="I83" s="745">
        <f t="shared" si="27"/>
        <v>7323.7099999999991</v>
      </c>
      <c r="J83" s="746">
        <v>0</v>
      </c>
      <c r="K83" s="746">
        <v>0</v>
      </c>
      <c r="L83" s="778">
        <f t="shared" si="28"/>
        <v>63696.29</v>
      </c>
      <c r="M83" s="745">
        <f t="shared" si="29"/>
        <v>7323.7099999999991</v>
      </c>
      <c r="N83" s="779">
        <f t="shared" si="30"/>
        <v>0.89687820332300761</v>
      </c>
      <c r="O83" s="780" t="s">
        <v>1541</v>
      </c>
      <c r="P83" s="781">
        <v>0.2306</v>
      </c>
      <c r="Q83" s="781">
        <v>0</v>
      </c>
      <c r="R83" s="781">
        <v>0.76939999999999997</v>
      </c>
      <c r="S83" s="782">
        <f t="shared" si="31"/>
        <v>14688.364474</v>
      </c>
      <c r="T83" s="782">
        <f t="shared" si="31"/>
        <v>0</v>
      </c>
      <c r="U83" s="782">
        <f t="shared" si="31"/>
        <v>49007.925525999999</v>
      </c>
      <c r="W83" s="782"/>
      <c r="X83" s="782"/>
      <c r="Y83" s="783"/>
      <c r="Z83" s="782"/>
      <c r="AA83" s="782"/>
      <c r="AB83" s="783"/>
      <c r="AC83" s="777">
        <f t="shared" si="35"/>
        <v>0</v>
      </c>
      <c r="AD83" s="790">
        <f t="shared" si="33"/>
        <v>16377.212</v>
      </c>
      <c r="AE83" s="790">
        <f t="shared" si="32"/>
        <v>54642.788</v>
      </c>
      <c r="AF83" s="790">
        <f t="shared" si="34"/>
        <v>0</v>
      </c>
    </row>
    <row r="84" spans="1:32" ht="15" customHeight="1">
      <c r="A84" s="636" t="s">
        <v>1074</v>
      </c>
      <c r="B84" s="740" t="s">
        <v>1479</v>
      </c>
      <c r="C84" s="741" t="s">
        <v>1545</v>
      </c>
      <c r="D84" s="742" t="s">
        <v>1546</v>
      </c>
      <c r="E84" s="743" t="s">
        <v>1547</v>
      </c>
      <c r="F84" s="744" t="s">
        <v>1483</v>
      </c>
      <c r="G84" s="745">
        <v>37224</v>
      </c>
      <c r="H84" s="746">
        <v>50223.62</v>
      </c>
      <c r="I84" s="745">
        <f t="shared" si="27"/>
        <v>-12999.620000000003</v>
      </c>
      <c r="J84" s="746">
        <v>0</v>
      </c>
      <c r="K84" s="746">
        <v>0</v>
      </c>
      <c r="L84" s="778">
        <f t="shared" si="28"/>
        <v>50223.62</v>
      </c>
      <c r="M84" s="745">
        <f t="shared" si="29"/>
        <v>-12999.620000000003</v>
      </c>
      <c r="N84" s="779">
        <f t="shared" si="30"/>
        <v>1.3492268428970557</v>
      </c>
      <c r="O84" s="780" t="s">
        <v>1548</v>
      </c>
      <c r="P84" s="781">
        <v>0</v>
      </c>
      <c r="Q84" s="781">
        <v>0.8</v>
      </c>
      <c r="R84" s="781">
        <v>0.2</v>
      </c>
      <c r="S84" s="782">
        <f t="shared" si="31"/>
        <v>0</v>
      </c>
      <c r="T84" s="782">
        <f t="shared" si="31"/>
        <v>40178.896000000008</v>
      </c>
      <c r="U84" s="782">
        <f t="shared" si="31"/>
        <v>10044.724000000002</v>
      </c>
      <c r="W84" s="782"/>
      <c r="X84" s="782"/>
      <c r="Y84" s="783"/>
      <c r="Z84" s="782"/>
      <c r="AA84" s="782"/>
      <c r="AB84" s="783"/>
      <c r="AC84" s="777">
        <f t="shared" si="35"/>
        <v>0</v>
      </c>
      <c r="AD84" s="790">
        <f t="shared" si="33"/>
        <v>0</v>
      </c>
      <c r="AE84" s="790">
        <f t="shared" si="32"/>
        <v>7444.8</v>
      </c>
      <c r="AF84" s="790">
        <f t="shared" si="34"/>
        <v>29779.200000000001</v>
      </c>
    </row>
    <row r="85" spans="1:32" ht="15" customHeight="1">
      <c r="A85" s="636" t="s">
        <v>1074</v>
      </c>
      <c r="B85" s="740" t="s">
        <v>1479</v>
      </c>
      <c r="C85" s="741" t="s">
        <v>1549</v>
      </c>
      <c r="D85" s="742" t="s">
        <v>1550</v>
      </c>
      <c r="E85" s="743" t="s">
        <v>1551</v>
      </c>
      <c r="F85" s="744" t="s">
        <v>1483</v>
      </c>
      <c r="G85" s="745">
        <v>31019</v>
      </c>
      <c r="H85" s="746">
        <v>11125.59</v>
      </c>
      <c r="I85" s="745">
        <f t="shared" si="27"/>
        <v>19893.41</v>
      </c>
      <c r="J85" s="746">
        <v>0</v>
      </c>
      <c r="K85" s="746">
        <v>0</v>
      </c>
      <c r="L85" s="778">
        <f t="shared" si="28"/>
        <v>11125.59</v>
      </c>
      <c r="M85" s="745">
        <f t="shared" si="29"/>
        <v>19893.41</v>
      </c>
      <c r="N85" s="779">
        <f t="shared" si="30"/>
        <v>0.35867016989587031</v>
      </c>
      <c r="O85" s="780" t="s">
        <v>1537</v>
      </c>
      <c r="P85" s="781">
        <v>0</v>
      </c>
      <c r="Q85" s="781">
        <v>0.8</v>
      </c>
      <c r="R85" s="781">
        <v>0.2</v>
      </c>
      <c r="S85" s="782">
        <f t="shared" si="31"/>
        <v>0</v>
      </c>
      <c r="T85" s="782">
        <f t="shared" si="31"/>
        <v>8900.4719999999998</v>
      </c>
      <c r="U85" s="782">
        <f t="shared" si="31"/>
        <v>2225.1179999999999</v>
      </c>
      <c r="W85" s="782"/>
      <c r="X85" s="782"/>
      <c r="Y85" s="783"/>
      <c r="Z85" s="782"/>
      <c r="AA85" s="782"/>
      <c r="AB85" s="783"/>
      <c r="AC85" s="777">
        <f t="shared" si="35"/>
        <v>0</v>
      </c>
      <c r="AD85" s="790">
        <f t="shared" si="33"/>
        <v>0</v>
      </c>
      <c r="AE85" s="790">
        <f t="shared" si="32"/>
        <v>6203.8</v>
      </c>
      <c r="AF85" s="790">
        <f t="shared" si="34"/>
        <v>24815.200000000001</v>
      </c>
    </row>
    <row r="86" spans="1:32" ht="15" customHeight="1">
      <c r="A86" s="636" t="s">
        <v>1074</v>
      </c>
      <c r="B86" s="740" t="s">
        <v>1479</v>
      </c>
      <c r="C86" s="741" t="s">
        <v>1552</v>
      </c>
      <c r="D86" s="742" t="s">
        <v>1553</v>
      </c>
      <c r="E86" s="743" t="s">
        <v>1554</v>
      </c>
      <c r="F86" s="744" t="s">
        <v>1497</v>
      </c>
      <c r="G86" s="745">
        <v>62040</v>
      </c>
      <c r="H86" s="746">
        <v>79626.600000000006</v>
      </c>
      <c r="I86" s="745">
        <f t="shared" si="27"/>
        <v>-17586.600000000006</v>
      </c>
      <c r="J86" s="746">
        <v>0</v>
      </c>
      <c r="K86" s="746">
        <v>0</v>
      </c>
      <c r="L86" s="778">
        <f t="shared" si="28"/>
        <v>79626.600000000006</v>
      </c>
      <c r="M86" s="745">
        <f t="shared" si="29"/>
        <v>-17586.600000000006</v>
      </c>
      <c r="N86" s="779">
        <f t="shared" si="30"/>
        <v>1.2834719535783365</v>
      </c>
      <c r="O86" s="780" t="s">
        <v>1555</v>
      </c>
      <c r="P86" s="781">
        <v>0</v>
      </c>
      <c r="Q86" s="781">
        <v>0.8</v>
      </c>
      <c r="R86" s="781">
        <v>0.2</v>
      </c>
      <c r="S86" s="782">
        <f t="shared" si="31"/>
        <v>0</v>
      </c>
      <c r="T86" s="782">
        <f t="shared" si="31"/>
        <v>63701.280000000006</v>
      </c>
      <c r="U86" s="782">
        <f t="shared" si="31"/>
        <v>15925.320000000002</v>
      </c>
      <c r="W86" s="782"/>
      <c r="X86" s="782"/>
      <c r="Y86" s="783"/>
      <c r="Z86" s="782"/>
      <c r="AA86" s="782"/>
      <c r="AB86" s="783"/>
      <c r="AC86" s="777">
        <f t="shared" si="35"/>
        <v>0</v>
      </c>
      <c r="AD86" s="790">
        <f t="shared" si="33"/>
        <v>0</v>
      </c>
      <c r="AE86" s="790">
        <f t="shared" si="32"/>
        <v>12408</v>
      </c>
      <c r="AF86" s="790">
        <f t="shared" si="34"/>
        <v>49632</v>
      </c>
    </row>
    <row r="87" spans="1:32" ht="15" customHeight="1">
      <c r="A87" s="636" t="s">
        <v>1074</v>
      </c>
      <c r="B87" s="740" t="s">
        <v>1479</v>
      </c>
      <c r="C87" s="741" t="s">
        <v>1556</v>
      </c>
      <c r="D87" s="742" t="s">
        <v>1557</v>
      </c>
      <c r="E87" s="743" t="s">
        <v>1558</v>
      </c>
      <c r="F87" s="744" t="s">
        <v>1497</v>
      </c>
      <c r="G87" s="745">
        <v>51700</v>
      </c>
      <c r="H87" s="746">
        <v>31869.33</v>
      </c>
      <c r="I87" s="745">
        <f t="shared" si="27"/>
        <v>19830.669999999998</v>
      </c>
      <c r="J87" s="746">
        <v>0</v>
      </c>
      <c r="K87" s="746">
        <v>0</v>
      </c>
      <c r="L87" s="778">
        <f t="shared" si="28"/>
        <v>31869.33</v>
      </c>
      <c r="M87" s="745">
        <f t="shared" si="29"/>
        <v>19830.669999999998</v>
      </c>
      <c r="N87" s="779">
        <f t="shared" si="30"/>
        <v>0.61642804642166349</v>
      </c>
      <c r="O87" s="780" t="s">
        <v>1555</v>
      </c>
      <c r="P87" s="781">
        <v>0</v>
      </c>
      <c r="Q87" s="781">
        <v>0.8</v>
      </c>
      <c r="R87" s="781">
        <v>0.2</v>
      </c>
      <c r="S87" s="782">
        <f t="shared" si="31"/>
        <v>0</v>
      </c>
      <c r="T87" s="782">
        <f t="shared" si="31"/>
        <v>25495.464000000004</v>
      </c>
      <c r="U87" s="782">
        <f t="shared" si="31"/>
        <v>6373.8660000000009</v>
      </c>
      <c r="W87" s="782"/>
      <c r="X87" s="782"/>
      <c r="Y87" s="783"/>
      <c r="Z87" s="782"/>
      <c r="AA87" s="782"/>
      <c r="AB87" s="783"/>
      <c r="AC87" s="777">
        <f t="shared" si="35"/>
        <v>0</v>
      </c>
      <c r="AD87" s="790">
        <f t="shared" si="33"/>
        <v>0</v>
      </c>
      <c r="AE87" s="790">
        <f t="shared" si="32"/>
        <v>10340</v>
      </c>
      <c r="AF87" s="790">
        <f t="shared" si="34"/>
        <v>41360</v>
      </c>
    </row>
    <row r="88" spans="1:32" ht="15" customHeight="1">
      <c r="A88" s="636" t="s">
        <v>1074</v>
      </c>
      <c r="B88" s="740" t="s">
        <v>1479</v>
      </c>
      <c r="C88" s="741" t="s">
        <v>1559</v>
      </c>
      <c r="D88" s="742" t="s">
        <v>1560</v>
      </c>
      <c r="E88" s="743" t="s">
        <v>1561</v>
      </c>
      <c r="F88" s="744" t="s">
        <v>1492</v>
      </c>
      <c r="G88" s="745">
        <v>3079152</v>
      </c>
      <c r="H88" s="746">
        <v>1881394.72</v>
      </c>
      <c r="I88" s="745">
        <f t="shared" si="27"/>
        <v>1197757.28</v>
      </c>
      <c r="J88" s="746">
        <v>205906.74000000002</v>
      </c>
      <c r="K88" s="746">
        <v>1103991</v>
      </c>
      <c r="L88" s="778">
        <f t="shared" si="28"/>
        <v>2087301.46</v>
      </c>
      <c r="M88" s="745">
        <f t="shared" si="29"/>
        <v>991850.54</v>
      </c>
      <c r="N88" s="779">
        <f t="shared" si="30"/>
        <v>0.67788191683944155</v>
      </c>
      <c r="O88" s="780" t="s">
        <v>1562</v>
      </c>
      <c r="P88" s="781">
        <v>0.25969999999999999</v>
      </c>
      <c r="Q88" s="781">
        <v>0.17080000000000001</v>
      </c>
      <c r="R88" s="781">
        <v>0.56950000000000001</v>
      </c>
      <c r="S88" s="782">
        <f t="shared" si="31"/>
        <v>488598.20878399996</v>
      </c>
      <c r="T88" s="782">
        <f t="shared" si="31"/>
        <v>321342.21817599999</v>
      </c>
      <c r="U88" s="782">
        <f t="shared" si="31"/>
        <v>1071454.2930399999</v>
      </c>
      <c r="W88" s="782"/>
      <c r="X88" s="782"/>
      <c r="Y88" s="783"/>
      <c r="Z88" s="782"/>
      <c r="AA88" s="782"/>
      <c r="AB88" s="783"/>
      <c r="AC88" s="777">
        <f t="shared" si="35"/>
        <v>0</v>
      </c>
      <c r="AD88" s="790">
        <f t="shared" si="33"/>
        <v>799655.77439999999</v>
      </c>
      <c r="AE88" s="790">
        <f t="shared" si="32"/>
        <v>1753577.064</v>
      </c>
      <c r="AF88" s="790">
        <f t="shared" si="34"/>
        <v>525919.16159999999</v>
      </c>
    </row>
    <row r="89" spans="1:32" ht="15" customHeight="1">
      <c r="A89" s="636" t="s">
        <v>1074</v>
      </c>
      <c r="B89" s="740" t="s">
        <v>1479</v>
      </c>
      <c r="C89" s="741" t="s">
        <v>1563</v>
      </c>
      <c r="D89" s="742" t="s">
        <v>1564</v>
      </c>
      <c r="E89" s="743" t="s">
        <v>1565</v>
      </c>
      <c r="F89" s="744" t="s">
        <v>1483</v>
      </c>
      <c r="G89" s="745">
        <v>55836</v>
      </c>
      <c r="H89" s="746">
        <v>55551.17</v>
      </c>
      <c r="I89" s="745">
        <f t="shared" si="27"/>
        <v>284.83000000000175</v>
      </c>
      <c r="J89" s="746">
        <v>1680.65</v>
      </c>
      <c r="K89" s="746">
        <v>0</v>
      </c>
      <c r="L89" s="778">
        <f t="shared" si="28"/>
        <v>57231.82</v>
      </c>
      <c r="M89" s="745">
        <f t="shared" si="29"/>
        <v>-1395.8199999999997</v>
      </c>
      <c r="N89" s="779">
        <f t="shared" si="30"/>
        <v>1.0249985672326098</v>
      </c>
      <c r="O89" s="780" t="s">
        <v>1566</v>
      </c>
      <c r="P89" s="781">
        <v>0</v>
      </c>
      <c r="Q89" s="781">
        <v>0.8</v>
      </c>
      <c r="R89" s="781">
        <v>0.2</v>
      </c>
      <c r="S89" s="782">
        <f t="shared" si="31"/>
        <v>0</v>
      </c>
      <c r="T89" s="782">
        <f t="shared" si="31"/>
        <v>44440.936000000002</v>
      </c>
      <c r="U89" s="782">
        <f t="shared" si="31"/>
        <v>11110.234</v>
      </c>
      <c r="W89" s="782"/>
      <c r="X89" s="782"/>
      <c r="Y89" s="783"/>
      <c r="Z89" s="782"/>
      <c r="AA89" s="782"/>
      <c r="AB89" s="783"/>
      <c r="AC89" s="777">
        <f t="shared" si="35"/>
        <v>0</v>
      </c>
      <c r="AD89" s="790">
        <f t="shared" si="33"/>
        <v>0</v>
      </c>
      <c r="AE89" s="790">
        <f t="shared" si="32"/>
        <v>11167.2</v>
      </c>
      <c r="AF89" s="790">
        <f t="shared" si="34"/>
        <v>44668.800000000003</v>
      </c>
    </row>
    <row r="90" spans="1:32" ht="15" customHeight="1">
      <c r="A90" s="636" t="s">
        <v>1074</v>
      </c>
      <c r="B90" s="740" t="s">
        <v>1479</v>
      </c>
      <c r="C90" s="741" t="s">
        <v>1567</v>
      </c>
      <c r="D90" s="742" t="s">
        <v>1568</v>
      </c>
      <c r="E90" s="743" t="s">
        <v>1569</v>
      </c>
      <c r="F90" s="744" t="s">
        <v>1492</v>
      </c>
      <c r="G90" s="745">
        <v>121986</v>
      </c>
      <c r="H90" s="746">
        <v>119691.51</v>
      </c>
      <c r="I90" s="745">
        <f t="shared" si="27"/>
        <v>2294.4900000000052</v>
      </c>
      <c r="J90" s="746">
        <v>0</v>
      </c>
      <c r="K90" s="746">
        <v>0</v>
      </c>
      <c r="L90" s="778">
        <f t="shared" si="28"/>
        <v>119691.51</v>
      </c>
      <c r="M90" s="745">
        <f t="shared" si="29"/>
        <v>2294.4900000000052</v>
      </c>
      <c r="N90" s="779">
        <f t="shared" si="30"/>
        <v>0.98119054645615067</v>
      </c>
      <c r="O90" s="780" t="s">
        <v>1570</v>
      </c>
      <c r="P90" s="781">
        <v>0.2596</v>
      </c>
      <c r="Q90" s="781">
        <v>0.37019999999999997</v>
      </c>
      <c r="R90" s="781">
        <v>0.37019999999999997</v>
      </c>
      <c r="S90" s="782">
        <f t="shared" si="31"/>
        <v>31071.915996</v>
      </c>
      <c r="T90" s="782">
        <f t="shared" si="31"/>
        <v>44309.797001999992</v>
      </c>
      <c r="U90" s="782">
        <f t="shared" si="31"/>
        <v>44309.797001999992</v>
      </c>
      <c r="W90" s="782"/>
      <c r="X90" s="782"/>
      <c r="Y90" s="783"/>
      <c r="Z90" s="782"/>
      <c r="AA90" s="782"/>
      <c r="AB90" s="783"/>
      <c r="AC90" s="777">
        <f t="shared" si="35"/>
        <v>0</v>
      </c>
      <c r="AD90" s="790">
        <f t="shared" si="33"/>
        <v>31667.565599999998</v>
      </c>
      <c r="AE90" s="790">
        <f t="shared" si="32"/>
        <v>45159.217199999999</v>
      </c>
      <c r="AF90" s="790">
        <f t="shared" si="34"/>
        <v>45159.217199999999</v>
      </c>
    </row>
    <row r="91" spans="1:32" ht="15" customHeight="1">
      <c r="A91" s="636" t="s">
        <v>1074</v>
      </c>
      <c r="B91" s="740" t="s">
        <v>1479</v>
      </c>
      <c r="C91" s="741" t="s">
        <v>1571</v>
      </c>
      <c r="D91" s="742" t="s">
        <v>1572</v>
      </c>
      <c r="E91" s="743" t="s">
        <v>1573</v>
      </c>
      <c r="F91" s="744" t="s">
        <v>1492</v>
      </c>
      <c r="G91" s="745">
        <v>153150</v>
      </c>
      <c r="H91" s="746">
        <v>102118.46</v>
      </c>
      <c r="I91" s="745">
        <f t="shared" si="27"/>
        <v>51031.539999999994</v>
      </c>
      <c r="J91" s="746">
        <v>41675.67</v>
      </c>
      <c r="K91" s="746">
        <v>0</v>
      </c>
      <c r="L91" s="778">
        <f t="shared" si="28"/>
        <v>143794.13</v>
      </c>
      <c r="M91" s="745">
        <f t="shared" si="29"/>
        <v>9355.8699999999953</v>
      </c>
      <c r="N91" s="779">
        <f t="shared" si="30"/>
        <v>0.93891041462618352</v>
      </c>
      <c r="O91" s="780" t="s">
        <v>1574</v>
      </c>
      <c r="P91" s="781">
        <v>0</v>
      </c>
      <c r="Q91" s="781">
        <v>0.5</v>
      </c>
      <c r="R91" s="781">
        <v>0.5</v>
      </c>
      <c r="S91" s="782">
        <f t="shared" si="31"/>
        <v>0</v>
      </c>
      <c r="T91" s="782">
        <f t="shared" si="31"/>
        <v>51059.23</v>
      </c>
      <c r="U91" s="782">
        <f t="shared" si="31"/>
        <v>51059.23</v>
      </c>
      <c r="W91" s="782"/>
      <c r="X91" s="782"/>
      <c r="Y91" s="783"/>
      <c r="Z91" s="782"/>
      <c r="AA91" s="782"/>
      <c r="AB91" s="783"/>
      <c r="AC91" s="777">
        <f t="shared" si="35"/>
        <v>0</v>
      </c>
      <c r="AD91" s="790">
        <f t="shared" si="33"/>
        <v>0</v>
      </c>
      <c r="AE91" s="790">
        <f t="shared" si="32"/>
        <v>76575</v>
      </c>
      <c r="AF91" s="790">
        <f t="shared" si="34"/>
        <v>76575</v>
      </c>
    </row>
    <row r="92" spans="1:32" ht="15" customHeight="1">
      <c r="A92" s="636" t="s">
        <v>1074</v>
      </c>
      <c r="B92" s="740" t="s">
        <v>1479</v>
      </c>
      <c r="C92" s="741" t="s">
        <v>1575</v>
      </c>
      <c r="D92" s="742" t="s">
        <v>1576</v>
      </c>
      <c r="E92" s="743" t="s">
        <v>1577</v>
      </c>
      <c r="F92" s="744" t="s">
        <v>1492</v>
      </c>
      <c r="G92" s="745">
        <v>2802</v>
      </c>
      <c r="H92" s="746">
        <v>2802.18</v>
      </c>
      <c r="I92" s="745">
        <f t="shared" si="27"/>
        <v>-0.17999999999983629</v>
      </c>
      <c r="J92" s="746">
        <v>0</v>
      </c>
      <c r="K92" s="746">
        <v>0</v>
      </c>
      <c r="L92" s="778">
        <f t="shared" si="28"/>
        <v>2802.18</v>
      </c>
      <c r="M92" s="745">
        <f t="shared" si="29"/>
        <v>-0.17999999999983629</v>
      </c>
      <c r="N92" s="779">
        <f t="shared" si="30"/>
        <v>1.0000642398286936</v>
      </c>
      <c r="O92" s="780" t="s">
        <v>1578</v>
      </c>
      <c r="P92" s="781">
        <v>0.25969999999999999</v>
      </c>
      <c r="Q92" s="781">
        <v>0</v>
      </c>
      <c r="R92" s="781">
        <v>0.74029999999999996</v>
      </c>
      <c r="S92" s="782">
        <f t="shared" si="31"/>
        <v>727.72614599999997</v>
      </c>
      <c r="T92" s="782">
        <f t="shared" si="31"/>
        <v>0</v>
      </c>
      <c r="U92" s="782">
        <f t="shared" si="31"/>
        <v>2074.4538539999999</v>
      </c>
      <c r="W92" s="782"/>
      <c r="X92" s="782"/>
      <c r="Y92" s="783"/>
      <c r="Z92" s="781">
        <v>1</v>
      </c>
      <c r="AA92" s="782"/>
      <c r="AB92" s="783" t="s">
        <v>1529</v>
      </c>
      <c r="AC92" s="777">
        <f t="shared" si="35"/>
        <v>0</v>
      </c>
      <c r="AD92" s="790">
        <f t="shared" si="33"/>
        <v>727.67939999999999</v>
      </c>
      <c r="AE92" s="790">
        <f t="shared" si="32"/>
        <v>2074.3206</v>
      </c>
      <c r="AF92" s="790">
        <f t="shared" si="34"/>
        <v>0</v>
      </c>
    </row>
    <row r="93" spans="1:32" ht="15" customHeight="1">
      <c r="A93" s="636" t="s">
        <v>1074</v>
      </c>
      <c r="B93" s="740" t="s">
        <v>1479</v>
      </c>
      <c r="C93" s="741" t="s">
        <v>1579</v>
      </c>
      <c r="D93" s="742" t="s">
        <v>1580</v>
      </c>
      <c r="E93" s="743" t="s">
        <v>1581</v>
      </c>
      <c r="F93" s="744" t="s">
        <v>1492</v>
      </c>
      <c r="G93" s="745">
        <v>541</v>
      </c>
      <c r="H93" s="746">
        <v>541.17999999999995</v>
      </c>
      <c r="I93" s="745">
        <f t="shared" si="27"/>
        <v>-0.17999999999994998</v>
      </c>
      <c r="J93" s="746">
        <v>0</v>
      </c>
      <c r="K93" s="746">
        <v>0</v>
      </c>
      <c r="L93" s="778">
        <f t="shared" si="28"/>
        <v>541.17999999999995</v>
      </c>
      <c r="M93" s="745">
        <f t="shared" si="29"/>
        <v>-0.17999999999994998</v>
      </c>
      <c r="N93" s="779">
        <f t="shared" si="30"/>
        <v>1.0003327171903882</v>
      </c>
      <c r="O93" s="780" t="s">
        <v>1582</v>
      </c>
      <c r="P93" s="781">
        <v>0.25969999999999999</v>
      </c>
      <c r="Q93" s="781">
        <v>0</v>
      </c>
      <c r="R93" s="781">
        <v>0.74029999999999996</v>
      </c>
      <c r="S93" s="782">
        <f t="shared" si="31"/>
        <v>140.54444599999999</v>
      </c>
      <c r="T93" s="782">
        <f t="shared" si="31"/>
        <v>0</v>
      </c>
      <c r="U93" s="782">
        <f t="shared" si="31"/>
        <v>400.63555399999996</v>
      </c>
      <c r="W93" s="782"/>
      <c r="X93" s="782"/>
      <c r="Y93" s="783"/>
      <c r="Z93" s="781">
        <v>1</v>
      </c>
      <c r="AA93" s="782"/>
      <c r="AB93" s="783" t="s">
        <v>1529</v>
      </c>
      <c r="AC93" s="777">
        <f t="shared" si="35"/>
        <v>0</v>
      </c>
      <c r="AD93" s="790">
        <f t="shared" si="33"/>
        <v>140.49769999999998</v>
      </c>
      <c r="AE93" s="790">
        <f t="shared" si="32"/>
        <v>400.50229999999999</v>
      </c>
      <c r="AF93" s="790">
        <f t="shared" si="34"/>
        <v>0</v>
      </c>
    </row>
    <row r="94" spans="1:32" ht="15" customHeight="1">
      <c r="A94" s="636" t="s">
        <v>1074</v>
      </c>
      <c r="B94" s="740" t="s">
        <v>1479</v>
      </c>
      <c r="C94" s="741" t="s">
        <v>1583</v>
      </c>
      <c r="D94" s="742" t="s">
        <v>1584</v>
      </c>
      <c r="E94" s="743" t="s">
        <v>1585</v>
      </c>
      <c r="F94" s="744" t="s">
        <v>1492</v>
      </c>
      <c r="G94" s="745">
        <v>444137</v>
      </c>
      <c r="H94" s="746">
        <v>331130.34000000003</v>
      </c>
      <c r="I94" s="745">
        <f t="shared" si="27"/>
        <v>113006.65999999997</v>
      </c>
      <c r="J94" s="746">
        <v>46610</v>
      </c>
      <c r="K94" s="746">
        <v>35959.14</v>
      </c>
      <c r="L94" s="778">
        <f t="shared" si="28"/>
        <v>377740.34</v>
      </c>
      <c r="M94" s="745">
        <f t="shared" si="29"/>
        <v>66396.659999999974</v>
      </c>
      <c r="N94" s="779">
        <f t="shared" si="30"/>
        <v>0.85050410121201347</v>
      </c>
      <c r="O94" s="780" t="s">
        <v>1586</v>
      </c>
      <c r="P94" s="781">
        <v>0</v>
      </c>
      <c r="Q94" s="781">
        <v>0.8</v>
      </c>
      <c r="R94" s="781">
        <v>0.2</v>
      </c>
      <c r="S94" s="782">
        <f t="shared" si="31"/>
        <v>0</v>
      </c>
      <c r="T94" s="782">
        <f t="shared" si="31"/>
        <v>264904.27200000006</v>
      </c>
      <c r="U94" s="782">
        <f t="shared" si="31"/>
        <v>66226.068000000014</v>
      </c>
      <c r="W94" s="782"/>
      <c r="X94" s="782"/>
      <c r="Y94" s="783"/>
      <c r="Z94" s="782"/>
      <c r="AA94" s="782"/>
      <c r="AB94" s="783"/>
      <c r="AC94" s="777">
        <f t="shared" si="35"/>
        <v>0</v>
      </c>
      <c r="AD94" s="790">
        <f t="shared" si="33"/>
        <v>0</v>
      </c>
      <c r="AE94" s="790">
        <f t="shared" si="32"/>
        <v>88827.400000000009</v>
      </c>
      <c r="AF94" s="790">
        <f t="shared" si="34"/>
        <v>355309.60000000003</v>
      </c>
    </row>
    <row r="95" spans="1:32" ht="15" customHeight="1">
      <c r="A95" s="636" t="s">
        <v>1074</v>
      </c>
      <c r="B95" s="740" t="s">
        <v>1479</v>
      </c>
      <c r="C95" s="741"/>
      <c r="D95" s="742" t="s">
        <v>1587</v>
      </c>
      <c r="E95" s="743" t="s">
        <v>1588</v>
      </c>
      <c r="F95" s="744" t="s">
        <v>1393</v>
      </c>
      <c r="G95" s="745">
        <v>73997</v>
      </c>
      <c r="H95" s="746">
        <v>8000</v>
      </c>
      <c r="I95" s="745">
        <f t="shared" si="27"/>
        <v>65997</v>
      </c>
      <c r="J95" s="746">
        <v>0</v>
      </c>
      <c r="K95" s="746">
        <v>0</v>
      </c>
      <c r="L95" s="778">
        <f t="shared" si="28"/>
        <v>8000</v>
      </c>
      <c r="M95" s="745">
        <f t="shared" si="29"/>
        <v>65997</v>
      </c>
      <c r="N95" s="779">
        <f t="shared" si="30"/>
        <v>0.10811249104693434</v>
      </c>
      <c r="O95" s="780" t="s">
        <v>1589</v>
      </c>
      <c r="P95" s="781">
        <v>0</v>
      </c>
      <c r="Q95" s="781">
        <v>0</v>
      </c>
      <c r="R95" s="781">
        <v>1</v>
      </c>
      <c r="S95" s="782">
        <f t="shared" si="31"/>
        <v>0</v>
      </c>
      <c r="T95" s="782">
        <f t="shared" si="31"/>
        <v>0</v>
      </c>
      <c r="U95" s="782">
        <f t="shared" si="31"/>
        <v>8000</v>
      </c>
      <c r="W95" s="782"/>
      <c r="X95" s="782"/>
      <c r="Y95" s="783"/>
      <c r="Z95" s="782"/>
      <c r="AA95" s="782"/>
      <c r="AB95" s="783"/>
      <c r="AC95" s="777">
        <f t="shared" si="35"/>
        <v>0</v>
      </c>
      <c r="AD95" s="790">
        <f t="shared" si="33"/>
        <v>0</v>
      </c>
      <c r="AE95" s="790">
        <f t="shared" si="32"/>
        <v>73997</v>
      </c>
      <c r="AF95" s="790">
        <f t="shared" si="34"/>
        <v>0</v>
      </c>
    </row>
    <row r="96" spans="1:32" ht="15" customHeight="1">
      <c r="A96" s="636" t="s">
        <v>1074</v>
      </c>
      <c r="B96" s="740" t="s">
        <v>1479</v>
      </c>
      <c r="C96" s="741" t="s">
        <v>1590</v>
      </c>
      <c r="D96" s="742" t="s">
        <v>1591</v>
      </c>
      <c r="E96" s="743" t="s">
        <v>1592</v>
      </c>
      <c r="F96" s="744" t="s">
        <v>1593</v>
      </c>
      <c r="G96" s="745">
        <v>425676</v>
      </c>
      <c r="H96" s="746">
        <v>406588.72</v>
      </c>
      <c r="I96" s="745">
        <f t="shared" si="27"/>
        <v>19087.280000000028</v>
      </c>
      <c r="J96" s="746">
        <v>0</v>
      </c>
      <c r="K96" s="746">
        <v>0</v>
      </c>
      <c r="L96" s="778">
        <f t="shared" si="28"/>
        <v>406588.72</v>
      </c>
      <c r="M96" s="745">
        <f t="shared" si="29"/>
        <v>19087.280000000028</v>
      </c>
      <c r="N96" s="779">
        <f t="shared" si="30"/>
        <v>0.95516007479867315</v>
      </c>
      <c r="O96" s="780" t="s">
        <v>1594</v>
      </c>
      <c r="P96" s="781">
        <v>0.5</v>
      </c>
      <c r="Q96" s="781">
        <v>0</v>
      </c>
      <c r="R96" s="781">
        <v>0.5</v>
      </c>
      <c r="S96" s="782">
        <f t="shared" si="31"/>
        <v>203294.36</v>
      </c>
      <c r="T96" s="782">
        <f t="shared" si="31"/>
        <v>0</v>
      </c>
      <c r="U96" s="782">
        <f t="shared" si="31"/>
        <v>203294.36</v>
      </c>
      <c r="W96" s="782"/>
      <c r="X96" s="782"/>
      <c r="Y96" s="783"/>
      <c r="Z96" s="781">
        <v>1</v>
      </c>
      <c r="AA96" s="782"/>
      <c r="AB96" s="783" t="s">
        <v>1595</v>
      </c>
      <c r="AC96" s="777">
        <f t="shared" si="35"/>
        <v>0</v>
      </c>
      <c r="AD96" s="790">
        <f t="shared" si="33"/>
        <v>212838</v>
      </c>
      <c r="AE96" s="790">
        <f t="shared" si="32"/>
        <v>212838</v>
      </c>
      <c r="AF96" s="790">
        <f t="shared" si="34"/>
        <v>0</v>
      </c>
    </row>
    <row r="97" spans="1:32" ht="15" customHeight="1">
      <c r="A97" s="636" t="s">
        <v>1074</v>
      </c>
      <c r="B97" s="740" t="s">
        <v>1479</v>
      </c>
      <c r="C97" s="741"/>
      <c r="D97" s="742" t="s">
        <v>1596</v>
      </c>
      <c r="E97" s="743" t="s">
        <v>1597</v>
      </c>
      <c r="F97" s="744" t="s">
        <v>1492</v>
      </c>
      <c r="G97" s="745">
        <v>205576.91</v>
      </c>
      <c r="H97" s="746">
        <v>172040.51</v>
      </c>
      <c r="I97" s="745">
        <f t="shared" si="27"/>
        <v>33536.399999999994</v>
      </c>
      <c r="J97" s="746">
        <v>0</v>
      </c>
      <c r="K97" s="746">
        <v>0</v>
      </c>
      <c r="L97" s="778">
        <f t="shared" si="28"/>
        <v>172040.51</v>
      </c>
      <c r="M97" s="745">
        <f t="shared" si="29"/>
        <v>33536.399999999994</v>
      </c>
      <c r="N97" s="779">
        <f t="shared" si="30"/>
        <v>0.83686689327123365</v>
      </c>
      <c r="O97" s="780" t="s">
        <v>1598</v>
      </c>
      <c r="P97" s="781">
        <v>0.27500000000000002</v>
      </c>
      <c r="Q97" s="781">
        <v>0.36249999999999999</v>
      </c>
      <c r="R97" s="781">
        <v>0.36249999999999999</v>
      </c>
      <c r="S97" s="782">
        <f t="shared" ref="S97:U113" si="36">$H97*P97</f>
        <v>47311.140250000004</v>
      </c>
      <c r="T97" s="782">
        <f t="shared" si="36"/>
        <v>62364.684874999999</v>
      </c>
      <c r="U97" s="782">
        <f t="shared" si="36"/>
        <v>62364.684874999999</v>
      </c>
      <c r="W97" s="782"/>
      <c r="X97" s="782"/>
      <c r="Y97" s="783"/>
      <c r="Z97" s="781">
        <v>1</v>
      </c>
      <c r="AA97" s="782"/>
      <c r="AB97" s="783" t="s">
        <v>1529</v>
      </c>
      <c r="AC97" s="777">
        <f t="shared" si="35"/>
        <v>0</v>
      </c>
      <c r="AD97" s="790">
        <f t="shared" si="33"/>
        <v>56533.650250000006</v>
      </c>
      <c r="AE97" s="790">
        <f t="shared" si="32"/>
        <v>74521.629874999999</v>
      </c>
      <c r="AF97" s="790">
        <f t="shared" si="34"/>
        <v>74521.629874999999</v>
      </c>
    </row>
    <row r="98" spans="1:32" ht="15" customHeight="1">
      <c r="A98" s="636" t="s">
        <v>1074</v>
      </c>
      <c r="B98" s="740" t="s">
        <v>1479</v>
      </c>
      <c r="C98" s="741"/>
      <c r="D98" s="742" t="s">
        <v>1599</v>
      </c>
      <c r="E98" s="743" t="s">
        <v>1600</v>
      </c>
      <c r="F98" s="744" t="s">
        <v>1492</v>
      </c>
      <c r="G98" s="745">
        <v>151067</v>
      </c>
      <c r="H98" s="746">
        <v>128770.71</v>
      </c>
      <c r="I98" s="745">
        <f t="shared" si="27"/>
        <v>22296.289999999994</v>
      </c>
      <c r="J98" s="746">
        <v>0</v>
      </c>
      <c r="K98" s="746">
        <v>0</v>
      </c>
      <c r="L98" s="778">
        <f t="shared" si="28"/>
        <v>128770.71</v>
      </c>
      <c r="M98" s="745">
        <f t="shared" si="29"/>
        <v>22296.289999999994</v>
      </c>
      <c r="N98" s="779">
        <f t="shared" si="30"/>
        <v>0.85240793819960681</v>
      </c>
      <c r="O98" s="780" t="s">
        <v>1601</v>
      </c>
      <c r="P98" s="781">
        <v>0.27500000000000002</v>
      </c>
      <c r="Q98" s="781">
        <v>0.36249999999999999</v>
      </c>
      <c r="R98" s="781">
        <v>0.36249999999999999</v>
      </c>
      <c r="S98" s="782">
        <f t="shared" si="36"/>
        <v>35411.945250000004</v>
      </c>
      <c r="T98" s="782">
        <f t="shared" si="36"/>
        <v>46679.382375000001</v>
      </c>
      <c r="U98" s="782">
        <f t="shared" si="36"/>
        <v>46679.382375000001</v>
      </c>
      <c r="W98" s="782"/>
      <c r="X98" s="782"/>
      <c r="Y98" s="783"/>
      <c r="Z98" s="781">
        <v>1</v>
      </c>
      <c r="AA98" s="782"/>
      <c r="AB98" s="783" t="s">
        <v>1529</v>
      </c>
      <c r="AC98" s="777">
        <f t="shared" si="35"/>
        <v>0</v>
      </c>
      <c r="AD98" s="790">
        <f t="shared" si="33"/>
        <v>41543.425000000003</v>
      </c>
      <c r="AE98" s="790">
        <f t="shared" si="32"/>
        <v>54761.787499999999</v>
      </c>
      <c r="AF98" s="790">
        <f t="shared" si="34"/>
        <v>54761.787499999999</v>
      </c>
    </row>
    <row r="99" spans="1:32" ht="15" customHeight="1">
      <c r="A99" s="636" t="s">
        <v>1074</v>
      </c>
      <c r="B99" s="740" t="s">
        <v>1479</v>
      </c>
      <c r="C99" s="741"/>
      <c r="D99" s="742" t="s">
        <v>1602</v>
      </c>
      <c r="E99" s="743" t="s">
        <v>1603</v>
      </c>
      <c r="F99" s="744" t="s">
        <v>1492</v>
      </c>
      <c r="G99" s="745">
        <v>89360</v>
      </c>
      <c r="H99" s="746">
        <v>109929.7</v>
      </c>
      <c r="I99" s="745">
        <f t="shared" si="27"/>
        <v>-20569.699999999997</v>
      </c>
      <c r="J99" s="746">
        <v>8400</v>
      </c>
      <c r="K99" s="746">
        <v>0</v>
      </c>
      <c r="L99" s="778">
        <f t="shared" si="28"/>
        <v>118329.7</v>
      </c>
      <c r="M99" s="745">
        <f t="shared" si="29"/>
        <v>-28969.699999999997</v>
      </c>
      <c r="N99" s="779">
        <f t="shared" si="30"/>
        <v>1.3241909131602507</v>
      </c>
      <c r="O99" s="780" t="s">
        <v>1604</v>
      </c>
      <c r="P99" s="781">
        <v>0.27500000000000002</v>
      </c>
      <c r="Q99" s="781">
        <v>0.36249999999999999</v>
      </c>
      <c r="R99" s="781">
        <v>0.36249999999999999</v>
      </c>
      <c r="S99" s="782">
        <f t="shared" si="36"/>
        <v>30230.667500000003</v>
      </c>
      <c r="T99" s="782">
        <f t="shared" si="36"/>
        <v>39849.516250000001</v>
      </c>
      <c r="U99" s="782">
        <f t="shared" si="36"/>
        <v>39849.516250000001</v>
      </c>
      <c r="W99" s="782"/>
      <c r="X99" s="782"/>
      <c r="Y99" s="783"/>
      <c r="Z99" s="781">
        <v>1</v>
      </c>
      <c r="AA99" s="782"/>
      <c r="AB99" s="783" t="s">
        <v>1529</v>
      </c>
      <c r="AC99" s="777">
        <f t="shared" si="35"/>
        <v>0</v>
      </c>
      <c r="AD99" s="790">
        <f t="shared" si="33"/>
        <v>24574.000000000004</v>
      </c>
      <c r="AE99" s="790">
        <f t="shared" si="32"/>
        <v>32393</v>
      </c>
      <c r="AF99" s="790">
        <f t="shared" si="34"/>
        <v>32393</v>
      </c>
    </row>
    <row r="100" spans="1:32" ht="15" customHeight="1">
      <c r="A100" s="636" t="s">
        <v>1074</v>
      </c>
      <c r="B100" s="740" t="s">
        <v>1479</v>
      </c>
      <c r="C100" s="741"/>
      <c r="D100" s="742" t="s">
        <v>1605</v>
      </c>
      <c r="E100" s="743" t="s">
        <v>1606</v>
      </c>
      <c r="F100" s="744" t="s">
        <v>1492</v>
      </c>
      <c r="G100" s="745">
        <v>163772</v>
      </c>
      <c r="H100" s="746">
        <v>129301.94</v>
      </c>
      <c r="I100" s="745">
        <f t="shared" si="27"/>
        <v>34470.06</v>
      </c>
      <c r="J100" s="746">
        <v>0</v>
      </c>
      <c r="K100" s="746">
        <v>0</v>
      </c>
      <c r="L100" s="778">
        <f t="shared" si="28"/>
        <v>129301.94</v>
      </c>
      <c r="M100" s="745">
        <f t="shared" si="29"/>
        <v>34470.06</v>
      </c>
      <c r="N100" s="779">
        <f t="shared" si="30"/>
        <v>0.78952409447280369</v>
      </c>
      <c r="O100" s="780" t="s">
        <v>1607</v>
      </c>
      <c r="P100" s="781">
        <v>0</v>
      </c>
      <c r="Q100" s="781">
        <v>1</v>
      </c>
      <c r="R100" s="781">
        <v>0</v>
      </c>
      <c r="S100" s="782">
        <f t="shared" si="36"/>
        <v>0</v>
      </c>
      <c r="T100" s="782">
        <f t="shared" si="36"/>
        <v>129301.94</v>
      </c>
      <c r="U100" s="782">
        <f t="shared" si="36"/>
        <v>0</v>
      </c>
      <c r="W100" s="782"/>
      <c r="X100" s="782"/>
      <c r="Y100" s="783"/>
      <c r="Z100" s="782"/>
      <c r="AA100" s="782"/>
      <c r="AB100" s="783"/>
      <c r="AC100" s="777">
        <f t="shared" si="35"/>
        <v>0</v>
      </c>
      <c r="AD100" s="790">
        <f t="shared" si="33"/>
        <v>0</v>
      </c>
      <c r="AE100" s="790">
        <f t="shared" si="32"/>
        <v>0</v>
      </c>
      <c r="AF100" s="790">
        <f t="shared" si="34"/>
        <v>163772</v>
      </c>
    </row>
    <row r="101" spans="1:32" ht="15" customHeight="1">
      <c r="A101" s="636" t="s">
        <v>1074</v>
      </c>
      <c r="B101" s="740" t="s">
        <v>1479</v>
      </c>
      <c r="C101" s="741" t="s">
        <v>1608</v>
      </c>
      <c r="D101" s="742" t="s">
        <v>1609</v>
      </c>
      <c r="E101" s="743" t="s">
        <v>1610</v>
      </c>
      <c r="F101" s="744" t="s">
        <v>1483</v>
      </c>
      <c r="G101" s="745">
        <v>153510</v>
      </c>
      <c r="H101" s="746">
        <v>158880</v>
      </c>
      <c r="I101" s="745">
        <f t="shared" si="27"/>
        <v>-5370</v>
      </c>
      <c r="J101" s="746">
        <v>0</v>
      </c>
      <c r="K101" s="746">
        <v>0</v>
      </c>
      <c r="L101" s="778">
        <f t="shared" si="28"/>
        <v>158880</v>
      </c>
      <c r="M101" s="745">
        <f t="shared" si="29"/>
        <v>-5370</v>
      </c>
      <c r="N101" s="779">
        <f t="shared" si="30"/>
        <v>1.0349814344342387</v>
      </c>
      <c r="O101" s="780" t="s">
        <v>1611</v>
      </c>
      <c r="P101" s="781">
        <v>0</v>
      </c>
      <c r="Q101" s="781">
        <v>0.8</v>
      </c>
      <c r="R101" s="781">
        <v>0.2</v>
      </c>
      <c r="S101" s="782">
        <f t="shared" si="36"/>
        <v>0</v>
      </c>
      <c r="T101" s="782">
        <f t="shared" si="36"/>
        <v>127104</v>
      </c>
      <c r="U101" s="782">
        <f t="shared" si="36"/>
        <v>31776</v>
      </c>
      <c r="W101" s="782"/>
      <c r="X101" s="782"/>
      <c r="Y101" s="783"/>
      <c r="Z101" s="782"/>
      <c r="AA101" s="782"/>
      <c r="AB101" s="783"/>
      <c r="AC101" s="777">
        <f t="shared" si="35"/>
        <v>0</v>
      </c>
      <c r="AD101" s="790">
        <f t="shared" si="33"/>
        <v>0</v>
      </c>
      <c r="AE101" s="790">
        <f t="shared" si="32"/>
        <v>30702</v>
      </c>
      <c r="AF101" s="790">
        <f t="shared" si="34"/>
        <v>122808</v>
      </c>
    </row>
    <row r="102" spans="1:32" ht="15" customHeight="1">
      <c r="A102" s="636" t="s">
        <v>1074</v>
      </c>
      <c r="B102" s="740" t="s">
        <v>1479</v>
      </c>
      <c r="C102" s="741" t="s">
        <v>1612</v>
      </c>
      <c r="D102" s="742" t="s">
        <v>1613</v>
      </c>
      <c r="E102" s="743" t="s">
        <v>1614</v>
      </c>
      <c r="F102" s="744" t="s">
        <v>1393</v>
      </c>
      <c r="G102" s="745">
        <v>52100</v>
      </c>
      <c r="H102" s="746">
        <v>0</v>
      </c>
      <c r="I102" s="745">
        <f t="shared" si="27"/>
        <v>52100</v>
      </c>
      <c r="J102" s="746">
        <v>0</v>
      </c>
      <c r="K102" s="746">
        <v>0</v>
      </c>
      <c r="L102" s="778">
        <f t="shared" si="28"/>
        <v>0</v>
      </c>
      <c r="M102" s="745">
        <f t="shared" si="29"/>
        <v>52100</v>
      </c>
      <c r="N102" s="779">
        <f t="shared" si="30"/>
        <v>0</v>
      </c>
      <c r="O102" s="780" t="s">
        <v>1615</v>
      </c>
      <c r="P102" s="781">
        <v>0.32340000000000002</v>
      </c>
      <c r="Q102" s="781">
        <v>0</v>
      </c>
      <c r="R102" s="781">
        <v>0.67659999999999998</v>
      </c>
      <c r="S102" s="782">
        <f t="shared" si="36"/>
        <v>0</v>
      </c>
      <c r="T102" s="782">
        <f t="shared" si="36"/>
        <v>0</v>
      </c>
      <c r="U102" s="782">
        <f t="shared" si="36"/>
        <v>0</v>
      </c>
      <c r="W102" s="782"/>
      <c r="X102" s="782"/>
      <c r="Y102" s="783"/>
      <c r="Z102" s="782"/>
      <c r="AA102" s="782"/>
      <c r="AB102" s="783"/>
      <c r="AC102" s="777">
        <f t="shared" si="35"/>
        <v>0</v>
      </c>
      <c r="AD102" s="790">
        <f t="shared" si="33"/>
        <v>16849.14</v>
      </c>
      <c r="AE102" s="790">
        <f t="shared" si="32"/>
        <v>35250.86</v>
      </c>
      <c r="AF102" s="790">
        <f t="shared" si="34"/>
        <v>0</v>
      </c>
    </row>
    <row r="103" spans="1:32" ht="15" customHeight="1">
      <c r="A103" s="636" t="s">
        <v>1074</v>
      </c>
      <c r="B103" s="740" t="s">
        <v>1479</v>
      </c>
      <c r="C103" s="741" t="s">
        <v>1616</v>
      </c>
      <c r="D103" s="742" t="s">
        <v>1617</v>
      </c>
      <c r="E103" s="743" t="s">
        <v>1618</v>
      </c>
      <c r="F103" s="744" t="s">
        <v>1492</v>
      </c>
      <c r="G103" s="745">
        <v>203400</v>
      </c>
      <c r="H103" s="746">
        <v>215674.68</v>
      </c>
      <c r="I103" s="745">
        <f t="shared" si="27"/>
        <v>-12274.679999999993</v>
      </c>
      <c r="J103" s="746">
        <v>0</v>
      </c>
      <c r="K103" s="746">
        <v>0</v>
      </c>
      <c r="L103" s="778">
        <f t="shared" si="28"/>
        <v>215674.68</v>
      </c>
      <c r="M103" s="745">
        <f t="shared" si="29"/>
        <v>-12274.679999999993</v>
      </c>
      <c r="N103" s="779">
        <f t="shared" si="30"/>
        <v>1.0603474926253686</v>
      </c>
      <c r="O103" s="780" t="s">
        <v>1619</v>
      </c>
      <c r="P103" s="781">
        <v>0</v>
      </c>
      <c r="Q103" s="781">
        <v>1</v>
      </c>
      <c r="R103" s="781">
        <v>0</v>
      </c>
      <c r="S103" s="782">
        <f t="shared" si="36"/>
        <v>0</v>
      </c>
      <c r="T103" s="782">
        <f t="shared" si="36"/>
        <v>215674.68</v>
      </c>
      <c r="U103" s="782">
        <f t="shared" si="36"/>
        <v>0</v>
      </c>
      <c r="W103" s="782"/>
      <c r="X103" s="782"/>
      <c r="Y103" s="783"/>
      <c r="Z103" s="782"/>
      <c r="AA103" s="782"/>
      <c r="AB103" s="783"/>
      <c r="AC103" s="777">
        <f t="shared" si="35"/>
        <v>0</v>
      </c>
      <c r="AD103" s="790">
        <f t="shared" si="33"/>
        <v>0</v>
      </c>
      <c r="AE103" s="790">
        <f t="shared" si="32"/>
        <v>0</v>
      </c>
      <c r="AF103" s="790">
        <f t="shared" si="34"/>
        <v>203400</v>
      </c>
    </row>
    <row r="104" spans="1:32" ht="15" customHeight="1">
      <c r="A104" s="636" t="s">
        <v>1074</v>
      </c>
      <c r="B104" s="740" t="s">
        <v>1479</v>
      </c>
      <c r="C104" s="741" t="s">
        <v>1620</v>
      </c>
      <c r="D104" s="742" t="s">
        <v>1621</v>
      </c>
      <c r="E104" s="743" t="s">
        <v>1622</v>
      </c>
      <c r="F104" s="744" t="s">
        <v>1393</v>
      </c>
      <c r="G104" s="745">
        <v>103398</v>
      </c>
      <c r="H104" s="746">
        <v>14386.17</v>
      </c>
      <c r="I104" s="745">
        <f t="shared" si="27"/>
        <v>89011.83</v>
      </c>
      <c r="J104" s="746">
        <v>0</v>
      </c>
      <c r="K104" s="746">
        <v>0</v>
      </c>
      <c r="L104" s="778">
        <f t="shared" si="28"/>
        <v>14386.17</v>
      </c>
      <c r="M104" s="745">
        <f t="shared" si="29"/>
        <v>89011.83</v>
      </c>
      <c r="N104" s="779">
        <f t="shared" si="30"/>
        <v>0.13913392908953751</v>
      </c>
      <c r="O104" s="780" t="s">
        <v>1623</v>
      </c>
      <c r="P104" s="781">
        <v>0.25969999999999999</v>
      </c>
      <c r="Q104" s="781">
        <v>0</v>
      </c>
      <c r="R104" s="781">
        <v>0.74029999999999996</v>
      </c>
      <c r="S104" s="782">
        <f t="shared" si="36"/>
        <v>3736.0883489999997</v>
      </c>
      <c r="T104" s="782">
        <f t="shared" si="36"/>
        <v>0</v>
      </c>
      <c r="U104" s="782">
        <f t="shared" si="36"/>
        <v>10650.081650999999</v>
      </c>
      <c r="W104" s="782"/>
      <c r="X104" s="782"/>
      <c r="Y104" s="783"/>
      <c r="Z104" s="782"/>
      <c r="AA104" s="782"/>
      <c r="AB104" s="783"/>
      <c r="AC104" s="777">
        <f t="shared" si="35"/>
        <v>0</v>
      </c>
      <c r="AD104" s="790">
        <f t="shared" si="33"/>
        <v>26852.460599999999</v>
      </c>
      <c r="AE104" s="790">
        <f t="shared" si="32"/>
        <v>76545.539399999994</v>
      </c>
      <c r="AF104" s="790">
        <f t="shared" si="34"/>
        <v>0</v>
      </c>
    </row>
    <row r="105" spans="1:32" ht="15" customHeight="1">
      <c r="A105" s="636" t="s">
        <v>1074</v>
      </c>
      <c r="B105" s="740" t="s">
        <v>1479</v>
      </c>
      <c r="C105" s="741" t="s">
        <v>1624</v>
      </c>
      <c r="D105" s="742" t="s">
        <v>1625</v>
      </c>
      <c r="E105" s="743" t="s">
        <v>1626</v>
      </c>
      <c r="F105" s="744" t="s">
        <v>1393</v>
      </c>
      <c r="G105" s="745">
        <v>0</v>
      </c>
      <c r="H105" s="746">
        <v>28131.93</v>
      </c>
      <c r="I105" s="745">
        <f t="shared" si="27"/>
        <v>-28131.93</v>
      </c>
      <c r="J105" s="746">
        <v>0</v>
      </c>
      <c r="K105" s="746">
        <v>0</v>
      </c>
      <c r="L105" s="778">
        <f t="shared" si="28"/>
        <v>28131.93</v>
      </c>
      <c r="M105" s="745">
        <f t="shared" si="29"/>
        <v>-28131.93</v>
      </c>
      <c r="N105" s="779">
        <f t="shared" si="30"/>
        <v>0</v>
      </c>
      <c r="O105" s="780" t="s">
        <v>1627</v>
      </c>
      <c r="P105" s="781">
        <v>0.27500000000000002</v>
      </c>
      <c r="Q105" s="781">
        <v>0</v>
      </c>
      <c r="R105" s="781">
        <v>0.72499999999999998</v>
      </c>
      <c r="S105" s="782">
        <f t="shared" si="36"/>
        <v>7736.2807500000008</v>
      </c>
      <c r="T105" s="782">
        <f t="shared" si="36"/>
        <v>0</v>
      </c>
      <c r="U105" s="782">
        <f t="shared" si="36"/>
        <v>20395.649249999999</v>
      </c>
      <c r="W105" s="782"/>
      <c r="X105" s="782"/>
      <c r="Y105" s="783"/>
      <c r="Z105" s="782"/>
      <c r="AA105" s="782"/>
      <c r="AB105" s="783"/>
      <c r="AC105" s="777">
        <f t="shared" si="35"/>
        <v>0</v>
      </c>
      <c r="AD105" s="790">
        <f t="shared" si="33"/>
        <v>0</v>
      </c>
      <c r="AE105" s="790">
        <f t="shared" si="32"/>
        <v>0</v>
      </c>
      <c r="AF105" s="790">
        <f t="shared" si="34"/>
        <v>0</v>
      </c>
    </row>
    <row r="106" spans="1:32" ht="15" customHeight="1">
      <c r="A106" s="636" t="s">
        <v>1074</v>
      </c>
      <c r="B106" s="740" t="s">
        <v>1479</v>
      </c>
      <c r="C106" s="741" t="s">
        <v>1628</v>
      </c>
      <c r="D106" s="742" t="s">
        <v>1629</v>
      </c>
      <c r="E106" s="743" t="s">
        <v>1630</v>
      </c>
      <c r="F106" s="744" t="s">
        <v>1492</v>
      </c>
      <c r="G106" s="745">
        <v>319590</v>
      </c>
      <c r="H106" s="746">
        <v>237628.09</v>
      </c>
      <c r="I106" s="745">
        <f t="shared" si="27"/>
        <v>81961.91</v>
      </c>
      <c r="J106" s="746">
        <v>7617.9</v>
      </c>
      <c r="K106" s="746">
        <v>0</v>
      </c>
      <c r="L106" s="778">
        <f t="shared" si="28"/>
        <v>245245.99</v>
      </c>
      <c r="M106" s="745">
        <f t="shared" si="29"/>
        <v>74344.010000000009</v>
      </c>
      <c r="N106" s="779">
        <f t="shared" si="30"/>
        <v>0.76737692042930006</v>
      </c>
      <c r="O106" s="788" t="s">
        <v>1631</v>
      </c>
      <c r="P106" s="781">
        <v>0.27500000000000002</v>
      </c>
      <c r="Q106" s="781">
        <v>0.36249999999999999</v>
      </c>
      <c r="R106" s="781">
        <v>0.36249999999999999</v>
      </c>
      <c r="S106" s="782">
        <f t="shared" si="36"/>
        <v>65347.724750000001</v>
      </c>
      <c r="T106" s="782">
        <f t="shared" si="36"/>
        <v>86140.182625000001</v>
      </c>
      <c r="U106" s="782">
        <f t="shared" si="36"/>
        <v>86140.182625000001</v>
      </c>
      <c r="W106" s="782"/>
      <c r="X106" s="782"/>
      <c r="Y106" s="783"/>
      <c r="Z106" s="781">
        <v>1</v>
      </c>
      <c r="AA106" s="782"/>
      <c r="AB106" s="783" t="s">
        <v>1595</v>
      </c>
      <c r="AC106" s="777">
        <f t="shared" si="35"/>
        <v>0</v>
      </c>
      <c r="AD106" s="790">
        <f t="shared" si="33"/>
        <v>87887.25</v>
      </c>
      <c r="AE106" s="790">
        <f t="shared" si="32"/>
        <v>115851.375</v>
      </c>
      <c r="AF106" s="790">
        <f t="shared" si="34"/>
        <v>115851.375</v>
      </c>
    </row>
    <row r="107" spans="1:32" ht="15" customHeight="1">
      <c r="A107" s="636" t="s">
        <v>1074</v>
      </c>
      <c r="B107" s="740" t="s">
        <v>1479</v>
      </c>
      <c r="C107" s="741" t="s">
        <v>1632</v>
      </c>
      <c r="D107" s="742" t="s">
        <v>1633</v>
      </c>
      <c r="E107" s="743" t="s">
        <v>1634</v>
      </c>
      <c r="F107" s="744" t="s">
        <v>1492</v>
      </c>
      <c r="G107" s="745">
        <v>301860</v>
      </c>
      <c r="H107" s="746">
        <v>159344.5</v>
      </c>
      <c r="I107" s="745">
        <f t="shared" si="27"/>
        <v>142515.5</v>
      </c>
      <c r="J107" s="746">
        <v>0</v>
      </c>
      <c r="K107" s="746">
        <v>0</v>
      </c>
      <c r="L107" s="778">
        <f t="shared" si="28"/>
        <v>159344.5</v>
      </c>
      <c r="M107" s="745">
        <f t="shared" si="29"/>
        <v>142515.5</v>
      </c>
      <c r="N107" s="779">
        <f t="shared" si="30"/>
        <v>0.52787550520108661</v>
      </c>
      <c r="O107" s="788" t="s">
        <v>1635</v>
      </c>
      <c r="P107" s="781">
        <v>0.27500000000000002</v>
      </c>
      <c r="Q107" s="781">
        <v>0.36249999999999999</v>
      </c>
      <c r="R107" s="781">
        <v>0.36249999999999999</v>
      </c>
      <c r="S107" s="782">
        <f t="shared" si="36"/>
        <v>43819.737500000003</v>
      </c>
      <c r="T107" s="782">
        <f t="shared" si="36"/>
        <v>57762.381249999999</v>
      </c>
      <c r="U107" s="782">
        <f t="shared" si="36"/>
        <v>57762.381249999999</v>
      </c>
      <c r="W107" s="782"/>
      <c r="X107" s="782"/>
      <c r="Y107" s="783"/>
      <c r="Z107" s="781">
        <v>1</v>
      </c>
      <c r="AA107" s="782"/>
      <c r="AB107" s="783" t="s">
        <v>1595</v>
      </c>
      <c r="AC107" s="777">
        <f t="shared" si="35"/>
        <v>0</v>
      </c>
      <c r="AD107" s="790">
        <f t="shared" si="33"/>
        <v>83011.5</v>
      </c>
      <c r="AE107" s="790">
        <f t="shared" si="32"/>
        <v>109424.25</v>
      </c>
      <c r="AF107" s="790">
        <f t="shared" si="34"/>
        <v>109424.25</v>
      </c>
    </row>
    <row r="108" spans="1:32" ht="15" customHeight="1">
      <c r="A108" s="636" t="s">
        <v>1074</v>
      </c>
      <c r="B108" s="740" t="s">
        <v>1479</v>
      </c>
      <c r="C108" s="741"/>
      <c r="D108" s="742" t="s">
        <v>1636</v>
      </c>
      <c r="E108" s="743" t="s">
        <v>1637</v>
      </c>
      <c r="F108" s="744" t="s">
        <v>1492</v>
      </c>
      <c r="G108" s="745">
        <v>180213</v>
      </c>
      <c r="H108" s="746">
        <v>147199.10999999999</v>
      </c>
      <c r="I108" s="745">
        <f t="shared" si="27"/>
        <v>33013.890000000014</v>
      </c>
      <c r="J108" s="746">
        <v>0</v>
      </c>
      <c r="K108" s="746">
        <v>0</v>
      </c>
      <c r="L108" s="778">
        <f t="shared" si="28"/>
        <v>147199.10999999999</v>
      </c>
      <c r="M108" s="745">
        <f t="shared" si="29"/>
        <v>33013.890000000014</v>
      </c>
      <c r="N108" s="779">
        <f t="shared" si="30"/>
        <v>0.81680627923623705</v>
      </c>
      <c r="O108" s="780" t="s">
        <v>1638</v>
      </c>
      <c r="P108" s="781">
        <v>0</v>
      </c>
      <c r="Q108" s="781">
        <v>1</v>
      </c>
      <c r="R108" s="781">
        <v>0</v>
      </c>
      <c r="S108" s="782">
        <f t="shared" si="36"/>
        <v>0</v>
      </c>
      <c r="T108" s="782">
        <f t="shared" si="36"/>
        <v>147199.10999999999</v>
      </c>
      <c r="U108" s="782">
        <f t="shared" si="36"/>
        <v>0</v>
      </c>
      <c r="W108" s="782"/>
      <c r="X108" s="782"/>
      <c r="Y108" s="783"/>
      <c r="Z108" s="782"/>
      <c r="AA108" s="782"/>
      <c r="AB108" s="783"/>
      <c r="AC108" s="777">
        <f t="shared" si="35"/>
        <v>0</v>
      </c>
      <c r="AD108" s="790">
        <f t="shared" si="33"/>
        <v>0</v>
      </c>
      <c r="AE108" s="790">
        <f t="shared" si="32"/>
        <v>0</v>
      </c>
      <c r="AF108" s="790">
        <f t="shared" si="34"/>
        <v>180213</v>
      </c>
    </row>
    <row r="109" spans="1:32" ht="15" customHeight="1">
      <c r="A109" s="636" t="s">
        <v>1074</v>
      </c>
      <c r="B109" s="740" t="s">
        <v>1479</v>
      </c>
      <c r="C109" s="741" t="s">
        <v>1639</v>
      </c>
      <c r="D109" s="742" t="s">
        <v>1640</v>
      </c>
      <c r="E109" s="743" t="s">
        <v>1641</v>
      </c>
      <c r="F109" s="744" t="s">
        <v>1492</v>
      </c>
      <c r="G109" s="745">
        <v>200000</v>
      </c>
      <c r="H109" s="746">
        <v>208399.51</v>
      </c>
      <c r="I109" s="745">
        <f t="shared" si="27"/>
        <v>-8399.5100000000093</v>
      </c>
      <c r="J109" s="746">
        <v>1100</v>
      </c>
      <c r="K109" s="746">
        <v>-900</v>
      </c>
      <c r="L109" s="778">
        <f t="shared" si="28"/>
        <v>209499.51</v>
      </c>
      <c r="M109" s="745">
        <f t="shared" si="29"/>
        <v>-9499.5100000000093</v>
      </c>
      <c r="N109" s="779">
        <f t="shared" si="30"/>
        <v>1.0474975500000001</v>
      </c>
      <c r="O109" s="780" t="s">
        <v>1642</v>
      </c>
      <c r="P109" s="781">
        <v>0</v>
      </c>
      <c r="Q109" s="781">
        <v>0</v>
      </c>
      <c r="R109" s="781">
        <v>1</v>
      </c>
      <c r="S109" s="782">
        <f t="shared" si="36"/>
        <v>0</v>
      </c>
      <c r="T109" s="782">
        <f t="shared" si="36"/>
        <v>0</v>
      </c>
      <c r="U109" s="782">
        <f t="shared" si="36"/>
        <v>208399.51</v>
      </c>
      <c r="W109" s="782"/>
      <c r="X109" s="782"/>
      <c r="Y109" s="783"/>
      <c r="Z109" s="782"/>
      <c r="AA109" s="782"/>
      <c r="AB109" s="783"/>
      <c r="AC109" s="777">
        <f t="shared" si="35"/>
        <v>0</v>
      </c>
      <c r="AD109" s="790">
        <f t="shared" si="33"/>
        <v>0</v>
      </c>
      <c r="AE109" s="790">
        <f t="shared" si="32"/>
        <v>200000</v>
      </c>
      <c r="AF109" s="790">
        <f t="shared" si="34"/>
        <v>0</v>
      </c>
    </row>
    <row r="110" spans="1:32" ht="15" customHeight="1">
      <c r="A110" s="636" t="s">
        <v>1074</v>
      </c>
      <c r="B110" s="740" t="s">
        <v>1479</v>
      </c>
      <c r="C110" s="741" t="s">
        <v>1643</v>
      </c>
      <c r="D110" s="742" t="s">
        <v>1644</v>
      </c>
      <c r="E110" s="743" t="s">
        <v>1645</v>
      </c>
      <c r="F110" s="744" t="s">
        <v>1393</v>
      </c>
      <c r="G110" s="745">
        <v>16000</v>
      </c>
      <c r="H110" s="746">
        <v>0</v>
      </c>
      <c r="I110" s="745">
        <f t="shared" si="27"/>
        <v>16000</v>
      </c>
      <c r="J110" s="746">
        <v>6500</v>
      </c>
      <c r="K110" s="746">
        <v>0</v>
      </c>
      <c r="L110" s="778">
        <f t="shared" si="28"/>
        <v>6500</v>
      </c>
      <c r="M110" s="745">
        <f t="shared" si="29"/>
        <v>9500</v>
      </c>
      <c r="N110" s="779">
        <f t="shared" si="30"/>
        <v>0.40625</v>
      </c>
      <c r="O110" s="780" t="s">
        <v>1646</v>
      </c>
      <c r="P110" s="781">
        <v>0</v>
      </c>
      <c r="Q110" s="781">
        <v>0</v>
      </c>
      <c r="R110" s="781">
        <v>0</v>
      </c>
      <c r="S110" s="782">
        <f t="shared" si="36"/>
        <v>0</v>
      </c>
      <c r="T110" s="782">
        <f t="shared" si="36"/>
        <v>0</v>
      </c>
      <c r="U110" s="782">
        <f t="shared" si="36"/>
        <v>0</v>
      </c>
      <c r="W110" s="782"/>
      <c r="X110" s="782"/>
      <c r="Y110" s="783"/>
      <c r="Z110" s="782"/>
      <c r="AA110" s="782"/>
      <c r="AB110" s="783"/>
      <c r="AC110" s="777">
        <f t="shared" si="35"/>
        <v>0</v>
      </c>
      <c r="AD110" s="790">
        <f t="shared" si="33"/>
        <v>0</v>
      </c>
      <c r="AE110" s="790">
        <f t="shared" si="32"/>
        <v>0</v>
      </c>
      <c r="AF110" s="790">
        <f t="shared" si="34"/>
        <v>0</v>
      </c>
    </row>
    <row r="111" spans="1:32" ht="15" customHeight="1">
      <c r="A111" s="636" t="s">
        <v>1074</v>
      </c>
      <c r="B111" s="740" t="s">
        <v>1479</v>
      </c>
      <c r="C111" s="741"/>
      <c r="D111" s="742" t="s">
        <v>1647</v>
      </c>
      <c r="E111" s="743" t="s">
        <v>1648</v>
      </c>
      <c r="F111" s="744" t="s">
        <v>1492</v>
      </c>
      <c r="G111" s="745">
        <v>59565</v>
      </c>
      <c r="H111" s="746">
        <v>68711.47</v>
      </c>
      <c r="I111" s="745">
        <f t="shared" si="27"/>
        <v>-9146.4700000000012</v>
      </c>
      <c r="J111" s="746">
        <v>0</v>
      </c>
      <c r="K111" s="746">
        <v>0</v>
      </c>
      <c r="L111" s="778">
        <f t="shared" si="28"/>
        <v>68711.47</v>
      </c>
      <c r="M111" s="745">
        <f t="shared" si="29"/>
        <v>-9146.4700000000012</v>
      </c>
      <c r="N111" s="779">
        <f t="shared" si="30"/>
        <v>1.1535544363300596</v>
      </c>
      <c r="O111" s="780" t="s">
        <v>1649</v>
      </c>
      <c r="P111" s="781">
        <v>0</v>
      </c>
      <c r="Q111" s="781">
        <v>1</v>
      </c>
      <c r="R111" s="781">
        <v>0</v>
      </c>
      <c r="S111" s="782">
        <f t="shared" si="36"/>
        <v>0</v>
      </c>
      <c r="T111" s="782">
        <f t="shared" si="36"/>
        <v>68711.47</v>
      </c>
      <c r="U111" s="782">
        <f t="shared" si="36"/>
        <v>0</v>
      </c>
      <c r="W111" s="782"/>
      <c r="X111" s="782"/>
      <c r="Y111" s="783"/>
      <c r="Z111" s="782"/>
      <c r="AA111" s="782"/>
      <c r="AB111" s="783"/>
      <c r="AC111" s="777">
        <f t="shared" si="35"/>
        <v>0</v>
      </c>
      <c r="AD111" s="790">
        <f t="shared" si="33"/>
        <v>0</v>
      </c>
      <c r="AE111" s="790">
        <f t="shared" si="32"/>
        <v>0</v>
      </c>
      <c r="AF111" s="790">
        <f t="shared" si="34"/>
        <v>59565</v>
      </c>
    </row>
    <row r="112" spans="1:32" ht="15" customHeight="1">
      <c r="A112" s="636" t="s">
        <v>1074</v>
      </c>
      <c r="B112" s="740" t="s">
        <v>1479</v>
      </c>
      <c r="C112" s="741" t="s">
        <v>1628</v>
      </c>
      <c r="D112" s="742" t="s">
        <v>1650</v>
      </c>
      <c r="E112" s="743" t="s">
        <v>1651</v>
      </c>
      <c r="F112" s="744" t="s">
        <v>1492</v>
      </c>
      <c r="G112" s="745">
        <v>116000</v>
      </c>
      <c r="H112" s="746">
        <v>220126.83</v>
      </c>
      <c r="I112" s="745">
        <f t="shared" si="27"/>
        <v>-104126.82999999999</v>
      </c>
      <c r="J112" s="746">
        <v>0</v>
      </c>
      <c r="K112" s="746">
        <v>19784.5</v>
      </c>
      <c r="L112" s="778">
        <f t="shared" si="28"/>
        <v>220126.83</v>
      </c>
      <c r="M112" s="745">
        <f t="shared" si="29"/>
        <v>-104126.82999999999</v>
      </c>
      <c r="N112" s="779">
        <f t="shared" si="30"/>
        <v>1.8976450862068965</v>
      </c>
      <c r="O112" s="780" t="s">
        <v>1652</v>
      </c>
      <c r="P112" s="781">
        <v>0.27500000000000002</v>
      </c>
      <c r="Q112" s="781">
        <v>0.36249999999999999</v>
      </c>
      <c r="R112" s="781">
        <v>0.36249999999999999</v>
      </c>
      <c r="S112" s="782">
        <f t="shared" si="36"/>
        <v>60534.878250000002</v>
      </c>
      <c r="T112" s="782">
        <f t="shared" si="36"/>
        <v>79795.975874999989</v>
      </c>
      <c r="U112" s="782">
        <f t="shared" si="36"/>
        <v>79795.975874999989</v>
      </c>
      <c r="W112" s="782"/>
      <c r="X112" s="782"/>
      <c r="Y112" s="783"/>
      <c r="Z112" s="781">
        <v>1</v>
      </c>
      <c r="AA112" s="782"/>
      <c r="AB112" s="783" t="s">
        <v>1529</v>
      </c>
      <c r="AC112" s="777">
        <f t="shared" si="35"/>
        <v>0</v>
      </c>
      <c r="AD112" s="790">
        <f t="shared" si="33"/>
        <v>31900.000000000004</v>
      </c>
      <c r="AE112" s="790">
        <f t="shared" si="32"/>
        <v>42050</v>
      </c>
      <c r="AF112" s="790">
        <f t="shared" si="34"/>
        <v>42050</v>
      </c>
    </row>
    <row r="113" spans="1:32" ht="15" customHeight="1">
      <c r="A113" s="636" t="s">
        <v>1074</v>
      </c>
      <c r="B113" s="740" t="s">
        <v>1479</v>
      </c>
      <c r="C113" s="741" t="s">
        <v>1628</v>
      </c>
      <c r="D113" s="742" t="s">
        <v>1653</v>
      </c>
      <c r="E113" s="743" t="s">
        <v>1654</v>
      </c>
      <c r="F113" s="744" t="s">
        <v>1492</v>
      </c>
      <c r="G113" s="745">
        <v>341000</v>
      </c>
      <c r="H113" s="746">
        <v>51833.06</v>
      </c>
      <c r="I113" s="745">
        <f t="shared" si="27"/>
        <v>289166.94</v>
      </c>
      <c r="J113" s="746">
        <v>2387.83</v>
      </c>
      <c r="K113" s="746">
        <v>156568.25</v>
      </c>
      <c r="L113" s="778">
        <f t="shared" si="28"/>
        <v>54220.89</v>
      </c>
      <c r="M113" s="745">
        <f t="shared" si="29"/>
        <v>286779.11</v>
      </c>
      <c r="N113" s="779">
        <f t="shared" si="30"/>
        <v>0.15900554252199414</v>
      </c>
      <c r="O113" s="780" t="s">
        <v>1655</v>
      </c>
      <c r="P113" s="781">
        <v>0.27500000000000002</v>
      </c>
      <c r="Q113" s="781">
        <v>0.36249999999999999</v>
      </c>
      <c r="R113" s="781">
        <v>0.36249999999999999</v>
      </c>
      <c r="S113" s="782">
        <f t="shared" si="36"/>
        <v>14254.0915</v>
      </c>
      <c r="T113" s="782">
        <f t="shared" si="36"/>
        <v>18789.484249999998</v>
      </c>
      <c r="U113" s="782">
        <f t="shared" si="36"/>
        <v>18789.484249999998</v>
      </c>
      <c r="W113" s="782"/>
      <c r="X113" s="782"/>
      <c r="Y113" s="783"/>
      <c r="Z113" s="781">
        <v>1</v>
      </c>
      <c r="AA113" s="782"/>
      <c r="AB113" s="783" t="s">
        <v>1529</v>
      </c>
      <c r="AC113" s="777">
        <f t="shared" si="35"/>
        <v>0</v>
      </c>
      <c r="AD113" s="790">
        <f t="shared" si="33"/>
        <v>93775.000000000015</v>
      </c>
      <c r="AE113" s="790">
        <f t="shared" si="32"/>
        <v>123612.5</v>
      </c>
      <c r="AF113" s="790">
        <f t="shared" si="34"/>
        <v>123612.5</v>
      </c>
    </row>
    <row r="114" spans="1:32" ht="15" customHeight="1" thickBot="1">
      <c r="A114" s="636" t="s">
        <v>1036</v>
      </c>
      <c r="B114" s="747" t="str">
        <f>B68</f>
        <v>Parks and Reserves</v>
      </c>
      <c r="C114" s="748"/>
      <c r="D114" s="749"/>
      <c r="E114" s="750" t="str">
        <f>B68&amp;" - Sub Total"</f>
        <v>Parks and Reserves - Sub Total</v>
      </c>
      <c r="F114" s="751"/>
      <c r="G114" s="752">
        <f>SUBTOTAL(9,G68:G113)</f>
        <v>10407531.91</v>
      </c>
      <c r="H114" s="752">
        <f>SUBTOTAL(9,H68:H113)</f>
        <v>7350231.0799999982</v>
      </c>
      <c r="I114" s="752">
        <f t="shared" si="27"/>
        <v>3057300.8300000019</v>
      </c>
      <c r="J114" s="752">
        <f>SUBTOTAL(9,J68:J113)</f>
        <v>685143.8</v>
      </c>
      <c r="K114" s="752">
        <f>SUBTOTAL(9,K68:K113)</f>
        <v>1932690.5199999998</v>
      </c>
      <c r="L114" s="752">
        <f>SUBTOTAL(9,L68:L113)</f>
        <v>8035374.879999999</v>
      </c>
      <c r="M114" s="752">
        <f>SUBTOTAL(9,M68:M113)</f>
        <v>2372157.0300000003</v>
      </c>
      <c r="N114" s="784">
        <f>IFERROR(L114/#REF!,0)</f>
        <v>0</v>
      </c>
      <c r="O114" s="785"/>
      <c r="P114" s="752"/>
      <c r="Q114" s="752"/>
      <c r="R114" s="752"/>
      <c r="S114" s="786"/>
      <c r="T114" s="786"/>
      <c r="U114" s="786"/>
      <c r="W114" s="786"/>
      <c r="X114" s="786"/>
      <c r="Y114" s="787"/>
      <c r="Z114" s="786"/>
      <c r="AA114" s="786"/>
      <c r="AB114" s="787"/>
      <c r="AC114" s="777"/>
      <c r="AD114" s="790">
        <f t="shared" si="33"/>
        <v>0</v>
      </c>
      <c r="AE114" s="790">
        <f t="shared" si="32"/>
        <v>0</v>
      </c>
      <c r="AF114" s="790">
        <f t="shared" si="34"/>
        <v>0</v>
      </c>
    </row>
    <row r="115" spans="1:32" ht="15" customHeight="1">
      <c r="A115" s="636" t="s">
        <v>1161</v>
      </c>
      <c r="B115" s="753"/>
      <c r="C115" s="754"/>
      <c r="D115" s="754"/>
      <c r="E115" s="753"/>
      <c r="F115" s="755"/>
      <c r="G115" s="756"/>
      <c r="H115" s="756"/>
      <c r="I115" s="756"/>
      <c r="J115" s="756"/>
      <c r="K115" s="756"/>
      <c r="L115" s="756"/>
      <c r="M115" s="756"/>
      <c r="N115" s="753"/>
      <c r="O115" s="753"/>
      <c r="AC115" s="777"/>
      <c r="AD115" s="790">
        <f t="shared" si="33"/>
        <v>0</v>
      </c>
      <c r="AE115" s="790">
        <f t="shared" si="32"/>
        <v>0</v>
      </c>
      <c r="AF115" s="790">
        <f t="shared" si="34"/>
        <v>0</v>
      </c>
    </row>
    <row r="116" spans="1:32" ht="15" customHeight="1">
      <c r="A116" s="636" t="s">
        <v>1074</v>
      </c>
      <c r="B116" s="740" t="s">
        <v>1656</v>
      </c>
      <c r="C116" s="741" t="s">
        <v>1657</v>
      </c>
      <c r="D116" s="742" t="s">
        <v>1658</v>
      </c>
      <c r="E116" s="743" t="s">
        <v>1659</v>
      </c>
      <c r="F116" s="744" t="s">
        <v>1660</v>
      </c>
      <c r="G116" s="745">
        <v>11854.28</v>
      </c>
      <c r="H116" s="746">
        <v>7185.89</v>
      </c>
      <c r="I116" s="745">
        <f t="shared" ref="I116:I127" si="37">G116-H116</f>
        <v>4668.3900000000003</v>
      </c>
      <c r="J116" s="746">
        <v>0</v>
      </c>
      <c r="K116" s="746">
        <v>0</v>
      </c>
      <c r="L116" s="778">
        <f t="shared" ref="L116:L126" si="38">H116+J116</f>
        <v>7185.89</v>
      </c>
      <c r="M116" s="745">
        <f t="shared" ref="M116:M126" si="39">G116-L116</f>
        <v>4668.3900000000003</v>
      </c>
      <c r="N116" s="779">
        <f t="shared" ref="N116:N126" si="40">IFERROR(L116/G116,0)</f>
        <v>0.60618527654146859</v>
      </c>
      <c r="O116" s="780" t="s">
        <v>1661</v>
      </c>
      <c r="P116" s="781">
        <v>0</v>
      </c>
      <c r="Q116" s="781">
        <v>1</v>
      </c>
      <c r="R116" s="781">
        <v>0</v>
      </c>
      <c r="S116" s="782">
        <f t="shared" ref="S116:U126" si="41">$H116*P116</f>
        <v>0</v>
      </c>
      <c r="T116" s="782">
        <f t="shared" si="41"/>
        <v>7185.89</v>
      </c>
      <c r="U116" s="782">
        <f t="shared" si="41"/>
        <v>0</v>
      </c>
      <c r="W116" s="782"/>
      <c r="X116" s="782"/>
      <c r="Y116" s="783"/>
      <c r="Z116" s="782"/>
      <c r="AA116" s="782"/>
      <c r="AB116" s="783"/>
      <c r="AC116" s="777">
        <f t="shared" si="35"/>
        <v>0</v>
      </c>
      <c r="AD116" s="790">
        <f t="shared" si="33"/>
        <v>0</v>
      </c>
      <c r="AE116" s="790">
        <f t="shared" si="32"/>
        <v>0</v>
      </c>
      <c r="AF116" s="790">
        <f t="shared" si="34"/>
        <v>11854.28</v>
      </c>
    </row>
    <row r="117" spans="1:32" ht="15" customHeight="1">
      <c r="A117" s="636" t="s">
        <v>1074</v>
      </c>
      <c r="B117" s="740" t="s">
        <v>1656</v>
      </c>
      <c r="C117" s="741" t="s">
        <v>1662</v>
      </c>
      <c r="D117" s="742" t="s">
        <v>1663</v>
      </c>
      <c r="E117" s="743" t="s">
        <v>1664</v>
      </c>
      <c r="F117" s="744" t="s">
        <v>1660</v>
      </c>
      <c r="G117" s="745">
        <v>52100</v>
      </c>
      <c r="H117" s="746">
        <v>15445.14</v>
      </c>
      <c r="I117" s="745">
        <f t="shared" si="37"/>
        <v>36654.86</v>
      </c>
      <c r="J117" s="746">
        <v>0</v>
      </c>
      <c r="K117" s="746">
        <v>0</v>
      </c>
      <c r="L117" s="778">
        <f t="shared" si="38"/>
        <v>15445.14</v>
      </c>
      <c r="M117" s="745">
        <f t="shared" si="39"/>
        <v>36654.86</v>
      </c>
      <c r="N117" s="779">
        <f t="shared" si="40"/>
        <v>0.29645182341650672</v>
      </c>
      <c r="O117" s="780" t="s">
        <v>1665</v>
      </c>
      <c r="P117" s="781">
        <v>0.21329999999999999</v>
      </c>
      <c r="Q117" s="781">
        <v>0.52449999999999997</v>
      </c>
      <c r="R117" s="781">
        <v>0.26219999999999999</v>
      </c>
      <c r="S117" s="782">
        <f t="shared" si="41"/>
        <v>3294.4483619999996</v>
      </c>
      <c r="T117" s="782">
        <f t="shared" si="41"/>
        <v>8100.9759299999996</v>
      </c>
      <c r="U117" s="782">
        <f t="shared" si="41"/>
        <v>4049.7157079999997</v>
      </c>
      <c r="W117" s="782"/>
      <c r="X117" s="782"/>
      <c r="Y117" s="783"/>
      <c r="Z117" s="782"/>
      <c r="AA117" s="782"/>
      <c r="AB117" s="783"/>
      <c r="AC117" s="777">
        <f t="shared" si="35"/>
        <v>0</v>
      </c>
      <c r="AD117" s="790">
        <f t="shared" si="33"/>
        <v>11112.93</v>
      </c>
      <c r="AE117" s="790">
        <f t="shared" si="32"/>
        <v>13660.619999999999</v>
      </c>
      <c r="AF117" s="790">
        <f t="shared" si="34"/>
        <v>27326.449999999997</v>
      </c>
    </row>
    <row r="118" spans="1:32" ht="15" customHeight="1">
      <c r="A118" s="636" t="s">
        <v>1074</v>
      </c>
      <c r="B118" s="740" t="s">
        <v>1656</v>
      </c>
      <c r="C118" s="741" t="s">
        <v>1666</v>
      </c>
      <c r="D118" s="742" t="s">
        <v>1667</v>
      </c>
      <c r="E118" s="743" t="s">
        <v>1668</v>
      </c>
      <c r="F118" s="744" t="s">
        <v>1660</v>
      </c>
      <c r="G118" s="745">
        <v>732215</v>
      </c>
      <c r="H118" s="746">
        <v>571774.55000000005</v>
      </c>
      <c r="I118" s="745">
        <f t="shared" si="37"/>
        <v>160440.44999999995</v>
      </c>
      <c r="J118" s="746">
        <v>0</v>
      </c>
      <c r="K118" s="746">
        <v>1718</v>
      </c>
      <c r="L118" s="778">
        <f t="shared" si="38"/>
        <v>571774.55000000005</v>
      </c>
      <c r="M118" s="745">
        <f t="shared" si="39"/>
        <v>160440.44999999995</v>
      </c>
      <c r="N118" s="779">
        <f t="shared" si="40"/>
        <v>0.78088341539028838</v>
      </c>
      <c r="O118" s="780" t="s">
        <v>1669</v>
      </c>
      <c r="P118" s="781">
        <v>0.33739999999999998</v>
      </c>
      <c r="Q118" s="781">
        <v>0.33129999999999998</v>
      </c>
      <c r="R118" s="781">
        <v>0.33129999999999998</v>
      </c>
      <c r="S118" s="782">
        <f t="shared" si="41"/>
        <v>192916.73316999999</v>
      </c>
      <c r="T118" s="782">
        <f t="shared" si="41"/>
        <v>189428.90841500001</v>
      </c>
      <c r="U118" s="782">
        <f t="shared" si="41"/>
        <v>189428.90841500001</v>
      </c>
      <c r="W118" s="782"/>
      <c r="X118" s="782"/>
      <c r="Y118" s="783"/>
      <c r="Z118" s="782"/>
      <c r="AA118" s="782"/>
      <c r="AB118" s="783"/>
      <c r="AC118" s="777">
        <f t="shared" si="35"/>
        <v>0</v>
      </c>
      <c r="AD118" s="790">
        <f t="shared" si="33"/>
        <v>247049.34099999999</v>
      </c>
      <c r="AE118" s="790">
        <f t="shared" si="32"/>
        <v>242582.82949999999</v>
      </c>
      <c r="AF118" s="790">
        <f t="shared" si="34"/>
        <v>242582.82949999999</v>
      </c>
    </row>
    <row r="119" spans="1:32" ht="15" customHeight="1">
      <c r="A119" s="636" t="s">
        <v>1074</v>
      </c>
      <c r="B119" s="740" t="s">
        <v>1656</v>
      </c>
      <c r="C119" s="741" t="s">
        <v>1670</v>
      </c>
      <c r="D119" s="742" t="s">
        <v>1671</v>
      </c>
      <c r="E119" s="743" t="s">
        <v>1672</v>
      </c>
      <c r="F119" s="744" t="s">
        <v>1472</v>
      </c>
      <c r="G119" s="745">
        <v>15000</v>
      </c>
      <c r="H119" s="746">
        <v>0</v>
      </c>
      <c r="I119" s="745">
        <f t="shared" si="37"/>
        <v>15000</v>
      </c>
      <c r="J119" s="746">
        <v>0</v>
      </c>
      <c r="K119" s="746">
        <v>0</v>
      </c>
      <c r="L119" s="778">
        <f t="shared" si="38"/>
        <v>0</v>
      </c>
      <c r="M119" s="745">
        <f t="shared" si="39"/>
        <v>15000</v>
      </c>
      <c r="N119" s="779">
        <f t="shared" si="40"/>
        <v>0</v>
      </c>
      <c r="O119" s="780" t="s">
        <v>1673</v>
      </c>
      <c r="P119" s="781">
        <v>0</v>
      </c>
      <c r="Q119" s="781">
        <v>0</v>
      </c>
      <c r="R119" s="781">
        <v>0</v>
      </c>
      <c r="S119" s="782">
        <f t="shared" si="41"/>
        <v>0</v>
      </c>
      <c r="T119" s="782">
        <f t="shared" si="41"/>
        <v>0</v>
      </c>
      <c r="U119" s="782">
        <f t="shared" si="41"/>
        <v>0</v>
      </c>
      <c r="W119" s="782"/>
      <c r="X119" s="782"/>
      <c r="Y119" s="783"/>
      <c r="Z119" s="782"/>
      <c r="AA119" s="782"/>
      <c r="AB119" s="783"/>
      <c r="AC119" s="777">
        <f t="shared" si="35"/>
        <v>0</v>
      </c>
      <c r="AD119" s="790">
        <f t="shared" si="33"/>
        <v>0</v>
      </c>
      <c r="AE119" s="790">
        <f t="shared" si="32"/>
        <v>0</v>
      </c>
      <c r="AF119" s="790">
        <f t="shared" si="34"/>
        <v>0</v>
      </c>
    </row>
    <row r="120" spans="1:32" ht="15" customHeight="1">
      <c r="A120" s="636" t="s">
        <v>1074</v>
      </c>
      <c r="B120" s="740" t="s">
        <v>1656</v>
      </c>
      <c r="C120" s="741" t="s">
        <v>1674</v>
      </c>
      <c r="D120" s="742" t="s">
        <v>1675</v>
      </c>
      <c r="E120" s="743" t="s">
        <v>1676</v>
      </c>
      <c r="F120" s="744" t="s">
        <v>1677</v>
      </c>
      <c r="G120" s="745">
        <v>245957.22</v>
      </c>
      <c r="H120" s="746">
        <v>95935.23</v>
      </c>
      <c r="I120" s="745">
        <f t="shared" si="37"/>
        <v>150021.99</v>
      </c>
      <c r="J120" s="746">
        <v>38189.5</v>
      </c>
      <c r="K120" s="746">
        <v>0</v>
      </c>
      <c r="L120" s="778">
        <f t="shared" si="38"/>
        <v>134124.72999999998</v>
      </c>
      <c r="M120" s="745">
        <f t="shared" si="39"/>
        <v>111832.49000000002</v>
      </c>
      <c r="N120" s="779">
        <f t="shared" si="40"/>
        <v>0.54531731168534092</v>
      </c>
      <c r="O120" s="780" t="s">
        <v>1678</v>
      </c>
      <c r="P120" s="781">
        <v>0.21329999999999999</v>
      </c>
      <c r="Q120" s="781">
        <v>0</v>
      </c>
      <c r="R120" s="781">
        <v>0.78669999999999995</v>
      </c>
      <c r="S120" s="782">
        <f t="shared" si="41"/>
        <v>20462.984558999997</v>
      </c>
      <c r="T120" s="782">
        <f t="shared" si="41"/>
        <v>0</v>
      </c>
      <c r="U120" s="782">
        <f t="shared" si="41"/>
        <v>75472.245440999992</v>
      </c>
      <c r="W120" s="782"/>
      <c r="X120" s="782"/>
      <c r="Y120" s="783"/>
      <c r="Z120" s="782"/>
      <c r="AA120" s="782"/>
      <c r="AB120" s="783"/>
      <c r="AC120" s="777">
        <f t="shared" si="35"/>
        <v>0</v>
      </c>
      <c r="AD120" s="790">
        <f t="shared" si="33"/>
        <v>52462.675025999997</v>
      </c>
      <c r="AE120" s="790">
        <f t="shared" si="32"/>
        <v>193494.54497399999</v>
      </c>
      <c r="AF120" s="790">
        <f t="shared" si="34"/>
        <v>0</v>
      </c>
    </row>
    <row r="121" spans="1:32" ht="15" customHeight="1">
      <c r="A121" s="636" t="s">
        <v>1074</v>
      </c>
      <c r="B121" s="740" t="s">
        <v>1656</v>
      </c>
      <c r="C121" s="741" t="s">
        <v>1679</v>
      </c>
      <c r="D121" s="742" t="s">
        <v>1680</v>
      </c>
      <c r="E121" s="743" t="s">
        <v>1681</v>
      </c>
      <c r="F121" s="744" t="s">
        <v>1660</v>
      </c>
      <c r="G121" s="745">
        <v>18662.5</v>
      </c>
      <c r="H121" s="746">
        <v>18662.5</v>
      </c>
      <c r="I121" s="745">
        <f t="shared" si="37"/>
        <v>0</v>
      </c>
      <c r="J121" s="746">
        <v>0</v>
      </c>
      <c r="K121" s="746">
        <v>0</v>
      </c>
      <c r="L121" s="778">
        <f t="shared" si="38"/>
        <v>18662.5</v>
      </c>
      <c r="M121" s="745">
        <f t="shared" si="39"/>
        <v>0</v>
      </c>
      <c r="N121" s="779">
        <f t="shared" si="40"/>
        <v>1</v>
      </c>
      <c r="O121" s="780" t="s">
        <v>1682</v>
      </c>
      <c r="P121" s="781">
        <v>0</v>
      </c>
      <c r="Q121" s="781">
        <v>1</v>
      </c>
      <c r="R121" s="781">
        <v>0</v>
      </c>
      <c r="S121" s="782">
        <f t="shared" si="41"/>
        <v>0</v>
      </c>
      <c r="T121" s="782">
        <f t="shared" si="41"/>
        <v>18662.5</v>
      </c>
      <c r="U121" s="782">
        <f t="shared" si="41"/>
        <v>0</v>
      </c>
      <c r="W121" s="782"/>
      <c r="X121" s="782"/>
      <c r="Y121" s="783"/>
      <c r="Z121" s="782"/>
      <c r="AA121" s="782"/>
      <c r="AB121" s="783"/>
      <c r="AC121" s="777">
        <f t="shared" si="35"/>
        <v>0</v>
      </c>
      <c r="AD121" s="790">
        <f t="shared" si="33"/>
        <v>0</v>
      </c>
      <c r="AE121" s="790">
        <f t="shared" si="32"/>
        <v>0</v>
      </c>
      <c r="AF121" s="790">
        <f t="shared" si="34"/>
        <v>18662.5</v>
      </c>
    </row>
    <row r="122" spans="1:32" ht="15" customHeight="1">
      <c r="A122" s="636" t="s">
        <v>1074</v>
      </c>
      <c r="B122" s="740" t="s">
        <v>1656</v>
      </c>
      <c r="C122" s="741" t="s">
        <v>1683</v>
      </c>
      <c r="D122" s="742" t="s">
        <v>1684</v>
      </c>
      <c r="E122" s="743" t="s">
        <v>1685</v>
      </c>
      <c r="F122" s="744" t="s">
        <v>1660</v>
      </c>
      <c r="G122" s="745">
        <v>494949</v>
      </c>
      <c r="H122" s="746">
        <v>365131.29</v>
      </c>
      <c r="I122" s="745">
        <f t="shared" si="37"/>
        <v>129817.71000000002</v>
      </c>
      <c r="J122" s="746">
        <v>0</v>
      </c>
      <c r="K122" s="746">
        <v>0</v>
      </c>
      <c r="L122" s="778">
        <f t="shared" si="38"/>
        <v>365131.29</v>
      </c>
      <c r="M122" s="745">
        <f t="shared" si="39"/>
        <v>129817.71000000002</v>
      </c>
      <c r="N122" s="779">
        <f t="shared" si="40"/>
        <v>0.73771497669456854</v>
      </c>
      <c r="O122" s="780" t="s">
        <v>1686</v>
      </c>
      <c r="P122" s="781">
        <v>0.2</v>
      </c>
      <c r="Q122" s="781">
        <v>0.3</v>
      </c>
      <c r="R122" s="781">
        <v>0.5</v>
      </c>
      <c r="S122" s="782">
        <f t="shared" si="41"/>
        <v>73026.258000000002</v>
      </c>
      <c r="T122" s="782">
        <f t="shared" si="41"/>
        <v>109539.38699999999</v>
      </c>
      <c r="U122" s="782">
        <f t="shared" si="41"/>
        <v>182565.64499999999</v>
      </c>
      <c r="W122" s="782"/>
      <c r="X122" s="782"/>
      <c r="Y122" s="783"/>
      <c r="Z122" s="782"/>
      <c r="AA122" s="782"/>
      <c r="AB122" s="783"/>
      <c r="AC122" s="777">
        <f t="shared" si="35"/>
        <v>0</v>
      </c>
      <c r="AD122" s="790">
        <f t="shared" si="33"/>
        <v>98989.8</v>
      </c>
      <c r="AE122" s="790">
        <f t="shared" si="32"/>
        <v>247474.5</v>
      </c>
      <c r="AF122" s="790">
        <f t="shared" si="34"/>
        <v>148484.69999999998</v>
      </c>
    </row>
    <row r="123" spans="1:32" ht="15" customHeight="1">
      <c r="A123" s="636" t="s">
        <v>1074</v>
      </c>
      <c r="B123" s="740" t="s">
        <v>1656</v>
      </c>
      <c r="C123" s="741" t="s">
        <v>1687</v>
      </c>
      <c r="D123" s="742" t="s">
        <v>1688</v>
      </c>
      <c r="E123" s="743" t="s">
        <v>1689</v>
      </c>
      <c r="F123" s="744" t="s">
        <v>1690</v>
      </c>
      <c r="G123" s="745">
        <v>80277.539999999994</v>
      </c>
      <c r="H123" s="746">
        <v>89136.67</v>
      </c>
      <c r="I123" s="745">
        <f t="shared" si="37"/>
        <v>-8859.1300000000047</v>
      </c>
      <c r="J123" s="746">
        <v>0</v>
      </c>
      <c r="K123" s="746">
        <v>0</v>
      </c>
      <c r="L123" s="778">
        <f t="shared" si="38"/>
        <v>89136.67</v>
      </c>
      <c r="M123" s="745">
        <f t="shared" si="39"/>
        <v>-8859.1300000000047</v>
      </c>
      <c r="N123" s="779">
        <f t="shared" si="40"/>
        <v>1.110356271505081</v>
      </c>
      <c r="O123" s="780" t="s">
        <v>1691</v>
      </c>
      <c r="P123" s="781">
        <v>0.32340000000000002</v>
      </c>
      <c r="Q123" s="781">
        <v>0.25369999999999998</v>
      </c>
      <c r="R123" s="781">
        <v>0.4229</v>
      </c>
      <c r="S123" s="782">
        <f t="shared" si="41"/>
        <v>28826.799078</v>
      </c>
      <c r="T123" s="782">
        <f t="shared" si="41"/>
        <v>22613.973178999997</v>
      </c>
      <c r="U123" s="782">
        <f t="shared" si="41"/>
        <v>37695.897743000001</v>
      </c>
      <c r="W123" s="782"/>
      <c r="X123" s="782"/>
      <c r="Y123" s="783"/>
      <c r="Z123" s="782"/>
      <c r="AA123" s="782"/>
      <c r="AB123" s="783"/>
      <c r="AC123" s="777">
        <f t="shared" si="35"/>
        <v>0</v>
      </c>
      <c r="AD123" s="790">
        <f t="shared" si="33"/>
        <v>25961.756436</v>
      </c>
      <c r="AE123" s="790">
        <f t="shared" si="32"/>
        <v>33949.371665999999</v>
      </c>
      <c r="AF123" s="790">
        <f t="shared" si="34"/>
        <v>20366.411897999998</v>
      </c>
    </row>
    <row r="124" spans="1:32" ht="15" customHeight="1">
      <c r="A124" s="636" t="s">
        <v>1074</v>
      </c>
      <c r="B124" s="740" t="s">
        <v>1656</v>
      </c>
      <c r="C124" s="741" t="s">
        <v>1692</v>
      </c>
      <c r="D124" s="742" t="s">
        <v>1693</v>
      </c>
      <c r="E124" s="743" t="s">
        <v>1694</v>
      </c>
      <c r="F124" s="744" t="s">
        <v>1660</v>
      </c>
      <c r="G124" s="745">
        <v>525779</v>
      </c>
      <c r="H124" s="746">
        <v>368123.15</v>
      </c>
      <c r="I124" s="745">
        <f t="shared" si="37"/>
        <v>157655.84999999998</v>
      </c>
      <c r="J124" s="746">
        <v>0</v>
      </c>
      <c r="K124" s="746">
        <v>0</v>
      </c>
      <c r="L124" s="778">
        <f t="shared" si="38"/>
        <v>368123.15</v>
      </c>
      <c r="M124" s="745">
        <f t="shared" si="39"/>
        <v>157655.84999999998</v>
      </c>
      <c r="N124" s="779">
        <f t="shared" si="40"/>
        <v>0.70014806601252622</v>
      </c>
      <c r="O124" s="780" t="s">
        <v>1695</v>
      </c>
      <c r="P124" s="781">
        <v>0.32340000000000002</v>
      </c>
      <c r="Q124" s="781">
        <v>0.3382</v>
      </c>
      <c r="R124" s="781">
        <v>0.33839999999999998</v>
      </c>
      <c r="S124" s="782">
        <f t="shared" si="41"/>
        <v>119051.02671000002</v>
      </c>
      <c r="T124" s="782">
        <f t="shared" si="41"/>
        <v>124499.24933000001</v>
      </c>
      <c r="U124" s="782">
        <f t="shared" si="41"/>
        <v>124572.87396</v>
      </c>
      <c r="W124" s="782"/>
      <c r="X124" s="782"/>
      <c r="Y124" s="783"/>
      <c r="Z124" s="782"/>
      <c r="AA124" s="782"/>
      <c r="AB124" s="783"/>
      <c r="AC124" s="777">
        <f t="shared" si="35"/>
        <v>0</v>
      </c>
      <c r="AD124" s="790">
        <f t="shared" si="33"/>
        <v>170036.92860000001</v>
      </c>
      <c r="AE124" s="790">
        <f t="shared" si="32"/>
        <v>177923.61359999998</v>
      </c>
      <c r="AF124" s="790">
        <f t="shared" si="34"/>
        <v>177818.4578</v>
      </c>
    </row>
    <row r="125" spans="1:32" ht="15" customHeight="1">
      <c r="A125" s="636" t="s">
        <v>1074</v>
      </c>
      <c r="B125" s="740" t="s">
        <v>1656</v>
      </c>
      <c r="C125" s="741" t="s">
        <v>1696</v>
      </c>
      <c r="D125" s="742" t="s">
        <v>1697</v>
      </c>
      <c r="E125" s="743" t="s">
        <v>1698</v>
      </c>
      <c r="F125" s="744" t="s">
        <v>1660</v>
      </c>
      <c r="G125" s="745">
        <v>29570.21</v>
      </c>
      <c r="H125" s="746">
        <v>27988.5</v>
      </c>
      <c r="I125" s="745">
        <f t="shared" si="37"/>
        <v>1581.7099999999991</v>
      </c>
      <c r="J125" s="746">
        <v>0</v>
      </c>
      <c r="K125" s="746">
        <v>0</v>
      </c>
      <c r="L125" s="778">
        <f t="shared" si="38"/>
        <v>27988.5</v>
      </c>
      <c r="M125" s="745">
        <f t="shared" si="39"/>
        <v>1581.7099999999991</v>
      </c>
      <c r="N125" s="779">
        <f t="shared" si="40"/>
        <v>0.94651001802151558</v>
      </c>
      <c r="O125" s="780" t="s">
        <v>1699</v>
      </c>
      <c r="P125" s="781">
        <v>0</v>
      </c>
      <c r="Q125" s="781">
        <v>1</v>
      </c>
      <c r="R125" s="781">
        <v>0</v>
      </c>
      <c r="S125" s="782">
        <f t="shared" si="41"/>
        <v>0</v>
      </c>
      <c r="T125" s="782">
        <f t="shared" si="41"/>
        <v>27988.5</v>
      </c>
      <c r="U125" s="782">
        <f t="shared" si="41"/>
        <v>0</v>
      </c>
      <c r="W125" s="782"/>
      <c r="X125" s="782"/>
      <c r="Y125" s="783"/>
      <c r="Z125" s="782"/>
      <c r="AA125" s="782"/>
      <c r="AB125" s="783"/>
      <c r="AC125" s="777">
        <f t="shared" si="35"/>
        <v>0</v>
      </c>
      <c r="AD125" s="790">
        <f t="shared" si="33"/>
        <v>0</v>
      </c>
      <c r="AE125" s="790">
        <f t="shared" si="32"/>
        <v>0</v>
      </c>
      <c r="AF125" s="790">
        <f t="shared" si="34"/>
        <v>29570.21</v>
      </c>
    </row>
    <row r="126" spans="1:32" ht="15" customHeight="1">
      <c r="A126" s="636" t="s">
        <v>1074</v>
      </c>
      <c r="B126" s="740" t="s">
        <v>1656</v>
      </c>
      <c r="C126" s="741" t="s">
        <v>1700</v>
      </c>
      <c r="D126" s="742" t="s">
        <v>1701</v>
      </c>
      <c r="E126" s="743" t="s">
        <v>1702</v>
      </c>
      <c r="F126" s="744" t="s">
        <v>1677</v>
      </c>
      <c r="G126" s="745">
        <v>104200</v>
      </c>
      <c r="H126" s="746">
        <v>57398.7</v>
      </c>
      <c r="I126" s="745">
        <f t="shared" si="37"/>
        <v>46801.3</v>
      </c>
      <c r="J126" s="746">
        <v>48413.21</v>
      </c>
      <c r="K126" s="746">
        <v>0</v>
      </c>
      <c r="L126" s="778">
        <f t="shared" si="38"/>
        <v>105811.91</v>
      </c>
      <c r="M126" s="745">
        <f t="shared" si="39"/>
        <v>-1611.9100000000035</v>
      </c>
      <c r="N126" s="779">
        <f t="shared" si="40"/>
        <v>1.0154693857965451</v>
      </c>
      <c r="O126" s="780" t="s">
        <v>1703</v>
      </c>
      <c r="P126" s="781">
        <v>0</v>
      </c>
      <c r="Q126" s="781">
        <v>0</v>
      </c>
      <c r="R126" s="781">
        <v>1</v>
      </c>
      <c r="S126" s="782">
        <f t="shared" si="41"/>
        <v>0</v>
      </c>
      <c r="T126" s="782">
        <f t="shared" si="41"/>
        <v>0</v>
      </c>
      <c r="U126" s="782">
        <f t="shared" si="41"/>
        <v>57398.7</v>
      </c>
      <c r="W126" s="782"/>
      <c r="X126" s="782"/>
      <c r="Y126" s="783"/>
      <c r="Z126" s="782"/>
      <c r="AA126" s="782"/>
      <c r="AB126" s="783"/>
      <c r="AC126" s="777">
        <f t="shared" si="35"/>
        <v>0</v>
      </c>
      <c r="AD126" s="790">
        <f t="shared" si="33"/>
        <v>0</v>
      </c>
      <c r="AE126" s="790">
        <f t="shared" si="32"/>
        <v>104200</v>
      </c>
      <c r="AF126" s="790">
        <f t="shared" si="34"/>
        <v>0</v>
      </c>
    </row>
    <row r="127" spans="1:32" ht="15" customHeight="1" thickBot="1">
      <c r="A127" s="636" t="s">
        <v>1036</v>
      </c>
      <c r="B127" s="747" t="str">
        <f>B116</f>
        <v>Solid Waste</v>
      </c>
      <c r="C127" s="748"/>
      <c r="D127" s="749"/>
      <c r="E127" s="750" t="str">
        <f>B116&amp;" - Sub Total"</f>
        <v>Solid Waste - Sub Total</v>
      </c>
      <c r="F127" s="751"/>
      <c r="G127" s="752">
        <f>SUBTOTAL(9,G116:G126)</f>
        <v>2310564.75</v>
      </c>
      <c r="H127" s="752">
        <f>SUBTOTAL(9,H116:H126)</f>
        <v>1616781.6199999999</v>
      </c>
      <c r="I127" s="752">
        <f t="shared" si="37"/>
        <v>693783.13000000012</v>
      </c>
      <c r="J127" s="752">
        <f>SUBTOTAL(9,J116:J126)</f>
        <v>86602.709999999992</v>
      </c>
      <c r="K127" s="752">
        <f>SUBTOTAL(9,K116:K126)</f>
        <v>1718</v>
      </c>
      <c r="L127" s="752">
        <f>SUBTOTAL(9,L116:L126)</f>
        <v>1703384.3299999998</v>
      </c>
      <c r="M127" s="752">
        <f>SUBTOTAL(9,M116:M126)</f>
        <v>607180.41999999981</v>
      </c>
      <c r="N127" s="784">
        <f>IFERROR(L127/#REF!,0)</f>
        <v>0</v>
      </c>
      <c r="O127" s="785"/>
      <c r="P127" s="752"/>
      <c r="Q127" s="752"/>
      <c r="R127" s="752"/>
      <c r="S127" s="786"/>
      <c r="T127" s="786"/>
      <c r="U127" s="786"/>
      <c r="W127" s="786"/>
      <c r="X127" s="786"/>
      <c r="Y127" s="787"/>
      <c r="Z127" s="786"/>
      <c r="AA127" s="786"/>
      <c r="AB127" s="787"/>
      <c r="AC127" s="777"/>
      <c r="AD127" s="790">
        <f t="shared" si="33"/>
        <v>0</v>
      </c>
      <c r="AE127" s="790">
        <f t="shared" si="32"/>
        <v>0</v>
      </c>
      <c r="AF127" s="790">
        <f t="shared" si="34"/>
        <v>0</v>
      </c>
    </row>
    <row r="128" spans="1:32" ht="15" customHeight="1">
      <c r="A128" s="636" t="s">
        <v>1161</v>
      </c>
      <c r="B128" s="753"/>
      <c r="C128" s="754"/>
      <c r="D128" s="754"/>
      <c r="E128" s="753"/>
      <c r="F128" s="755"/>
      <c r="G128" s="756"/>
      <c r="H128" s="756"/>
      <c r="I128" s="756"/>
      <c r="J128" s="756"/>
      <c r="K128" s="756"/>
      <c r="L128" s="756"/>
      <c r="M128" s="756"/>
      <c r="N128" s="753"/>
      <c r="O128" s="753"/>
      <c r="AC128" s="777"/>
      <c r="AD128" s="790">
        <f t="shared" si="33"/>
        <v>0</v>
      </c>
      <c r="AE128" s="790">
        <f t="shared" si="32"/>
        <v>0</v>
      </c>
      <c r="AF128" s="790">
        <f t="shared" si="34"/>
        <v>0</v>
      </c>
    </row>
    <row r="129" spans="1:32" ht="15" customHeight="1">
      <c r="A129" s="636" t="s">
        <v>1074</v>
      </c>
      <c r="B129" s="740" t="s">
        <v>1704</v>
      </c>
      <c r="C129" s="741" t="s">
        <v>1705</v>
      </c>
      <c r="D129" s="742" t="s">
        <v>1706</v>
      </c>
      <c r="E129" s="743" t="s">
        <v>1707</v>
      </c>
      <c r="F129" s="744" t="s">
        <v>1708</v>
      </c>
      <c r="G129" s="745">
        <v>471469.57</v>
      </c>
      <c r="H129" s="746">
        <v>84358.33</v>
      </c>
      <c r="I129" s="745">
        <f t="shared" ref="I129:I145" si="42">G129-H129</f>
        <v>387111.24</v>
      </c>
      <c r="J129" s="746">
        <v>25318.57</v>
      </c>
      <c r="K129" s="746">
        <v>0</v>
      </c>
      <c r="L129" s="778">
        <f t="shared" ref="L129:L144" si="43">H129+J129</f>
        <v>109676.9</v>
      </c>
      <c r="M129" s="745">
        <f t="shared" ref="M129:M144" si="44">G129-L129</f>
        <v>361792.67000000004</v>
      </c>
      <c r="N129" s="779">
        <f t="shared" ref="N129:N144" si="45">IFERROR(L129/G129,0)</f>
        <v>0.23262773883794874</v>
      </c>
      <c r="O129" s="780" t="s">
        <v>1709</v>
      </c>
      <c r="P129" s="781">
        <v>0</v>
      </c>
      <c r="Q129" s="781">
        <v>1</v>
      </c>
      <c r="R129" s="781">
        <v>0</v>
      </c>
      <c r="S129" s="782">
        <f t="shared" ref="S129:U144" si="46">$H129*P129</f>
        <v>0</v>
      </c>
      <c r="T129" s="782">
        <f t="shared" si="46"/>
        <v>84358.33</v>
      </c>
      <c r="U129" s="782">
        <f t="shared" si="46"/>
        <v>0</v>
      </c>
      <c r="W129" s="782"/>
      <c r="X129" s="782"/>
      <c r="Y129" s="783"/>
      <c r="Z129" s="782"/>
      <c r="AA129" s="782"/>
      <c r="AB129" s="783"/>
      <c r="AC129" s="777">
        <f t="shared" si="35"/>
        <v>0</v>
      </c>
      <c r="AD129" s="790">
        <f t="shared" si="33"/>
        <v>0</v>
      </c>
      <c r="AE129" s="790">
        <f t="shared" si="32"/>
        <v>0</v>
      </c>
      <c r="AF129" s="790">
        <f t="shared" si="34"/>
        <v>471469.57</v>
      </c>
    </row>
    <row r="130" spans="1:32" ht="15" customHeight="1">
      <c r="A130" s="636" t="s">
        <v>1074</v>
      </c>
      <c r="B130" s="740" t="s">
        <v>1704</v>
      </c>
      <c r="C130" s="741" t="s">
        <v>1710</v>
      </c>
      <c r="D130" s="742" t="s">
        <v>1711</v>
      </c>
      <c r="E130" s="743" t="s">
        <v>1712</v>
      </c>
      <c r="F130" s="744" t="s">
        <v>1708</v>
      </c>
      <c r="G130" s="745">
        <v>365931.06</v>
      </c>
      <c r="H130" s="746">
        <v>214263.15</v>
      </c>
      <c r="I130" s="745">
        <f t="shared" si="42"/>
        <v>151667.91</v>
      </c>
      <c r="J130" s="746">
        <v>55123.17</v>
      </c>
      <c r="K130" s="746">
        <v>0</v>
      </c>
      <c r="L130" s="778">
        <f t="shared" si="43"/>
        <v>269386.32</v>
      </c>
      <c r="M130" s="745">
        <f t="shared" si="44"/>
        <v>96544.739999999991</v>
      </c>
      <c r="N130" s="779">
        <f t="shared" si="45"/>
        <v>0.73616686159409372</v>
      </c>
      <c r="O130" s="780" t="s">
        <v>1713</v>
      </c>
      <c r="P130" s="781">
        <v>0</v>
      </c>
      <c r="Q130" s="781">
        <v>1</v>
      </c>
      <c r="R130" s="781">
        <v>0</v>
      </c>
      <c r="S130" s="782">
        <f t="shared" si="46"/>
        <v>0</v>
      </c>
      <c r="T130" s="782">
        <f t="shared" si="46"/>
        <v>214263.15</v>
      </c>
      <c r="U130" s="782">
        <f t="shared" si="46"/>
        <v>0</v>
      </c>
      <c r="W130" s="782"/>
      <c r="X130" s="782"/>
      <c r="Y130" s="783"/>
      <c r="Z130" s="782"/>
      <c r="AA130" s="782"/>
      <c r="AB130" s="783"/>
      <c r="AC130" s="777">
        <f t="shared" si="35"/>
        <v>0</v>
      </c>
      <c r="AD130" s="790">
        <f t="shared" si="33"/>
        <v>0</v>
      </c>
      <c r="AE130" s="790">
        <f t="shared" si="32"/>
        <v>0</v>
      </c>
      <c r="AF130" s="790">
        <f t="shared" si="34"/>
        <v>365931.06</v>
      </c>
    </row>
    <row r="131" spans="1:32" ht="15" customHeight="1">
      <c r="A131" s="636" t="s">
        <v>1074</v>
      </c>
      <c r="B131" s="740" t="s">
        <v>1704</v>
      </c>
      <c r="C131" s="741" t="s">
        <v>1714</v>
      </c>
      <c r="D131" s="742" t="s">
        <v>1715</v>
      </c>
      <c r="E131" s="743" t="s">
        <v>1716</v>
      </c>
      <c r="F131" s="744" t="s">
        <v>1717</v>
      </c>
      <c r="G131" s="745">
        <v>361035.51</v>
      </c>
      <c r="H131" s="746">
        <v>204476.38</v>
      </c>
      <c r="I131" s="745">
        <f t="shared" si="42"/>
        <v>156559.13</v>
      </c>
      <c r="J131" s="746">
        <v>73254.350000000006</v>
      </c>
      <c r="K131" s="746">
        <v>0</v>
      </c>
      <c r="L131" s="778">
        <f t="shared" si="43"/>
        <v>277730.73</v>
      </c>
      <c r="M131" s="745">
        <f t="shared" si="44"/>
        <v>83304.780000000028</v>
      </c>
      <c r="N131" s="779">
        <f t="shared" si="45"/>
        <v>0.76926153330457714</v>
      </c>
      <c r="O131" s="780" t="s">
        <v>1718</v>
      </c>
      <c r="P131" s="781">
        <v>0.1</v>
      </c>
      <c r="Q131" s="781">
        <v>0</v>
      </c>
      <c r="R131" s="781">
        <v>0.9</v>
      </c>
      <c r="S131" s="782">
        <f t="shared" si="46"/>
        <v>20447.638000000003</v>
      </c>
      <c r="T131" s="782">
        <f t="shared" si="46"/>
        <v>0</v>
      </c>
      <c r="U131" s="782">
        <f t="shared" si="46"/>
        <v>184028.742</v>
      </c>
      <c r="W131" s="782"/>
      <c r="X131" s="782"/>
      <c r="Y131" s="783"/>
      <c r="Z131" s="782"/>
      <c r="AA131" s="782"/>
      <c r="AB131" s="783"/>
      <c r="AC131" s="777">
        <f t="shared" si="35"/>
        <v>0</v>
      </c>
      <c r="AD131" s="790">
        <f t="shared" si="33"/>
        <v>36103.550999999999</v>
      </c>
      <c r="AE131" s="790">
        <f t="shared" si="32"/>
        <v>324931.95900000003</v>
      </c>
      <c r="AF131" s="790">
        <f t="shared" si="34"/>
        <v>0</v>
      </c>
    </row>
    <row r="132" spans="1:32" ht="15" customHeight="1">
      <c r="A132" s="636" t="s">
        <v>1074</v>
      </c>
      <c r="B132" s="740" t="s">
        <v>1704</v>
      </c>
      <c r="C132" s="741" t="s">
        <v>1719</v>
      </c>
      <c r="D132" s="742" t="s">
        <v>1720</v>
      </c>
      <c r="E132" s="743" t="s">
        <v>1721</v>
      </c>
      <c r="F132" s="744" t="s">
        <v>1299</v>
      </c>
      <c r="G132" s="745">
        <v>1732379.78</v>
      </c>
      <c r="H132" s="746">
        <v>1732379.78</v>
      </c>
      <c r="I132" s="745">
        <f t="shared" si="42"/>
        <v>0</v>
      </c>
      <c r="J132" s="746">
        <v>12344.79</v>
      </c>
      <c r="K132" s="746">
        <v>298687.92</v>
      </c>
      <c r="L132" s="778">
        <f t="shared" si="43"/>
        <v>1744724.57</v>
      </c>
      <c r="M132" s="745">
        <f t="shared" si="44"/>
        <v>-12344.790000000037</v>
      </c>
      <c r="N132" s="779">
        <f t="shared" si="45"/>
        <v>1.0071259143881257</v>
      </c>
      <c r="O132" s="780" t="s">
        <v>1722</v>
      </c>
      <c r="P132" s="781">
        <v>1</v>
      </c>
      <c r="Q132" s="781">
        <v>0</v>
      </c>
      <c r="R132" s="781">
        <v>0</v>
      </c>
      <c r="S132" s="782">
        <f t="shared" si="46"/>
        <v>1732379.78</v>
      </c>
      <c r="T132" s="782">
        <f t="shared" si="46"/>
        <v>0</v>
      </c>
      <c r="U132" s="782">
        <f t="shared" si="46"/>
        <v>0</v>
      </c>
      <c r="W132" s="782"/>
      <c r="X132" s="782"/>
      <c r="Y132" s="783"/>
      <c r="Z132" s="782"/>
      <c r="AA132" s="782"/>
      <c r="AB132" s="783"/>
      <c r="AC132" s="777">
        <f t="shared" si="35"/>
        <v>0</v>
      </c>
      <c r="AD132" s="790">
        <f t="shared" si="33"/>
        <v>1732379.78</v>
      </c>
      <c r="AE132" s="790">
        <f t="shared" si="32"/>
        <v>0</v>
      </c>
      <c r="AF132" s="790">
        <f t="shared" si="34"/>
        <v>0</v>
      </c>
    </row>
    <row r="133" spans="1:32" ht="15" customHeight="1">
      <c r="A133" s="636" t="s">
        <v>1074</v>
      </c>
      <c r="B133" s="740" t="s">
        <v>1704</v>
      </c>
      <c r="C133" s="741" t="s">
        <v>1723</v>
      </c>
      <c r="D133" s="742" t="s">
        <v>1724</v>
      </c>
      <c r="E133" s="743" t="s">
        <v>1725</v>
      </c>
      <c r="F133" s="744" t="s">
        <v>1726</v>
      </c>
      <c r="G133" s="745">
        <v>4747.78</v>
      </c>
      <c r="H133" s="746">
        <v>4700.8100000000004</v>
      </c>
      <c r="I133" s="745">
        <f t="shared" si="42"/>
        <v>46.969999999999345</v>
      </c>
      <c r="J133" s="746">
        <v>0</v>
      </c>
      <c r="K133" s="746">
        <v>0</v>
      </c>
      <c r="L133" s="778">
        <f t="shared" si="43"/>
        <v>4700.8100000000004</v>
      </c>
      <c r="M133" s="745">
        <f t="shared" si="44"/>
        <v>46.969999999999345</v>
      </c>
      <c r="N133" s="779">
        <f t="shared" si="45"/>
        <v>0.99010695525066461</v>
      </c>
      <c r="O133" s="780" t="s">
        <v>1727</v>
      </c>
      <c r="P133" s="781">
        <v>1</v>
      </c>
      <c r="Q133" s="781">
        <v>0</v>
      </c>
      <c r="R133" s="781">
        <v>0</v>
      </c>
      <c r="S133" s="782">
        <f t="shared" si="46"/>
        <v>4700.8100000000004</v>
      </c>
      <c r="T133" s="782">
        <f t="shared" si="46"/>
        <v>0</v>
      </c>
      <c r="U133" s="782">
        <f t="shared" si="46"/>
        <v>0</v>
      </c>
      <c r="W133" s="782"/>
      <c r="X133" s="782"/>
      <c r="Y133" s="783"/>
      <c r="Z133" s="782"/>
      <c r="AA133" s="782"/>
      <c r="AB133" s="783"/>
      <c r="AC133" s="777">
        <f t="shared" si="35"/>
        <v>0</v>
      </c>
      <c r="AD133" s="790">
        <f t="shared" si="33"/>
        <v>4747.78</v>
      </c>
      <c r="AE133" s="790">
        <f t="shared" si="32"/>
        <v>0</v>
      </c>
      <c r="AF133" s="790">
        <f t="shared" si="34"/>
        <v>0</v>
      </c>
    </row>
    <row r="134" spans="1:32" ht="15" customHeight="1">
      <c r="A134" s="636" t="s">
        <v>1074</v>
      </c>
      <c r="B134" s="740" t="s">
        <v>1704</v>
      </c>
      <c r="C134" s="741" t="s">
        <v>1728</v>
      </c>
      <c r="D134" s="742" t="s">
        <v>1729</v>
      </c>
      <c r="E134" s="743" t="s">
        <v>1730</v>
      </c>
      <c r="F134" s="744" t="s">
        <v>1731</v>
      </c>
      <c r="G134" s="745">
        <v>446258.36</v>
      </c>
      <c r="H134" s="746">
        <v>0</v>
      </c>
      <c r="I134" s="745">
        <f t="shared" si="42"/>
        <v>446258.36</v>
      </c>
      <c r="J134" s="746">
        <v>0</v>
      </c>
      <c r="K134" s="746">
        <v>0</v>
      </c>
      <c r="L134" s="778">
        <f t="shared" si="43"/>
        <v>0</v>
      </c>
      <c r="M134" s="745">
        <f t="shared" si="44"/>
        <v>446258.36</v>
      </c>
      <c r="N134" s="779">
        <f t="shared" si="45"/>
        <v>0</v>
      </c>
      <c r="O134" s="780" t="s">
        <v>1732</v>
      </c>
      <c r="P134" s="781">
        <v>0.45300000000000001</v>
      </c>
      <c r="Q134" s="781">
        <v>0</v>
      </c>
      <c r="R134" s="781">
        <v>0.54700000000000004</v>
      </c>
      <c r="S134" s="782">
        <f t="shared" si="46"/>
        <v>0</v>
      </c>
      <c r="T134" s="782">
        <f t="shared" si="46"/>
        <v>0</v>
      </c>
      <c r="U134" s="782">
        <f t="shared" si="46"/>
        <v>0</v>
      </c>
      <c r="W134" s="782"/>
      <c r="X134" s="782"/>
      <c r="Y134" s="783"/>
      <c r="Z134" s="782"/>
      <c r="AA134" s="782"/>
      <c r="AB134" s="783"/>
      <c r="AC134" s="777">
        <f t="shared" si="35"/>
        <v>0</v>
      </c>
      <c r="AD134" s="790">
        <f t="shared" si="33"/>
        <v>202155.03708000001</v>
      </c>
      <c r="AE134" s="790">
        <f t="shared" si="32"/>
        <v>244103.32292000001</v>
      </c>
      <c r="AF134" s="790">
        <f t="shared" si="34"/>
        <v>0</v>
      </c>
    </row>
    <row r="135" spans="1:32" ht="15" customHeight="1">
      <c r="A135" s="636" t="s">
        <v>1074</v>
      </c>
      <c r="B135" s="740" t="s">
        <v>1704</v>
      </c>
      <c r="C135" s="741" t="s">
        <v>1733</v>
      </c>
      <c r="D135" s="742" t="s">
        <v>1734</v>
      </c>
      <c r="E135" s="743" t="s">
        <v>1735</v>
      </c>
      <c r="F135" s="744" t="s">
        <v>1731</v>
      </c>
      <c r="G135" s="745">
        <v>87108.57</v>
      </c>
      <c r="H135" s="746">
        <v>21620</v>
      </c>
      <c r="I135" s="745">
        <f t="shared" si="42"/>
        <v>65488.570000000007</v>
      </c>
      <c r="J135" s="746">
        <v>25277.279999999999</v>
      </c>
      <c r="K135" s="746">
        <v>0</v>
      </c>
      <c r="L135" s="778">
        <f t="shared" si="43"/>
        <v>46897.279999999999</v>
      </c>
      <c r="M135" s="745">
        <f t="shared" si="44"/>
        <v>40211.290000000008</v>
      </c>
      <c r="N135" s="779">
        <f t="shared" si="45"/>
        <v>0.53837733761442752</v>
      </c>
      <c r="O135" s="780" t="s">
        <v>1736</v>
      </c>
      <c r="P135" s="781">
        <v>0.26490000000000002</v>
      </c>
      <c r="Q135" s="781">
        <v>0</v>
      </c>
      <c r="R135" s="781">
        <v>0.73509999999999998</v>
      </c>
      <c r="S135" s="782">
        <f t="shared" si="46"/>
        <v>5727.1380000000008</v>
      </c>
      <c r="T135" s="782">
        <f t="shared" si="46"/>
        <v>0</v>
      </c>
      <c r="U135" s="782">
        <f t="shared" si="46"/>
        <v>15892.861999999999</v>
      </c>
      <c r="W135" s="782"/>
      <c r="X135" s="782"/>
      <c r="Y135" s="783"/>
      <c r="Z135" s="782"/>
      <c r="AA135" s="782"/>
      <c r="AB135" s="783"/>
      <c r="AC135" s="777">
        <f t="shared" si="35"/>
        <v>0</v>
      </c>
      <c r="AD135" s="790">
        <f t="shared" si="33"/>
        <v>23075.060193000005</v>
      </c>
      <c r="AE135" s="790">
        <f t="shared" ref="AE135:AE198" si="47">$G135*R135</f>
        <v>64033.509807000002</v>
      </c>
      <c r="AF135" s="790">
        <f t="shared" si="34"/>
        <v>0</v>
      </c>
    </row>
    <row r="136" spans="1:32" ht="15" customHeight="1">
      <c r="A136" s="636" t="s">
        <v>1074</v>
      </c>
      <c r="B136" s="740" t="s">
        <v>1704</v>
      </c>
      <c r="C136" s="741" t="s">
        <v>1737</v>
      </c>
      <c r="D136" s="742" t="s">
        <v>1738</v>
      </c>
      <c r="E136" s="743" t="s">
        <v>1739</v>
      </c>
      <c r="F136" s="744" t="s">
        <v>1731</v>
      </c>
      <c r="G136" s="745">
        <v>1220000</v>
      </c>
      <c r="H136" s="746">
        <v>1224829.71</v>
      </c>
      <c r="I136" s="745">
        <f t="shared" si="42"/>
        <v>-4829.7099999999627</v>
      </c>
      <c r="J136" s="746">
        <v>26415.09</v>
      </c>
      <c r="K136" s="746">
        <v>0</v>
      </c>
      <c r="L136" s="778">
        <f t="shared" si="43"/>
        <v>1251244.8</v>
      </c>
      <c r="M136" s="745">
        <f t="shared" si="44"/>
        <v>-31244.800000000047</v>
      </c>
      <c r="N136" s="779">
        <f t="shared" si="45"/>
        <v>1.0256104918032787</v>
      </c>
      <c r="O136" s="780" t="s">
        <v>1740</v>
      </c>
      <c r="P136" s="781">
        <v>1</v>
      </c>
      <c r="Q136" s="781">
        <v>0</v>
      </c>
      <c r="R136" s="781">
        <v>0</v>
      </c>
      <c r="S136" s="782">
        <f t="shared" si="46"/>
        <v>1224829.71</v>
      </c>
      <c r="T136" s="782">
        <f t="shared" si="46"/>
        <v>0</v>
      </c>
      <c r="U136" s="782">
        <f t="shared" si="46"/>
        <v>0</v>
      </c>
      <c r="W136" s="782"/>
      <c r="X136" s="782"/>
      <c r="Y136" s="783"/>
      <c r="Z136" s="782"/>
      <c r="AA136" s="782"/>
      <c r="AB136" s="783"/>
      <c r="AC136" s="777">
        <f t="shared" si="35"/>
        <v>0</v>
      </c>
      <c r="AD136" s="790">
        <f t="shared" ref="AD136:AD199" si="48">$G136*P136</f>
        <v>1220000</v>
      </c>
      <c r="AE136" s="790">
        <f t="shared" si="47"/>
        <v>0</v>
      </c>
      <c r="AF136" s="790">
        <f t="shared" ref="AF136:AF199" si="49">$G136*Q136</f>
        <v>0</v>
      </c>
    </row>
    <row r="137" spans="1:32" ht="15" customHeight="1">
      <c r="A137" s="636" t="s">
        <v>1074</v>
      </c>
      <c r="B137" s="740" t="s">
        <v>1704</v>
      </c>
      <c r="C137" s="741" t="s">
        <v>1741</v>
      </c>
      <c r="D137" s="742" t="s">
        <v>1742</v>
      </c>
      <c r="E137" s="743" t="s">
        <v>1743</v>
      </c>
      <c r="F137" s="744" t="s">
        <v>1726</v>
      </c>
      <c r="G137" s="745">
        <v>973957.83</v>
      </c>
      <c r="H137" s="746">
        <v>154504.25</v>
      </c>
      <c r="I137" s="745">
        <f t="shared" si="42"/>
        <v>819453.58</v>
      </c>
      <c r="J137" s="746">
        <v>19013</v>
      </c>
      <c r="K137" s="746">
        <v>57773.66</v>
      </c>
      <c r="L137" s="778">
        <f t="shared" si="43"/>
        <v>173517.25</v>
      </c>
      <c r="M137" s="745">
        <f t="shared" si="44"/>
        <v>800440.58</v>
      </c>
      <c r="N137" s="779">
        <f t="shared" si="45"/>
        <v>0.17815684073303256</v>
      </c>
      <c r="O137" s="780" t="s">
        <v>1744</v>
      </c>
      <c r="P137" s="781">
        <v>0.4546</v>
      </c>
      <c r="Q137" s="781">
        <v>0</v>
      </c>
      <c r="R137" s="781">
        <v>0.5454</v>
      </c>
      <c r="S137" s="782">
        <f t="shared" si="46"/>
        <v>70237.63205</v>
      </c>
      <c r="T137" s="782">
        <f t="shared" si="46"/>
        <v>0</v>
      </c>
      <c r="U137" s="782">
        <f t="shared" si="46"/>
        <v>84266.61795</v>
      </c>
      <c r="W137" s="782"/>
      <c r="X137" s="782"/>
      <c r="Y137" s="783"/>
      <c r="Z137" s="782"/>
      <c r="AA137" s="782"/>
      <c r="AB137" s="783"/>
      <c r="AC137" s="777">
        <f t="shared" si="35"/>
        <v>0</v>
      </c>
      <c r="AD137" s="790">
        <f t="shared" si="48"/>
        <v>442761.22951799998</v>
      </c>
      <c r="AE137" s="790">
        <f t="shared" si="47"/>
        <v>531196.60048199992</v>
      </c>
      <c r="AF137" s="790">
        <f t="shared" si="49"/>
        <v>0</v>
      </c>
    </row>
    <row r="138" spans="1:32" ht="15" customHeight="1">
      <c r="A138" s="636" t="s">
        <v>1074</v>
      </c>
      <c r="B138" s="740" t="s">
        <v>1704</v>
      </c>
      <c r="C138" s="741" t="s">
        <v>1745</v>
      </c>
      <c r="D138" s="742" t="s">
        <v>1746</v>
      </c>
      <c r="E138" s="743" t="s">
        <v>1747</v>
      </c>
      <c r="F138" s="744" t="s">
        <v>1748</v>
      </c>
      <c r="G138" s="745">
        <v>509702.89</v>
      </c>
      <c r="H138" s="746">
        <v>115336.7</v>
      </c>
      <c r="I138" s="745">
        <f t="shared" si="42"/>
        <v>394366.19</v>
      </c>
      <c r="J138" s="746">
        <v>17178.18</v>
      </c>
      <c r="K138" s="746">
        <v>13869</v>
      </c>
      <c r="L138" s="778">
        <f t="shared" si="43"/>
        <v>132514.88</v>
      </c>
      <c r="M138" s="745">
        <f t="shared" si="44"/>
        <v>377188.01</v>
      </c>
      <c r="N138" s="779">
        <f t="shared" si="45"/>
        <v>0.25998455688567901</v>
      </c>
      <c r="O138" s="780" t="s">
        <v>1749</v>
      </c>
      <c r="P138" s="781">
        <v>0.81899999999999995</v>
      </c>
      <c r="Q138" s="781">
        <v>0</v>
      </c>
      <c r="R138" s="781">
        <v>0.18099999999999999</v>
      </c>
      <c r="S138" s="782">
        <f t="shared" si="46"/>
        <v>94460.757299999997</v>
      </c>
      <c r="T138" s="782">
        <f t="shared" si="46"/>
        <v>0</v>
      </c>
      <c r="U138" s="782">
        <f t="shared" si="46"/>
        <v>20875.9427</v>
      </c>
      <c r="W138" s="782"/>
      <c r="X138" s="782"/>
      <c r="Y138" s="783"/>
      <c r="Z138" s="782"/>
      <c r="AA138" s="782"/>
      <c r="AB138" s="783"/>
      <c r="AC138" s="777">
        <f t="shared" ref="AC138:AC202" si="50">H138-SUM(S138:U138)</f>
        <v>0</v>
      </c>
      <c r="AD138" s="790">
        <f t="shared" si="48"/>
        <v>417446.66690999997</v>
      </c>
      <c r="AE138" s="790">
        <f t="shared" si="47"/>
        <v>92256.22309</v>
      </c>
      <c r="AF138" s="790">
        <f t="shared" si="49"/>
        <v>0</v>
      </c>
    </row>
    <row r="139" spans="1:32" ht="15" customHeight="1">
      <c r="A139" s="636" t="s">
        <v>1074</v>
      </c>
      <c r="B139" s="740" t="s">
        <v>1704</v>
      </c>
      <c r="C139" s="741" t="s">
        <v>1733</v>
      </c>
      <c r="D139" s="742" t="s">
        <v>1750</v>
      </c>
      <c r="E139" s="743" t="s">
        <v>1751</v>
      </c>
      <c r="F139" s="744" t="s">
        <v>1731</v>
      </c>
      <c r="G139" s="745">
        <v>27701.57</v>
      </c>
      <c r="H139" s="746">
        <v>20789.080000000002</v>
      </c>
      <c r="I139" s="745">
        <f t="shared" si="42"/>
        <v>6912.489999999998</v>
      </c>
      <c r="J139" s="746">
        <v>6936.5</v>
      </c>
      <c r="K139" s="746">
        <v>0</v>
      </c>
      <c r="L139" s="778">
        <f t="shared" si="43"/>
        <v>27725.58</v>
      </c>
      <c r="M139" s="745">
        <f t="shared" si="44"/>
        <v>-24.010000000002037</v>
      </c>
      <c r="N139" s="779">
        <f t="shared" si="45"/>
        <v>1.0008667378780336</v>
      </c>
      <c r="O139" s="780" t="s">
        <v>1736</v>
      </c>
      <c r="P139" s="781">
        <v>0.26279999999999998</v>
      </c>
      <c r="Q139" s="781">
        <v>0</v>
      </c>
      <c r="R139" s="781">
        <v>0.73719999999999997</v>
      </c>
      <c r="S139" s="782">
        <f t="shared" si="46"/>
        <v>5463.3702240000002</v>
      </c>
      <c r="T139" s="782">
        <f t="shared" si="46"/>
        <v>0</v>
      </c>
      <c r="U139" s="782">
        <f t="shared" si="46"/>
        <v>15325.709776</v>
      </c>
      <c r="W139" s="782"/>
      <c r="X139" s="782"/>
      <c r="Y139" s="783"/>
      <c r="Z139" s="782"/>
      <c r="AA139" s="782"/>
      <c r="AB139" s="783"/>
      <c r="AC139" s="777">
        <f t="shared" si="50"/>
        <v>0</v>
      </c>
      <c r="AD139" s="790">
        <f t="shared" si="48"/>
        <v>7279.9725959999996</v>
      </c>
      <c r="AE139" s="790">
        <f t="shared" si="47"/>
        <v>20421.597404</v>
      </c>
      <c r="AF139" s="790">
        <f t="shared" si="49"/>
        <v>0</v>
      </c>
    </row>
    <row r="140" spans="1:32" ht="15" customHeight="1">
      <c r="A140" s="636" t="s">
        <v>1074</v>
      </c>
      <c r="B140" s="740" t="s">
        <v>1704</v>
      </c>
      <c r="C140" s="741" t="s">
        <v>1752</v>
      </c>
      <c r="D140" s="742" t="s">
        <v>1753</v>
      </c>
      <c r="E140" s="743" t="s">
        <v>1754</v>
      </c>
      <c r="F140" s="744" t="s">
        <v>1726</v>
      </c>
      <c r="G140" s="745">
        <v>379006</v>
      </c>
      <c r="H140" s="746">
        <v>45356.66</v>
      </c>
      <c r="I140" s="745">
        <f t="shared" si="42"/>
        <v>333649.33999999997</v>
      </c>
      <c r="J140" s="746">
        <v>0</v>
      </c>
      <c r="K140" s="746">
        <v>239523.28</v>
      </c>
      <c r="L140" s="778">
        <f t="shared" si="43"/>
        <v>45356.66</v>
      </c>
      <c r="M140" s="745">
        <f t="shared" si="44"/>
        <v>333649.33999999997</v>
      </c>
      <c r="N140" s="779">
        <f t="shared" si="45"/>
        <v>0.11967267008965558</v>
      </c>
      <c r="O140" s="780" t="s">
        <v>1755</v>
      </c>
      <c r="P140" s="781">
        <v>0.26279999999999998</v>
      </c>
      <c r="Q140" s="781">
        <v>0.2457</v>
      </c>
      <c r="R140" s="781">
        <v>0.49149999999999999</v>
      </c>
      <c r="S140" s="782">
        <f t="shared" si="46"/>
        <v>11919.730248</v>
      </c>
      <c r="T140" s="782">
        <f t="shared" si="46"/>
        <v>11144.131362</v>
      </c>
      <c r="U140" s="782">
        <f t="shared" si="46"/>
        <v>22292.79839</v>
      </c>
      <c r="W140" s="782"/>
      <c r="X140" s="782"/>
      <c r="Y140" s="783"/>
      <c r="Z140" s="782"/>
      <c r="AA140" s="782"/>
      <c r="AB140" s="783"/>
      <c r="AC140" s="777">
        <f t="shared" si="50"/>
        <v>0</v>
      </c>
      <c r="AD140" s="790">
        <f t="shared" si="48"/>
        <v>99602.776799999992</v>
      </c>
      <c r="AE140" s="790">
        <f t="shared" si="47"/>
        <v>186281.44899999999</v>
      </c>
      <c r="AF140" s="790">
        <f t="shared" si="49"/>
        <v>93121.7742</v>
      </c>
    </row>
    <row r="141" spans="1:32" ht="15" customHeight="1">
      <c r="A141" s="636" t="s">
        <v>1074</v>
      </c>
      <c r="B141" s="740" t="s">
        <v>1704</v>
      </c>
      <c r="C141" s="741" t="s">
        <v>1756</v>
      </c>
      <c r="D141" s="742" t="s">
        <v>1757</v>
      </c>
      <c r="E141" s="743" t="s">
        <v>1758</v>
      </c>
      <c r="F141" s="744" t="s">
        <v>1726</v>
      </c>
      <c r="G141" s="745">
        <v>1244252</v>
      </c>
      <c r="H141" s="746">
        <v>105422.91</v>
      </c>
      <c r="I141" s="745">
        <f t="shared" si="42"/>
        <v>1138829.0900000001</v>
      </c>
      <c r="J141" s="746">
        <v>0</v>
      </c>
      <c r="K141" s="746">
        <v>1228263.97</v>
      </c>
      <c r="L141" s="778">
        <f t="shared" si="43"/>
        <v>105422.91</v>
      </c>
      <c r="M141" s="745">
        <f t="shared" si="44"/>
        <v>1138829.0900000001</v>
      </c>
      <c r="N141" s="779">
        <f t="shared" si="45"/>
        <v>8.4727940963727613E-2</v>
      </c>
      <c r="O141" s="780" t="s">
        <v>1759</v>
      </c>
      <c r="P141" s="781">
        <v>0.26279999999999998</v>
      </c>
      <c r="Q141" s="781">
        <v>0.2457</v>
      </c>
      <c r="R141" s="781">
        <v>0.49149999999999999</v>
      </c>
      <c r="S141" s="782">
        <f t="shared" si="46"/>
        <v>27705.140747999998</v>
      </c>
      <c r="T141" s="782">
        <f t="shared" si="46"/>
        <v>25902.408987000003</v>
      </c>
      <c r="U141" s="782">
        <f t="shared" si="46"/>
        <v>51815.360265000003</v>
      </c>
      <c r="W141" s="782"/>
      <c r="X141" s="782"/>
      <c r="Y141" s="783"/>
      <c r="Z141" s="782"/>
      <c r="AA141" s="782"/>
      <c r="AB141" s="783"/>
      <c r="AC141" s="777">
        <f t="shared" si="50"/>
        <v>0</v>
      </c>
      <c r="AD141" s="790">
        <f t="shared" si="48"/>
        <v>326989.42559999996</v>
      </c>
      <c r="AE141" s="790">
        <f t="shared" si="47"/>
        <v>611549.85800000001</v>
      </c>
      <c r="AF141" s="790">
        <f t="shared" si="49"/>
        <v>305712.71639999998</v>
      </c>
    </row>
    <row r="142" spans="1:32" ht="15" customHeight="1">
      <c r="A142" s="636" t="s">
        <v>1074</v>
      </c>
      <c r="B142" s="740" t="s">
        <v>1704</v>
      </c>
      <c r="C142" s="741" t="s">
        <v>1760</v>
      </c>
      <c r="D142" s="742" t="s">
        <v>1761</v>
      </c>
      <c r="E142" s="743" t="s">
        <v>1762</v>
      </c>
      <c r="F142" s="744" t="s">
        <v>1726</v>
      </c>
      <c r="G142" s="745">
        <v>1805084</v>
      </c>
      <c r="H142" s="746">
        <v>295398.62</v>
      </c>
      <c r="I142" s="745">
        <f t="shared" si="42"/>
        <v>1509685.38</v>
      </c>
      <c r="J142" s="746">
        <v>105.6</v>
      </c>
      <c r="K142" s="746">
        <v>1246722.3899999999</v>
      </c>
      <c r="L142" s="778">
        <f t="shared" si="43"/>
        <v>295504.21999999997</v>
      </c>
      <c r="M142" s="745">
        <f t="shared" si="44"/>
        <v>1509579.78</v>
      </c>
      <c r="N142" s="779">
        <f t="shared" si="45"/>
        <v>0.16370663082715262</v>
      </c>
      <c r="O142" s="780" t="s">
        <v>1763</v>
      </c>
      <c r="P142" s="781">
        <v>0.26279999999999998</v>
      </c>
      <c r="Q142" s="781">
        <v>0</v>
      </c>
      <c r="R142" s="781">
        <v>0.73719999999999997</v>
      </c>
      <c r="S142" s="782">
        <f t="shared" si="46"/>
        <v>77630.757335999995</v>
      </c>
      <c r="T142" s="782">
        <f t="shared" si="46"/>
        <v>0</v>
      </c>
      <c r="U142" s="782">
        <f t="shared" si="46"/>
        <v>217767.86266399999</v>
      </c>
      <c r="W142" s="782"/>
      <c r="X142" s="782"/>
      <c r="Y142" s="783"/>
      <c r="Z142" s="782"/>
      <c r="AA142" s="782"/>
      <c r="AB142" s="783"/>
      <c r="AC142" s="777">
        <f t="shared" si="50"/>
        <v>0</v>
      </c>
      <c r="AD142" s="790">
        <f t="shared" si="48"/>
        <v>474376.07519999996</v>
      </c>
      <c r="AE142" s="790">
        <f t="shared" si="47"/>
        <v>1330707.9247999999</v>
      </c>
      <c r="AF142" s="790">
        <f t="shared" si="49"/>
        <v>0</v>
      </c>
    </row>
    <row r="143" spans="1:32" ht="15" customHeight="1">
      <c r="A143" s="636" t="s">
        <v>1074</v>
      </c>
      <c r="B143" s="740" t="s">
        <v>1704</v>
      </c>
      <c r="C143" s="741" t="s">
        <v>1764</v>
      </c>
      <c r="D143" s="742" t="s">
        <v>1765</v>
      </c>
      <c r="E143" s="743" t="s">
        <v>1766</v>
      </c>
      <c r="F143" s="744" t="s">
        <v>1726</v>
      </c>
      <c r="G143" s="745">
        <v>899696.6</v>
      </c>
      <c r="H143" s="746">
        <v>116406.43</v>
      </c>
      <c r="I143" s="745">
        <f t="shared" si="42"/>
        <v>783290.16999999993</v>
      </c>
      <c r="J143" s="746">
        <v>909</v>
      </c>
      <c r="K143" s="746">
        <v>66060.09</v>
      </c>
      <c r="L143" s="778">
        <f t="shared" si="43"/>
        <v>117315.43</v>
      </c>
      <c r="M143" s="745">
        <f t="shared" si="44"/>
        <v>782381.16999999993</v>
      </c>
      <c r="N143" s="779">
        <f t="shared" si="45"/>
        <v>0.13039443519070762</v>
      </c>
      <c r="O143" s="780" t="s">
        <v>1767</v>
      </c>
      <c r="P143" s="781">
        <v>0.26490000000000002</v>
      </c>
      <c r="Q143" s="781">
        <v>0</v>
      </c>
      <c r="R143" s="781">
        <v>0.73509999999999998</v>
      </c>
      <c r="S143" s="782">
        <f t="shared" si="46"/>
        <v>30836.063307</v>
      </c>
      <c r="T143" s="782">
        <f t="shared" si="46"/>
        <v>0</v>
      </c>
      <c r="U143" s="782">
        <f t="shared" si="46"/>
        <v>85570.366692999989</v>
      </c>
      <c r="W143" s="782"/>
      <c r="X143" s="782"/>
      <c r="Y143" s="783"/>
      <c r="Z143" s="782"/>
      <c r="AA143" s="782"/>
      <c r="AB143" s="783"/>
      <c r="AC143" s="777">
        <f t="shared" si="50"/>
        <v>0</v>
      </c>
      <c r="AD143" s="790">
        <f t="shared" si="48"/>
        <v>238329.62934000001</v>
      </c>
      <c r="AE143" s="790">
        <f t="shared" si="47"/>
        <v>661366.97065999999</v>
      </c>
      <c r="AF143" s="790">
        <f t="shared" si="49"/>
        <v>0</v>
      </c>
    </row>
    <row r="144" spans="1:32" ht="15" customHeight="1">
      <c r="A144" s="636" t="s">
        <v>1074</v>
      </c>
      <c r="B144" s="740" t="s">
        <v>1704</v>
      </c>
      <c r="C144" s="741" t="s">
        <v>1768</v>
      </c>
      <c r="D144" s="742" t="s">
        <v>1769</v>
      </c>
      <c r="E144" s="743" t="s">
        <v>1770</v>
      </c>
      <c r="F144" s="744" t="s">
        <v>1726</v>
      </c>
      <c r="G144" s="745">
        <v>488370.02</v>
      </c>
      <c r="H144" s="746">
        <v>231001.16</v>
      </c>
      <c r="I144" s="745">
        <f t="shared" si="42"/>
        <v>257368.86000000002</v>
      </c>
      <c r="J144" s="746">
        <v>3634.87</v>
      </c>
      <c r="K144" s="746">
        <v>48717.36</v>
      </c>
      <c r="L144" s="778">
        <f t="shared" si="43"/>
        <v>234636.03</v>
      </c>
      <c r="M144" s="745">
        <f t="shared" si="44"/>
        <v>253733.99000000002</v>
      </c>
      <c r="N144" s="779">
        <f t="shared" si="45"/>
        <v>0.48044724366987146</v>
      </c>
      <c r="O144" s="780" t="s">
        <v>1771</v>
      </c>
      <c r="P144" s="781">
        <v>1</v>
      </c>
      <c r="Q144" s="781">
        <v>0</v>
      </c>
      <c r="R144" s="781">
        <v>0</v>
      </c>
      <c r="S144" s="782">
        <f t="shared" si="46"/>
        <v>231001.16</v>
      </c>
      <c r="T144" s="782">
        <f t="shared" si="46"/>
        <v>0</v>
      </c>
      <c r="U144" s="782">
        <f t="shared" si="46"/>
        <v>0</v>
      </c>
      <c r="W144" s="782"/>
      <c r="X144" s="782"/>
      <c r="Y144" s="783"/>
      <c r="Z144" s="782"/>
      <c r="AA144" s="782"/>
      <c r="AB144" s="783"/>
      <c r="AC144" s="777">
        <f t="shared" si="50"/>
        <v>0</v>
      </c>
      <c r="AD144" s="790">
        <f t="shared" si="48"/>
        <v>488370.02</v>
      </c>
      <c r="AE144" s="790">
        <f t="shared" si="47"/>
        <v>0</v>
      </c>
      <c r="AF144" s="790">
        <f t="shared" si="49"/>
        <v>0</v>
      </c>
    </row>
    <row r="145" spans="1:32" ht="15" customHeight="1" thickBot="1">
      <c r="A145" s="636" t="s">
        <v>1036</v>
      </c>
      <c r="B145" s="747" t="str">
        <f>B129</f>
        <v>Storm Water</v>
      </c>
      <c r="C145" s="748"/>
      <c r="D145" s="749"/>
      <c r="E145" s="750" t="str">
        <f>B129&amp;" - Sub Total"</f>
        <v>Storm Water - Sub Total</v>
      </c>
      <c r="F145" s="751"/>
      <c r="G145" s="752">
        <f>SUBTOTAL(9,G129:G144)</f>
        <v>11016701.539999997</v>
      </c>
      <c r="H145" s="752">
        <f>SUBTOTAL(9,H129:H144)</f>
        <v>4570843.9700000007</v>
      </c>
      <c r="I145" s="752">
        <f t="shared" si="42"/>
        <v>6445857.5699999966</v>
      </c>
      <c r="J145" s="752">
        <f>SUBTOTAL(9,J129:J144)</f>
        <v>265510.40000000002</v>
      </c>
      <c r="K145" s="752">
        <f>SUBTOTAL(9,K129:K144)</f>
        <v>3199617.6699999995</v>
      </c>
      <c r="L145" s="752">
        <f>SUBTOTAL(9,L129:L144)</f>
        <v>4836354.37</v>
      </c>
      <c r="M145" s="752">
        <f>SUBTOTAL(9,M129:M144)</f>
        <v>6180347.1699999999</v>
      </c>
      <c r="N145" s="784">
        <f>IFERROR(L145/#REF!,0)</f>
        <v>0</v>
      </c>
      <c r="O145" s="785"/>
      <c r="P145" s="752"/>
      <c r="Q145" s="752"/>
      <c r="R145" s="752"/>
      <c r="S145" s="786"/>
      <c r="T145" s="786"/>
      <c r="U145" s="786"/>
      <c r="W145" s="786"/>
      <c r="X145" s="786"/>
      <c r="Y145" s="787"/>
      <c r="Z145" s="786"/>
      <c r="AA145" s="786"/>
      <c r="AB145" s="787"/>
      <c r="AC145" s="777"/>
      <c r="AD145" s="790">
        <f t="shared" si="48"/>
        <v>0</v>
      </c>
      <c r="AE145" s="790">
        <f t="shared" si="47"/>
        <v>0</v>
      </c>
      <c r="AF145" s="790">
        <f t="shared" si="49"/>
        <v>0</v>
      </c>
    </row>
    <row r="146" spans="1:32" ht="15" customHeight="1">
      <c r="A146" s="636" t="s">
        <v>1161</v>
      </c>
      <c r="B146" s="753"/>
      <c r="C146" s="754"/>
      <c r="D146" s="754"/>
      <c r="E146" s="753"/>
      <c r="F146" s="755"/>
      <c r="G146" s="756"/>
      <c r="H146" s="756"/>
      <c r="I146" s="756"/>
      <c r="J146" s="756"/>
      <c r="K146" s="756"/>
      <c r="L146" s="756"/>
      <c r="M146" s="756"/>
      <c r="N146" s="753"/>
      <c r="O146" s="753"/>
      <c r="AC146" s="777"/>
      <c r="AD146" s="790">
        <f t="shared" si="48"/>
        <v>0</v>
      </c>
      <c r="AE146" s="790">
        <f t="shared" si="47"/>
        <v>0</v>
      </c>
      <c r="AF146" s="790">
        <f t="shared" si="49"/>
        <v>0</v>
      </c>
    </row>
    <row r="147" spans="1:32" ht="15" customHeight="1">
      <c r="A147" s="636" t="s">
        <v>1074</v>
      </c>
      <c r="B147" s="740" t="s">
        <v>1772</v>
      </c>
      <c r="C147" s="741" t="s">
        <v>1773</v>
      </c>
      <c r="D147" s="742" t="s">
        <v>1774</v>
      </c>
      <c r="E147" s="743" t="s">
        <v>1775</v>
      </c>
      <c r="F147" s="744" t="s">
        <v>1776</v>
      </c>
      <c r="G147" s="745">
        <v>102197.31</v>
      </c>
      <c r="H147" s="746">
        <v>3207.63</v>
      </c>
      <c r="I147" s="745">
        <f t="shared" ref="I147:I210" si="51">G147-H147</f>
        <v>98989.68</v>
      </c>
      <c r="J147" s="746">
        <v>0</v>
      </c>
      <c r="K147" s="746">
        <v>0</v>
      </c>
      <c r="L147" s="778">
        <f t="shared" ref="L147:L210" si="52">H147+J147</f>
        <v>3207.63</v>
      </c>
      <c r="M147" s="745">
        <f t="shared" ref="M147:M210" si="53">G147-L147</f>
        <v>98989.68</v>
      </c>
      <c r="N147" s="779">
        <f t="shared" ref="N147:N210" si="54">IFERROR(L147/G147,0)</f>
        <v>3.1386638258873938E-2</v>
      </c>
      <c r="O147" s="780" t="s">
        <v>1775</v>
      </c>
      <c r="P147" s="781">
        <v>0.25</v>
      </c>
      <c r="Q147" s="781">
        <v>0.43</v>
      </c>
      <c r="R147" s="781">
        <v>0.32</v>
      </c>
      <c r="S147" s="782">
        <f t="shared" ref="S147:U175" si="55">$H147*P147</f>
        <v>801.90750000000003</v>
      </c>
      <c r="T147" s="782">
        <f t="shared" si="55"/>
        <v>1379.2809</v>
      </c>
      <c r="U147" s="782">
        <f t="shared" si="55"/>
        <v>1026.4416000000001</v>
      </c>
      <c r="W147" s="781">
        <v>0.9</v>
      </c>
      <c r="X147" s="781"/>
      <c r="Y147" s="783"/>
      <c r="Z147" s="781">
        <v>0.9</v>
      </c>
      <c r="AA147" s="781"/>
      <c r="AB147" s="783"/>
      <c r="AC147" s="777">
        <f t="shared" si="50"/>
        <v>0</v>
      </c>
      <c r="AD147" s="790">
        <f t="shared" si="48"/>
        <v>25549.327499999999</v>
      </c>
      <c r="AE147" s="790">
        <f t="shared" si="47"/>
        <v>32703.139200000001</v>
      </c>
      <c r="AF147" s="790">
        <f t="shared" si="49"/>
        <v>43944.8433</v>
      </c>
    </row>
    <row r="148" spans="1:32" ht="15" customHeight="1">
      <c r="A148" s="636" t="s">
        <v>1074</v>
      </c>
      <c r="B148" s="740" t="s">
        <v>1772</v>
      </c>
      <c r="C148" s="741" t="s">
        <v>1777</v>
      </c>
      <c r="D148" s="742" t="s">
        <v>1778</v>
      </c>
      <c r="E148" s="743" t="s">
        <v>1779</v>
      </c>
      <c r="F148" s="744" t="s">
        <v>1776</v>
      </c>
      <c r="G148" s="745">
        <v>47609.68</v>
      </c>
      <c r="H148" s="746">
        <v>62196.72</v>
      </c>
      <c r="I148" s="745">
        <f t="shared" si="51"/>
        <v>-14587.04</v>
      </c>
      <c r="J148" s="746">
        <v>0</v>
      </c>
      <c r="K148" s="746">
        <v>0</v>
      </c>
      <c r="L148" s="778">
        <f t="shared" si="52"/>
        <v>62196.72</v>
      </c>
      <c r="M148" s="745">
        <f t="shared" si="53"/>
        <v>-14587.04</v>
      </c>
      <c r="N148" s="779">
        <f t="shared" si="54"/>
        <v>1.3063881126695243</v>
      </c>
      <c r="O148" s="780" t="s">
        <v>1779</v>
      </c>
      <c r="P148" s="781">
        <v>0.25</v>
      </c>
      <c r="Q148" s="781">
        <v>0.75</v>
      </c>
      <c r="R148" s="781">
        <v>0</v>
      </c>
      <c r="S148" s="782">
        <f t="shared" si="55"/>
        <v>15549.18</v>
      </c>
      <c r="T148" s="782">
        <f t="shared" si="55"/>
        <v>46647.54</v>
      </c>
      <c r="U148" s="782">
        <f t="shared" si="55"/>
        <v>0</v>
      </c>
      <c r="W148" s="781">
        <v>0.9</v>
      </c>
      <c r="X148" s="781"/>
      <c r="Y148" s="783"/>
      <c r="Z148" s="781">
        <v>0.9</v>
      </c>
      <c r="AA148" s="781"/>
      <c r="AB148" s="783"/>
      <c r="AC148" s="777">
        <f t="shared" si="50"/>
        <v>0</v>
      </c>
      <c r="AD148" s="790">
        <f t="shared" si="48"/>
        <v>11902.42</v>
      </c>
      <c r="AE148" s="790">
        <f t="shared" si="47"/>
        <v>0</v>
      </c>
      <c r="AF148" s="790">
        <f t="shared" si="49"/>
        <v>35707.26</v>
      </c>
    </row>
    <row r="149" spans="1:32" ht="15" customHeight="1">
      <c r="A149" s="636" t="s">
        <v>1074</v>
      </c>
      <c r="B149" s="740" t="s">
        <v>1772</v>
      </c>
      <c r="C149" s="741" t="s">
        <v>1780</v>
      </c>
      <c r="D149" s="742" t="s">
        <v>1781</v>
      </c>
      <c r="E149" s="743" t="s">
        <v>1782</v>
      </c>
      <c r="F149" s="744" t="s">
        <v>1776</v>
      </c>
      <c r="G149" s="745">
        <v>995359.36</v>
      </c>
      <c r="H149" s="746">
        <v>962084.54</v>
      </c>
      <c r="I149" s="745">
        <f t="shared" si="51"/>
        <v>33274.819999999949</v>
      </c>
      <c r="J149" s="746">
        <v>0</v>
      </c>
      <c r="K149" s="746">
        <v>0</v>
      </c>
      <c r="L149" s="778">
        <f t="shared" si="52"/>
        <v>962084.54</v>
      </c>
      <c r="M149" s="745">
        <f t="shared" si="53"/>
        <v>33274.819999999949</v>
      </c>
      <c r="N149" s="779">
        <f t="shared" si="54"/>
        <v>0.96657004360716525</v>
      </c>
      <c r="O149" s="780" t="s">
        <v>1783</v>
      </c>
      <c r="P149" s="781">
        <v>0.2</v>
      </c>
      <c r="Q149" s="781">
        <v>0.65</v>
      </c>
      <c r="R149" s="781">
        <v>0.15</v>
      </c>
      <c r="S149" s="782">
        <f t="shared" si="55"/>
        <v>192416.90800000002</v>
      </c>
      <c r="T149" s="782">
        <f t="shared" si="55"/>
        <v>625354.951</v>
      </c>
      <c r="U149" s="782">
        <f t="shared" si="55"/>
        <v>144312.68100000001</v>
      </c>
      <c r="W149" s="781">
        <v>0.51</v>
      </c>
      <c r="X149" s="781"/>
      <c r="Y149" s="783"/>
      <c r="Z149" s="781">
        <v>0.51</v>
      </c>
      <c r="AA149" s="781"/>
      <c r="AB149" s="783"/>
      <c r="AC149" s="777">
        <f t="shared" si="50"/>
        <v>0</v>
      </c>
      <c r="AD149" s="790">
        <f t="shared" si="48"/>
        <v>199071.872</v>
      </c>
      <c r="AE149" s="790">
        <f t="shared" si="47"/>
        <v>149303.90399999998</v>
      </c>
      <c r="AF149" s="790">
        <f t="shared" si="49"/>
        <v>646983.58400000003</v>
      </c>
    </row>
    <row r="150" spans="1:32" ht="15" customHeight="1">
      <c r="A150" s="636" t="s">
        <v>1074</v>
      </c>
      <c r="B150" s="740" t="s">
        <v>1772</v>
      </c>
      <c r="C150" s="741" t="s">
        <v>1784</v>
      </c>
      <c r="D150" s="742" t="s">
        <v>1785</v>
      </c>
      <c r="E150" s="743" t="s">
        <v>1786</v>
      </c>
      <c r="F150" s="744" t="s">
        <v>1776</v>
      </c>
      <c r="G150" s="745">
        <v>1023238.88</v>
      </c>
      <c r="H150" s="746">
        <v>982447.39</v>
      </c>
      <c r="I150" s="745">
        <f t="shared" si="51"/>
        <v>40791.489999999991</v>
      </c>
      <c r="J150" s="746">
        <v>0</v>
      </c>
      <c r="K150" s="746">
        <v>0</v>
      </c>
      <c r="L150" s="778">
        <f t="shared" si="52"/>
        <v>982447.39</v>
      </c>
      <c r="M150" s="745">
        <f t="shared" si="53"/>
        <v>40791.489999999991</v>
      </c>
      <c r="N150" s="779">
        <f t="shared" si="54"/>
        <v>0.96013492958750746</v>
      </c>
      <c r="O150" s="780" t="s">
        <v>1787</v>
      </c>
      <c r="P150" s="781">
        <v>0.2</v>
      </c>
      <c r="Q150" s="781">
        <v>0.65</v>
      </c>
      <c r="R150" s="781">
        <v>0.15</v>
      </c>
      <c r="S150" s="782">
        <f t="shared" si="55"/>
        <v>196489.478</v>
      </c>
      <c r="T150" s="782">
        <f t="shared" si="55"/>
        <v>638590.80350000004</v>
      </c>
      <c r="U150" s="782">
        <f t="shared" si="55"/>
        <v>147367.1085</v>
      </c>
      <c r="W150" s="781">
        <v>0.51</v>
      </c>
      <c r="X150" s="781"/>
      <c r="Y150" s="783"/>
      <c r="Z150" s="781">
        <v>0.51</v>
      </c>
      <c r="AA150" s="781"/>
      <c r="AB150" s="783"/>
      <c r="AC150" s="777">
        <f t="shared" si="50"/>
        <v>0</v>
      </c>
      <c r="AD150" s="790">
        <f t="shared" si="48"/>
        <v>204647.77600000001</v>
      </c>
      <c r="AE150" s="790">
        <f t="shared" si="47"/>
        <v>153485.83199999999</v>
      </c>
      <c r="AF150" s="790">
        <f t="shared" si="49"/>
        <v>665105.272</v>
      </c>
    </row>
    <row r="151" spans="1:32" ht="15" customHeight="1">
      <c r="A151" s="636" t="s">
        <v>1074</v>
      </c>
      <c r="B151" s="740" t="s">
        <v>1772</v>
      </c>
      <c r="C151" s="741" t="s">
        <v>1788</v>
      </c>
      <c r="D151" s="742" t="s">
        <v>1789</v>
      </c>
      <c r="E151" s="743" t="s">
        <v>1790</v>
      </c>
      <c r="F151" s="744" t="s">
        <v>1776</v>
      </c>
      <c r="G151" s="745">
        <v>1305655.67</v>
      </c>
      <c r="H151" s="746">
        <v>1056959.77</v>
      </c>
      <c r="I151" s="745">
        <f t="shared" si="51"/>
        <v>248695.89999999991</v>
      </c>
      <c r="J151" s="746">
        <v>24421.86</v>
      </c>
      <c r="K151" s="746">
        <v>0</v>
      </c>
      <c r="L151" s="778">
        <f t="shared" si="52"/>
        <v>1081381.6300000001</v>
      </c>
      <c r="M151" s="745">
        <f t="shared" si="53"/>
        <v>224274.0399999998</v>
      </c>
      <c r="N151" s="779">
        <f t="shared" si="54"/>
        <v>0.82822880093646756</v>
      </c>
      <c r="O151" s="780" t="s">
        <v>1790</v>
      </c>
      <c r="P151" s="781">
        <v>0.1</v>
      </c>
      <c r="Q151" s="781">
        <v>0.7</v>
      </c>
      <c r="R151" s="781">
        <v>0.2</v>
      </c>
      <c r="S151" s="782">
        <f t="shared" si="55"/>
        <v>105695.97700000001</v>
      </c>
      <c r="T151" s="782">
        <f t="shared" si="55"/>
        <v>739871.83899999992</v>
      </c>
      <c r="U151" s="782">
        <f t="shared" si="55"/>
        <v>211391.95400000003</v>
      </c>
      <c r="W151" s="781">
        <v>0.51</v>
      </c>
      <c r="X151" s="781"/>
      <c r="Y151" s="783"/>
      <c r="Z151" s="781">
        <v>0.51</v>
      </c>
      <c r="AA151" s="781"/>
      <c r="AB151" s="783"/>
      <c r="AC151" s="777">
        <f t="shared" si="50"/>
        <v>0</v>
      </c>
      <c r="AD151" s="790">
        <f t="shared" si="48"/>
        <v>130565.567</v>
      </c>
      <c r="AE151" s="790">
        <f t="shared" si="47"/>
        <v>261131.13399999999</v>
      </c>
      <c r="AF151" s="790">
        <f t="shared" si="49"/>
        <v>913958.96899999992</v>
      </c>
    </row>
    <row r="152" spans="1:32" ht="15" customHeight="1">
      <c r="A152" s="636" t="s">
        <v>1074</v>
      </c>
      <c r="B152" s="740" t="s">
        <v>1772</v>
      </c>
      <c r="C152" s="741" t="s">
        <v>1791</v>
      </c>
      <c r="D152" s="742" t="s">
        <v>1792</v>
      </c>
      <c r="E152" s="743" t="s">
        <v>1793</v>
      </c>
      <c r="F152" s="744" t="s">
        <v>1776</v>
      </c>
      <c r="G152" s="745">
        <v>912443.18</v>
      </c>
      <c r="H152" s="746">
        <v>921978.02</v>
      </c>
      <c r="I152" s="745">
        <f t="shared" si="51"/>
        <v>-9534.8399999999674</v>
      </c>
      <c r="J152" s="746">
        <v>10862.31</v>
      </c>
      <c r="K152" s="746">
        <v>0</v>
      </c>
      <c r="L152" s="778">
        <f t="shared" si="52"/>
        <v>932840.33000000007</v>
      </c>
      <c r="M152" s="745">
        <f t="shared" si="53"/>
        <v>-20397.150000000023</v>
      </c>
      <c r="N152" s="779">
        <f t="shared" si="54"/>
        <v>1.0223544330727532</v>
      </c>
      <c r="O152" s="780" t="s">
        <v>1794</v>
      </c>
      <c r="P152" s="781">
        <v>0.1</v>
      </c>
      <c r="Q152" s="781">
        <v>0.7</v>
      </c>
      <c r="R152" s="781">
        <v>0.2</v>
      </c>
      <c r="S152" s="782">
        <f t="shared" si="55"/>
        <v>92197.802000000011</v>
      </c>
      <c r="T152" s="782">
        <f t="shared" si="55"/>
        <v>645384.61399999994</v>
      </c>
      <c r="U152" s="782">
        <f t="shared" si="55"/>
        <v>184395.60400000002</v>
      </c>
      <c r="W152" s="781">
        <v>0.51</v>
      </c>
      <c r="X152" s="781"/>
      <c r="Y152" s="783"/>
      <c r="Z152" s="781">
        <v>0.51</v>
      </c>
      <c r="AA152" s="781"/>
      <c r="AB152" s="783"/>
      <c r="AC152" s="777">
        <f t="shared" si="50"/>
        <v>0</v>
      </c>
      <c r="AD152" s="790">
        <f t="shared" si="48"/>
        <v>91244.318000000014</v>
      </c>
      <c r="AE152" s="790">
        <f t="shared" si="47"/>
        <v>182488.63600000003</v>
      </c>
      <c r="AF152" s="790">
        <f t="shared" si="49"/>
        <v>638710.22600000002</v>
      </c>
    </row>
    <row r="153" spans="1:32" ht="15" customHeight="1">
      <c r="A153" s="636" t="s">
        <v>1074</v>
      </c>
      <c r="B153" s="740" t="s">
        <v>1772</v>
      </c>
      <c r="C153" s="741" t="s">
        <v>1795</v>
      </c>
      <c r="D153" s="742" t="s">
        <v>1796</v>
      </c>
      <c r="E153" s="743" t="s">
        <v>1797</v>
      </c>
      <c r="F153" s="744" t="s">
        <v>1776</v>
      </c>
      <c r="G153" s="745">
        <v>1074905</v>
      </c>
      <c r="H153" s="746">
        <v>912911.86</v>
      </c>
      <c r="I153" s="745">
        <f t="shared" si="51"/>
        <v>161993.14000000001</v>
      </c>
      <c r="J153" s="746">
        <v>43988.259999999995</v>
      </c>
      <c r="K153" s="746">
        <v>693222.26</v>
      </c>
      <c r="L153" s="778">
        <f t="shared" si="52"/>
        <v>956900.12</v>
      </c>
      <c r="M153" s="745">
        <f t="shared" si="53"/>
        <v>118004.88</v>
      </c>
      <c r="N153" s="779">
        <f t="shared" si="54"/>
        <v>0.89021831696754594</v>
      </c>
      <c r="O153" s="780" t="s">
        <v>1798</v>
      </c>
      <c r="P153" s="781">
        <v>0.15</v>
      </c>
      <c r="Q153" s="781">
        <v>0.52500000000000002</v>
      </c>
      <c r="R153" s="781">
        <v>0.32500000000000001</v>
      </c>
      <c r="S153" s="782">
        <f t="shared" si="55"/>
        <v>136936.77899999998</v>
      </c>
      <c r="T153" s="782">
        <f t="shared" si="55"/>
        <v>479278.72649999999</v>
      </c>
      <c r="U153" s="782">
        <f t="shared" si="55"/>
        <v>296696.35450000002</v>
      </c>
      <c r="W153" s="781">
        <v>0.51</v>
      </c>
      <c r="X153" s="781"/>
      <c r="Y153" s="783"/>
      <c r="Z153" s="781">
        <v>0.51</v>
      </c>
      <c r="AA153" s="781"/>
      <c r="AB153" s="783"/>
      <c r="AC153" s="777">
        <f t="shared" si="50"/>
        <v>0</v>
      </c>
      <c r="AD153" s="790">
        <f t="shared" si="48"/>
        <v>161235.75</v>
      </c>
      <c r="AE153" s="790">
        <f t="shared" si="47"/>
        <v>349344.125</v>
      </c>
      <c r="AF153" s="790">
        <f t="shared" si="49"/>
        <v>564325.125</v>
      </c>
    </row>
    <row r="154" spans="1:32" ht="15" customHeight="1">
      <c r="A154" s="636" t="s">
        <v>1074</v>
      </c>
      <c r="B154" s="740" t="s">
        <v>1772</v>
      </c>
      <c r="C154" s="741" t="s">
        <v>1799</v>
      </c>
      <c r="D154" s="742" t="s">
        <v>1800</v>
      </c>
      <c r="E154" s="743" t="s">
        <v>1801</v>
      </c>
      <c r="F154" s="744" t="s">
        <v>1776</v>
      </c>
      <c r="G154" s="745">
        <v>4010573</v>
      </c>
      <c r="H154" s="746">
        <v>2903084.1</v>
      </c>
      <c r="I154" s="745">
        <f t="shared" si="51"/>
        <v>1107488.8999999999</v>
      </c>
      <c r="J154" s="746">
        <v>91754.58</v>
      </c>
      <c r="K154" s="746">
        <v>749713.53999999992</v>
      </c>
      <c r="L154" s="778">
        <f t="shared" si="52"/>
        <v>2994838.68</v>
      </c>
      <c r="M154" s="745">
        <f t="shared" si="53"/>
        <v>1015734.3199999998</v>
      </c>
      <c r="N154" s="779">
        <f t="shared" si="54"/>
        <v>0.74673586043690021</v>
      </c>
      <c r="O154" s="780" t="s">
        <v>1802</v>
      </c>
      <c r="P154" s="781">
        <v>0.15</v>
      </c>
      <c r="Q154" s="781">
        <v>0.52500000000000002</v>
      </c>
      <c r="R154" s="781">
        <v>0.32500000000000001</v>
      </c>
      <c r="S154" s="782">
        <f t="shared" si="55"/>
        <v>435462.61499999999</v>
      </c>
      <c r="T154" s="782">
        <f t="shared" si="55"/>
        <v>1524119.1525000001</v>
      </c>
      <c r="U154" s="782">
        <f t="shared" si="55"/>
        <v>943502.33250000002</v>
      </c>
      <c r="W154" s="781">
        <v>0.51</v>
      </c>
      <c r="X154" s="781"/>
      <c r="Y154" s="783"/>
      <c r="Z154" s="781">
        <v>0.51</v>
      </c>
      <c r="AA154" s="781"/>
      <c r="AB154" s="783"/>
      <c r="AC154" s="777">
        <f t="shared" si="50"/>
        <v>0</v>
      </c>
      <c r="AD154" s="790">
        <f t="shared" si="48"/>
        <v>601585.94999999995</v>
      </c>
      <c r="AE154" s="790">
        <f t="shared" si="47"/>
        <v>1303436.2250000001</v>
      </c>
      <c r="AF154" s="790">
        <f t="shared" si="49"/>
        <v>2105550.8250000002</v>
      </c>
    </row>
    <row r="155" spans="1:32" ht="15" customHeight="1">
      <c r="A155" s="636" t="s">
        <v>1074</v>
      </c>
      <c r="B155" s="740" t="s">
        <v>1772</v>
      </c>
      <c r="C155" s="741" t="s">
        <v>1803</v>
      </c>
      <c r="D155" s="742" t="s">
        <v>1804</v>
      </c>
      <c r="E155" s="743" t="s">
        <v>1805</v>
      </c>
      <c r="F155" s="744" t="s">
        <v>1776</v>
      </c>
      <c r="G155" s="745">
        <v>169306.32</v>
      </c>
      <c r="H155" s="746">
        <v>183870.39</v>
      </c>
      <c r="I155" s="745">
        <f t="shared" si="51"/>
        <v>-14564.070000000007</v>
      </c>
      <c r="J155" s="746">
        <v>1810</v>
      </c>
      <c r="K155" s="746">
        <v>0</v>
      </c>
      <c r="L155" s="778">
        <f t="shared" si="52"/>
        <v>185680.39</v>
      </c>
      <c r="M155" s="745">
        <f t="shared" si="53"/>
        <v>-16374.070000000007</v>
      </c>
      <c r="N155" s="779">
        <f t="shared" si="54"/>
        <v>1.0967126921192309</v>
      </c>
      <c r="O155" s="780" t="s">
        <v>1805</v>
      </c>
      <c r="P155" s="781">
        <v>0.25</v>
      </c>
      <c r="Q155" s="781">
        <v>0.43</v>
      </c>
      <c r="R155" s="781">
        <v>0.32</v>
      </c>
      <c r="S155" s="782">
        <f t="shared" si="55"/>
        <v>45967.597500000003</v>
      </c>
      <c r="T155" s="782">
        <f t="shared" si="55"/>
        <v>79064.267700000011</v>
      </c>
      <c r="U155" s="782">
        <f t="shared" si="55"/>
        <v>58838.524800000007</v>
      </c>
      <c r="W155" s="781">
        <v>0.51</v>
      </c>
      <c r="X155" s="781"/>
      <c r="Y155" s="783"/>
      <c r="Z155" s="781">
        <v>0.51</v>
      </c>
      <c r="AA155" s="781"/>
      <c r="AB155" s="783"/>
      <c r="AC155" s="777">
        <f t="shared" si="50"/>
        <v>0</v>
      </c>
      <c r="AD155" s="790">
        <f t="shared" si="48"/>
        <v>42326.58</v>
      </c>
      <c r="AE155" s="790">
        <f t="shared" si="47"/>
        <v>54178.022400000002</v>
      </c>
      <c r="AF155" s="790">
        <f t="shared" si="49"/>
        <v>72801.717600000004</v>
      </c>
    </row>
    <row r="156" spans="1:32" ht="15" customHeight="1">
      <c r="A156" s="636" t="s">
        <v>1074</v>
      </c>
      <c r="B156" s="740" t="s">
        <v>1772</v>
      </c>
      <c r="C156" s="741" t="s">
        <v>1806</v>
      </c>
      <c r="D156" s="742" t="s">
        <v>1807</v>
      </c>
      <c r="E156" s="743" t="s">
        <v>1808</v>
      </c>
      <c r="F156" s="744" t="s">
        <v>1776</v>
      </c>
      <c r="G156" s="745">
        <v>60000</v>
      </c>
      <c r="H156" s="746">
        <v>25125</v>
      </c>
      <c r="I156" s="745">
        <f t="shared" si="51"/>
        <v>34875</v>
      </c>
      <c r="J156" s="746">
        <v>0</v>
      </c>
      <c r="K156" s="746">
        <v>0</v>
      </c>
      <c r="L156" s="778">
        <f t="shared" si="52"/>
        <v>25125</v>
      </c>
      <c r="M156" s="745">
        <f t="shared" si="53"/>
        <v>34875</v>
      </c>
      <c r="N156" s="779">
        <f t="shared" si="54"/>
        <v>0.41875000000000001</v>
      </c>
      <c r="O156" s="780" t="s">
        <v>1809</v>
      </c>
      <c r="P156" s="781">
        <v>0.25</v>
      </c>
      <c r="Q156" s="781">
        <v>0.66</v>
      </c>
      <c r="R156" s="781">
        <v>0.09</v>
      </c>
      <c r="S156" s="782">
        <f t="shared" si="55"/>
        <v>6281.25</v>
      </c>
      <c r="T156" s="782">
        <f t="shared" si="55"/>
        <v>16582.5</v>
      </c>
      <c r="U156" s="782">
        <f t="shared" si="55"/>
        <v>2261.25</v>
      </c>
      <c r="W156" s="781">
        <v>0.51</v>
      </c>
      <c r="X156" s="781"/>
      <c r="Y156" s="783"/>
      <c r="Z156" s="781">
        <v>0.51</v>
      </c>
      <c r="AA156" s="781"/>
      <c r="AB156" s="783"/>
      <c r="AC156" s="777">
        <f t="shared" si="50"/>
        <v>0</v>
      </c>
      <c r="AD156" s="790">
        <f t="shared" si="48"/>
        <v>15000</v>
      </c>
      <c r="AE156" s="790">
        <f t="shared" si="47"/>
        <v>5400</v>
      </c>
      <c r="AF156" s="790">
        <f t="shared" si="49"/>
        <v>39600</v>
      </c>
    </row>
    <row r="157" spans="1:32" ht="15" customHeight="1">
      <c r="A157" s="636" t="s">
        <v>1074</v>
      </c>
      <c r="B157" s="740" t="s">
        <v>1772</v>
      </c>
      <c r="C157" s="741" t="s">
        <v>1810</v>
      </c>
      <c r="D157" s="742" t="s">
        <v>1811</v>
      </c>
      <c r="E157" s="743" t="s">
        <v>1812</v>
      </c>
      <c r="F157" s="744" t="s">
        <v>1776</v>
      </c>
      <c r="G157" s="745">
        <v>131000</v>
      </c>
      <c r="H157" s="746">
        <v>119958.72</v>
      </c>
      <c r="I157" s="745">
        <f t="shared" si="51"/>
        <v>11041.279999999999</v>
      </c>
      <c r="J157" s="746">
        <v>0</v>
      </c>
      <c r="K157" s="746">
        <v>0</v>
      </c>
      <c r="L157" s="778">
        <f t="shared" si="52"/>
        <v>119958.72</v>
      </c>
      <c r="M157" s="745">
        <f t="shared" si="53"/>
        <v>11041.279999999999</v>
      </c>
      <c r="N157" s="779">
        <f t="shared" si="54"/>
        <v>0.91571541984732829</v>
      </c>
      <c r="O157" s="780" t="s">
        <v>1813</v>
      </c>
      <c r="P157" s="781">
        <v>0.25</v>
      </c>
      <c r="Q157" s="781">
        <v>0.6</v>
      </c>
      <c r="R157" s="781">
        <v>0.15</v>
      </c>
      <c r="S157" s="782">
        <f t="shared" si="55"/>
        <v>29989.68</v>
      </c>
      <c r="T157" s="782">
        <f t="shared" si="55"/>
        <v>71975.232000000004</v>
      </c>
      <c r="U157" s="782">
        <f t="shared" si="55"/>
        <v>17993.808000000001</v>
      </c>
      <c r="W157" s="781">
        <v>1</v>
      </c>
      <c r="X157" s="781"/>
      <c r="Y157" s="783"/>
      <c r="Z157" s="781">
        <v>1</v>
      </c>
      <c r="AA157" s="781"/>
      <c r="AB157" s="783"/>
      <c r="AC157" s="777">
        <f t="shared" si="50"/>
        <v>0</v>
      </c>
      <c r="AD157" s="790">
        <f t="shared" si="48"/>
        <v>32750</v>
      </c>
      <c r="AE157" s="790">
        <f t="shared" si="47"/>
        <v>19650</v>
      </c>
      <c r="AF157" s="790">
        <f t="shared" si="49"/>
        <v>78600</v>
      </c>
    </row>
    <row r="158" spans="1:32" ht="15" customHeight="1">
      <c r="A158" s="636" t="s">
        <v>1074</v>
      </c>
      <c r="B158" s="740" t="s">
        <v>1772</v>
      </c>
      <c r="C158" s="741" t="s">
        <v>1814</v>
      </c>
      <c r="D158" s="742" t="s">
        <v>1815</v>
      </c>
      <c r="E158" s="743" t="s">
        <v>1816</v>
      </c>
      <c r="F158" s="744" t="s">
        <v>1776</v>
      </c>
      <c r="G158" s="745">
        <v>212693.2</v>
      </c>
      <c r="H158" s="746">
        <v>272701.88</v>
      </c>
      <c r="I158" s="745">
        <f t="shared" si="51"/>
        <v>-60008.679999999993</v>
      </c>
      <c r="J158" s="746">
        <v>35569.83</v>
      </c>
      <c r="K158" s="746">
        <v>0</v>
      </c>
      <c r="L158" s="778">
        <f t="shared" si="52"/>
        <v>308271.71000000002</v>
      </c>
      <c r="M158" s="745">
        <f t="shared" si="53"/>
        <v>-95578.510000000009</v>
      </c>
      <c r="N158" s="779">
        <f t="shared" si="54"/>
        <v>1.4493726644763443</v>
      </c>
      <c r="O158" s="780" t="s">
        <v>1816</v>
      </c>
      <c r="P158" s="781">
        <v>0.2</v>
      </c>
      <c r="Q158" s="781">
        <v>0.8</v>
      </c>
      <c r="R158" s="781">
        <v>0</v>
      </c>
      <c r="S158" s="782">
        <f t="shared" si="55"/>
        <v>54540.376000000004</v>
      </c>
      <c r="T158" s="782">
        <f t="shared" si="55"/>
        <v>218161.50400000002</v>
      </c>
      <c r="U158" s="782">
        <f t="shared" si="55"/>
        <v>0</v>
      </c>
      <c r="W158" s="781">
        <v>0.51</v>
      </c>
      <c r="X158" s="781"/>
      <c r="Y158" s="783"/>
      <c r="Z158" s="781">
        <v>0.51</v>
      </c>
      <c r="AA158" s="781"/>
      <c r="AB158" s="783"/>
      <c r="AC158" s="777">
        <f t="shared" si="50"/>
        <v>0</v>
      </c>
      <c r="AD158" s="790">
        <f t="shared" si="48"/>
        <v>42538.640000000007</v>
      </c>
      <c r="AE158" s="790">
        <f t="shared" si="47"/>
        <v>0</v>
      </c>
      <c r="AF158" s="790">
        <f t="shared" si="49"/>
        <v>170154.56000000003</v>
      </c>
    </row>
    <row r="159" spans="1:32" ht="15" customHeight="1">
      <c r="A159" s="636" t="s">
        <v>1074</v>
      </c>
      <c r="B159" s="740" t="s">
        <v>1772</v>
      </c>
      <c r="C159" s="741" t="s">
        <v>1817</v>
      </c>
      <c r="D159" s="742" t="s">
        <v>1818</v>
      </c>
      <c r="E159" s="743" t="s">
        <v>1819</v>
      </c>
      <c r="F159" s="744" t="s">
        <v>1776</v>
      </c>
      <c r="G159" s="745">
        <v>51812.97</v>
      </c>
      <c r="H159" s="746">
        <v>54435.3</v>
      </c>
      <c r="I159" s="745">
        <f t="shared" si="51"/>
        <v>-2622.3300000000017</v>
      </c>
      <c r="J159" s="746">
        <v>0</v>
      </c>
      <c r="K159" s="746">
        <v>0</v>
      </c>
      <c r="L159" s="778">
        <f t="shared" si="52"/>
        <v>54435.3</v>
      </c>
      <c r="M159" s="745">
        <f t="shared" si="53"/>
        <v>-2622.3300000000017</v>
      </c>
      <c r="N159" s="779">
        <f t="shared" si="54"/>
        <v>1.0506114588683104</v>
      </c>
      <c r="O159" s="780" t="s">
        <v>1820</v>
      </c>
      <c r="P159" s="781">
        <v>0.25</v>
      </c>
      <c r="Q159" s="781">
        <v>0.43</v>
      </c>
      <c r="R159" s="781">
        <v>0.32</v>
      </c>
      <c r="S159" s="782">
        <f t="shared" si="55"/>
        <v>13608.825000000001</v>
      </c>
      <c r="T159" s="782">
        <f t="shared" si="55"/>
        <v>23407.179</v>
      </c>
      <c r="U159" s="782">
        <f t="shared" si="55"/>
        <v>17419.296000000002</v>
      </c>
      <c r="W159" s="781">
        <v>0.51</v>
      </c>
      <c r="X159" s="781"/>
      <c r="Y159" s="783"/>
      <c r="Z159" s="781">
        <v>0.51</v>
      </c>
      <c r="AA159" s="781"/>
      <c r="AB159" s="783"/>
      <c r="AC159" s="777">
        <f t="shared" si="50"/>
        <v>0</v>
      </c>
      <c r="AD159" s="790">
        <f t="shared" si="48"/>
        <v>12953.2425</v>
      </c>
      <c r="AE159" s="790">
        <f t="shared" si="47"/>
        <v>16580.150400000002</v>
      </c>
      <c r="AF159" s="790">
        <f t="shared" si="49"/>
        <v>22279.577099999999</v>
      </c>
    </row>
    <row r="160" spans="1:32" ht="15" customHeight="1">
      <c r="A160" s="636" t="s">
        <v>1074</v>
      </c>
      <c r="B160" s="740" t="s">
        <v>1772</v>
      </c>
      <c r="C160" s="741" t="s">
        <v>1821</v>
      </c>
      <c r="D160" s="742" t="s">
        <v>1822</v>
      </c>
      <c r="E160" s="743" t="s">
        <v>1823</v>
      </c>
      <c r="F160" s="744" t="s">
        <v>1776</v>
      </c>
      <c r="G160" s="745">
        <v>217487.2</v>
      </c>
      <c r="H160" s="746">
        <v>184400.23</v>
      </c>
      <c r="I160" s="745">
        <f t="shared" si="51"/>
        <v>33086.97</v>
      </c>
      <c r="J160" s="746">
        <v>0</v>
      </c>
      <c r="K160" s="746">
        <v>0</v>
      </c>
      <c r="L160" s="778">
        <f t="shared" si="52"/>
        <v>184400.23</v>
      </c>
      <c r="M160" s="745">
        <f t="shared" si="53"/>
        <v>33086.97</v>
      </c>
      <c r="N160" s="779">
        <f t="shared" si="54"/>
        <v>0.84786704688827663</v>
      </c>
      <c r="O160" s="780" t="s">
        <v>1824</v>
      </c>
      <c r="P160" s="781">
        <v>0.25</v>
      </c>
      <c r="Q160" s="781">
        <v>0.75</v>
      </c>
      <c r="R160" s="781">
        <v>0</v>
      </c>
      <c r="S160" s="782">
        <f t="shared" si="55"/>
        <v>46100.057500000003</v>
      </c>
      <c r="T160" s="782">
        <f t="shared" si="55"/>
        <v>138300.17250000002</v>
      </c>
      <c r="U160" s="782">
        <f t="shared" si="55"/>
        <v>0</v>
      </c>
      <c r="W160" s="781">
        <v>0.51</v>
      </c>
      <c r="X160" s="781"/>
      <c r="Y160" s="783"/>
      <c r="Z160" s="781">
        <v>0.51</v>
      </c>
      <c r="AA160" s="781"/>
      <c r="AB160" s="783"/>
      <c r="AC160" s="777">
        <f t="shared" si="50"/>
        <v>0</v>
      </c>
      <c r="AD160" s="790">
        <f t="shared" si="48"/>
        <v>54371.8</v>
      </c>
      <c r="AE160" s="790">
        <f t="shared" si="47"/>
        <v>0</v>
      </c>
      <c r="AF160" s="790">
        <f t="shared" si="49"/>
        <v>163115.40000000002</v>
      </c>
    </row>
    <row r="161" spans="1:32" ht="15" customHeight="1">
      <c r="A161" s="636" t="s">
        <v>1074</v>
      </c>
      <c r="B161" s="740" t="s">
        <v>1772</v>
      </c>
      <c r="C161" s="741" t="s">
        <v>1825</v>
      </c>
      <c r="D161" s="742" t="s">
        <v>1826</v>
      </c>
      <c r="E161" s="743" t="s">
        <v>1827</v>
      </c>
      <c r="F161" s="744" t="s">
        <v>1776</v>
      </c>
      <c r="G161" s="745">
        <v>316347</v>
      </c>
      <c r="H161" s="746">
        <v>287682.15000000002</v>
      </c>
      <c r="I161" s="745">
        <f t="shared" si="51"/>
        <v>28664.849999999977</v>
      </c>
      <c r="J161" s="746">
        <v>0</v>
      </c>
      <c r="K161" s="746">
        <v>0</v>
      </c>
      <c r="L161" s="778">
        <f t="shared" si="52"/>
        <v>287682.15000000002</v>
      </c>
      <c r="M161" s="745">
        <f t="shared" si="53"/>
        <v>28664.849999999977</v>
      </c>
      <c r="N161" s="779">
        <f t="shared" si="54"/>
        <v>0.90938795057326294</v>
      </c>
      <c r="O161" s="780" t="s">
        <v>1827</v>
      </c>
      <c r="P161" s="781">
        <v>0.25</v>
      </c>
      <c r="Q161" s="781">
        <v>0.75</v>
      </c>
      <c r="R161" s="781">
        <v>0</v>
      </c>
      <c r="S161" s="782">
        <f t="shared" si="55"/>
        <v>71920.537500000006</v>
      </c>
      <c r="T161" s="782">
        <f t="shared" si="55"/>
        <v>215761.61250000002</v>
      </c>
      <c r="U161" s="782">
        <f t="shared" si="55"/>
        <v>0</v>
      </c>
      <c r="W161" s="781">
        <v>1</v>
      </c>
      <c r="X161" s="781"/>
      <c r="Y161" s="783"/>
      <c r="Z161" s="781">
        <v>1</v>
      </c>
      <c r="AA161" s="781"/>
      <c r="AB161" s="783"/>
      <c r="AC161" s="777">
        <f t="shared" si="50"/>
        <v>0</v>
      </c>
      <c r="AD161" s="790">
        <f t="shared" si="48"/>
        <v>79086.75</v>
      </c>
      <c r="AE161" s="790">
        <f t="shared" si="47"/>
        <v>0</v>
      </c>
      <c r="AF161" s="790">
        <f t="shared" si="49"/>
        <v>237260.25</v>
      </c>
    </row>
    <row r="162" spans="1:32" ht="15" customHeight="1">
      <c r="A162" s="636" t="s">
        <v>1074</v>
      </c>
      <c r="B162" s="740" t="s">
        <v>1772</v>
      </c>
      <c r="C162" s="741" t="s">
        <v>1828</v>
      </c>
      <c r="D162" s="742" t="s">
        <v>1829</v>
      </c>
      <c r="E162" s="743" t="s">
        <v>1830</v>
      </c>
      <c r="F162" s="744" t="s">
        <v>1776</v>
      </c>
      <c r="G162" s="745">
        <v>123475.45</v>
      </c>
      <c r="H162" s="746">
        <v>58502.78</v>
      </c>
      <c r="I162" s="745">
        <f t="shared" si="51"/>
        <v>64972.67</v>
      </c>
      <c r="J162" s="746">
        <v>0</v>
      </c>
      <c r="K162" s="746">
        <v>0</v>
      </c>
      <c r="L162" s="778">
        <f t="shared" si="52"/>
        <v>58502.78</v>
      </c>
      <c r="M162" s="745">
        <f t="shared" si="53"/>
        <v>64972.67</v>
      </c>
      <c r="N162" s="779">
        <f t="shared" si="54"/>
        <v>0.47380090536215902</v>
      </c>
      <c r="O162" s="780" t="s">
        <v>1831</v>
      </c>
      <c r="P162" s="781">
        <v>0.25</v>
      </c>
      <c r="Q162" s="781">
        <v>0.75</v>
      </c>
      <c r="R162" s="781">
        <v>0</v>
      </c>
      <c r="S162" s="782">
        <f t="shared" si="55"/>
        <v>14625.695</v>
      </c>
      <c r="T162" s="782">
        <f t="shared" si="55"/>
        <v>43877.084999999999</v>
      </c>
      <c r="U162" s="782">
        <f t="shared" si="55"/>
        <v>0</v>
      </c>
      <c r="W162" s="781">
        <v>0.51</v>
      </c>
      <c r="X162" s="781"/>
      <c r="Y162" s="783"/>
      <c r="Z162" s="781">
        <v>0.51</v>
      </c>
      <c r="AA162" s="781"/>
      <c r="AB162" s="783"/>
      <c r="AC162" s="777">
        <f t="shared" si="50"/>
        <v>0</v>
      </c>
      <c r="AD162" s="790">
        <f t="shared" si="48"/>
        <v>30868.862499999999</v>
      </c>
      <c r="AE162" s="790">
        <f t="shared" si="47"/>
        <v>0</v>
      </c>
      <c r="AF162" s="790">
        <f t="shared" si="49"/>
        <v>92606.587499999994</v>
      </c>
    </row>
    <row r="163" spans="1:32" ht="15" customHeight="1">
      <c r="A163" s="636" t="s">
        <v>1074</v>
      </c>
      <c r="B163" s="740" t="s">
        <v>1772</v>
      </c>
      <c r="C163" s="741" t="s">
        <v>1832</v>
      </c>
      <c r="D163" s="742" t="s">
        <v>1833</v>
      </c>
      <c r="E163" s="743" t="s">
        <v>1834</v>
      </c>
      <c r="F163" s="744" t="s">
        <v>1776</v>
      </c>
      <c r="G163" s="745">
        <v>70880.27</v>
      </c>
      <c r="H163" s="746">
        <v>124157</v>
      </c>
      <c r="I163" s="745">
        <f t="shared" si="51"/>
        <v>-53276.729999999996</v>
      </c>
      <c r="J163" s="746">
        <v>0</v>
      </c>
      <c r="K163" s="746">
        <v>0</v>
      </c>
      <c r="L163" s="778">
        <f t="shared" si="52"/>
        <v>124157</v>
      </c>
      <c r="M163" s="745">
        <f t="shared" si="53"/>
        <v>-53276.729999999996</v>
      </c>
      <c r="N163" s="779">
        <f t="shared" si="54"/>
        <v>1.7516440047420812</v>
      </c>
      <c r="O163" s="780" t="s">
        <v>1835</v>
      </c>
      <c r="P163" s="781">
        <v>0.25</v>
      </c>
      <c r="Q163" s="781">
        <v>0.75</v>
      </c>
      <c r="R163" s="781">
        <v>0</v>
      </c>
      <c r="S163" s="782">
        <f t="shared" si="55"/>
        <v>31039.25</v>
      </c>
      <c r="T163" s="782">
        <f t="shared" si="55"/>
        <v>93117.75</v>
      </c>
      <c r="U163" s="782">
        <f t="shared" si="55"/>
        <v>0</v>
      </c>
      <c r="W163" s="781">
        <v>0.51</v>
      </c>
      <c r="X163" s="781"/>
      <c r="Y163" s="783"/>
      <c r="Z163" s="781">
        <v>0.51</v>
      </c>
      <c r="AA163" s="781"/>
      <c r="AB163" s="783"/>
      <c r="AC163" s="777">
        <f t="shared" si="50"/>
        <v>0</v>
      </c>
      <c r="AD163" s="790">
        <f t="shared" si="48"/>
        <v>17720.067500000001</v>
      </c>
      <c r="AE163" s="790">
        <f t="shared" si="47"/>
        <v>0</v>
      </c>
      <c r="AF163" s="790">
        <f t="shared" si="49"/>
        <v>53160.202499999999</v>
      </c>
    </row>
    <row r="164" spans="1:32" ht="15" customHeight="1">
      <c r="A164" s="636" t="s">
        <v>1074</v>
      </c>
      <c r="B164" s="740" t="s">
        <v>1772</v>
      </c>
      <c r="C164" s="741" t="s">
        <v>1836</v>
      </c>
      <c r="D164" s="742" t="s">
        <v>1837</v>
      </c>
      <c r="E164" s="743" t="s">
        <v>1838</v>
      </c>
      <c r="F164" s="744" t="s">
        <v>1776</v>
      </c>
      <c r="G164" s="745">
        <v>0</v>
      </c>
      <c r="H164" s="746">
        <v>1242.01</v>
      </c>
      <c r="I164" s="745">
        <f t="shared" si="51"/>
        <v>-1242.01</v>
      </c>
      <c r="J164" s="746">
        <v>0</v>
      </c>
      <c r="K164" s="746">
        <v>0</v>
      </c>
      <c r="L164" s="778">
        <f t="shared" si="52"/>
        <v>1242.01</v>
      </c>
      <c r="M164" s="745">
        <f t="shared" si="53"/>
        <v>-1242.01</v>
      </c>
      <c r="N164" s="779">
        <f t="shared" si="54"/>
        <v>0</v>
      </c>
      <c r="O164" s="780" t="s">
        <v>1838</v>
      </c>
      <c r="P164" s="781">
        <v>0.25</v>
      </c>
      <c r="Q164" s="781">
        <v>0.43</v>
      </c>
      <c r="R164" s="781">
        <v>0.32</v>
      </c>
      <c r="S164" s="782">
        <f t="shared" si="55"/>
        <v>310.5025</v>
      </c>
      <c r="T164" s="782">
        <f t="shared" si="55"/>
        <v>534.0643</v>
      </c>
      <c r="U164" s="782">
        <f t="shared" si="55"/>
        <v>397.44319999999999</v>
      </c>
      <c r="W164" s="781">
        <v>1</v>
      </c>
      <c r="X164" s="781"/>
      <c r="Y164" s="783"/>
      <c r="Z164" s="781">
        <v>1</v>
      </c>
      <c r="AA164" s="781"/>
      <c r="AB164" s="783"/>
      <c r="AC164" s="777">
        <f t="shared" si="50"/>
        <v>0</v>
      </c>
      <c r="AD164" s="790">
        <f t="shared" si="48"/>
        <v>0</v>
      </c>
      <c r="AE164" s="790">
        <f t="shared" si="47"/>
        <v>0</v>
      </c>
      <c r="AF164" s="790">
        <f t="shared" si="49"/>
        <v>0</v>
      </c>
    </row>
    <row r="165" spans="1:32" ht="15" customHeight="1">
      <c r="A165" s="636" t="s">
        <v>1074</v>
      </c>
      <c r="B165" s="740" t="s">
        <v>1772</v>
      </c>
      <c r="C165" s="741" t="s">
        <v>1839</v>
      </c>
      <c r="D165" s="742" t="s">
        <v>1840</v>
      </c>
      <c r="E165" s="743" t="s">
        <v>1841</v>
      </c>
      <c r="F165" s="744" t="s">
        <v>1776</v>
      </c>
      <c r="G165" s="745">
        <v>112574.48</v>
      </c>
      <c r="H165" s="746">
        <v>16423.060000000001</v>
      </c>
      <c r="I165" s="745">
        <f t="shared" si="51"/>
        <v>96151.42</v>
      </c>
      <c r="J165" s="746">
        <v>0</v>
      </c>
      <c r="K165" s="746">
        <v>0</v>
      </c>
      <c r="L165" s="778">
        <f t="shared" si="52"/>
        <v>16423.060000000001</v>
      </c>
      <c r="M165" s="745">
        <f t="shared" si="53"/>
        <v>96151.42</v>
      </c>
      <c r="N165" s="779">
        <f t="shared" si="54"/>
        <v>0.14588617242557994</v>
      </c>
      <c r="O165" s="780" t="s">
        <v>1842</v>
      </c>
      <c r="P165" s="781">
        <v>0.25</v>
      </c>
      <c r="Q165" s="781">
        <v>0.75</v>
      </c>
      <c r="R165" s="781">
        <v>0</v>
      </c>
      <c r="S165" s="782">
        <f t="shared" si="55"/>
        <v>4105.7650000000003</v>
      </c>
      <c r="T165" s="782">
        <f t="shared" si="55"/>
        <v>12317.295000000002</v>
      </c>
      <c r="U165" s="782">
        <f t="shared" si="55"/>
        <v>0</v>
      </c>
      <c r="W165" s="781">
        <v>0.9</v>
      </c>
      <c r="X165" s="781"/>
      <c r="Y165" s="783"/>
      <c r="Z165" s="781">
        <v>0.9</v>
      </c>
      <c r="AA165" s="781"/>
      <c r="AB165" s="783"/>
      <c r="AC165" s="777">
        <f t="shared" si="50"/>
        <v>0</v>
      </c>
      <c r="AD165" s="790">
        <f t="shared" si="48"/>
        <v>28143.62</v>
      </c>
      <c r="AE165" s="790">
        <f t="shared" si="47"/>
        <v>0</v>
      </c>
      <c r="AF165" s="790">
        <f t="shared" si="49"/>
        <v>84430.86</v>
      </c>
    </row>
    <row r="166" spans="1:32" ht="15" customHeight="1">
      <c r="A166" s="636" t="s">
        <v>1074</v>
      </c>
      <c r="B166" s="740" t="s">
        <v>1772</v>
      </c>
      <c r="C166" s="741" t="s">
        <v>1843</v>
      </c>
      <c r="D166" s="742" t="s">
        <v>1844</v>
      </c>
      <c r="E166" s="743" t="s">
        <v>1845</v>
      </c>
      <c r="F166" s="744" t="s">
        <v>1776</v>
      </c>
      <c r="G166" s="745">
        <v>16718</v>
      </c>
      <c r="H166" s="746">
        <v>16042.79</v>
      </c>
      <c r="I166" s="745">
        <f t="shared" si="51"/>
        <v>675.20999999999913</v>
      </c>
      <c r="J166" s="746">
        <v>0</v>
      </c>
      <c r="K166" s="746">
        <v>0</v>
      </c>
      <c r="L166" s="778">
        <f t="shared" si="52"/>
        <v>16042.79</v>
      </c>
      <c r="M166" s="745">
        <f t="shared" si="53"/>
        <v>675.20999999999913</v>
      </c>
      <c r="N166" s="779">
        <f t="shared" si="54"/>
        <v>0.95961179566933852</v>
      </c>
      <c r="O166" s="780" t="s">
        <v>1845</v>
      </c>
      <c r="P166" s="781">
        <v>0.2</v>
      </c>
      <c r="Q166" s="781">
        <v>0.8</v>
      </c>
      <c r="R166" s="781">
        <v>0</v>
      </c>
      <c r="S166" s="782">
        <f t="shared" si="55"/>
        <v>3208.5580000000004</v>
      </c>
      <c r="T166" s="782">
        <f t="shared" si="55"/>
        <v>12834.232000000002</v>
      </c>
      <c r="U166" s="782">
        <f t="shared" si="55"/>
        <v>0</v>
      </c>
      <c r="W166" s="781">
        <v>1</v>
      </c>
      <c r="X166" s="781"/>
      <c r="Y166" s="783"/>
      <c r="Z166" s="781">
        <v>1</v>
      </c>
      <c r="AA166" s="781"/>
      <c r="AB166" s="783"/>
      <c r="AC166" s="777">
        <f t="shared" si="50"/>
        <v>0</v>
      </c>
      <c r="AD166" s="790">
        <f t="shared" si="48"/>
        <v>3343.6000000000004</v>
      </c>
      <c r="AE166" s="790">
        <f t="shared" si="47"/>
        <v>0</v>
      </c>
      <c r="AF166" s="790">
        <f t="shared" si="49"/>
        <v>13374.400000000001</v>
      </c>
    </row>
    <row r="167" spans="1:32" ht="15" customHeight="1">
      <c r="A167" s="636" t="s">
        <v>1074</v>
      </c>
      <c r="B167" s="740" t="s">
        <v>1772</v>
      </c>
      <c r="C167" s="741" t="s">
        <v>1846</v>
      </c>
      <c r="D167" s="742" t="s">
        <v>1847</v>
      </c>
      <c r="E167" s="743" t="s">
        <v>1848</v>
      </c>
      <c r="F167" s="744" t="s">
        <v>1776</v>
      </c>
      <c r="G167" s="745">
        <v>610437</v>
      </c>
      <c r="H167" s="746">
        <v>463958.45</v>
      </c>
      <c r="I167" s="745">
        <f t="shared" si="51"/>
        <v>146478.54999999999</v>
      </c>
      <c r="J167" s="746">
        <v>42564.56</v>
      </c>
      <c r="K167" s="746">
        <v>801222.38</v>
      </c>
      <c r="L167" s="778">
        <f t="shared" si="52"/>
        <v>506523.01</v>
      </c>
      <c r="M167" s="745">
        <f t="shared" si="53"/>
        <v>103913.98999999999</v>
      </c>
      <c r="N167" s="779">
        <f t="shared" si="54"/>
        <v>0.82977114755494841</v>
      </c>
      <c r="O167" s="780" t="s">
        <v>1849</v>
      </c>
      <c r="P167" s="781">
        <v>0.15</v>
      </c>
      <c r="Q167" s="781">
        <v>0.52500000000000002</v>
      </c>
      <c r="R167" s="781">
        <v>0.32500000000000001</v>
      </c>
      <c r="S167" s="782">
        <f t="shared" si="55"/>
        <v>69593.767500000002</v>
      </c>
      <c r="T167" s="782">
        <f t="shared" si="55"/>
        <v>243578.18625000003</v>
      </c>
      <c r="U167" s="782">
        <f t="shared" si="55"/>
        <v>150786.49625</v>
      </c>
      <c r="W167" s="781">
        <v>1</v>
      </c>
      <c r="X167" s="781"/>
      <c r="Y167" s="783"/>
      <c r="Z167" s="781">
        <v>1</v>
      </c>
      <c r="AA167" s="781"/>
      <c r="AB167" s="783"/>
      <c r="AC167" s="777">
        <f t="shared" si="50"/>
        <v>0</v>
      </c>
      <c r="AD167" s="790">
        <f t="shared" si="48"/>
        <v>91565.55</v>
      </c>
      <c r="AE167" s="790">
        <f t="shared" si="47"/>
        <v>198392.02499999999</v>
      </c>
      <c r="AF167" s="790">
        <f t="shared" si="49"/>
        <v>320479.42499999999</v>
      </c>
    </row>
    <row r="168" spans="1:32" ht="15" customHeight="1">
      <c r="A168" s="636" t="s">
        <v>1074</v>
      </c>
      <c r="B168" s="740" t="s">
        <v>1772</v>
      </c>
      <c r="C168" s="741" t="s">
        <v>1850</v>
      </c>
      <c r="D168" s="742" t="s">
        <v>1851</v>
      </c>
      <c r="E168" s="743" t="s">
        <v>1852</v>
      </c>
      <c r="F168" s="744" t="s">
        <v>1776</v>
      </c>
      <c r="G168" s="745">
        <v>189254.51</v>
      </c>
      <c r="H168" s="746">
        <v>195000</v>
      </c>
      <c r="I168" s="745">
        <f t="shared" si="51"/>
        <v>-5745.4899999999907</v>
      </c>
      <c r="J168" s="746">
        <v>0</v>
      </c>
      <c r="K168" s="746">
        <v>0</v>
      </c>
      <c r="L168" s="778">
        <f t="shared" si="52"/>
        <v>195000</v>
      </c>
      <c r="M168" s="745">
        <f t="shared" si="53"/>
        <v>-5745.4899999999907</v>
      </c>
      <c r="N168" s="779">
        <f t="shared" si="54"/>
        <v>1.0303585367661778</v>
      </c>
      <c r="O168" s="780" t="s">
        <v>1852</v>
      </c>
      <c r="P168" s="781">
        <v>0.1</v>
      </c>
      <c r="Q168" s="781">
        <v>0.7</v>
      </c>
      <c r="R168" s="781">
        <v>0.2</v>
      </c>
      <c r="S168" s="782">
        <f t="shared" si="55"/>
        <v>19500</v>
      </c>
      <c r="T168" s="782">
        <f t="shared" si="55"/>
        <v>136500</v>
      </c>
      <c r="U168" s="782">
        <f t="shared" si="55"/>
        <v>39000</v>
      </c>
      <c r="W168" s="781">
        <v>1</v>
      </c>
      <c r="X168" s="781"/>
      <c r="Y168" s="783"/>
      <c r="Z168" s="781">
        <v>1</v>
      </c>
      <c r="AA168" s="781"/>
      <c r="AB168" s="783"/>
      <c r="AC168" s="777">
        <f t="shared" si="50"/>
        <v>0</v>
      </c>
      <c r="AD168" s="790">
        <f t="shared" si="48"/>
        <v>18925.451000000001</v>
      </c>
      <c r="AE168" s="790">
        <f t="shared" si="47"/>
        <v>37850.902000000002</v>
      </c>
      <c r="AF168" s="790">
        <f t="shared" si="49"/>
        <v>132478.15700000001</v>
      </c>
    </row>
    <row r="169" spans="1:32" ht="15" customHeight="1">
      <c r="A169" s="636" t="s">
        <v>1074</v>
      </c>
      <c r="B169" s="740" t="s">
        <v>1772</v>
      </c>
      <c r="C169" s="741" t="s">
        <v>1853</v>
      </c>
      <c r="D169" s="742" t="s">
        <v>1854</v>
      </c>
      <c r="E169" s="743" t="s">
        <v>1855</v>
      </c>
      <c r="F169" s="744" t="s">
        <v>1776</v>
      </c>
      <c r="G169" s="745">
        <v>29760.47</v>
      </c>
      <c r="H169" s="746">
        <v>0</v>
      </c>
      <c r="I169" s="745">
        <f t="shared" si="51"/>
        <v>29760.47</v>
      </c>
      <c r="J169" s="746">
        <v>0</v>
      </c>
      <c r="K169" s="746">
        <v>0</v>
      </c>
      <c r="L169" s="778">
        <f t="shared" si="52"/>
        <v>0</v>
      </c>
      <c r="M169" s="745">
        <f t="shared" si="53"/>
        <v>29760.47</v>
      </c>
      <c r="N169" s="779">
        <f t="shared" si="54"/>
        <v>0</v>
      </c>
      <c r="O169" s="780" t="s">
        <v>1856</v>
      </c>
      <c r="P169" s="781">
        <v>0.2</v>
      </c>
      <c r="Q169" s="781">
        <v>0.48</v>
      </c>
      <c r="R169" s="781">
        <v>0.32</v>
      </c>
      <c r="S169" s="782">
        <f t="shared" si="55"/>
        <v>0</v>
      </c>
      <c r="T169" s="782">
        <f t="shared" si="55"/>
        <v>0</v>
      </c>
      <c r="U169" s="782">
        <f t="shared" si="55"/>
        <v>0</v>
      </c>
      <c r="W169" s="781">
        <v>0.51</v>
      </c>
      <c r="X169" s="781"/>
      <c r="Y169" s="783"/>
      <c r="Z169" s="781">
        <v>0.51</v>
      </c>
      <c r="AA169" s="781"/>
      <c r="AB169" s="783"/>
      <c r="AC169" s="777">
        <f t="shared" si="50"/>
        <v>0</v>
      </c>
      <c r="AD169" s="790">
        <f t="shared" si="48"/>
        <v>5952.094000000001</v>
      </c>
      <c r="AE169" s="790">
        <f t="shared" si="47"/>
        <v>9523.3504000000012</v>
      </c>
      <c r="AF169" s="790">
        <f t="shared" si="49"/>
        <v>14285.025600000001</v>
      </c>
    </row>
    <row r="170" spans="1:32" ht="15" customHeight="1">
      <c r="A170" s="636" t="s">
        <v>1074</v>
      </c>
      <c r="B170" s="740" t="s">
        <v>1772</v>
      </c>
      <c r="C170" s="741" t="s">
        <v>1857</v>
      </c>
      <c r="D170" s="742" t="s">
        <v>1858</v>
      </c>
      <c r="E170" s="743" t="s">
        <v>1859</v>
      </c>
      <c r="F170" s="744" t="s">
        <v>1776</v>
      </c>
      <c r="G170" s="745">
        <v>1109973</v>
      </c>
      <c r="H170" s="746">
        <v>1046827.03</v>
      </c>
      <c r="I170" s="745">
        <f t="shared" si="51"/>
        <v>63145.969999999972</v>
      </c>
      <c r="J170" s="746">
        <v>24970.79</v>
      </c>
      <c r="K170" s="746">
        <v>0</v>
      </c>
      <c r="L170" s="778">
        <f t="shared" si="52"/>
        <v>1071797.82</v>
      </c>
      <c r="M170" s="745">
        <f t="shared" si="53"/>
        <v>38175.179999999935</v>
      </c>
      <c r="N170" s="779">
        <f t="shared" si="54"/>
        <v>0.96560710936211969</v>
      </c>
      <c r="O170" s="780" t="s">
        <v>1859</v>
      </c>
      <c r="P170" s="781">
        <v>0.15</v>
      </c>
      <c r="Q170" s="781">
        <v>0.52500000000000002</v>
      </c>
      <c r="R170" s="781">
        <v>0.32500000000000001</v>
      </c>
      <c r="S170" s="782">
        <f t="shared" si="55"/>
        <v>157024.0545</v>
      </c>
      <c r="T170" s="782">
        <f t="shared" si="55"/>
        <v>549584.19075000007</v>
      </c>
      <c r="U170" s="782">
        <f t="shared" si="55"/>
        <v>340218.78474999999</v>
      </c>
      <c r="W170" s="781">
        <v>0.9</v>
      </c>
      <c r="X170" s="781"/>
      <c r="Y170" s="783"/>
      <c r="Z170" s="781">
        <v>0.9</v>
      </c>
      <c r="AA170" s="781"/>
      <c r="AB170" s="783"/>
      <c r="AC170" s="777">
        <f t="shared" si="50"/>
        <v>0</v>
      </c>
      <c r="AD170" s="790">
        <f t="shared" si="48"/>
        <v>166495.94999999998</v>
      </c>
      <c r="AE170" s="790">
        <f t="shared" si="47"/>
        <v>360741.22500000003</v>
      </c>
      <c r="AF170" s="790">
        <f t="shared" si="49"/>
        <v>582735.82500000007</v>
      </c>
    </row>
    <row r="171" spans="1:32" ht="15" customHeight="1">
      <c r="A171" s="636" t="s">
        <v>1074</v>
      </c>
      <c r="B171" s="740" t="s">
        <v>1772</v>
      </c>
      <c r="C171" s="741" t="s">
        <v>1860</v>
      </c>
      <c r="D171" s="742" t="s">
        <v>1861</v>
      </c>
      <c r="E171" s="743" t="s">
        <v>1862</v>
      </c>
      <c r="F171" s="744" t="s">
        <v>1299</v>
      </c>
      <c r="G171" s="745">
        <v>186329</v>
      </c>
      <c r="H171" s="746">
        <v>585791.34</v>
      </c>
      <c r="I171" s="745">
        <f t="shared" si="51"/>
        <v>-399462.33999999997</v>
      </c>
      <c r="J171" s="746">
        <v>40141.879999999997</v>
      </c>
      <c r="K171" s="746">
        <v>84197.9</v>
      </c>
      <c r="L171" s="778">
        <f t="shared" si="52"/>
        <v>625933.22</v>
      </c>
      <c r="M171" s="745">
        <f t="shared" si="53"/>
        <v>-439604.22</v>
      </c>
      <c r="N171" s="779">
        <f t="shared" si="54"/>
        <v>3.3592903949465729</v>
      </c>
      <c r="O171" s="780" t="s">
        <v>1863</v>
      </c>
      <c r="P171" s="781">
        <v>0.3</v>
      </c>
      <c r="Q171" s="781">
        <v>0.61</v>
      </c>
      <c r="R171" s="781">
        <v>0.09</v>
      </c>
      <c r="S171" s="782">
        <f t="shared" si="55"/>
        <v>175737.40199999997</v>
      </c>
      <c r="T171" s="782">
        <f t="shared" si="55"/>
        <v>357332.71739999996</v>
      </c>
      <c r="U171" s="782">
        <f t="shared" si="55"/>
        <v>52721.220599999993</v>
      </c>
      <c r="W171" s="781">
        <v>0</v>
      </c>
      <c r="X171" s="781"/>
      <c r="Y171" s="783" t="s">
        <v>1864</v>
      </c>
      <c r="Z171" s="781">
        <v>0</v>
      </c>
      <c r="AA171" s="781"/>
      <c r="AB171" s="783" t="s">
        <v>1864</v>
      </c>
      <c r="AC171" s="777">
        <f t="shared" si="50"/>
        <v>0</v>
      </c>
      <c r="AD171" s="790">
        <f t="shared" si="48"/>
        <v>55898.7</v>
      </c>
      <c r="AE171" s="790">
        <f t="shared" si="47"/>
        <v>16769.61</v>
      </c>
      <c r="AF171" s="790">
        <f t="shared" si="49"/>
        <v>113660.69</v>
      </c>
    </row>
    <row r="172" spans="1:32" ht="15" customHeight="1">
      <c r="A172" s="636" t="s">
        <v>1074</v>
      </c>
      <c r="B172" s="740" t="s">
        <v>1772</v>
      </c>
      <c r="C172" s="741" t="s">
        <v>1865</v>
      </c>
      <c r="D172" s="742" t="s">
        <v>1866</v>
      </c>
      <c r="E172" s="743" t="s">
        <v>1867</v>
      </c>
      <c r="F172" s="744" t="s">
        <v>1776</v>
      </c>
      <c r="G172" s="745">
        <v>1963420.41</v>
      </c>
      <c r="H172" s="746">
        <v>1944736.28</v>
      </c>
      <c r="I172" s="745">
        <f t="shared" si="51"/>
        <v>18684.129999999888</v>
      </c>
      <c r="J172" s="746">
        <v>0</v>
      </c>
      <c r="K172" s="746">
        <v>0</v>
      </c>
      <c r="L172" s="778">
        <f t="shared" si="52"/>
        <v>1944736.28</v>
      </c>
      <c r="M172" s="745">
        <f t="shared" si="53"/>
        <v>18684.129999999888</v>
      </c>
      <c r="N172" s="779">
        <f t="shared" si="54"/>
        <v>0.99048388724857972</v>
      </c>
      <c r="O172" s="780" t="s">
        <v>1868</v>
      </c>
      <c r="P172" s="781">
        <v>0.2</v>
      </c>
      <c r="Q172" s="781">
        <v>0.65</v>
      </c>
      <c r="R172" s="781">
        <v>0.15</v>
      </c>
      <c r="S172" s="782">
        <f t="shared" si="55"/>
        <v>388947.25600000005</v>
      </c>
      <c r="T172" s="782">
        <f t="shared" si="55"/>
        <v>1264078.5820000002</v>
      </c>
      <c r="U172" s="782">
        <f t="shared" si="55"/>
        <v>291710.44199999998</v>
      </c>
      <c r="W172" s="781">
        <v>0.9</v>
      </c>
      <c r="X172" s="781"/>
      <c r="Y172" s="783"/>
      <c r="Z172" s="781">
        <v>0.9</v>
      </c>
      <c r="AA172" s="781"/>
      <c r="AB172" s="783"/>
      <c r="AC172" s="777">
        <f t="shared" si="50"/>
        <v>0</v>
      </c>
      <c r="AD172" s="790">
        <f t="shared" si="48"/>
        <v>392684.08199999999</v>
      </c>
      <c r="AE172" s="790">
        <f t="shared" si="47"/>
        <v>294513.06149999995</v>
      </c>
      <c r="AF172" s="790">
        <f t="shared" si="49"/>
        <v>1276223.2664999999</v>
      </c>
    </row>
    <row r="173" spans="1:32" ht="15" customHeight="1">
      <c r="A173" s="636" t="s">
        <v>1074</v>
      </c>
      <c r="B173" s="740" t="s">
        <v>1772</v>
      </c>
      <c r="C173" s="741" t="s">
        <v>1869</v>
      </c>
      <c r="D173" s="742" t="s">
        <v>1870</v>
      </c>
      <c r="E173" s="743" t="s">
        <v>1871</v>
      </c>
      <c r="F173" s="744" t="s">
        <v>1776</v>
      </c>
      <c r="G173" s="745">
        <v>367000</v>
      </c>
      <c r="H173" s="746">
        <v>142992.79999999999</v>
      </c>
      <c r="I173" s="745">
        <f t="shared" si="51"/>
        <v>224007.2</v>
      </c>
      <c r="J173" s="746">
        <v>64007.199999999997</v>
      </c>
      <c r="K173" s="746">
        <v>0</v>
      </c>
      <c r="L173" s="778">
        <f t="shared" si="52"/>
        <v>207000</v>
      </c>
      <c r="M173" s="745">
        <f t="shared" si="53"/>
        <v>160000</v>
      </c>
      <c r="N173" s="779">
        <f t="shared" si="54"/>
        <v>0.56403269754768393</v>
      </c>
      <c r="O173" s="780" t="s">
        <v>1872</v>
      </c>
      <c r="P173" s="781">
        <v>0.15</v>
      </c>
      <c r="Q173" s="781">
        <v>0.52500000000000002</v>
      </c>
      <c r="R173" s="781">
        <v>0.32500000000000001</v>
      </c>
      <c r="S173" s="782">
        <f t="shared" si="55"/>
        <v>21448.92</v>
      </c>
      <c r="T173" s="782">
        <f t="shared" si="55"/>
        <v>75071.22</v>
      </c>
      <c r="U173" s="782">
        <f t="shared" si="55"/>
        <v>46472.659999999996</v>
      </c>
      <c r="W173" s="781">
        <v>1</v>
      </c>
      <c r="X173" s="781"/>
      <c r="Y173" s="783"/>
      <c r="Z173" s="781">
        <v>1</v>
      </c>
      <c r="AA173" s="781"/>
      <c r="AB173" s="783"/>
      <c r="AC173" s="777">
        <f t="shared" si="50"/>
        <v>0</v>
      </c>
      <c r="AD173" s="790">
        <f t="shared" si="48"/>
        <v>55050</v>
      </c>
      <c r="AE173" s="790">
        <f t="shared" si="47"/>
        <v>119275</v>
      </c>
      <c r="AF173" s="790">
        <f t="shared" si="49"/>
        <v>192675</v>
      </c>
    </row>
    <row r="174" spans="1:32" ht="15" customHeight="1">
      <c r="A174" s="636" t="s">
        <v>1074</v>
      </c>
      <c r="B174" s="740" t="s">
        <v>1772</v>
      </c>
      <c r="C174" s="741" t="s">
        <v>1873</v>
      </c>
      <c r="D174" s="742" t="s">
        <v>1874</v>
      </c>
      <c r="E174" s="743" t="s">
        <v>1875</v>
      </c>
      <c r="F174" s="744" t="s">
        <v>1776</v>
      </c>
      <c r="G174" s="745">
        <v>0</v>
      </c>
      <c r="H174" s="746">
        <v>-12873.16</v>
      </c>
      <c r="I174" s="745">
        <f t="shared" si="51"/>
        <v>12873.16</v>
      </c>
      <c r="J174" s="746">
        <v>0</v>
      </c>
      <c r="K174" s="746">
        <v>0</v>
      </c>
      <c r="L174" s="778">
        <f t="shared" si="52"/>
        <v>-12873.16</v>
      </c>
      <c r="M174" s="745">
        <f t="shared" si="53"/>
        <v>12873.16</v>
      </c>
      <c r="N174" s="779">
        <f t="shared" si="54"/>
        <v>0</v>
      </c>
      <c r="O174" s="780" t="s">
        <v>1876</v>
      </c>
      <c r="P174" s="781">
        <v>0.15</v>
      </c>
      <c r="Q174" s="781">
        <v>0.52500000000000002</v>
      </c>
      <c r="R174" s="781">
        <v>0.32500000000000001</v>
      </c>
      <c r="S174" s="782">
        <f t="shared" si="55"/>
        <v>-1930.9739999999999</v>
      </c>
      <c r="T174" s="782">
        <f t="shared" si="55"/>
        <v>-6758.4090000000006</v>
      </c>
      <c r="U174" s="782">
        <f t="shared" si="55"/>
        <v>-4183.777</v>
      </c>
      <c r="W174" s="781">
        <v>0.9</v>
      </c>
      <c r="X174" s="781"/>
      <c r="Y174" s="783"/>
      <c r="Z174" s="781">
        <v>0.9</v>
      </c>
      <c r="AA174" s="781"/>
      <c r="AB174" s="783"/>
      <c r="AC174" s="777">
        <f t="shared" si="50"/>
        <v>0</v>
      </c>
      <c r="AD174" s="790">
        <f t="shared" si="48"/>
        <v>0</v>
      </c>
      <c r="AE174" s="790">
        <f t="shared" si="47"/>
        <v>0</v>
      </c>
      <c r="AF174" s="790">
        <f t="shared" si="49"/>
        <v>0</v>
      </c>
    </row>
    <row r="175" spans="1:32" ht="15" customHeight="1">
      <c r="A175" s="636" t="s">
        <v>1074</v>
      </c>
      <c r="B175" s="740" t="s">
        <v>1772</v>
      </c>
      <c r="C175" s="741" t="s">
        <v>1877</v>
      </c>
      <c r="D175" s="742" t="s">
        <v>1878</v>
      </c>
      <c r="E175" s="743" t="s">
        <v>1879</v>
      </c>
      <c r="F175" s="744" t="s">
        <v>1880</v>
      </c>
      <c r="G175" s="745">
        <v>0</v>
      </c>
      <c r="H175" s="746">
        <v>-31.13</v>
      </c>
      <c r="I175" s="745">
        <f t="shared" si="51"/>
        <v>31.13</v>
      </c>
      <c r="J175" s="746">
        <v>0</v>
      </c>
      <c r="K175" s="746">
        <v>0</v>
      </c>
      <c r="L175" s="778">
        <f t="shared" si="52"/>
        <v>-31.13</v>
      </c>
      <c r="M175" s="745">
        <f t="shared" si="53"/>
        <v>31.13</v>
      </c>
      <c r="N175" s="779">
        <f t="shared" si="54"/>
        <v>0</v>
      </c>
      <c r="O175" s="780" t="s">
        <v>1881</v>
      </c>
      <c r="P175" s="781">
        <v>0.1</v>
      </c>
      <c r="Q175" s="781">
        <v>0.1</v>
      </c>
      <c r="R175" s="781">
        <v>0.8</v>
      </c>
      <c r="S175" s="782">
        <f t="shared" si="55"/>
        <v>-3.113</v>
      </c>
      <c r="T175" s="782">
        <f t="shared" si="55"/>
        <v>-3.113</v>
      </c>
      <c r="U175" s="782">
        <f t="shared" si="55"/>
        <v>-24.904</v>
      </c>
      <c r="W175" s="781">
        <v>0</v>
      </c>
      <c r="X175" s="781">
        <v>0.51</v>
      </c>
      <c r="Y175" s="783"/>
      <c r="Z175" s="781">
        <v>0</v>
      </c>
      <c r="AA175" s="781">
        <v>0.51</v>
      </c>
      <c r="AB175" s="783"/>
      <c r="AC175" s="777">
        <f t="shared" si="50"/>
        <v>0</v>
      </c>
      <c r="AD175" s="790">
        <f t="shared" si="48"/>
        <v>0</v>
      </c>
      <c r="AE175" s="790">
        <f t="shared" si="47"/>
        <v>0</v>
      </c>
      <c r="AF175" s="790">
        <f t="shared" si="49"/>
        <v>0</v>
      </c>
    </row>
    <row r="176" spans="1:32" ht="41.45" customHeight="1">
      <c r="A176" s="636" t="s">
        <v>1074</v>
      </c>
      <c r="B176" s="740" t="s">
        <v>1772</v>
      </c>
      <c r="C176" s="741" t="s">
        <v>1882</v>
      </c>
      <c r="D176" s="742" t="s">
        <v>1883</v>
      </c>
      <c r="E176" s="743" t="s">
        <v>1884</v>
      </c>
      <c r="F176" s="744" t="s">
        <v>1880</v>
      </c>
      <c r="G176" s="745">
        <v>2256391.31</v>
      </c>
      <c r="H176" s="746">
        <v>1560598.1</v>
      </c>
      <c r="I176" s="745">
        <f t="shared" si="51"/>
        <v>695793.21</v>
      </c>
      <c r="J176" s="746">
        <v>152268.84</v>
      </c>
      <c r="K176" s="746">
        <v>825</v>
      </c>
      <c r="L176" s="778">
        <f t="shared" si="52"/>
        <v>1712866.9400000002</v>
      </c>
      <c r="M176" s="745">
        <f t="shared" si="53"/>
        <v>543524.36999999988</v>
      </c>
      <c r="N176" s="779">
        <f t="shared" si="54"/>
        <v>0.75911785886110339</v>
      </c>
      <c r="O176" s="780" t="s">
        <v>1885</v>
      </c>
      <c r="P176" s="781">
        <v>0.8</v>
      </c>
      <c r="Q176" s="781">
        <v>0</v>
      </c>
      <c r="R176" s="781">
        <v>0.2</v>
      </c>
      <c r="S176" s="782">
        <f t="shared" ref="S176:U198" si="56">$H176*P176</f>
        <v>1248478.4800000002</v>
      </c>
      <c r="T176" s="782">
        <f t="shared" si="56"/>
        <v>0</v>
      </c>
      <c r="U176" s="782">
        <f t="shared" si="56"/>
        <v>312119.62000000005</v>
      </c>
      <c r="W176" s="781">
        <v>0</v>
      </c>
      <c r="X176" s="781"/>
      <c r="Y176" s="783" t="s">
        <v>1886</v>
      </c>
      <c r="Z176" s="781">
        <v>0</v>
      </c>
      <c r="AA176" s="781"/>
      <c r="AB176" s="783" t="s">
        <v>1886</v>
      </c>
      <c r="AC176" s="777">
        <f t="shared" si="50"/>
        <v>0</v>
      </c>
      <c r="AD176" s="790">
        <f t="shared" si="48"/>
        <v>1805113.0480000002</v>
      </c>
      <c r="AE176" s="790">
        <f t="shared" si="47"/>
        <v>451278.26200000005</v>
      </c>
      <c r="AF176" s="790">
        <f t="shared" si="49"/>
        <v>0</v>
      </c>
    </row>
    <row r="177" spans="1:32" ht="15" customHeight="1">
      <c r="A177" s="636" t="s">
        <v>1074</v>
      </c>
      <c r="B177" s="740" t="s">
        <v>1772</v>
      </c>
      <c r="C177" s="741" t="s">
        <v>1887</v>
      </c>
      <c r="D177" s="742" t="s">
        <v>1888</v>
      </c>
      <c r="E177" s="743" t="s">
        <v>1889</v>
      </c>
      <c r="F177" s="744" t="s">
        <v>1279</v>
      </c>
      <c r="G177" s="745">
        <v>5945865.5899999999</v>
      </c>
      <c r="H177" s="746">
        <v>5094256.8600000003</v>
      </c>
      <c r="I177" s="745">
        <f t="shared" si="51"/>
        <v>851608.72999999952</v>
      </c>
      <c r="J177" s="746">
        <v>188457.67</v>
      </c>
      <c r="K177" s="746">
        <v>1876920.77</v>
      </c>
      <c r="L177" s="778">
        <f t="shared" si="52"/>
        <v>5282714.53</v>
      </c>
      <c r="M177" s="745">
        <f t="shared" si="53"/>
        <v>663151.05999999959</v>
      </c>
      <c r="N177" s="779">
        <f t="shared" si="54"/>
        <v>0.8884685417182463</v>
      </c>
      <c r="O177" s="780" t="s">
        <v>1890</v>
      </c>
      <c r="P177" s="781">
        <v>0.3</v>
      </c>
      <c r="Q177" s="781">
        <v>0.61</v>
      </c>
      <c r="R177" s="781">
        <v>0.09</v>
      </c>
      <c r="S177" s="782">
        <f t="shared" si="56"/>
        <v>1528277.058</v>
      </c>
      <c r="T177" s="782">
        <f t="shared" si="56"/>
        <v>3107496.6846000003</v>
      </c>
      <c r="U177" s="782">
        <f t="shared" si="56"/>
        <v>458483.11739999999</v>
      </c>
      <c r="W177" s="781">
        <v>0.51</v>
      </c>
      <c r="X177" s="781"/>
      <c r="Y177" s="783"/>
      <c r="Z177" s="781">
        <v>0.51</v>
      </c>
      <c r="AA177" s="781"/>
      <c r="AB177" s="783"/>
      <c r="AC177" s="777">
        <f t="shared" si="50"/>
        <v>0</v>
      </c>
      <c r="AD177" s="790">
        <f t="shared" si="48"/>
        <v>1783759.6769999999</v>
      </c>
      <c r="AE177" s="790">
        <f t="shared" si="47"/>
        <v>535127.9031</v>
      </c>
      <c r="AF177" s="790">
        <f t="shared" si="49"/>
        <v>3626978.0098999999</v>
      </c>
    </row>
    <row r="178" spans="1:32" ht="15" customHeight="1">
      <c r="A178" s="636" t="s">
        <v>1074</v>
      </c>
      <c r="B178" s="740" t="s">
        <v>1772</v>
      </c>
      <c r="C178" s="741" t="s">
        <v>1891</v>
      </c>
      <c r="D178" s="742" t="s">
        <v>1892</v>
      </c>
      <c r="E178" s="743" t="s">
        <v>1893</v>
      </c>
      <c r="F178" s="744" t="s">
        <v>1690</v>
      </c>
      <c r="G178" s="745">
        <v>205400</v>
      </c>
      <c r="H178" s="746">
        <v>203731.93</v>
      </c>
      <c r="I178" s="745">
        <f t="shared" si="51"/>
        <v>1668.070000000007</v>
      </c>
      <c r="J178" s="746">
        <v>0</v>
      </c>
      <c r="K178" s="746">
        <v>0</v>
      </c>
      <c r="L178" s="778">
        <f t="shared" si="52"/>
        <v>203731.93</v>
      </c>
      <c r="M178" s="745">
        <f t="shared" si="53"/>
        <v>1668.070000000007</v>
      </c>
      <c r="N178" s="779">
        <f t="shared" si="54"/>
        <v>0.99187891918208371</v>
      </c>
      <c r="O178" s="780" t="s">
        <v>1894</v>
      </c>
      <c r="P178" s="781">
        <v>0.15</v>
      </c>
      <c r="Q178" s="781">
        <v>0.52500000000000002</v>
      </c>
      <c r="R178" s="781">
        <v>0.32500000000000001</v>
      </c>
      <c r="S178" s="782">
        <f t="shared" si="56"/>
        <v>30559.789499999999</v>
      </c>
      <c r="T178" s="782">
        <f t="shared" si="56"/>
        <v>106959.26325</v>
      </c>
      <c r="U178" s="782">
        <f t="shared" si="56"/>
        <v>66212.877250000005</v>
      </c>
      <c r="W178" s="781">
        <v>0</v>
      </c>
      <c r="X178" s="781"/>
      <c r="Y178" s="783"/>
      <c r="Z178" s="781">
        <v>0</v>
      </c>
      <c r="AA178" s="781"/>
      <c r="AB178" s="783"/>
      <c r="AC178" s="777">
        <f t="shared" si="50"/>
        <v>0</v>
      </c>
      <c r="AD178" s="790">
        <f t="shared" si="48"/>
        <v>30810</v>
      </c>
      <c r="AE178" s="790">
        <f t="shared" si="47"/>
        <v>66755</v>
      </c>
      <c r="AF178" s="790">
        <f t="shared" si="49"/>
        <v>107835</v>
      </c>
    </row>
    <row r="179" spans="1:32" ht="15" customHeight="1">
      <c r="A179" s="636" t="s">
        <v>1074</v>
      </c>
      <c r="B179" s="740" t="s">
        <v>1772</v>
      </c>
      <c r="C179" s="741" t="s">
        <v>1895</v>
      </c>
      <c r="D179" s="742" t="s">
        <v>1896</v>
      </c>
      <c r="E179" s="743" t="s">
        <v>1897</v>
      </c>
      <c r="F179" s="744" t="s">
        <v>1898</v>
      </c>
      <c r="G179" s="745">
        <v>21722.5</v>
      </c>
      <c r="H179" s="746">
        <v>720.86</v>
      </c>
      <c r="I179" s="745">
        <f t="shared" si="51"/>
        <v>21001.64</v>
      </c>
      <c r="J179" s="746">
        <v>0</v>
      </c>
      <c r="K179" s="746">
        <v>0</v>
      </c>
      <c r="L179" s="778">
        <f t="shared" si="52"/>
        <v>720.86</v>
      </c>
      <c r="M179" s="745">
        <f t="shared" si="53"/>
        <v>21001.64</v>
      </c>
      <c r="N179" s="779">
        <f t="shared" si="54"/>
        <v>3.3184946484060306E-2</v>
      </c>
      <c r="O179" s="780" t="s">
        <v>1899</v>
      </c>
      <c r="P179" s="781">
        <v>0.1</v>
      </c>
      <c r="Q179" s="781">
        <v>0.4</v>
      </c>
      <c r="R179" s="781">
        <v>0.5</v>
      </c>
      <c r="S179" s="782">
        <f t="shared" si="56"/>
        <v>72.085999999999999</v>
      </c>
      <c r="T179" s="782">
        <f t="shared" si="56"/>
        <v>288.34399999999999</v>
      </c>
      <c r="U179" s="782">
        <f t="shared" si="56"/>
        <v>360.43</v>
      </c>
      <c r="W179" s="781">
        <v>0.85</v>
      </c>
      <c r="X179" s="781"/>
      <c r="Y179" s="783"/>
      <c r="Z179" s="781">
        <v>0.85</v>
      </c>
      <c r="AA179" s="781"/>
      <c r="AB179" s="783"/>
      <c r="AC179" s="777">
        <f t="shared" si="50"/>
        <v>0</v>
      </c>
      <c r="AD179" s="790">
        <f t="shared" si="48"/>
        <v>2172.25</v>
      </c>
      <c r="AE179" s="790">
        <f t="shared" si="47"/>
        <v>10861.25</v>
      </c>
      <c r="AF179" s="790">
        <f t="shared" si="49"/>
        <v>8689</v>
      </c>
    </row>
    <row r="180" spans="1:32" ht="15" customHeight="1">
      <c r="A180" s="636" t="s">
        <v>1074</v>
      </c>
      <c r="B180" s="740" t="s">
        <v>1772</v>
      </c>
      <c r="C180" s="741" t="s">
        <v>1895</v>
      </c>
      <c r="D180" s="742" t="s">
        <v>1900</v>
      </c>
      <c r="E180" s="743" t="s">
        <v>1901</v>
      </c>
      <c r="F180" s="744" t="s">
        <v>1898</v>
      </c>
      <c r="G180" s="745">
        <v>112035</v>
      </c>
      <c r="H180" s="746">
        <v>71984.53</v>
      </c>
      <c r="I180" s="745">
        <f t="shared" si="51"/>
        <v>40050.47</v>
      </c>
      <c r="J180" s="746">
        <v>0</v>
      </c>
      <c r="K180" s="746">
        <v>0</v>
      </c>
      <c r="L180" s="778">
        <f t="shared" si="52"/>
        <v>71984.53</v>
      </c>
      <c r="M180" s="745">
        <f t="shared" si="53"/>
        <v>40050.47</v>
      </c>
      <c r="N180" s="779">
        <f t="shared" si="54"/>
        <v>0.6425182309099835</v>
      </c>
      <c r="O180" s="780" t="s">
        <v>1902</v>
      </c>
      <c r="P180" s="781">
        <v>0.1</v>
      </c>
      <c r="Q180" s="781">
        <v>0.4</v>
      </c>
      <c r="R180" s="781">
        <v>0.5</v>
      </c>
      <c r="S180" s="782">
        <f t="shared" si="56"/>
        <v>7198.4530000000004</v>
      </c>
      <c r="T180" s="782">
        <f t="shared" si="56"/>
        <v>28793.812000000002</v>
      </c>
      <c r="U180" s="782">
        <f t="shared" si="56"/>
        <v>35992.264999999999</v>
      </c>
      <c r="W180" s="781">
        <v>0.85</v>
      </c>
      <c r="X180" s="781"/>
      <c r="Y180" s="783"/>
      <c r="Z180" s="781">
        <v>0.85</v>
      </c>
      <c r="AA180" s="781"/>
      <c r="AB180" s="783"/>
      <c r="AC180" s="777">
        <f t="shared" si="50"/>
        <v>0</v>
      </c>
      <c r="AD180" s="790">
        <f t="shared" si="48"/>
        <v>11203.5</v>
      </c>
      <c r="AE180" s="790">
        <f t="shared" si="47"/>
        <v>56017.5</v>
      </c>
      <c r="AF180" s="790">
        <f t="shared" si="49"/>
        <v>44814</v>
      </c>
    </row>
    <row r="181" spans="1:32" ht="15" customHeight="1">
      <c r="A181" s="636" t="s">
        <v>1074</v>
      </c>
      <c r="B181" s="740" t="s">
        <v>1772</v>
      </c>
      <c r="C181" s="741" t="s">
        <v>1903</v>
      </c>
      <c r="D181" s="742" t="s">
        <v>1904</v>
      </c>
      <c r="E181" s="743" t="s">
        <v>1905</v>
      </c>
      <c r="F181" s="744" t="s">
        <v>1880</v>
      </c>
      <c r="G181" s="745">
        <v>217029.47</v>
      </c>
      <c r="H181" s="746">
        <v>35996.129999999997</v>
      </c>
      <c r="I181" s="745">
        <f t="shared" si="51"/>
        <v>181033.34</v>
      </c>
      <c r="J181" s="746">
        <v>0</v>
      </c>
      <c r="K181" s="746">
        <v>0</v>
      </c>
      <c r="L181" s="778">
        <f t="shared" si="52"/>
        <v>35996.129999999997</v>
      </c>
      <c r="M181" s="745">
        <f t="shared" si="53"/>
        <v>181033.34</v>
      </c>
      <c r="N181" s="779">
        <f t="shared" si="54"/>
        <v>0.16585825878854146</v>
      </c>
      <c r="O181" s="780" t="s">
        <v>1906</v>
      </c>
      <c r="P181" s="781">
        <v>0.15</v>
      </c>
      <c r="Q181" s="781">
        <v>0.55000000000000004</v>
      </c>
      <c r="R181" s="781">
        <v>0.3</v>
      </c>
      <c r="S181" s="782">
        <f t="shared" si="56"/>
        <v>5399.4194999999991</v>
      </c>
      <c r="T181" s="782">
        <f t="shared" si="56"/>
        <v>19797.871500000001</v>
      </c>
      <c r="U181" s="782">
        <f t="shared" si="56"/>
        <v>10798.838999999998</v>
      </c>
      <c r="W181" s="781">
        <v>0.51</v>
      </c>
      <c r="X181" s="781"/>
      <c r="Y181" s="783"/>
      <c r="Z181" s="781">
        <v>0.51</v>
      </c>
      <c r="AA181" s="781"/>
      <c r="AB181" s="783"/>
      <c r="AC181" s="777">
        <f t="shared" si="50"/>
        <v>0</v>
      </c>
      <c r="AD181" s="790">
        <f t="shared" si="48"/>
        <v>32554.4205</v>
      </c>
      <c r="AE181" s="790">
        <f t="shared" si="47"/>
        <v>65108.841</v>
      </c>
      <c r="AF181" s="790">
        <f t="shared" si="49"/>
        <v>119366.20850000001</v>
      </c>
    </row>
    <row r="182" spans="1:32" ht="15" customHeight="1">
      <c r="A182" s="636" t="s">
        <v>1074</v>
      </c>
      <c r="B182" s="740" t="s">
        <v>1772</v>
      </c>
      <c r="C182" s="741" t="s">
        <v>1907</v>
      </c>
      <c r="D182" s="742" t="s">
        <v>1908</v>
      </c>
      <c r="E182" s="743" t="s">
        <v>1909</v>
      </c>
      <c r="F182" s="744" t="s">
        <v>1880</v>
      </c>
      <c r="G182" s="745">
        <v>76647.070000000007</v>
      </c>
      <c r="H182" s="746">
        <v>-655.39</v>
      </c>
      <c r="I182" s="745">
        <f t="shared" si="51"/>
        <v>77302.460000000006</v>
      </c>
      <c r="J182" s="746">
        <v>761.72</v>
      </c>
      <c r="K182" s="746">
        <v>0</v>
      </c>
      <c r="L182" s="778">
        <f t="shared" si="52"/>
        <v>106.33000000000004</v>
      </c>
      <c r="M182" s="745">
        <f t="shared" si="53"/>
        <v>76540.740000000005</v>
      </c>
      <c r="N182" s="779">
        <f t="shared" si="54"/>
        <v>1.3872676411505363E-3</v>
      </c>
      <c r="O182" s="780" t="s">
        <v>1910</v>
      </c>
      <c r="P182" s="781">
        <v>0.15</v>
      </c>
      <c r="Q182" s="781">
        <v>0.55000000000000004</v>
      </c>
      <c r="R182" s="781">
        <v>0.3</v>
      </c>
      <c r="S182" s="782">
        <f t="shared" si="56"/>
        <v>-98.308499999999995</v>
      </c>
      <c r="T182" s="782">
        <f t="shared" si="56"/>
        <v>-360.46450000000004</v>
      </c>
      <c r="U182" s="782">
        <f t="shared" si="56"/>
        <v>-196.61699999999999</v>
      </c>
      <c r="W182" s="781">
        <v>0.51</v>
      </c>
      <c r="X182" s="781"/>
      <c r="Y182" s="783"/>
      <c r="Z182" s="781">
        <v>0.51</v>
      </c>
      <c r="AA182" s="781"/>
      <c r="AB182" s="783"/>
      <c r="AC182" s="777">
        <f t="shared" si="50"/>
        <v>0</v>
      </c>
      <c r="AD182" s="790">
        <f t="shared" si="48"/>
        <v>11497.060500000001</v>
      </c>
      <c r="AE182" s="790">
        <f t="shared" si="47"/>
        <v>22994.121000000003</v>
      </c>
      <c r="AF182" s="790">
        <f t="shared" si="49"/>
        <v>42155.888500000008</v>
      </c>
    </row>
    <row r="183" spans="1:32" ht="15" customHeight="1">
      <c r="A183" s="636" t="s">
        <v>1074</v>
      </c>
      <c r="B183" s="740" t="s">
        <v>1772</v>
      </c>
      <c r="C183" s="741" t="s">
        <v>1911</v>
      </c>
      <c r="D183" s="742" t="s">
        <v>1912</v>
      </c>
      <c r="E183" s="743" t="s">
        <v>1913</v>
      </c>
      <c r="F183" s="744" t="s">
        <v>1776</v>
      </c>
      <c r="G183" s="745">
        <v>64600</v>
      </c>
      <c r="H183" s="746">
        <v>60853.86</v>
      </c>
      <c r="I183" s="745">
        <f t="shared" si="51"/>
        <v>3746.1399999999994</v>
      </c>
      <c r="J183" s="746">
        <v>4425.3999999999996</v>
      </c>
      <c r="K183" s="746">
        <v>0</v>
      </c>
      <c r="L183" s="778">
        <f t="shared" si="52"/>
        <v>65279.26</v>
      </c>
      <c r="M183" s="745">
        <f t="shared" si="53"/>
        <v>-679.26000000000204</v>
      </c>
      <c r="N183" s="779">
        <f t="shared" si="54"/>
        <v>1.0105148606811145</v>
      </c>
      <c r="O183" s="780" t="s">
        <v>1914</v>
      </c>
      <c r="P183" s="781">
        <v>0.15</v>
      </c>
      <c r="Q183" s="781">
        <v>0.52500000000000002</v>
      </c>
      <c r="R183" s="781">
        <v>0.32500000000000001</v>
      </c>
      <c r="S183" s="782">
        <f t="shared" si="56"/>
        <v>9128.0789999999997</v>
      </c>
      <c r="T183" s="782">
        <f t="shared" si="56"/>
        <v>31948.2765</v>
      </c>
      <c r="U183" s="782">
        <f t="shared" si="56"/>
        <v>19777.504499999999</v>
      </c>
      <c r="W183" s="781" t="e">
        <v>#N/A</v>
      </c>
      <c r="X183" s="781"/>
      <c r="Y183" s="783"/>
      <c r="Z183" s="781">
        <v>0.15</v>
      </c>
      <c r="AA183" s="781"/>
      <c r="AB183" s="783"/>
      <c r="AC183" s="777">
        <f t="shared" si="50"/>
        <v>0</v>
      </c>
      <c r="AD183" s="790">
        <f t="shared" si="48"/>
        <v>9690</v>
      </c>
      <c r="AE183" s="790">
        <f t="shared" si="47"/>
        <v>20995</v>
      </c>
      <c r="AF183" s="790">
        <f t="shared" si="49"/>
        <v>33915</v>
      </c>
    </row>
    <row r="184" spans="1:32" ht="15" customHeight="1">
      <c r="A184" s="636" t="s">
        <v>1074</v>
      </c>
      <c r="B184" s="740" t="s">
        <v>1772</v>
      </c>
      <c r="C184" s="741" t="s">
        <v>1915</v>
      </c>
      <c r="D184" s="742" t="s">
        <v>1916</v>
      </c>
      <c r="E184" s="743" t="s">
        <v>1917</v>
      </c>
      <c r="F184" s="744" t="s">
        <v>1880</v>
      </c>
      <c r="G184" s="745">
        <v>1416000</v>
      </c>
      <c r="H184" s="746">
        <v>329730.28000000003</v>
      </c>
      <c r="I184" s="745">
        <f t="shared" si="51"/>
        <v>1086269.72</v>
      </c>
      <c r="J184" s="746">
        <v>77636</v>
      </c>
      <c r="K184" s="746">
        <v>0</v>
      </c>
      <c r="L184" s="778">
        <f t="shared" si="52"/>
        <v>407366.28</v>
      </c>
      <c r="M184" s="745">
        <f t="shared" si="53"/>
        <v>1008633.72</v>
      </c>
      <c r="N184" s="779">
        <f t="shared" si="54"/>
        <v>0.28768805084745763</v>
      </c>
      <c r="O184" s="780" t="s">
        <v>1918</v>
      </c>
      <c r="P184" s="781">
        <v>0.3</v>
      </c>
      <c r="Q184" s="781">
        <v>0</v>
      </c>
      <c r="R184" s="781">
        <v>0.7</v>
      </c>
      <c r="S184" s="782">
        <f t="shared" si="56"/>
        <v>98919.084000000003</v>
      </c>
      <c r="T184" s="782">
        <f t="shared" si="56"/>
        <v>0</v>
      </c>
      <c r="U184" s="782">
        <f t="shared" si="56"/>
        <v>230811.196</v>
      </c>
      <c r="W184" s="781">
        <v>0</v>
      </c>
      <c r="X184" s="781"/>
      <c r="Y184" s="783"/>
      <c r="Z184" s="781">
        <v>0</v>
      </c>
      <c r="AA184" s="781"/>
      <c r="AB184" s="783"/>
      <c r="AC184" s="777">
        <f t="shared" si="50"/>
        <v>0</v>
      </c>
      <c r="AD184" s="790">
        <f t="shared" si="48"/>
        <v>424800</v>
      </c>
      <c r="AE184" s="790">
        <f t="shared" si="47"/>
        <v>991199.99999999988</v>
      </c>
      <c r="AF184" s="790">
        <f t="shared" si="49"/>
        <v>0</v>
      </c>
    </row>
    <row r="185" spans="1:32" ht="15" customHeight="1">
      <c r="A185" s="636" t="s">
        <v>1074</v>
      </c>
      <c r="B185" s="740" t="s">
        <v>1772</v>
      </c>
      <c r="C185" s="741" t="s">
        <v>1919</v>
      </c>
      <c r="D185" s="742" t="s">
        <v>1920</v>
      </c>
      <c r="E185" s="743" t="s">
        <v>1921</v>
      </c>
      <c r="F185" s="744" t="s">
        <v>1299</v>
      </c>
      <c r="G185" s="745">
        <v>629879</v>
      </c>
      <c r="H185" s="746">
        <v>629879</v>
      </c>
      <c r="I185" s="745">
        <f t="shared" si="51"/>
        <v>0</v>
      </c>
      <c r="J185" s="746">
        <v>20850.48</v>
      </c>
      <c r="K185" s="746">
        <v>16377.5</v>
      </c>
      <c r="L185" s="778">
        <f t="shared" si="52"/>
        <v>650729.48</v>
      </c>
      <c r="M185" s="745">
        <f t="shared" si="53"/>
        <v>-20850.479999999981</v>
      </c>
      <c r="N185" s="779">
        <f t="shared" si="54"/>
        <v>1.0331023577544258</v>
      </c>
      <c r="O185" s="780" t="s">
        <v>1922</v>
      </c>
      <c r="P185" s="781">
        <v>0.3</v>
      </c>
      <c r="Q185" s="781">
        <v>0.61</v>
      </c>
      <c r="R185" s="781">
        <v>0.09</v>
      </c>
      <c r="S185" s="782">
        <f t="shared" si="56"/>
        <v>188963.69999999998</v>
      </c>
      <c r="T185" s="782">
        <f t="shared" si="56"/>
        <v>384226.19</v>
      </c>
      <c r="U185" s="782">
        <f t="shared" si="56"/>
        <v>56689.11</v>
      </c>
      <c r="W185" s="781">
        <v>0</v>
      </c>
      <c r="X185" s="781"/>
      <c r="Y185" s="783"/>
      <c r="Z185" s="781">
        <v>0</v>
      </c>
      <c r="AA185" s="781"/>
      <c r="AB185" s="783"/>
      <c r="AC185" s="777">
        <f t="shared" si="50"/>
        <v>0</v>
      </c>
      <c r="AD185" s="790">
        <f t="shared" si="48"/>
        <v>188963.69999999998</v>
      </c>
      <c r="AE185" s="790">
        <f t="shared" si="47"/>
        <v>56689.11</v>
      </c>
      <c r="AF185" s="790">
        <f t="shared" si="49"/>
        <v>384226.19</v>
      </c>
    </row>
    <row r="186" spans="1:32" ht="15" customHeight="1">
      <c r="A186" s="636" t="s">
        <v>1074</v>
      </c>
      <c r="B186" s="740" t="s">
        <v>1772</v>
      </c>
      <c r="C186" s="741" t="s">
        <v>1923</v>
      </c>
      <c r="D186" s="742" t="s">
        <v>1924</v>
      </c>
      <c r="E186" s="743" t="s">
        <v>1925</v>
      </c>
      <c r="F186" s="744" t="s">
        <v>1776</v>
      </c>
      <c r="G186" s="745">
        <v>3000</v>
      </c>
      <c r="H186" s="746">
        <v>9494.35</v>
      </c>
      <c r="I186" s="745">
        <f t="shared" si="51"/>
        <v>-6494.35</v>
      </c>
      <c r="J186" s="746">
        <v>1317.4</v>
      </c>
      <c r="K186" s="746">
        <v>0</v>
      </c>
      <c r="L186" s="778">
        <f t="shared" si="52"/>
        <v>10811.75</v>
      </c>
      <c r="M186" s="745">
        <f t="shared" si="53"/>
        <v>-7811.75</v>
      </c>
      <c r="N186" s="779">
        <f t="shared" si="54"/>
        <v>3.6039166666666667</v>
      </c>
      <c r="O186" s="780" t="s">
        <v>1926</v>
      </c>
      <c r="P186" s="781">
        <v>0.15</v>
      </c>
      <c r="Q186" s="781">
        <v>0.52500000000000002</v>
      </c>
      <c r="R186" s="781">
        <v>0.32500000000000001</v>
      </c>
      <c r="S186" s="782">
        <f t="shared" si="56"/>
        <v>1424.1524999999999</v>
      </c>
      <c r="T186" s="782">
        <f t="shared" si="56"/>
        <v>4984.5337500000005</v>
      </c>
      <c r="U186" s="782">
        <f t="shared" si="56"/>
        <v>3085.6637500000002</v>
      </c>
      <c r="W186" s="781" t="e">
        <v>#N/A</v>
      </c>
      <c r="X186" s="781"/>
      <c r="Y186" s="783"/>
      <c r="Z186" s="781">
        <v>0.51</v>
      </c>
      <c r="AA186" s="781"/>
      <c r="AB186" s="783"/>
      <c r="AC186" s="777">
        <f t="shared" si="50"/>
        <v>0</v>
      </c>
      <c r="AD186" s="790">
        <f t="shared" si="48"/>
        <v>450</v>
      </c>
      <c r="AE186" s="790">
        <f t="shared" si="47"/>
        <v>975</v>
      </c>
      <c r="AF186" s="790">
        <f t="shared" si="49"/>
        <v>1575</v>
      </c>
    </row>
    <row r="187" spans="1:32" ht="15" customHeight="1">
      <c r="A187" s="636" t="s">
        <v>1074</v>
      </c>
      <c r="B187" s="740" t="s">
        <v>1772</v>
      </c>
      <c r="C187" s="741" t="s">
        <v>1927</v>
      </c>
      <c r="D187" s="742" t="s">
        <v>1928</v>
      </c>
      <c r="E187" s="743" t="s">
        <v>1929</v>
      </c>
      <c r="F187" s="744" t="s">
        <v>1492</v>
      </c>
      <c r="G187" s="745">
        <v>714079.19</v>
      </c>
      <c r="H187" s="746">
        <v>714079.36</v>
      </c>
      <c r="I187" s="745">
        <f t="shared" si="51"/>
        <v>-0.17000000004190952</v>
      </c>
      <c r="J187" s="746">
        <v>1000</v>
      </c>
      <c r="K187" s="746">
        <v>0</v>
      </c>
      <c r="L187" s="778">
        <f t="shared" si="52"/>
        <v>715079.36</v>
      </c>
      <c r="M187" s="745">
        <f t="shared" si="53"/>
        <v>-1000.1700000000419</v>
      </c>
      <c r="N187" s="779">
        <f t="shared" si="54"/>
        <v>1.0014006429735056</v>
      </c>
      <c r="O187" s="780" t="s">
        <v>1930</v>
      </c>
      <c r="P187" s="781">
        <v>0.25</v>
      </c>
      <c r="Q187" s="781">
        <v>0.42499999999999999</v>
      </c>
      <c r="R187" s="781">
        <v>0.32500000000000001</v>
      </c>
      <c r="S187" s="782">
        <f t="shared" si="56"/>
        <v>178519.84</v>
      </c>
      <c r="T187" s="782">
        <f t="shared" si="56"/>
        <v>303483.728</v>
      </c>
      <c r="U187" s="782">
        <f t="shared" si="56"/>
        <v>232075.79200000002</v>
      </c>
      <c r="W187" s="781">
        <v>0.51</v>
      </c>
      <c r="X187" s="781"/>
      <c r="Y187" s="783"/>
      <c r="Z187" s="781">
        <v>0.51</v>
      </c>
      <c r="AA187" s="781"/>
      <c r="AB187" s="783"/>
      <c r="AC187" s="777">
        <f t="shared" si="50"/>
        <v>0</v>
      </c>
      <c r="AD187" s="790">
        <f t="shared" si="48"/>
        <v>178519.79749999999</v>
      </c>
      <c r="AE187" s="790">
        <f t="shared" si="47"/>
        <v>232075.73674999998</v>
      </c>
      <c r="AF187" s="790">
        <f t="shared" si="49"/>
        <v>303483.65574999998</v>
      </c>
    </row>
    <row r="188" spans="1:32" ht="15" customHeight="1">
      <c r="A188" s="636" t="s">
        <v>1074</v>
      </c>
      <c r="B188" s="740" t="s">
        <v>1772</v>
      </c>
      <c r="C188" s="741" t="s">
        <v>1931</v>
      </c>
      <c r="D188" s="742" t="s">
        <v>1932</v>
      </c>
      <c r="E188" s="743" t="s">
        <v>1933</v>
      </c>
      <c r="F188" s="744" t="s">
        <v>1934</v>
      </c>
      <c r="G188" s="745">
        <v>50000</v>
      </c>
      <c r="H188" s="746">
        <v>61792.02</v>
      </c>
      <c r="I188" s="745">
        <f t="shared" si="51"/>
        <v>-11792.019999999997</v>
      </c>
      <c r="J188" s="746">
        <v>0</v>
      </c>
      <c r="K188" s="746">
        <v>0</v>
      </c>
      <c r="L188" s="778">
        <f t="shared" si="52"/>
        <v>61792.02</v>
      </c>
      <c r="M188" s="745">
        <f t="shared" si="53"/>
        <v>-11792.019999999997</v>
      </c>
      <c r="N188" s="779">
        <f t="shared" si="54"/>
        <v>1.2358403999999998</v>
      </c>
      <c r="O188" s="780" t="s">
        <v>1935</v>
      </c>
      <c r="P188" s="781">
        <v>0.55000000000000004</v>
      </c>
      <c r="Q188" s="781">
        <v>0</v>
      </c>
      <c r="R188" s="781">
        <v>0.45</v>
      </c>
      <c r="S188" s="782">
        <f t="shared" si="56"/>
        <v>33985.611000000004</v>
      </c>
      <c r="T188" s="782">
        <f t="shared" si="56"/>
        <v>0</v>
      </c>
      <c r="U188" s="782">
        <f t="shared" si="56"/>
        <v>27806.409</v>
      </c>
      <c r="W188" s="781">
        <v>0.51</v>
      </c>
      <c r="X188" s="781"/>
      <c r="Y188" s="783"/>
      <c r="Z188" s="781">
        <v>0.51</v>
      </c>
      <c r="AA188" s="781"/>
      <c r="AB188" s="783"/>
      <c r="AC188" s="777">
        <f t="shared" si="50"/>
        <v>0</v>
      </c>
      <c r="AD188" s="790">
        <f t="shared" si="48"/>
        <v>27500.000000000004</v>
      </c>
      <c r="AE188" s="790">
        <f t="shared" si="47"/>
        <v>22500</v>
      </c>
      <c r="AF188" s="790">
        <f t="shared" si="49"/>
        <v>0</v>
      </c>
    </row>
    <row r="189" spans="1:32" ht="30.95" customHeight="1">
      <c r="A189" s="636" t="s">
        <v>1074</v>
      </c>
      <c r="B189" s="740" t="s">
        <v>1772</v>
      </c>
      <c r="C189" s="741" t="s">
        <v>1936</v>
      </c>
      <c r="D189" s="742" t="s">
        <v>1937</v>
      </c>
      <c r="E189" s="743" t="s">
        <v>1938</v>
      </c>
      <c r="F189" s="744" t="s">
        <v>1880</v>
      </c>
      <c r="G189" s="745">
        <v>100000</v>
      </c>
      <c r="H189" s="746">
        <v>99125.37</v>
      </c>
      <c r="I189" s="745">
        <f t="shared" si="51"/>
        <v>874.63000000000466</v>
      </c>
      <c r="J189" s="746">
        <v>0</v>
      </c>
      <c r="K189" s="746">
        <v>0</v>
      </c>
      <c r="L189" s="778">
        <f t="shared" si="52"/>
        <v>99125.37</v>
      </c>
      <c r="M189" s="745">
        <f t="shared" si="53"/>
        <v>874.63000000000466</v>
      </c>
      <c r="N189" s="779">
        <f t="shared" si="54"/>
        <v>0.9912536999999999</v>
      </c>
      <c r="O189" s="780" t="s">
        <v>1939</v>
      </c>
      <c r="P189" s="781">
        <v>0.25</v>
      </c>
      <c r="Q189" s="781">
        <v>0.42499999999999999</v>
      </c>
      <c r="R189" s="781">
        <v>0.32500000000000001</v>
      </c>
      <c r="S189" s="782">
        <f t="shared" si="56"/>
        <v>24781.342499999999</v>
      </c>
      <c r="T189" s="782">
        <f t="shared" si="56"/>
        <v>42128.282249999997</v>
      </c>
      <c r="U189" s="782">
        <f t="shared" si="56"/>
        <v>32215.74525</v>
      </c>
      <c r="W189" s="781">
        <v>0</v>
      </c>
      <c r="X189" s="781"/>
      <c r="Y189" s="783" t="s">
        <v>1940</v>
      </c>
      <c r="Z189" s="781">
        <v>0</v>
      </c>
      <c r="AA189" s="781"/>
      <c r="AB189" s="783" t="s">
        <v>1940</v>
      </c>
      <c r="AC189" s="777">
        <f t="shared" si="50"/>
        <v>0</v>
      </c>
      <c r="AD189" s="790">
        <f t="shared" si="48"/>
        <v>25000</v>
      </c>
      <c r="AE189" s="790">
        <f t="shared" si="47"/>
        <v>32500</v>
      </c>
      <c r="AF189" s="790">
        <f t="shared" si="49"/>
        <v>42500</v>
      </c>
    </row>
    <row r="190" spans="1:32" ht="15" customHeight="1">
      <c r="A190" s="636" t="s">
        <v>1074</v>
      </c>
      <c r="B190" s="740" t="s">
        <v>1772</v>
      </c>
      <c r="C190" s="741" t="s">
        <v>1941</v>
      </c>
      <c r="D190" s="742" t="s">
        <v>1942</v>
      </c>
      <c r="E190" s="743" t="s">
        <v>1943</v>
      </c>
      <c r="F190" s="744" t="s">
        <v>1880</v>
      </c>
      <c r="G190" s="745">
        <v>500000</v>
      </c>
      <c r="H190" s="746">
        <v>209625.8</v>
      </c>
      <c r="I190" s="745">
        <f t="shared" si="51"/>
        <v>290374.2</v>
      </c>
      <c r="J190" s="746">
        <v>0</v>
      </c>
      <c r="K190" s="746">
        <v>0</v>
      </c>
      <c r="L190" s="778">
        <f t="shared" si="52"/>
        <v>209625.8</v>
      </c>
      <c r="M190" s="745">
        <f t="shared" si="53"/>
        <v>290374.2</v>
      </c>
      <c r="N190" s="779">
        <f t="shared" si="54"/>
        <v>0.4192516</v>
      </c>
      <c r="O190" s="780" t="s">
        <v>1944</v>
      </c>
      <c r="P190" s="781">
        <v>0.3</v>
      </c>
      <c r="Q190" s="781">
        <v>0</v>
      </c>
      <c r="R190" s="781">
        <v>0.7</v>
      </c>
      <c r="S190" s="782">
        <f t="shared" si="56"/>
        <v>62887.739999999991</v>
      </c>
      <c r="T190" s="782">
        <f t="shared" si="56"/>
        <v>0</v>
      </c>
      <c r="U190" s="782">
        <f t="shared" si="56"/>
        <v>146738.05999999997</v>
      </c>
      <c r="W190" s="781">
        <v>0.51</v>
      </c>
      <c r="X190" s="781"/>
      <c r="Y190" s="783"/>
      <c r="Z190" s="781">
        <v>0.51</v>
      </c>
      <c r="AA190" s="781"/>
      <c r="AB190" s="783"/>
      <c r="AC190" s="777">
        <f t="shared" si="50"/>
        <v>0</v>
      </c>
      <c r="AD190" s="790">
        <f t="shared" si="48"/>
        <v>150000</v>
      </c>
      <c r="AE190" s="790">
        <f t="shared" si="47"/>
        <v>350000</v>
      </c>
      <c r="AF190" s="790">
        <f t="shared" si="49"/>
        <v>0</v>
      </c>
    </row>
    <row r="191" spans="1:32" ht="15" customHeight="1">
      <c r="A191" s="636" t="s">
        <v>1074</v>
      </c>
      <c r="B191" s="740" t="s">
        <v>1772</v>
      </c>
      <c r="C191" s="741" t="s">
        <v>1945</v>
      </c>
      <c r="D191" s="742" t="s">
        <v>1946</v>
      </c>
      <c r="E191" s="743" t="s">
        <v>1947</v>
      </c>
      <c r="F191" s="744" t="s">
        <v>1948</v>
      </c>
      <c r="G191" s="745">
        <v>759661.64</v>
      </c>
      <c r="H191" s="746">
        <v>648114.12</v>
      </c>
      <c r="I191" s="745">
        <f t="shared" si="51"/>
        <v>111547.52000000002</v>
      </c>
      <c r="J191" s="746">
        <v>105380.24</v>
      </c>
      <c r="K191" s="746">
        <v>279197.3</v>
      </c>
      <c r="L191" s="778">
        <f t="shared" si="52"/>
        <v>753494.36</v>
      </c>
      <c r="M191" s="745">
        <f t="shared" si="53"/>
        <v>6167.2800000000279</v>
      </c>
      <c r="N191" s="779">
        <f t="shared" si="54"/>
        <v>0.99188154347243329</v>
      </c>
      <c r="O191" s="780" t="s">
        <v>1949</v>
      </c>
      <c r="P191" s="781">
        <v>0.25</v>
      </c>
      <c r="Q191" s="781">
        <v>0.42499999999999999</v>
      </c>
      <c r="R191" s="781">
        <v>0.32500000000000001</v>
      </c>
      <c r="S191" s="782">
        <f t="shared" si="56"/>
        <v>162028.53</v>
      </c>
      <c r="T191" s="782">
        <f t="shared" si="56"/>
        <v>275448.50099999999</v>
      </c>
      <c r="U191" s="782">
        <f t="shared" si="56"/>
        <v>210637.08900000001</v>
      </c>
      <c r="W191" s="781">
        <v>0.51</v>
      </c>
      <c r="X191" s="781"/>
      <c r="Y191" s="783"/>
      <c r="Z191" s="781">
        <v>0.51</v>
      </c>
      <c r="AA191" s="781"/>
      <c r="AB191" s="783"/>
      <c r="AC191" s="777">
        <f t="shared" si="50"/>
        <v>0</v>
      </c>
      <c r="AD191" s="790">
        <f t="shared" si="48"/>
        <v>189915.41</v>
      </c>
      <c r="AE191" s="790">
        <f t="shared" si="47"/>
        <v>246890.03300000002</v>
      </c>
      <c r="AF191" s="790">
        <f t="shared" si="49"/>
        <v>322856.19699999999</v>
      </c>
    </row>
    <row r="192" spans="1:32" ht="15" customHeight="1">
      <c r="A192" s="636" t="s">
        <v>1074</v>
      </c>
      <c r="B192" s="740" t="s">
        <v>1772</v>
      </c>
      <c r="C192" s="741" t="s">
        <v>1950</v>
      </c>
      <c r="D192" s="742" t="s">
        <v>1951</v>
      </c>
      <c r="E192" s="743" t="s">
        <v>1952</v>
      </c>
      <c r="F192" s="744" t="s">
        <v>1776</v>
      </c>
      <c r="G192" s="745">
        <v>15600</v>
      </c>
      <c r="H192" s="746">
        <v>13131.81</v>
      </c>
      <c r="I192" s="745">
        <f t="shared" si="51"/>
        <v>2468.1900000000005</v>
      </c>
      <c r="J192" s="746">
        <v>1007.2</v>
      </c>
      <c r="K192" s="746">
        <v>0</v>
      </c>
      <c r="L192" s="778">
        <f t="shared" si="52"/>
        <v>14139.01</v>
      </c>
      <c r="M192" s="745">
        <f t="shared" si="53"/>
        <v>1460.9899999999998</v>
      </c>
      <c r="N192" s="779">
        <f t="shared" si="54"/>
        <v>0.90634679487179493</v>
      </c>
      <c r="O192" s="780" t="s">
        <v>1926</v>
      </c>
      <c r="P192" s="781">
        <v>0.15</v>
      </c>
      <c r="Q192" s="781">
        <v>0.52500000000000002</v>
      </c>
      <c r="R192" s="781">
        <v>0.32500000000000001</v>
      </c>
      <c r="S192" s="782">
        <f t="shared" si="56"/>
        <v>1969.7714999999998</v>
      </c>
      <c r="T192" s="782">
        <f t="shared" si="56"/>
        <v>6894.2002499999999</v>
      </c>
      <c r="U192" s="782">
        <f t="shared" si="56"/>
        <v>4267.8382499999998</v>
      </c>
      <c r="W192" s="781">
        <v>1</v>
      </c>
      <c r="X192" s="781"/>
      <c r="Y192" s="783"/>
      <c r="Z192" s="781">
        <v>1</v>
      </c>
      <c r="AA192" s="781"/>
      <c r="AB192" s="783"/>
      <c r="AC192" s="777">
        <f t="shared" si="50"/>
        <v>0</v>
      </c>
      <c r="AD192" s="790">
        <f t="shared" si="48"/>
        <v>2340</v>
      </c>
      <c r="AE192" s="790">
        <f t="shared" si="47"/>
        <v>5070</v>
      </c>
      <c r="AF192" s="790">
        <f t="shared" si="49"/>
        <v>8190</v>
      </c>
    </row>
    <row r="193" spans="1:32" ht="15" customHeight="1">
      <c r="A193" s="636" t="s">
        <v>1074</v>
      </c>
      <c r="B193" s="740" t="s">
        <v>1772</v>
      </c>
      <c r="C193" s="741" t="s">
        <v>1953</v>
      </c>
      <c r="D193" s="742" t="s">
        <v>1954</v>
      </c>
      <c r="E193" s="743" t="s">
        <v>1955</v>
      </c>
      <c r="F193" s="744" t="s">
        <v>1299</v>
      </c>
      <c r="G193" s="745">
        <v>371094</v>
      </c>
      <c r="H193" s="746">
        <v>371094</v>
      </c>
      <c r="I193" s="745">
        <f t="shared" si="51"/>
        <v>0</v>
      </c>
      <c r="J193" s="746">
        <v>83736.77</v>
      </c>
      <c r="K193" s="746">
        <v>223671</v>
      </c>
      <c r="L193" s="778">
        <f t="shared" si="52"/>
        <v>454830.77</v>
      </c>
      <c r="M193" s="745">
        <f t="shared" si="53"/>
        <v>-83736.770000000019</v>
      </c>
      <c r="N193" s="779">
        <f t="shared" si="54"/>
        <v>1.2256484071421259</v>
      </c>
      <c r="O193" s="780" t="s">
        <v>1956</v>
      </c>
      <c r="P193" s="781">
        <v>0.15</v>
      </c>
      <c r="Q193" s="781">
        <v>0.5</v>
      </c>
      <c r="R193" s="781">
        <v>0.35</v>
      </c>
      <c r="S193" s="782">
        <f t="shared" si="56"/>
        <v>55664.1</v>
      </c>
      <c r="T193" s="782">
        <f t="shared" si="56"/>
        <v>185547</v>
      </c>
      <c r="U193" s="782">
        <f t="shared" si="56"/>
        <v>129882.9</v>
      </c>
      <c r="W193" s="781">
        <v>0</v>
      </c>
      <c r="X193" s="781"/>
      <c r="Y193" s="783"/>
      <c r="Z193" s="781">
        <v>0</v>
      </c>
      <c r="AA193" s="781"/>
      <c r="AB193" s="783"/>
      <c r="AC193" s="777">
        <f t="shared" si="50"/>
        <v>0</v>
      </c>
      <c r="AD193" s="790">
        <f t="shared" si="48"/>
        <v>55664.1</v>
      </c>
      <c r="AE193" s="790">
        <f t="shared" si="47"/>
        <v>129882.9</v>
      </c>
      <c r="AF193" s="790">
        <f t="shared" si="49"/>
        <v>185547</v>
      </c>
    </row>
    <row r="194" spans="1:32" ht="15" customHeight="1">
      <c r="A194" s="636" t="s">
        <v>1074</v>
      </c>
      <c r="B194" s="740" t="s">
        <v>1772</v>
      </c>
      <c r="C194" s="741" t="s">
        <v>1957</v>
      </c>
      <c r="D194" s="742" t="s">
        <v>1958</v>
      </c>
      <c r="E194" s="743" t="s">
        <v>1959</v>
      </c>
      <c r="F194" s="744" t="s">
        <v>1880</v>
      </c>
      <c r="G194" s="745">
        <v>605145.74</v>
      </c>
      <c r="H194" s="746">
        <v>277917.49</v>
      </c>
      <c r="I194" s="745">
        <f t="shared" si="51"/>
        <v>327228.25</v>
      </c>
      <c r="J194" s="746">
        <v>2795</v>
      </c>
      <c r="K194" s="746">
        <v>0</v>
      </c>
      <c r="L194" s="778">
        <f t="shared" si="52"/>
        <v>280712.49</v>
      </c>
      <c r="M194" s="745">
        <f t="shared" si="53"/>
        <v>324433.25</v>
      </c>
      <c r="N194" s="779">
        <f t="shared" si="54"/>
        <v>0.4638758425367086</v>
      </c>
      <c r="O194" s="780" t="s">
        <v>1960</v>
      </c>
      <c r="P194" s="781">
        <v>0.25</v>
      </c>
      <c r="Q194" s="781">
        <v>0.75</v>
      </c>
      <c r="R194" s="781">
        <v>0</v>
      </c>
      <c r="S194" s="782">
        <f t="shared" si="56"/>
        <v>69479.372499999998</v>
      </c>
      <c r="T194" s="782">
        <f t="shared" si="56"/>
        <v>208438.11749999999</v>
      </c>
      <c r="U194" s="782">
        <f t="shared" si="56"/>
        <v>0</v>
      </c>
      <c r="W194" s="781">
        <v>0.51</v>
      </c>
      <c r="X194" s="781"/>
      <c r="Y194" s="783"/>
      <c r="Z194" s="781">
        <v>0.51</v>
      </c>
      <c r="AA194" s="781"/>
      <c r="AB194" s="783"/>
      <c r="AC194" s="777">
        <f t="shared" si="50"/>
        <v>0</v>
      </c>
      <c r="AD194" s="790">
        <f t="shared" si="48"/>
        <v>151286.435</v>
      </c>
      <c r="AE194" s="790">
        <f t="shared" si="47"/>
        <v>0</v>
      </c>
      <c r="AF194" s="790">
        <f t="shared" si="49"/>
        <v>453859.30499999999</v>
      </c>
    </row>
    <row r="195" spans="1:32" ht="15" customHeight="1">
      <c r="A195" s="636" t="s">
        <v>1074</v>
      </c>
      <c r="B195" s="740" t="s">
        <v>1772</v>
      </c>
      <c r="C195" s="741" t="s">
        <v>1961</v>
      </c>
      <c r="D195" s="742" t="s">
        <v>1962</v>
      </c>
      <c r="E195" s="743" t="s">
        <v>1963</v>
      </c>
      <c r="F195" s="744" t="s">
        <v>1934</v>
      </c>
      <c r="G195" s="745">
        <v>250000</v>
      </c>
      <c r="H195" s="746">
        <v>75343.53</v>
      </c>
      <c r="I195" s="745">
        <f t="shared" si="51"/>
        <v>174656.47</v>
      </c>
      <c r="J195" s="746">
        <v>0</v>
      </c>
      <c r="K195" s="746">
        <v>0</v>
      </c>
      <c r="L195" s="778">
        <f t="shared" si="52"/>
        <v>75343.53</v>
      </c>
      <c r="M195" s="745">
        <f t="shared" si="53"/>
        <v>174656.47</v>
      </c>
      <c r="N195" s="779">
        <f t="shared" si="54"/>
        <v>0.30137411999999997</v>
      </c>
      <c r="O195" s="780" t="s">
        <v>1964</v>
      </c>
      <c r="P195" s="781">
        <v>0.8</v>
      </c>
      <c r="Q195" s="781">
        <v>0</v>
      </c>
      <c r="R195" s="781">
        <v>0.2</v>
      </c>
      <c r="S195" s="782">
        <f t="shared" si="56"/>
        <v>60274.824000000001</v>
      </c>
      <c r="T195" s="782">
        <f t="shared" si="56"/>
        <v>0</v>
      </c>
      <c r="U195" s="782">
        <f t="shared" si="56"/>
        <v>15068.706</v>
      </c>
      <c r="W195" s="781">
        <v>0.51</v>
      </c>
      <c r="X195" s="781"/>
      <c r="Y195" s="783"/>
      <c r="Z195" s="781">
        <v>0.51</v>
      </c>
      <c r="AA195" s="781"/>
      <c r="AB195" s="783"/>
      <c r="AC195" s="777">
        <f t="shared" si="50"/>
        <v>0</v>
      </c>
      <c r="AD195" s="790">
        <f t="shared" si="48"/>
        <v>200000</v>
      </c>
      <c r="AE195" s="790">
        <f t="shared" si="47"/>
        <v>50000</v>
      </c>
      <c r="AF195" s="790">
        <f t="shared" si="49"/>
        <v>0</v>
      </c>
    </row>
    <row r="196" spans="1:32" ht="15" customHeight="1">
      <c r="A196" s="636" t="s">
        <v>1074</v>
      </c>
      <c r="B196" s="740" t="s">
        <v>1772</v>
      </c>
      <c r="C196" s="741" t="s">
        <v>1965</v>
      </c>
      <c r="D196" s="742" t="s">
        <v>1966</v>
      </c>
      <c r="E196" s="743" t="s">
        <v>1967</v>
      </c>
      <c r="F196" s="744" t="s">
        <v>1880</v>
      </c>
      <c r="G196" s="745">
        <v>276608.93</v>
      </c>
      <c r="H196" s="746">
        <v>41141.75</v>
      </c>
      <c r="I196" s="745">
        <f t="shared" si="51"/>
        <v>235467.18</v>
      </c>
      <c r="J196" s="746">
        <v>4978.28</v>
      </c>
      <c r="K196" s="746">
        <v>0</v>
      </c>
      <c r="L196" s="778">
        <f t="shared" si="52"/>
        <v>46120.03</v>
      </c>
      <c r="M196" s="745">
        <f t="shared" si="53"/>
        <v>230488.9</v>
      </c>
      <c r="N196" s="779">
        <f t="shared" si="54"/>
        <v>0.16673369872765859</v>
      </c>
      <c r="O196" s="780" t="s">
        <v>1968</v>
      </c>
      <c r="P196" s="781">
        <v>0.3</v>
      </c>
      <c r="Q196" s="781">
        <v>0.5</v>
      </c>
      <c r="R196" s="781">
        <v>0.2</v>
      </c>
      <c r="S196" s="782">
        <f t="shared" si="56"/>
        <v>12342.525</v>
      </c>
      <c r="T196" s="782">
        <f t="shared" si="56"/>
        <v>20570.875</v>
      </c>
      <c r="U196" s="782">
        <f t="shared" si="56"/>
        <v>8228.35</v>
      </c>
      <c r="W196" s="781">
        <v>0</v>
      </c>
      <c r="X196" s="781"/>
      <c r="Y196" s="783"/>
      <c r="Z196" s="781">
        <v>0</v>
      </c>
      <c r="AA196" s="781"/>
      <c r="AB196" s="783"/>
      <c r="AC196" s="777">
        <f t="shared" si="50"/>
        <v>0</v>
      </c>
      <c r="AD196" s="790">
        <f t="shared" si="48"/>
        <v>82982.678999999989</v>
      </c>
      <c r="AE196" s="790">
        <f t="shared" si="47"/>
        <v>55321.786</v>
      </c>
      <c r="AF196" s="790">
        <f t="shared" si="49"/>
        <v>138304.465</v>
      </c>
    </row>
    <row r="197" spans="1:32" ht="15" customHeight="1">
      <c r="A197" s="636" t="s">
        <v>1074</v>
      </c>
      <c r="B197" s="740" t="s">
        <v>1772</v>
      </c>
      <c r="C197" s="741" t="s">
        <v>1969</v>
      </c>
      <c r="D197" s="742" t="s">
        <v>1970</v>
      </c>
      <c r="E197" s="743" t="s">
        <v>1971</v>
      </c>
      <c r="F197" s="744" t="s">
        <v>1972</v>
      </c>
      <c r="G197" s="745">
        <v>973798.99</v>
      </c>
      <c r="H197" s="746">
        <v>338833.98</v>
      </c>
      <c r="I197" s="745">
        <f t="shared" si="51"/>
        <v>634965.01</v>
      </c>
      <c r="J197" s="746">
        <v>557208.71</v>
      </c>
      <c r="K197" s="746">
        <v>12192.17</v>
      </c>
      <c r="L197" s="778">
        <f t="shared" si="52"/>
        <v>896042.69</v>
      </c>
      <c r="M197" s="745">
        <f t="shared" si="53"/>
        <v>77756.300000000047</v>
      </c>
      <c r="N197" s="779">
        <f t="shared" si="54"/>
        <v>0.92015159103831068</v>
      </c>
      <c r="O197" s="780" t="s">
        <v>1973</v>
      </c>
      <c r="P197" s="781">
        <v>0.3</v>
      </c>
      <c r="Q197" s="781">
        <v>0.5</v>
      </c>
      <c r="R197" s="781">
        <v>0.2</v>
      </c>
      <c r="S197" s="782">
        <f t="shared" si="56"/>
        <v>101650.19399999999</v>
      </c>
      <c r="T197" s="782">
        <f t="shared" si="56"/>
        <v>169416.99</v>
      </c>
      <c r="U197" s="782">
        <f t="shared" si="56"/>
        <v>67766.796000000002</v>
      </c>
      <c r="W197" s="781">
        <v>0.51</v>
      </c>
      <c r="X197" s="781"/>
      <c r="Y197" s="783" t="s">
        <v>1974</v>
      </c>
      <c r="Z197" s="781">
        <v>0.51</v>
      </c>
      <c r="AA197" s="781"/>
      <c r="AB197" s="783" t="s">
        <v>1974</v>
      </c>
      <c r="AC197" s="777">
        <f t="shared" si="50"/>
        <v>0</v>
      </c>
      <c r="AD197" s="790">
        <f t="shared" si="48"/>
        <v>292139.69699999999</v>
      </c>
      <c r="AE197" s="790">
        <f t="shared" si="47"/>
        <v>194759.79800000001</v>
      </c>
      <c r="AF197" s="790">
        <f t="shared" si="49"/>
        <v>486899.495</v>
      </c>
    </row>
    <row r="198" spans="1:32" ht="15" customHeight="1">
      <c r="A198" s="636" t="s">
        <v>1074</v>
      </c>
      <c r="B198" s="740" t="s">
        <v>1772</v>
      </c>
      <c r="C198" s="741" t="s">
        <v>1975</v>
      </c>
      <c r="D198" s="742" t="s">
        <v>1976</v>
      </c>
      <c r="E198" s="743" t="s">
        <v>1977</v>
      </c>
      <c r="F198" s="744" t="s">
        <v>1934</v>
      </c>
      <c r="G198" s="745">
        <v>58272.800000000003</v>
      </c>
      <c r="H198" s="746">
        <v>0</v>
      </c>
      <c r="I198" s="745">
        <f t="shared" si="51"/>
        <v>58272.800000000003</v>
      </c>
      <c r="J198" s="746">
        <v>0</v>
      </c>
      <c r="K198" s="746">
        <v>0</v>
      </c>
      <c r="L198" s="778">
        <f t="shared" si="52"/>
        <v>0</v>
      </c>
      <c r="M198" s="745">
        <f t="shared" si="53"/>
        <v>58272.800000000003</v>
      </c>
      <c r="N198" s="779">
        <f t="shared" si="54"/>
        <v>0</v>
      </c>
      <c r="O198" s="780" t="s">
        <v>1978</v>
      </c>
      <c r="P198" s="781">
        <v>0.1</v>
      </c>
      <c r="Q198" s="781">
        <v>0</v>
      </c>
      <c r="R198" s="781">
        <v>0.9</v>
      </c>
      <c r="S198" s="782">
        <f t="shared" si="56"/>
        <v>0</v>
      </c>
      <c r="T198" s="782">
        <f t="shared" si="56"/>
        <v>0</v>
      </c>
      <c r="U198" s="782">
        <f t="shared" si="56"/>
        <v>0</v>
      </c>
      <c r="W198" s="781">
        <v>0.51</v>
      </c>
      <c r="X198" s="781"/>
      <c r="Y198" s="783"/>
      <c r="Z198" s="781">
        <v>0.51</v>
      </c>
      <c r="AA198" s="781"/>
      <c r="AB198" s="783"/>
      <c r="AC198" s="777">
        <f t="shared" si="50"/>
        <v>0</v>
      </c>
      <c r="AD198" s="790">
        <f t="shared" si="48"/>
        <v>5827.2800000000007</v>
      </c>
      <c r="AE198" s="790">
        <f t="shared" si="47"/>
        <v>52445.520000000004</v>
      </c>
      <c r="AF198" s="790">
        <f t="shared" si="49"/>
        <v>0</v>
      </c>
    </row>
    <row r="199" spans="1:32" ht="15" customHeight="1">
      <c r="A199" s="636" t="s">
        <v>1074</v>
      </c>
      <c r="B199" s="740" t="s">
        <v>1772</v>
      </c>
      <c r="C199" s="741" t="s">
        <v>1979</v>
      </c>
      <c r="D199" s="742" t="s">
        <v>1980</v>
      </c>
      <c r="E199" s="743" t="s">
        <v>1981</v>
      </c>
      <c r="F199" s="744" t="s">
        <v>1880</v>
      </c>
      <c r="G199" s="745">
        <v>97840</v>
      </c>
      <c r="H199" s="746">
        <v>0</v>
      </c>
      <c r="I199" s="745">
        <f t="shared" si="51"/>
        <v>97840</v>
      </c>
      <c r="J199" s="746">
        <v>0</v>
      </c>
      <c r="K199" s="746">
        <v>0</v>
      </c>
      <c r="L199" s="778">
        <f t="shared" si="52"/>
        <v>0</v>
      </c>
      <c r="M199" s="745">
        <f t="shared" si="53"/>
        <v>97840</v>
      </c>
      <c r="N199" s="779">
        <f t="shared" si="54"/>
        <v>0</v>
      </c>
      <c r="O199" s="780" t="s">
        <v>1982</v>
      </c>
      <c r="P199" s="781">
        <v>0.3</v>
      </c>
      <c r="Q199" s="781">
        <v>0.61</v>
      </c>
      <c r="R199" s="781">
        <v>0.09</v>
      </c>
      <c r="S199" s="782">
        <f t="shared" ref="S199:U211" si="57">$H199*P199</f>
        <v>0</v>
      </c>
      <c r="T199" s="782">
        <f t="shared" si="57"/>
        <v>0</v>
      </c>
      <c r="U199" s="782">
        <f t="shared" si="57"/>
        <v>0</v>
      </c>
      <c r="W199" s="781">
        <v>0</v>
      </c>
      <c r="X199" s="781"/>
      <c r="Y199" s="783"/>
      <c r="Z199" s="781">
        <v>0</v>
      </c>
      <c r="AA199" s="781"/>
      <c r="AB199" s="783"/>
      <c r="AC199" s="777">
        <f t="shared" si="50"/>
        <v>0</v>
      </c>
      <c r="AD199" s="790">
        <f t="shared" si="48"/>
        <v>29352</v>
      </c>
      <c r="AE199" s="790">
        <f t="shared" ref="AE199:AE262" si="58">$G199*R199</f>
        <v>8805.6</v>
      </c>
      <c r="AF199" s="790">
        <f t="shared" si="49"/>
        <v>59682.400000000001</v>
      </c>
    </row>
    <row r="200" spans="1:32" ht="15" customHeight="1">
      <c r="A200" s="636" t="s">
        <v>1074</v>
      </c>
      <c r="B200" s="740" t="s">
        <v>1772</v>
      </c>
      <c r="C200" s="741" t="s">
        <v>1983</v>
      </c>
      <c r="D200" s="742" t="s">
        <v>1984</v>
      </c>
      <c r="E200" s="743" t="s">
        <v>1985</v>
      </c>
      <c r="F200" s="744" t="s">
        <v>1880</v>
      </c>
      <c r="G200" s="745">
        <v>49400</v>
      </c>
      <c r="H200" s="746">
        <v>0</v>
      </c>
      <c r="I200" s="745">
        <f t="shared" si="51"/>
        <v>49400</v>
      </c>
      <c r="J200" s="746">
        <v>0</v>
      </c>
      <c r="K200" s="746">
        <v>0</v>
      </c>
      <c r="L200" s="778">
        <f t="shared" si="52"/>
        <v>0</v>
      </c>
      <c r="M200" s="745">
        <f t="shared" si="53"/>
        <v>49400</v>
      </c>
      <c r="N200" s="779">
        <f t="shared" si="54"/>
        <v>0</v>
      </c>
      <c r="O200" s="780" t="s">
        <v>1982</v>
      </c>
      <c r="P200" s="781">
        <v>0.3</v>
      </c>
      <c r="Q200" s="781">
        <v>0.61</v>
      </c>
      <c r="R200" s="781">
        <v>0.09</v>
      </c>
      <c r="S200" s="782">
        <f t="shared" si="57"/>
        <v>0</v>
      </c>
      <c r="T200" s="782">
        <f t="shared" si="57"/>
        <v>0</v>
      </c>
      <c r="U200" s="782">
        <f t="shared" si="57"/>
        <v>0</v>
      </c>
      <c r="W200" s="781">
        <v>0</v>
      </c>
      <c r="X200" s="781"/>
      <c r="Y200" s="783"/>
      <c r="Z200" s="781">
        <v>0</v>
      </c>
      <c r="AA200" s="781"/>
      <c r="AB200" s="783"/>
      <c r="AC200" s="777">
        <f t="shared" si="50"/>
        <v>0</v>
      </c>
      <c r="AD200" s="790">
        <f t="shared" ref="AD200:AD263" si="59">$G200*P200</f>
        <v>14820</v>
      </c>
      <c r="AE200" s="790">
        <f t="shared" si="58"/>
        <v>4446</v>
      </c>
      <c r="AF200" s="790">
        <f t="shared" ref="AF200:AF263" si="60">$G200*Q200</f>
        <v>30134</v>
      </c>
    </row>
    <row r="201" spans="1:32" ht="15" customHeight="1">
      <c r="A201" s="636" t="s">
        <v>1074</v>
      </c>
      <c r="B201" s="740" t="s">
        <v>1772</v>
      </c>
      <c r="C201" s="741" t="s">
        <v>1986</v>
      </c>
      <c r="D201" s="742" t="s">
        <v>1987</v>
      </c>
      <c r="E201" s="743" t="s">
        <v>1988</v>
      </c>
      <c r="F201" s="744" t="s">
        <v>1934</v>
      </c>
      <c r="G201" s="745">
        <v>50000</v>
      </c>
      <c r="H201" s="746">
        <v>0</v>
      </c>
      <c r="I201" s="745">
        <f t="shared" si="51"/>
        <v>50000</v>
      </c>
      <c r="J201" s="746">
        <v>0</v>
      </c>
      <c r="K201" s="746">
        <v>0</v>
      </c>
      <c r="L201" s="778">
        <f t="shared" si="52"/>
        <v>0</v>
      </c>
      <c r="M201" s="745">
        <f t="shared" si="53"/>
        <v>50000</v>
      </c>
      <c r="N201" s="779">
        <f t="shared" si="54"/>
        <v>0</v>
      </c>
      <c r="O201" s="780" t="s">
        <v>1978</v>
      </c>
      <c r="P201" s="781">
        <v>0.8</v>
      </c>
      <c r="Q201" s="781">
        <v>0</v>
      </c>
      <c r="R201" s="781">
        <v>0.2</v>
      </c>
      <c r="S201" s="782">
        <f t="shared" si="57"/>
        <v>0</v>
      </c>
      <c r="T201" s="782">
        <f t="shared" si="57"/>
        <v>0</v>
      </c>
      <c r="U201" s="782">
        <f t="shared" si="57"/>
        <v>0</v>
      </c>
      <c r="W201" s="781">
        <v>0.51</v>
      </c>
      <c r="X201" s="781"/>
      <c r="Y201" s="783"/>
      <c r="Z201" s="781">
        <v>0.51</v>
      </c>
      <c r="AA201" s="781"/>
      <c r="AB201" s="783"/>
      <c r="AC201" s="777">
        <f t="shared" si="50"/>
        <v>0</v>
      </c>
      <c r="AD201" s="790">
        <f t="shared" si="59"/>
        <v>40000</v>
      </c>
      <c r="AE201" s="790">
        <f t="shared" si="58"/>
        <v>10000</v>
      </c>
      <c r="AF201" s="790">
        <f t="shared" si="60"/>
        <v>0</v>
      </c>
    </row>
    <row r="202" spans="1:32" ht="15" customHeight="1">
      <c r="A202" s="636" t="s">
        <v>1074</v>
      </c>
      <c r="B202" s="740" t="s">
        <v>1772</v>
      </c>
      <c r="C202" s="741" t="s">
        <v>1989</v>
      </c>
      <c r="D202" s="742" t="s">
        <v>1990</v>
      </c>
      <c r="E202" s="743" t="s">
        <v>1991</v>
      </c>
      <c r="F202" s="744" t="s">
        <v>1880</v>
      </c>
      <c r="G202" s="745">
        <v>49400</v>
      </c>
      <c r="H202" s="746">
        <v>0</v>
      </c>
      <c r="I202" s="745">
        <f t="shared" si="51"/>
        <v>49400</v>
      </c>
      <c r="J202" s="746">
        <v>0</v>
      </c>
      <c r="K202" s="746">
        <v>0</v>
      </c>
      <c r="L202" s="778">
        <f t="shared" si="52"/>
        <v>0</v>
      </c>
      <c r="M202" s="745">
        <f t="shared" si="53"/>
        <v>49400</v>
      </c>
      <c r="N202" s="779">
        <f t="shared" si="54"/>
        <v>0</v>
      </c>
      <c r="O202" s="780" t="s">
        <v>1982</v>
      </c>
      <c r="P202" s="781">
        <v>0.3</v>
      </c>
      <c r="Q202" s="781">
        <v>0.61</v>
      </c>
      <c r="R202" s="781">
        <v>0.09</v>
      </c>
      <c r="S202" s="782">
        <f t="shared" si="57"/>
        <v>0</v>
      </c>
      <c r="T202" s="782">
        <f t="shared" si="57"/>
        <v>0</v>
      </c>
      <c r="U202" s="782">
        <f t="shared" si="57"/>
        <v>0</v>
      </c>
      <c r="W202" s="781">
        <v>0</v>
      </c>
      <c r="X202" s="781"/>
      <c r="Y202" s="783"/>
      <c r="Z202" s="781">
        <v>0</v>
      </c>
      <c r="AA202" s="781"/>
      <c r="AB202" s="783"/>
      <c r="AC202" s="777">
        <f t="shared" si="50"/>
        <v>0</v>
      </c>
      <c r="AD202" s="790">
        <f t="shared" si="59"/>
        <v>14820</v>
      </c>
      <c r="AE202" s="790">
        <f t="shared" si="58"/>
        <v>4446</v>
      </c>
      <c r="AF202" s="790">
        <f t="shared" si="60"/>
        <v>30134</v>
      </c>
    </row>
    <row r="203" spans="1:32" ht="15" customHeight="1">
      <c r="A203" s="636" t="s">
        <v>1074</v>
      </c>
      <c r="B203" s="740" t="s">
        <v>1772</v>
      </c>
      <c r="C203" s="741" t="s">
        <v>1992</v>
      </c>
      <c r="D203" s="742" t="s">
        <v>1993</v>
      </c>
      <c r="E203" s="743" t="s">
        <v>1994</v>
      </c>
      <c r="F203" s="744" t="s">
        <v>1880</v>
      </c>
      <c r="G203" s="745">
        <v>101900</v>
      </c>
      <c r="H203" s="746">
        <v>0</v>
      </c>
      <c r="I203" s="745">
        <f t="shared" si="51"/>
        <v>101900</v>
      </c>
      <c r="J203" s="746">
        <v>0</v>
      </c>
      <c r="K203" s="746">
        <v>0</v>
      </c>
      <c r="L203" s="778">
        <f t="shared" si="52"/>
        <v>0</v>
      </c>
      <c r="M203" s="745">
        <f t="shared" si="53"/>
        <v>101900</v>
      </c>
      <c r="N203" s="779">
        <f t="shared" si="54"/>
        <v>0</v>
      </c>
      <c r="O203" s="780" t="s">
        <v>1982</v>
      </c>
      <c r="P203" s="781">
        <v>0.3</v>
      </c>
      <c r="Q203" s="781">
        <v>0.61</v>
      </c>
      <c r="R203" s="781">
        <v>0.09</v>
      </c>
      <c r="S203" s="782">
        <f t="shared" si="57"/>
        <v>0</v>
      </c>
      <c r="T203" s="782">
        <f t="shared" si="57"/>
        <v>0</v>
      </c>
      <c r="U203" s="782">
        <f t="shared" si="57"/>
        <v>0</v>
      </c>
      <c r="W203" s="781">
        <v>0</v>
      </c>
      <c r="X203" s="781"/>
      <c r="Y203" s="783"/>
      <c r="Z203" s="781">
        <v>0</v>
      </c>
      <c r="AA203" s="781"/>
      <c r="AB203" s="783"/>
      <c r="AC203" s="777">
        <f t="shared" ref="AC203:AC267" si="61">H203-SUM(S203:U203)</f>
        <v>0</v>
      </c>
      <c r="AD203" s="790">
        <f t="shared" si="59"/>
        <v>30570</v>
      </c>
      <c r="AE203" s="790">
        <f t="shared" si="58"/>
        <v>9171</v>
      </c>
      <c r="AF203" s="790">
        <f t="shared" si="60"/>
        <v>62159</v>
      </c>
    </row>
    <row r="204" spans="1:32" ht="15" customHeight="1">
      <c r="A204" s="636" t="s">
        <v>1074</v>
      </c>
      <c r="B204" s="740" t="s">
        <v>1772</v>
      </c>
      <c r="C204" s="741"/>
      <c r="D204" s="742" t="s">
        <v>1995</v>
      </c>
      <c r="E204" s="743" t="s">
        <v>1996</v>
      </c>
      <c r="F204" s="744" t="s">
        <v>1708</v>
      </c>
      <c r="G204" s="745">
        <v>693610.84</v>
      </c>
      <c r="H204" s="746">
        <v>593509.53</v>
      </c>
      <c r="I204" s="745">
        <f t="shared" si="51"/>
        <v>100101.30999999994</v>
      </c>
      <c r="J204" s="746">
        <v>3928.14</v>
      </c>
      <c r="K204" s="746">
        <v>227939.6</v>
      </c>
      <c r="L204" s="778">
        <f t="shared" si="52"/>
        <v>597437.67000000004</v>
      </c>
      <c r="M204" s="745">
        <f t="shared" si="53"/>
        <v>96173.169999999925</v>
      </c>
      <c r="N204" s="779">
        <f t="shared" si="54"/>
        <v>0.86134419410169549</v>
      </c>
      <c r="O204" s="780" t="s">
        <v>1997</v>
      </c>
      <c r="P204" s="781">
        <v>0.25</v>
      </c>
      <c r="Q204" s="781">
        <v>0.75</v>
      </c>
      <c r="R204" s="781">
        <v>0</v>
      </c>
      <c r="S204" s="782">
        <f t="shared" si="57"/>
        <v>148377.38250000001</v>
      </c>
      <c r="T204" s="782">
        <f t="shared" si="57"/>
        <v>445132.14750000002</v>
      </c>
      <c r="U204" s="782">
        <f t="shared" si="57"/>
        <v>0</v>
      </c>
      <c r="W204" s="781">
        <v>0.51</v>
      </c>
      <c r="X204" s="781"/>
      <c r="Y204" s="783"/>
      <c r="Z204" s="781">
        <v>0.51</v>
      </c>
      <c r="AA204" s="781"/>
      <c r="AB204" s="783"/>
      <c r="AC204" s="777">
        <f t="shared" si="61"/>
        <v>0</v>
      </c>
      <c r="AD204" s="790">
        <f t="shared" si="59"/>
        <v>173402.71</v>
      </c>
      <c r="AE204" s="790">
        <f t="shared" si="58"/>
        <v>0</v>
      </c>
      <c r="AF204" s="790">
        <f t="shared" si="60"/>
        <v>520208.13</v>
      </c>
    </row>
    <row r="205" spans="1:32" ht="15" customHeight="1">
      <c r="A205" s="636" t="s">
        <v>1074</v>
      </c>
      <c r="B205" s="740" t="s">
        <v>1772</v>
      </c>
      <c r="C205" s="741" t="s">
        <v>1998</v>
      </c>
      <c r="D205" s="742" t="s">
        <v>1999</v>
      </c>
      <c r="E205" s="743" t="s">
        <v>2000</v>
      </c>
      <c r="F205" s="744" t="s">
        <v>1880</v>
      </c>
      <c r="G205" s="745">
        <v>59640</v>
      </c>
      <c r="H205" s="746">
        <v>0</v>
      </c>
      <c r="I205" s="745">
        <f t="shared" si="51"/>
        <v>59640</v>
      </c>
      <c r="J205" s="746">
        <v>0</v>
      </c>
      <c r="K205" s="746">
        <v>0</v>
      </c>
      <c r="L205" s="778">
        <f t="shared" si="52"/>
        <v>0</v>
      </c>
      <c r="M205" s="745">
        <f t="shared" si="53"/>
        <v>59640</v>
      </c>
      <c r="N205" s="779">
        <f t="shared" si="54"/>
        <v>0</v>
      </c>
      <c r="O205" s="780" t="s">
        <v>2001</v>
      </c>
      <c r="P205" s="781">
        <v>0.2</v>
      </c>
      <c r="Q205" s="781">
        <v>0.5</v>
      </c>
      <c r="R205" s="781">
        <v>0.3</v>
      </c>
      <c r="S205" s="782">
        <f t="shared" si="57"/>
        <v>0</v>
      </c>
      <c r="T205" s="782">
        <f t="shared" si="57"/>
        <v>0</v>
      </c>
      <c r="U205" s="782">
        <f t="shared" si="57"/>
        <v>0</v>
      </c>
      <c r="W205" s="781">
        <v>0</v>
      </c>
      <c r="X205" s="781"/>
      <c r="Y205" s="783"/>
      <c r="Z205" s="781">
        <v>0</v>
      </c>
      <c r="AA205" s="781"/>
      <c r="AB205" s="783"/>
      <c r="AC205" s="777">
        <f t="shared" si="61"/>
        <v>0</v>
      </c>
      <c r="AD205" s="790">
        <f t="shared" si="59"/>
        <v>11928</v>
      </c>
      <c r="AE205" s="790">
        <f t="shared" si="58"/>
        <v>17892</v>
      </c>
      <c r="AF205" s="790">
        <f t="shared" si="60"/>
        <v>29820</v>
      </c>
    </row>
    <row r="206" spans="1:32" ht="15" customHeight="1">
      <c r="A206" s="636" t="s">
        <v>1074</v>
      </c>
      <c r="B206" s="740" t="s">
        <v>1772</v>
      </c>
      <c r="C206" s="741" t="s">
        <v>2002</v>
      </c>
      <c r="D206" s="742" t="s">
        <v>2003</v>
      </c>
      <c r="E206" s="743" t="s">
        <v>2004</v>
      </c>
      <c r="F206" s="744" t="s">
        <v>1880</v>
      </c>
      <c r="G206" s="745">
        <v>5000000</v>
      </c>
      <c r="H206" s="746">
        <v>3801310.85</v>
      </c>
      <c r="I206" s="745">
        <f t="shared" si="51"/>
        <v>1198689.1499999999</v>
      </c>
      <c r="J206" s="746">
        <v>450317.42</v>
      </c>
      <c r="K206" s="746">
        <v>14734.95</v>
      </c>
      <c r="L206" s="778">
        <f t="shared" si="52"/>
        <v>4251628.2700000005</v>
      </c>
      <c r="M206" s="745">
        <f t="shared" si="53"/>
        <v>748371.72999999952</v>
      </c>
      <c r="N206" s="779">
        <f t="shared" si="54"/>
        <v>0.85032565400000004</v>
      </c>
      <c r="O206" s="780" t="s">
        <v>2005</v>
      </c>
      <c r="P206" s="781">
        <v>0.8</v>
      </c>
      <c r="Q206" s="781">
        <v>0</v>
      </c>
      <c r="R206" s="781">
        <v>0.2</v>
      </c>
      <c r="S206" s="782">
        <f t="shared" si="57"/>
        <v>3041048.68</v>
      </c>
      <c r="T206" s="782">
        <f t="shared" si="57"/>
        <v>0</v>
      </c>
      <c r="U206" s="782">
        <f t="shared" si="57"/>
        <v>760262.17</v>
      </c>
      <c r="W206" s="781">
        <v>0.94</v>
      </c>
      <c r="X206" s="781"/>
      <c r="Y206" s="783" t="s">
        <v>2006</v>
      </c>
      <c r="Z206" s="781">
        <v>0.94</v>
      </c>
      <c r="AA206" s="781"/>
      <c r="AB206" s="783" t="s">
        <v>2006</v>
      </c>
      <c r="AC206" s="777">
        <f t="shared" si="61"/>
        <v>0</v>
      </c>
      <c r="AD206" s="790">
        <f t="shared" si="59"/>
        <v>4000000</v>
      </c>
      <c r="AE206" s="790">
        <f t="shared" si="58"/>
        <v>1000000</v>
      </c>
      <c r="AF206" s="790">
        <f t="shared" si="60"/>
        <v>0</v>
      </c>
    </row>
    <row r="207" spans="1:32" ht="15" customHeight="1">
      <c r="A207" s="636" t="s">
        <v>1074</v>
      </c>
      <c r="B207" s="740" t="s">
        <v>1772</v>
      </c>
      <c r="C207" s="741"/>
      <c r="D207" s="742" t="s">
        <v>2007</v>
      </c>
      <c r="E207" s="743" t="s">
        <v>2008</v>
      </c>
      <c r="F207" s="744" t="s">
        <v>1880</v>
      </c>
      <c r="G207" s="745">
        <v>7500000</v>
      </c>
      <c r="H207" s="746">
        <v>6022515.4699999997</v>
      </c>
      <c r="I207" s="745">
        <f t="shared" si="51"/>
        <v>1477484.5300000003</v>
      </c>
      <c r="J207" s="746">
        <v>190578.82</v>
      </c>
      <c r="K207" s="746">
        <v>188582.99000000002</v>
      </c>
      <c r="L207" s="778">
        <f t="shared" si="52"/>
        <v>6213094.29</v>
      </c>
      <c r="M207" s="745">
        <f t="shared" si="53"/>
        <v>1286905.71</v>
      </c>
      <c r="N207" s="779">
        <f t="shared" si="54"/>
        <v>0.82841257199999996</v>
      </c>
      <c r="O207" s="780" t="s">
        <v>2009</v>
      </c>
      <c r="P207" s="781">
        <v>0.25</v>
      </c>
      <c r="Q207" s="781">
        <v>0.42499999999999999</v>
      </c>
      <c r="R207" s="781">
        <v>0.32500000000000001</v>
      </c>
      <c r="S207" s="782">
        <f t="shared" si="57"/>
        <v>1505628.8674999999</v>
      </c>
      <c r="T207" s="782">
        <f t="shared" si="57"/>
        <v>2559569.0747499997</v>
      </c>
      <c r="U207" s="782">
        <f t="shared" si="57"/>
        <v>1957317.5277499999</v>
      </c>
      <c r="W207" s="781">
        <v>0.56999999999999995</v>
      </c>
      <c r="X207" s="781"/>
      <c r="Y207" s="783" t="s">
        <v>2010</v>
      </c>
      <c r="Z207" s="781">
        <v>0.56999999999999995</v>
      </c>
      <c r="AA207" s="781"/>
      <c r="AB207" s="783" t="s">
        <v>2010</v>
      </c>
      <c r="AC207" s="777">
        <f t="shared" si="61"/>
        <v>0</v>
      </c>
      <c r="AD207" s="790">
        <f t="shared" si="59"/>
        <v>1875000</v>
      </c>
      <c r="AE207" s="790">
        <f t="shared" si="58"/>
        <v>2437500</v>
      </c>
      <c r="AF207" s="790">
        <f t="shared" si="60"/>
        <v>3187500</v>
      </c>
    </row>
    <row r="208" spans="1:32" ht="15" customHeight="1">
      <c r="A208" s="636" t="s">
        <v>1074</v>
      </c>
      <c r="B208" s="740" t="s">
        <v>1772</v>
      </c>
      <c r="C208" s="741"/>
      <c r="D208" s="742" t="s">
        <v>2011</v>
      </c>
      <c r="E208" s="743" t="s">
        <v>2012</v>
      </c>
      <c r="F208" s="744" t="s">
        <v>2013</v>
      </c>
      <c r="G208" s="745">
        <v>1617498.4</v>
      </c>
      <c r="H208" s="746">
        <v>1770886.64</v>
      </c>
      <c r="I208" s="745">
        <f t="shared" si="51"/>
        <v>-153388.24</v>
      </c>
      <c r="J208" s="746">
        <v>7004.7</v>
      </c>
      <c r="K208" s="746">
        <v>0</v>
      </c>
      <c r="L208" s="778">
        <f t="shared" si="52"/>
        <v>1777891.3399999999</v>
      </c>
      <c r="M208" s="745">
        <f t="shared" si="53"/>
        <v>-160392.93999999994</v>
      </c>
      <c r="N208" s="779">
        <f t="shared" si="54"/>
        <v>1.0991611119986271</v>
      </c>
      <c r="O208" s="780" t="s">
        <v>2014</v>
      </c>
      <c r="P208" s="781">
        <v>0.15</v>
      </c>
      <c r="Q208" s="781">
        <v>0.52500000000000002</v>
      </c>
      <c r="R208" s="781">
        <v>0.32500000000000001</v>
      </c>
      <c r="S208" s="782">
        <f t="shared" si="57"/>
        <v>265632.99599999998</v>
      </c>
      <c r="T208" s="782">
        <f t="shared" si="57"/>
        <v>929715.48600000003</v>
      </c>
      <c r="U208" s="782">
        <f t="shared" si="57"/>
        <v>575538.15799999994</v>
      </c>
      <c r="W208" s="781">
        <v>1</v>
      </c>
      <c r="X208" s="781"/>
      <c r="Y208" s="783"/>
      <c r="Z208" s="781">
        <v>1</v>
      </c>
      <c r="AA208" s="781"/>
      <c r="AB208" s="783"/>
      <c r="AC208" s="777">
        <f t="shared" si="61"/>
        <v>0</v>
      </c>
      <c r="AD208" s="790">
        <f t="shared" si="59"/>
        <v>242624.75999999998</v>
      </c>
      <c r="AE208" s="790">
        <f t="shared" si="58"/>
        <v>525686.98</v>
      </c>
      <c r="AF208" s="790">
        <f t="shared" si="60"/>
        <v>849186.66</v>
      </c>
    </row>
    <row r="209" spans="1:32" ht="15" customHeight="1">
      <c r="A209" s="636" t="s">
        <v>1074</v>
      </c>
      <c r="B209" s="740" t="s">
        <v>1772</v>
      </c>
      <c r="C209" s="741"/>
      <c r="D209" s="742" t="s">
        <v>2015</v>
      </c>
      <c r="E209" s="743" t="s">
        <v>2016</v>
      </c>
      <c r="F209" s="744" t="s">
        <v>1726</v>
      </c>
      <c r="G209" s="745">
        <v>361763.2</v>
      </c>
      <c r="H209" s="746">
        <v>108517.91</v>
      </c>
      <c r="I209" s="745">
        <f t="shared" si="51"/>
        <v>253245.29</v>
      </c>
      <c r="J209" s="746">
        <v>8166.74</v>
      </c>
      <c r="K209" s="746">
        <v>1767400.14</v>
      </c>
      <c r="L209" s="778">
        <f t="shared" si="52"/>
        <v>116684.65000000001</v>
      </c>
      <c r="M209" s="745">
        <f t="shared" si="53"/>
        <v>245078.55</v>
      </c>
      <c r="N209" s="779">
        <f t="shared" si="54"/>
        <v>0.32254427758268395</v>
      </c>
      <c r="O209" s="780" t="s">
        <v>2016</v>
      </c>
      <c r="P209" s="781">
        <v>0.25</v>
      </c>
      <c r="Q209" s="781">
        <v>0.66</v>
      </c>
      <c r="R209" s="781">
        <v>0.09</v>
      </c>
      <c r="S209" s="782">
        <f t="shared" si="57"/>
        <v>27129.477500000001</v>
      </c>
      <c r="T209" s="782">
        <f t="shared" si="57"/>
        <v>71621.820600000006</v>
      </c>
      <c r="U209" s="782">
        <f t="shared" si="57"/>
        <v>9766.6118999999999</v>
      </c>
      <c r="W209" s="781">
        <v>0.51</v>
      </c>
      <c r="X209" s="781"/>
      <c r="Y209" s="783"/>
      <c r="Z209" s="781">
        <v>0.51</v>
      </c>
      <c r="AA209" s="781"/>
      <c r="AB209" s="783"/>
      <c r="AC209" s="777">
        <f t="shared" si="61"/>
        <v>0</v>
      </c>
      <c r="AD209" s="790">
        <f t="shared" si="59"/>
        <v>90440.8</v>
      </c>
      <c r="AE209" s="790">
        <f t="shared" si="58"/>
        <v>32558.687999999998</v>
      </c>
      <c r="AF209" s="790">
        <f t="shared" si="60"/>
        <v>238763.71200000003</v>
      </c>
    </row>
    <row r="210" spans="1:32" ht="15" customHeight="1">
      <c r="A210" s="636" t="s">
        <v>1074</v>
      </c>
      <c r="B210" s="740" t="s">
        <v>1772</v>
      </c>
      <c r="C210" s="741"/>
      <c r="D210" s="742" t="s">
        <v>2017</v>
      </c>
      <c r="E210" s="743" t="s">
        <v>2018</v>
      </c>
      <c r="F210" s="744" t="s">
        <v>2013</v>
      </c>
      <c r="G210" s="745">
        <v>500000</v>
      </c>
      <c r="H210" s="746">
        <v>499974.65</v>
      </c>
      <c r="I210" s="745">
        <f t="shared" si="51"/>
        <v>25.349999999976717</v>
      </c>
      <c r="J210" s="746">
        <v>0</v>
      </c>
      <c r="K210" s="746">
        <v>0</v>
      </c>
      <c r="L210" s="778">
        <f t="shared" si="52"/>
        <v>499974.65</v>
      </c>
      <c r="M210" s="745">
        <f t="shared" si="53"/>
        <v>25.349999999976717</v>
      </c>
      <c r="N210" s="779">
        <f t="shared" si="54"/>
        <v>0.99994930000000004</v>
      </c>
      <c r="O210" s="780" t="s">
        <v>2018</v>
      </c>
      <c r="P210" s="781">
        <v>0.25</v>
      </c>
      <c r="Q210" s="781">
        <v>0.66</v>
      </c>
      <c r="R210" s="781">
        <v>0.09</v>
      </c>
      <c r="S210" s="782">
        <f t="shared" si="57"/>
        <v>124993.66250000001</v>
      </c>
      <c r="T210" s="782">
        <f t="shared" si="57"/>
        <v>329983.26900000003</v>
      </c>
      <c r="U210" s="782">
        <f t="shared" si="57"/>
        <v>44997.718500000003</v>
      </c>
      <c r="W210" s="781">
        <v>0.51</v>
      </c>
      <c r="X210" s="781"/>
      <c r="Y210" s="783"/>
      <c r="Z210" s="781">
        <v>0.51</v>
      </c>
      <c r="AA210" s="781"/>
      <c r="AB210" s="783"/>
      <c r="AC210" s="777">
        <f t="shared" si="61"/>
        <v>0</v>
      </c>
      <c r="AD210" s="790">
        <f t="shared" si="59"/>
        <v>125000</v>
      </c>
      <c r="AE210" s="790">
        <f t="shared" si="58"/>
        <v>45000</v>
      </c>
      <c r="AF210" s="790">
        <f t="shared" si="60"/>
        <v>330000</v>
      </c>
    </row>
    <row r="211" spans="1:32" ht="15" customHeight="1">
      <c r="A211" s="636" t="s">
        <v>1074</v>
      </c>
      <c r="B211" s="740" t="s">
        <v>1772</v>
      </c>
      <c r="C211" s="741"/>
      <c r="D211" s="742" t="s">
        <v>2019</v>
      </c>
      <c r="E211" s="743" t="s">
        <v>2020</v>
      </c>
      <c r="F211" s="744" t="s">
        <v>1291</v>
      </c>
      <c r="G211" s="745">
        <v>750000</v>
      </c>
      <c r="H211" s="746">
        <v>350000</v>
      </c>
      <c r="I211" s="745">
        <f t="shared" ref="I211:I212" si="62">G211-H211</f>
        <v>400000</v>
      </c>
      <c r="J211" s="746">
        <v>400</v>
      </c>
      <c r="K211" s="746">
        <v>0</v>
      </c>
      <c r="L211" s="778">
        <f t="shared" ref="L211" si="63">H211+J211</f>
        <v>350400</v>
      </c>
      <c r="M211" s="745">
        <f t="shared" ref="M211" si="64">G211-L211</f>
        <v>399600</v>
      </c>
      <c r="N211" s="779">
        <f t="shared" ref="N211" si="65">IFERROR(L211/G211,0)</f>
        <v>0.4672</v>
      </c>
      <c r="O211" s="780" t="s">
        <v>2021</v>
      </c>
      <c r="P211" s="781">
        <v>0.3</v>
      </c>
      <c r="Q211" s="781">
        <v>0.61</v>
      </c>
      <c r="R211" s="781">
        <v>0.09</v>
      </c>
      <c r="S211" s="782">
        <f t="shared" si="57"/>
        <v>105000</v>
      </c>
      <c r="T211" s="782">
        <f t="shared" si="57"/>
        <v>213500</v>
      </c>
      <c r="U211" s="782">
        <f t="shared" si="57"/>
        <v>31500</v>
      </c>
      <c r="W211" s="781">
        <v>0</v>
      </c>
      <c r="X211" s="781"/>
      <c r="Y211" s="783" t="s">
        <v>2022</v>
      </c>
      <c r="Z211" s="781">
        <v>0</v>
      </c>
      <c r="AA211" s="781"/>
      <c r="AB211" s="783" t="s">
        <v>2022</v>
      </c>
      <c r="AC211" s="777">
        <f t="shared" si="61"/>
        <v>0</v>
      </c>
      <c r="AD211" s="790">
        <f t="shared" si="59"/>
        <v>225000</v>
      </c>
      <c r="AE211" s="790">
        <f t="shared" si="58"/>
        <v>67500</v>
      </c>
      <c r="AF211" s="790">
        <f t="shared" si="60"/>
        <v>457500</v>
      </c>
    </row>
    <row r="212" spans="1:32" ht="15" customHeight="1" thickBot="1">
      <c r="A212" s="636" t="s">
        <v>1036</v>
      </c>
      <c r="B212" s="747" t="str">
        <f>B147</f>
        <v>Transport</v>
      </c>
      <c r="C212" s="748"/>
      <c r="D212" s="749"/>
      <c r="E212" s="750" t="str">
        <f>B147&amp;" - Sub Total"</f>
        <v>Transport - Sub Total</v>
      </c>
      <c r="F212" s="751"/>
      <c r="G212" s="752">
        <f>SUBTOTAL(9,G147:G211)</f>
        <v>47864335.029999994</v>
      </c>
      <c r="H212" s="752">
        <f>SUBTOTAL(9,H147:H211)</f>
        <v>37509317.739999995</v>
      </c>
      <c r="I212" s="752">
        <f t="shared" si="62"/>
        <v>10355017.289999999</v>
      </c>
      <c r="J212" s="752">
        <f>SUBTOTAL(9,J147:J211)</f>
        <v>2242310.8000000003</v>
      </c>
      <c r="K212" s="752">
        <f>SUBTOTAL(9,K147:K211)</f>
        <v>6936197.4999999991</v>
      </c>
      <c r="L212" s="752">
        <f>SUBTOTAL(9,L147:L211)</f>
        <v>39751628.540000007</v>
      </c>
      <c r="M212" s="752">
        <f>SUBTOTAL(9,M147:M211)</f>
        <v>8112706.4899999974</v>
      </c>
      <c r="N212" s="784">
        <f>IFERROR(L212/#REF!,0)</f>
        <v>0</v>
      </c>
      <c r="O212" s="785"/>
      <c r="P212" s="752"/>
      <c r="Q212" s="752"/>
      <c r="R212" s="752"/>
      <c r="S212" s="786"/>
      <c r="T212" s="786"/>
      <c r="U212" s="786"/>
      <c r="W212" s="786"/>
      <c r="X212" s="786"/>
      <c r="Y212" s="787"/>
      <c r="Z212" s="786"/>
      <c r="AA212" s="786"/>
      <c r="AB212" s="787"/>
      <c r="AC212" s="777"/>
      <c r="AD212" s="790">
        <f t="shared" si="59"/>
        <v>0</v>
      </c>
      <c r="AE212" s="790">
        <f t="shared" si="58"/>
        <v>0</v>
      </c>
      <c r="AF212" s="790">
        <f t="shared" si="60"/>
        <v>0</v>
      </c>
    </row>
    <row r="213" spans="1:32" ht="15" customHeight="1">
      <c r="A213" s="636" t="s">
        <v>1161</v>
      </c>
      <c r="B213" s="753"/>
      <c r="C213" s="754"/>
      <c r="D213" s="754"/>
      <c r="E213" s="753"/>
      <c r="F213" s="755"/>
      <c r="G213" s="756"/>
      <c r="H213" s="756"/>
      <c r="I213" s="756"/>
      <c r="J213" s="756"/>
      <c r="K213" s="756"/>
      <c r="L213" s="756"/>
      <c r="M213" s="756"/>
      <c r="N213" s="753"/>
      <c r="O213" s="753"/>
      <c r="AC213" s="777"/>
      <c r="AD213" s="790">
        <f t="shared" si="59"/>
        <v>0</v>
      </c>
      <c r="AE213" s="790">
        <f t="shared" si="58"/>
        <v>0</v>
      </c>
      <c r="AF213" s="790">
        <f t="shared" si="60"/>
        <v>0</v>
      </c>
    </row>
    <row r="214" spans="1:32" ht="15" customHeight="1">
      <c r="A214" s="636" t="s">
        <v>1074</v>
      </c>
      <c r="B214" s="740" t="s">
        <v>2023</v>
      </c>
      <c r="C214" s="741" t="s">
        <v>2024</v>
      </c>
      <c r="D214" s="742" t="s">
        <v>2025</v>
      </c>
      <c r="E214" s="743" t="s">
        <v>2026</v>
      </c>
      <c r="F214" s="744" t="s">
        <v>1317</v>
      </c>
      <c r="G214" s="745">
        <v>669543.36</v>
      </c>
      <c r="H214" s="746">
        <v>554553.41</v>
      </c>
      <c r="I214" s="745">
        <f t="shared" ref="I214:I232" si="66">G214-H214</f>
        <v>114989.94999999995</v>
      </c>
      <c r="J214" s="746">
        <v>565</v>
      </c>
      <c r="K214" s="746">
        <v>0</v>
      </c>
      <c r="L214" s="778">
        <f t="shared" ref="L214:L231" si="67">H214+J214</f>
        <v>555118.41</v>
      </c>
      <c r="M214" s="745">
        <f t="shared" ref="M214:M231" si="68">G214-L214</f>
        <v>114424.94999999995</v>
      </c>
      <c r="N214" s="779">
        <f t="shared" ref="N214:N231" si="69">IFERROR(L214/G214,0)</f>
        <v>0.8291000152701089</v>
      </c>
      <c r="O214" s="780" t="s">
        <v>2027</v>
      </c>
      <c r="P214" s="781">
        <v>0</v>
      </c>
      <c r="Q214" s="781">
        <v>1</v>
      </c>
      <c r="R214" s="781">
        <v>0</v>
      </c>
      <c r="S214" s="782">
        <f t="shared" ref="S214:U231" si="70">$H214*P214</f>
        <v>0</v>
      </c>
      <c r="T214" s="782">
        <f t="shared" si="70"/>
        <v>554553.41</v>
      </c>
      <c r="U214" s="782">
        <f t="shared" si="70"/>
        <v>0</v>
      </c>
      <c r="W214" s="782"/>
      <c r="X214" s="782"/>
      <c r="Y214" s="783"/>
      <c r="Z214" s="782"/>
      <c r="AA214" s="782"/>
      <c r="AB214" s="783"/>
      <c r="AC214" s="777">
        <f t="shared" si="61"/>
        <v>0</v>
      </c>
      <c r="AD214" s="790">
        <f t="shared" si="59"/>
        <v>0</v>
      </c>
      <c r="AE214" s="790">
        <f t="shared" si="58"/>
        <v>0</v>
      </c>
      <c r="AF214" s="790">
        <f t="shared" si="60"/>
        <v>669543.36</v>
      </c>
    </row>
    <row r="215" spans="1:32" ht="15" customHeight="1">
      <c r="A215" s="636" t="s">
        <v>1074</v>
      </c>
      <c r="B215" s="740" t="s">
        <v>2023</v>
      </c>
      <c r="C215" s="741" t="s">
        <v>2028</v>
      </c>
      <c r="D215" s="742" t="s">
        <v>2029</v>
      </c>
      <c r="E215" s="743" t="s">
        <v>2030</v>
      </c>
      <c r="F215" s="744" t="s">
        <v>1317</v>
      </c>
      <c r="G215" s="745">
        <v>59249</v>
      </c>
      <c r="H215" s="746">
        <v>59193.77</v>
      </c>
      <c r="I215" s="745">
        <f t="shared" si="66"/>
        <v>55.230000000003201</v>
      </c>
      <c r="J215" s="746">
        <v>7296</v>
      </c>
      <c r="K215" s="746">
        <v>0</v>
      </c>
      <c r="L215" s="778">
        <f t="shared" si="67"/>
        <v>66489.76999999999</v>
      </c>
      <c r="M215" s="745">
        <f t="shared" si="68"/>
        <v>-7240.7699999999895</v>
      </c>
      <c r="N215" s="779">
        <f t="shared" si="69"/>
        <v>1.1222091512093029</v>
      </c>
      <c r="O215" s="780" t="s">
        <v>2031</v>
      </c>
      <c r="P215" s="781">
        <v>0</v>
      </c>
      <c r="Q215" s="781">
        <v>1</v>
      </c>
      <c r="R215" s="781">
        <v>0</v>
      </c>
      <c r="S215" s="782">
        <f t="shared" si="70"/>
        <v>0</v>
      </c>
      <c r="T215" s="782">
        <f t="shared" si="70"/>
        <v>59193.77</v>
      </c>
      <c r="U215" s="782">
        <f t="shared" si="70"/>
        <v>0</v>
      </c>
      <c r="W215" s="782"/>
      <c r="X215" s="782"/>
      <c r="Y215" s="783"/>
      <c r="Z215" s="782"/>
      <c r="AA215" s="782"/>
      <c r="AB215" s="783"/>
      <c r="AC215" s="777">
        <f t="shared" si="61"/>
        <v>0</v>
      </c>
      <c r="AD215" s="790">
        <f t="shared" si="59"/>
        <v>0</v>
      </c>
      <c r="AE215" s="790">
        <f t="shared" si="58"/>
        <v>0</v>
      </c>
      <c r="AF215" s="790">
        <f t="shared" si="60"/>
        <v>59249</v>
      </c>
    </row>
    <row r="216" spans="1:32" ht="15" customHeight="1">
      <c r="A216" s="636" t="s">
        <v>1074</v>
      </c>
      <c r="B216" s="740" t="s">
        <v>2023</v>
      </c>
      <c r="C216" s="741" t="s">
        <v>2032</v>
      </c>
      <c r="D216" s="742" t="s">
        <v>2033</v>
      </c>
      <c r="E216" s="743" t="s">
        <v>2034</v>
      </c>
      <c r="F216" s="744" t="s">
        <v>1286</v>
      </c>
      <c r="G216" s="745">
        <v>254584</v>
      </c>
      <c r="H216" s="746">
        <v>34871.25</v>
      </c>
      <c r="I216" s="745">
        <f t="shared" si="66"/>
        <v>219712.75</v>
      </c>
      <c r="J216" s="746">
        <v>7040.75</v>
      </c>
      <c r="K216" s="746">
        <v>0</v>
      </c>
      <c r="L216" s="778">
        <f t="shared" si="67"/>
        <v>41912</v>
      </c>
      <c r="M216" s="745">
        <f t="shared" si="68"/>
        <v>212672</v>
      </c>
      <c r="N216" s="779">
        <f t="shared" si="69"/>
        <v>0.16462935612607235</v>
      </c>
      <c r="O216" s="780" t="s">
        <v>1287</v>
      </c>
      <c r="P216" s="781">
        <v>0</v>
      </c>
      <c r="Q216" s="781">
        <v>1</v>
      </c>
      <c r="R216" s="781">
        <v>0</v>
      </c>
      <c r="S216" s="782">
        <f t="shared" si="70"/>
        <v>0</v>
      </c>
      <c r="T216" s="782">
        <f t="shared" si="70"/>
        <v>34871.25</v>
      </c>
      <c r="U216" s="782">
        <f t="shared" si="70"/>
        <v>0</v>
      </c>
      <c r="W216" s="782"/>
      <c r="X216" s="782"/>
      <c r="Y216" s="783"/>
      <c r="Z216" s="782"/>
      <c r="AA216" s="782"/>
      <c r="AB216" s="783"/>
      <c r="AC216" s="777">
        <f t="shared" si="61"/>
        <v>0</v>
      </c>
      <c r="AD216" s="790">
        <f t="shared" si="59"/>
        <v>0</v>
      </c>
      <c r="AE216" s="790">
        <f t="shared" si="58"/>
        <v>0</v>
      </c>
      <c r="AF216" s="790">
        <f t="shared" si="60"/>
        <v>254584</v>
      </c>
    </row>
    <row r="217" spans="1:32" ht="15" customHeight="1">
      <c r="A217" s="636" t="s">
        <v>1074</v>
      </c>
      <c r="B217" s="740" t="s">
        <v>2023</v>
      </c>
      <c r="C217" s="741" t="s">
        <v>2035</v>
      </c>
      <c r="D217" s="742" t="s">
        <v>2036</v>
      </c>
      <c r="E217" s="743" t="s">
        <v>2037</v>
      </c>
      <c r="F217" s="744" t="s">
        <v>1286</v>
      </c>
      <c r="G217" s="745">
        <v>33380</v>
      </c>
      <c r="H217" s="746">
        <v>43608.4</v>
      </c>
      <c r="I217" s="745">
        <f t="shared" si="66"/>
        <v>-10228.400000000001</v>
      </c>
      <c r="J217" s="746">
        <v>1303.77</v>
      </c>
      <c r="K217" s="746">
        <v>0</v>
      </c>
      <c r="L217" s="778">
        <f t="shared" si="67"/>
        <v>44912.17</v>
      </c>
      <c r="M217" s="745">
        <f t="shared" si="68"/>
        <v>-11532.169999999998</v>
      </c>
      <c r="N217" s="779">
        <f t="shared" si="69"/>
        <v>1.345481426003595</v>
      </c>
      <c r="O217" s="780" t="s">
        <v>1442</v>
      </c>
      <c r="P217" s="781">
        <v>0</v>
      </c>
      <c r="Q217" s="781">
        <v>1</v>
      </c>
      <c r="R217" s="781">
        <v>0</v>
      </c>
      <c r="S217" s="782">
        <f t="shared" si="70"/>
        <v>0</v>
      </c>
      <c r="T217" s="782">
        <f t="shared" si="70"/>
        <v>43608.4</v>
      </c>
      <c r="U217" s="782">
        <f t="shared" si="70"/>
        <v>0</v>
      </c>
      <c r="W217" s="782"/>
      <c r="X217" s="782"/>
      <c r="Y217" s="783"/>
      <c r="Z217" s="782"/>
      <c r="AA217" s="782"/>
      <c r="AB217" s="783"/>
      <c r="AC217" s="777">
        <f t="shared" si="61"/>
        <v>0</v>
      </c>
      <c r="AD217" s="790">
        <f t="shared" si="59"/>
        <v>0</v>
      </c>
      <c r="AE217" s="790">
        <f t="shared" si="58"/>
        <v>0</v>
      </c>
      <c r="AF217" s="790">
        <f t="shared" si="60"/>
        <v>33380</v>
      </c>
    </row>
    <row r="218" spans="1:32" ht="15" customHeight="1">
      <c r="A218" s="636" t="s">
        <v>1074</v>
      </c>
      <c r="B218" s="740" t="s">
        <v>2023</v>
      </c>
      <c r="C218" s="741" t="s">
        <v>2038</v>
      </c>
      <c r="D218" s="742" t="s">
        <v>2039</v>
      </c>
      <c r="E218" s="743" t="s">
        <v>2040</v>
      </c>
      <c r="F218" s="744" t="s">
        <v>1286</v>
      </c>
      <c r="G218" s="745">
        <v>11580</v>
      </c>
      <c r="H218" s="746">
        <v>7585.07</v>
      </c>
      <c r="I218" s="745">
        <f t="shared" si="66"/>
        <v>3994.9300000000003</v>
      </c>
      <c r="J218" s="746">
        <v>0</v>
      </c>
      <c r="K218" s="746">
        <v>0</v>
      </c>
      <c r="L218" s="778">
        <f t="shared" si="67"/>
        <v>7585.07</v>
      </c>
      <c r="M218" s="745">
        <f t="shared" si="68"/>
        <v>3994.9300000000003</v>
      </c>
      <c r="N218" s="779">
        <f t="shared" si="69"/>
        <v>0.65501468048359235</v>
      </c>
      <c r="O218" s="780" t="s">
        <v>1287</v>
      </c>
      <c r="P218" s="781">
        <v>0</v>
      </c>
      <c r="Q218" s="781">
        <v>1</v>
      </c>
      <c r="R218" s="781">
        <v>0</v>
      </c>
      <c r="S218" s="782">
        <f t="shared" si="70"/>
        <v>0</v>
      </c>
      <c r="T218" s="782">
        <f t="shared" si="70"/>
        <v>7585.07</v>
      </c>
      <c r="U218" s="782">
        <f t="shared" si="70"/>
        <v>0</v>
      </c>
      <c r="W218" s="782"/>
      <c r="X218" s="782"/>
      <c r="Y218" s="783"/>
      <c r="Z218" s="782"/>
      <c r="AA218" s="782"/>
      <c r="AB218" s="783"/>
      <c r="AC218" s="777">
        <f t="shared" si="61"/>
        <v>0</v>
      </c>
      <c r="AD218" s="790">
        <f t="shared" si="59"/>
        <v>0</v>
      </c>
      <c r="AE218" s="790">
        <f t="shared" si="58"/>
        <v>0</v>
      </c>
      <c r="AF218" s="790">
        <f t="shared" si="60"/>
        <v>11580</v>
      </c>
    </row>
    <row r="219" spans="1:32" ht="15" customHeight="1">
      <c r="A219" s="636" t="s">
        <v>1074</v>
      </c>
      <c r="B219" s="740" t="s">
        <v>2023</v>
      </c>
      <c r="C219" s="741" t="s">
        <v>2041</v>
      </c>
      <c r="D219" s="742" t="s">
        <v>2042</v>
      </c>
      <c r="E219" s="743" t="s">
        <v>2043</v>
      </c>
      <c r="F219" s="744" t="s">
        <v>1317</v>
      </c>
      <c r="G219" s="745">
        <v>24999</v>
      </c>
      <c r="H219" s="746">
        <v>44960.84</v>
      </c>
      <c r="I219" s="745">
        <f t="shared" si="66"/>
        <v>-19961.839999999997</v>
      </c>
      <c r="J219" s="746">
        <v>0</v>
      </c>
      <c r="K219" s="746">
        <v>0</v>
      </c>
      <c r="L219" s="778">
        <f t="shared" si="67"/>
        <v>44960.84</v>
      </c>
      <c r="M219" s="745">
        <f t="shared" si="68"/>
        <v>-19961.839999999997</v>
      </c>
      <c r="N219" s="779">
        <f t="shared" si="69"/>
        <v>1.7985055402216088</v>
      </c>
      <c r="O219" s="780" t="s">
        <v>2044</v>
      </c>
      <c r="P219" s="781">
        <v>0</v>
      </c>
      <c r="Q219" s="781">
        <v>0.5</v>
      </c>
      <c r="R219" s="781">
        <v>0.5</v>
      </c>
      <c r="S219" s="782">
        <f t="shared" si="70"/>
        <v>0</v>
      </c>
      <c r="T219" s="782">
        <f t="shared" si="70"/>
        <v>22480.42</v>
      </c>
      <c r="U219" s="782">
        <f t="shared" si="70"/>
        <v>22480.42</v>
      </c>
      <c r="W219" s="782"/>
      <c r="X219" s="782"/>
      <c r="Y219" s="783"/>
      <c r="Z219" s="782"/>
      <c r="AA219" s="782"/>
      <c r="AB219" s="783"/>
      <c r="AC219" s="777">
        <f t="shared" si="61"/>
        <v>0</v>
      </c>
      <c r="AD219" s="790">
        <f t="shared" si="59"/>
        <v>0</v>
      </c>
      <c r="AE219" s="790">
        <f t="shared" si="58"/>
        <v>12499.5</v>
      </c>
      <c r="AF219" s="790">
        <f t="shared" si="60"/>
        <v>12499.5</v>
      </c>
    </row>
    <row r="220" spans="1:32" ht="15" customHeight="1">
      <c r="A220" s="636" t="s">
        <v>1074</v>
      </c>
      <c r="B220" s="740" t="s">
        <v>2023</v>
      </c>
      <c r="C220" s="741" t="s">
        <v>2045</v>
      </c>
      <c r="D220" s="742" t="s">
        <v>2046</v>
      </c>
      <c r="E220" s="743" t="s">
        <v>2047</v>
      </c>
      <c r="F220" s="744" t="s">
        <v>1291</v>
      </c>
      <c r="G220" s="745">
        <v>13442</v>
      </c>
      <c r="H220" s="746">
        <v>41923.9</v>
      </c>
      <c r="I220" s="745">
        <f t="shared" si="66"/>
        <v>-28481.9</v>
      </c>
      <c r="J220" s="746">
        <v>0</v>
      </c>
      <c r="K220" s="746">
        <v>0</v>
      </c>
      <c r="L220" s="778">
        <f t="shared" si="67"/>
        <v>41923.9</v>
      </c>
      <c r="M220" s="745">
        <f t="shared" si="68"/>
        <v>-28481.9</v>
      </c>
      <c r="N220" s="779">
        <f t="shared" si="69"/>
        <v>3.1188736795119776</v>
      </c>
      <c r="O220" s="780" t="s">
        <v>2048</v>
      </c>
      <c r="P220" s="781">
        <v>0.31</v>
      </c>
      <c r="Q220" s="781">
        <v>0</v>
      </c>
      <c r="R220" s="781">
        <v>0.69</v>
      </c>
      <c r="S220" s="782">
        <f t="shared" si="70"/>
        <v>12996.409</v>
      </c>
      <c r="T220" s="782">
        <f t="shared" si="70"/>
        <v>0</v>
      </c>
      <c r="U220" s="782">
        <f t="shared" si="70"/>
        <v>28927.490999999998</v>
      </c>
      <c r="W220" s="782"/>
      <c r="X220" s="782"/>
      <c r="Y220" s="783"/>
      <c r="Z220" s="782"/>
      <c r="AA220" s="782"/>
      <c r="AB220" s="783"/>
      <c r="AC220" s="777">
        <f t="shared" si="61"/>
        <v>0</v>
      </c>
      <c r="AD220" s="790">
        <f t="shared" si="59"/>
        <v>4167.0199999999995</v>
      </c>
      <c r="AE220" s="790">
        <f t="shared" si="58"/>
        <v>9274.98</v>
      </c>
      <c r="AF220" s="790">
        <f t="shared" si="60"/>
        <v>0</v>
      </c>
    </row>
    <row r="221" spans="1:32" ht="15" customHeight="1">
      <c r="A221" s="636" t="s">
        <v>1074</v>
      </c>
      <c r="B221" s="740" t="s">
        <v>2023</v>
      </c>
      <c r="C221" s="741" t="s">
        <v>2049</v>
      </c>
      <c r="D221" s="742" t="s">
        <v>2050</v>
      </c>
      <c r="E221" s="743" t="s">
        <v>2051</v>
      </c>
      <c r="F221" s="744" t="s">
        <v>1317</v>
      </c>
      <c r="G221" s="745">
        <v>33755</v>
      </c>
      <c r="H221" s="746">
        <v>33758.18</v>
      </c>
      <c r="I221" s="745">
        <f t="shared" si="66"/>
        <v>-3.180000000000291</v>
      </c>
      <c r="J221" s="746">
        <v>0</v>
      </c>
      <c r="K221" s="746">
        <v>0</v>
      </c>
      <c r="L221" s="778">
        <f t="shared" si="67"/>
        <v>33758.18</v>
      </c>
      <c r="M221" s="745">
        <f t="shared" si="68"/>
        <v>-3.180000000000291</v>
      </c>
      <c r="N221" s="779">
        <f t="shared" si="69"/>
        <v>1.0000942082654423</v>
      </c>
      <c r="O221" s="780" t="s">
        <v>2052</v>
      </c>
      <c r="P221" s="781">
        <v>0</v>
      </c>
      <c r="Q221" s="781">
        <v>1</v>
      </c>
      <c r="R221" s="781">
        <v>0</v>
      </c>
      <c r="S221" s="782">
        <f t="shared" si="70"/>
        <v>0</v>
      </c>
      <c r="T221" s="782">
        <f t="shared" si="70"/>
        <v>33758.18</v>
      </c>
      <c r="U221" s="782">
        <f t="shared" si="70"/>
        <v>0</v>
      </c>
      <c r="W221" s="782"/>
      <c r="X221" s="782"/>
      <c r="Y221" s="783"/>
      <c r="Z221" s="782"/>
      <c r="AA221" s="782"/>
      <c r="AB221" s="783"/>
      <c r="AC221" s="777">
        <f t="shared" si="61"/>
        <v>0</v>
      </c>
      <c r="AD221" s="790">
        <f t="shared" si="59"/>
        <v>0</v>
      </c>
      <c r="AE221" s="790">
        <f t="shared" si="58"/>
        <v>0</v>
      </c>
      <c r="AF221" s="790">
        <f t="shared" si="60"/>
        <v>33755</v>
      </c>
    </row>
    <row r="222" spans="1:32" ht="15" customHeight="1">
      <c r="A222" s="636" t="s">
        <v>1074</v>
      </c>
      <c r="B222" s="740" t="s">
        <v>2023</v>
      </c>
      <c r="C222" s="741" t="s">
        <v>2053</v>
      </c>
      <c r="D222" s="742" t="s">
        <v>2054</v>
      </c>
      <c r="E222" s="743" t="s">
        <v>2055</v>
      </c>
      <c r="F222" s="744" t="s">
        <v>1286</v>
      </c>
      <c r="G222" s="745">
        <v>11625</v>
      </c>
      <c r="H222" s="746">
        <v>8337.5</v>
      </c>
      <c r="I222" s="745">
        <f t="shared" si="66"/>
        <v>3287.5</v>
      </c>
      <c r="J222" s="746">
        <v>0</v>
      </c>
      <c r="K222" s="746">
        <v>0</v>
      </c>
      <c r="L222" s="778">
        <f t="shared" si="67"/>
        <v>8337.5</v>
      </c>
      <c r="M222" s="745">
        <f t="shared" si="68"/>
        <v>3287.5</v>
      </c>
      <c r="N222" s="779">
        <f t="shared" si="69"/>
        <v>0.71720430107526878</v>
      </c>
      <c r="O222" s="780" t="s">
        <v>1287</v>
      </c>
      <c r="P222" s="781">
        <v>0</v>
      </c>
      <c r="Q222" s="781">
        <v>1</v>
      </c>
      <c r="R222" s="781">
        <v>0</v>
      </c>
      <c r="S222" s="782">
        <f t="shared" si="70"/>
        <v>0</v>
      </c>
      <c r="T222" s="782">
        <f t="shared" si="70"/>
        <v>8337.5</v>
      </c>
      <c r="U222" s="782">
        <f t="shared" si="70"/>
        <v>0</v>
      </c>
      <c r="W222" s="782"/>
      <c r="X222" s="782"/>
      <c r="Y222" s="783"/>
      <c r="Z222" s="782"/>
      <c r="AA222" s="782"/>
      <c r="AB222" s="783"/>
      <c r="AC222" s="777">
        <f t="shared" si="61"/>
        <v>0</v>
      </c>
      <c r="AD222" s="790">
        <f t="shared" si="59"/>
        <v>0</v>
      </c>
      <c r="AE222" s="790">
        <f t="shared" si="58"/>
        <v>0</v>
      </c>
      <c r="AF222" s="790">
        <f t="shared" si="60"/>
        <v>11625</v>
      </c>
    </row>
    <row r="223" spans="1:32" ht="15" customHeight="1">
      <c r="A223" s="636" t="s">
        <v>1074</v>
      </c>
      <c r="B223" s="740" t="s">
        <v>2023</v>
      </c>
      <c r="C223" s="741" t="s">
        <v>2056</v>
      </c>
      <c r="D223" s="742" t="s">
        <v>2057</v>
      </c>
      <c r="E223" s="743" t="s">
        <v>2058</v>
      </c>
      <c r="F223" s="744" t="s">
        <v>1317</v>
      </c>
      <c r="G223" s="745">
        <v>10834</v>
      </c>
      <c r="H223" s="746">
        <v>0</v>
      </c>
      <c r="I223" s="745">
        <f t="shared" si="66"/>
        <v>10834</v>
      </c>
      <c r="J223" s="746">
        <v>0</v>
      </c>
      <c r="K223" s="746">
        <v>0</v>
      </c>
      <c r="L223" s="778">
        <f t="shared" si="67"/>
        <v>0</v>
      </c>
      <c r="M223" s="745">
        <f t="shared" si="68"/>
        <v>10834</v>
      </c>
      <c r="N223" s="779">
        <f t="shared" si="69"/>
        <v>0</v>
      </c>
      <c r="O223" s="780" t="s">
        <v>2059</v>
      </c>
      <c r="P223" s="781">
        <v>0.27</v>
      </c>
      <c r="Q223" s="781">
        <v>0</v>
      </c>
      <c r="R223" s="781">
        <v>0.73</v>
      </c>
      <c r="S223" s="782">
        <f t="shared" si="70"/>
        <v>0</v>
      </c>
      <c r="T223" s="782">
        <f t="shared" si="70"/>
        <v>0</v>
      </c>
      <c r="U223" s="782">
        <f t="shared" si="70"/>
        <v>0</v>
      </c>
      <c r="W223" s="782"/>
      <c r="X223" s="782"/>
      <c r="Y223" s="783"/>
      <c r="Z223" s="782"/>
      <c r="AA223" s="782"/>
      <c r="AB223" s="783"/>
      <c r="AC223" s="777">
        <f t="shared" si="61"/>
        <v>0</v>
      </c>
      <c r="AD223" s="790">
        <f t="shared" si="59"/>
        <v>2925.1800000000003</v>
      </c>
      <c r="AE223" s="790">
        <f t="shared" si="58"/>
        <v>7908.82</v>
      </c>
      <c r="AF223" s="790">
        <f t="shared" si="60"/>
        <v>0</v>
      </c>
    </row>
    <row r="224" spans="1:32" ht="15" customHeight="1">
      <c r="A224" s="636" t="s">
        <v>1074</v>
      </c>
      <c r="B224" s="740" t="s">
        <v>2023</v>
      </c>
      <c r="C224" s="741" t="s">
        <v>2060</v>
      </c>
      <c r="D224" s="742" t="s">
        <v>2061</v>
      </c>
      <c r="E224" s="743" t="s">
        <v>2062</v>
      </c>
      <c r="F224" s="744" t="s">
        <v>1317</v>
      </c>
      <c r="G224" s="745">
        <v>38232</v>
      </c>
      <c r="H224" s="746">
        <v>0</v>
      </c>
      <c r="I224" s="745">
        <f t="shared" si="66"/>
        <v>38232</v>
      </c>
      <c r="J224" s="746">
        <v>0</v>
      </c>
      <c r="K224" s="746">
        <v>0</v>
      </c>
      <c r="L224" s="778">
        <f t="shared" si="67"/>
        <v>0</v>
      </c>
      <c r="M224" s="745">
        <f t="shared" si="68"/>
        <v>38232</v>
      </c>
      <c r="N224" s="779">
        <f t="shared" si="69"/>
        <v>0</v>
      </c>
      <c r="O224" s="780" t="s">
        <v>2063</v>
      </c>
      <c r="P224" s="781">
        <v>0.18</v>
      </c>
      <c r="Q224" s="781">
        <v>0.41</v>
      </c>
      <c r="R224" s="781">
        <v>0.41</v>
      </c>
      <c r="S224" s="782">
        <f t="shared" si="70"/>
        <v>0</v>
      </c>
      <c r="T224" s="782">
        <f t="shared" si="70"/>
        <v>0</v>
      </c>
      <c r="U224" s="782">
        <f t="shared" si="70"/>
        <v>0</v>
      </c>
      <c r="W224" s="782"/>
      <c r="X224" s="782"/>
      <c r="Y224" s="783"/>
      <c r="Z224" s="782"/>
      <c r="AA224" s="782"/>
      <c r="AB224" s="783"/>
      <c r="AC224" s="777">
        <f t="shared" si="61"/>
        <v>0</v>
      </c>
      <c r="AD224" s="790">
        <f t="shared" si="59"/>
        <v>6881.7599999999993</v>
      </c>
      <c r="AE224" s="790">
        <f t="shared" si="58"/>
        <v>15675.119999999999</v>
      </c>
      <c r="AF224" s="790">
        <f t="shared" si="60"/>
        <v>15675.119999999999</v>
      </c>
    </row>
    <row r="225" spans="1:32" ht="15" customHeight="1">
      <c r="A225" s="636" t="s">
        <v>1074</v>
      </c>
      <c r="B225" s="740" t="s">
        <v>2023</v>
      </c>
      <c r="C225" s="741" t="s">
        <v>2064</v>
      </c>
      <c r="D225" s="742" t="s">
        <v>2065</v>
      </c>
      <c r="E225" s="743" t="s">
        <v>2066</v>
      </c>
      <c r="F225" s="744" t="s">
        <v>1317</v>
      </c>
      <c r="G225" s="745">
        <v>0</v>
      </c>
      <c r="H225" s="746">
        <v>22524.15</v>
      </c>
      <c r="I225" s="745">
        <f t="shared" si="66"/>
        <v>-22524.15</v>
      </c>
      <c r="J225" s="746">
        <v>15880</v>
      </c>
      <c r="K225" s="746">
        <v>0</v>
      </c>
      <c r="L225" s="778">
        <f t="shared" si="67"/>
        <v>38404.15</v>
      </c>
      <c r="M225" s="745">
        <f t="shared" si="68"/>
        <v>-38404.15</v>
      </c>
      <c r="N225" s="779">
        <f t="shared" si="69"/>
        <v>0</v>
      </c>
      <c r="O225" s="780" t="s">
        <v>2067</v>
      </c>
      <c r="P225" s="781">
        <v>0</v>
      </c>
      <c r="Q225" s="781">
        <v>1</v>
      </c>
      <c r="R225" s="781">
        <v>0</v>
      </c>
      <c r="S225" s="782">
        <f t="shared" si="70"/>
        <v>0</v>
      </c>
      <c r="T225" s="782">
        <f t="shared" si="70"/>
        <v>22524.15</v>
      </c>
      <c r="U225" s="782">
        <f t="shared" si="70"/>
        <v>0</v>
      </c>
      <c r="W225" s="782"/>
      <c r="X225" s="782"/>
      <c r="Y225" s="783"/>
      <c r="Z225" s="782"/>
      <c r="AA225" s="782"/>
      <c r="AB225" s="783"/>
      <c r="AC225" s="777">
        <f t="shared" si="61"/>
        <v>0</v>
      </c>
      <c r="AD225" s="790">
        <f t="shared" si="59"/>
        <v>0</v>
      </c>
      <c r="AE225" s="790">
        <f t="shared" si="58"/>
        <v>0</v>
      </c>
      <c r="AF225" s="790">
        <f t="shared" si="60"/>
        <v>0</v>
      </c>
    </row>
    <row r="226" spans="1:32" ht="15" customHeight="1">
      <c r="A226" s="636" t="s">
        <v>1074</v>
      </c>
      <c r="B226" s="740" t="s">
        <v>2023</v>
      </c>
      <c r="C226" s="741" t="s">
        <v>2068</v>
      </c>
      <c r="D226" s="742" t="s">
        <v>2069</v>
      </c>
      <c r="E226" s="743" t="s">
        <v>2070</v>
      </c>
      <c r="F226" s="744" t="s">
        <v>1286</v>
      </c>
      <c r="G226" s="745">
        <v>30000</v>
      </c>
      <c r="H226" s="746">
        <v>28410.98</v>
      </c>
      <c r="I226" s="745">
        <f t="shared" si="66"/>
        <v>1589.0200000000004</v>
      </c>
      <c r="J226" s="746">
        <v>0</v>
      </c>
      <c r="K226" s="746">
        <v>0</v>
      </c>
      <c r="L226" s="778">
        <f t="shared" si="67"/>
        <v>28410.98</v>
      </c>
      <c r="M226" s="745">
        <f t="shared" si="68"/>
        <v>1589.0200000000004</v>
      </c>
      <c r="N226" s="779">
        <f t="shared" si="69"/>
        <v>0.94703266666666663</v>
      </c>
      <c r="O226" s="780" t="s">
        <v>2071</v>
      </c>
      <c r="P226" s="781">
        <v>0</v>
      </c>
      <c r="Q226" s="781">
        <v>0.5</v>
      </c>
      <c r="R226" s="781">
        <v>0.5</v>
      </c>
      <c r="S226" s="782">
        <f t="shared" si="70"/>
        <v>0</v>
      </c>
      <c r="T226" s="782">
        <f t="shared" si="70"/>
        <v>14205.49</v>
      </c>
      <c r="U226" s="782">
        <f t="shared" si="70"/>
        <v>14205.49</v>
      </c>
      <c r="W226" s="782"/>
      <c r="X226" s="782"/>
      <c r="Y226" s="783"/>
      <c r="Z226" s="782"/>
      <c r="AA226" s="782"/>
      <c r="AB226" s="783"/>
      <c r="AC226" s="777">
        <f t="shared" si="61"/>
        <v>0</v>
      </c>
      <c r="AD226" s="790">
        <f t="shared" si="59"/>
        <v>0</v>
      </c>
      <c r="AE226" s="790">
        <f t="shared" si="58"/>
        <v>15000</v>
      </c>
      <c r="AF226" s="790">
        <f t="shared" si="60"/>
        <v>15000</v>
      </c>
    </row>
    <row r="227" spans="1:32" ht="15" customHeight="1">
      <c r="A227" s="636" t="s">
        <v>1074</v>
      </c>
      <c r="B227" s="740" t="s">
        <v>2023</v>
      </c>
      <c r="C227" s="741" t="s">
        <v>2072</v>
      </c>
      <c r="D227" s="742" t="s">
        <v>2073</v>
      </c>
      <c r="E227" s="743" t="s">
        <v>2074</v>
      </c>
      <c r="F227" s="744" t="s">
        <v>1317</v>
      </c>
      <c r="G227" s="745">
        <v>99010</v>
      </c>
      <c r="H227" s="746">
        <v>29371.040000000001</v>
      </c>
      <c r="I227" s="745">
        <f t="shared" si="66"/>
        <v>69638.959999999992</v>
      </c>
      <c r="J227" s="746">
        <v>0</v>
      </c>
      <c r="K227" s="746">
        <v>0</v>
      </c>
      <c r="L227" s="778">
        <f t="shared" si="67"/>
        <v>29371.040000000001</v>
      </c>
      <c r="M227" s="745">
        <f t="shared" si="68"/>
        <v>69638.959999999992</v>
      </c>
      <c r="N227" s="779">
        <f t="shared" si="69"/>
        <v>0.29664720735279265</v>
      </c>
      <c r="O227" s="780" t="s">
        <v>2075</v>
      </c>
      <c r="P227" s="781">
        <v>0</v>
      </c>
      <c r="Q227" s="781">
        <v>1</v>
      </c>
      <c r="R227" s="781">
        <v>0</v>
      </c>
      <c r="S227" s="782">
        <f t="shared" si="70"/>
        <v>0</v>
      </c>
      <c r="T227" s="782">
        <f t="shared" si="70"/>
        <v>29371.040000000001</v>
      </c>
      <c r="U227" s="782">
        <f t="shared" si="70"/>
        <v>0</v>
      </c>
      <c r="W227" s="782"/>
      <c r="X227" s="782"/>
      <c r="Y227" s="783"/>
      <c r="Z227" s="782"/>
      <c r="AA227" s="782"/>
      <c r="AB227" s="783"/>
      <c r="AC227" s="777">
        <f t="shared" si="61"/>
        <v>0</v>
      </c>
      <c r="AD227" s="790">
        <f t="shared" si="59"/>
        <v>0</v>
      </c>
      <c r="AE227" s="790">
        <f t="shared" si="58"/>
        <v>0</v>
      </c>
      <c r="AF227" s="790">
        <f t="shared" si="60"/>
        <v>99010</v>
      </c>
    </row>
    <row r="228" spans="1:32" ht="15" customHeight="1">
      <c r="A228" s="636" t="s">
        <v>1074</v>
      </c>
      <c r="B228" s="740" t="s">
        <v>2023</v>
      </c>
      <c r="C228" s="741" t="s">
        <v>2076</v>
      </c>
      <c r="D228" s="742" t="s">
        <v>2077</v>
      </c>
      <c r="E228" s="743" t="s">
        <v>2078</v>
      </c>
      <c r="F228" s="744" t="s">
        <v>1286</v>
      </c>
      <c r="G228" s="745">
        <v>1000</v>
      </c>
      <c r="H228" s="746">
        <v>0</v>
      </c>
      <c r="I228" s="745">
        <f t="shared" si="66"/>
        <v>1000</v>
      </c>
      <c r="J228" s="746">
        <v>0</v>
      </c>
      <c r="K228" s="746">
        <v>0</v>
      </c>
      <c r="L228" s="778">
        <f t="shared" si="67"/>
        <v>0</v>
      </c>
      <c r="M228" s="745">
        <f t="shared" si="68"/>
        <v>1000</v>
      </c>
      <c r="N228" s="779">
        <f t="shared" si="69"/>
        <v>0</v>
      </c>
      <c r="O228" s="780" t="s">
        <v>2079</v>
      </c>
      <c r="P228" s="781">
        <v>0</v>
      </c>
      <c r="Q228" s="781">
        <v>0.5</v>
      </c>
      <c r="R228" s="781">
        <v>0.5</v>
      </c>
      <c r="S228" s="782">
        <f t="shared" si="70"/>
        <v>0</v>
      </c>
      <c r="T228" s="782">
        <f t="shared" si="70"/>
        <v>0</v>
      </c>
      <c r="U228" s="782">
        <f t="shared" si="70"/>
        <v>0</v>
      </c>
      <c r="W228" s="782"/>
      <c r="X228" s="782"/>
      <c r="Y228" s="783"/>
      <c r="Z228" s="782"/>
      <c r="AA228" s="782"/>
      <c r="AB228" s="783"/>
      <c r="AC228" s="777">
        <f t="shared" si="61"/>
        <v>0</v>
      </c>
      <c r="AD228" s="790">
        <f t="shared" si="59"/>
        <v>0</v>
      </c>
      <c r="AE228" s="790">
        <f t="shared" si="58"/>
        <v>500</v>
      </c>
      <c r="AF228" s="790">
        <f t="shared" si="60"/>
        <v>500</v>
      </c>
    </row>
    <row r="229" spans="1:32" ht="15" customHeight="1">
      <c r="A229" s="636" t="s">
        <v>1074</v>
      </c>
      <c r="B229" s="740" t="s">
        <v>2023</v>
      </c>
      <c r="C229" s="741" t="s">
        <v>2080</v>
      </c>
      <c r="D229" s="742" t="s">
        <v>2081</v>
      </c>
      <c r="E229" s="743" t="s">
        <v>2082</v>
      </c>
      <c r="F229" s="744" t="s">
        <v>1317</v>
      </c>
      <c r="G229" s="745">
        <v>23139</v>
      </c>
      <c r="H229" s="746">
        <v>6382.2</v>
      </c>
      <c r="I229" s="745">
        <f t="shared" si="66"/>
        <v>16756.8</v>
      </c>
      <c r="J229" s="746">
        <v>0</v>
      </c>
      <c r="K229" s="746">
        <v>0</v>
      </c>
      <c r="L229" s="778">
        <f t="shared" si="67"/>
        <v>6382.2</v>
      </c>
      <c r="M229" s="745">
        <f t="shared" si="68"/>
        <v>16756.8</v>
      </c>
      <c r="N229" s="779">
        <f t="shared" si="69"/>
        <v>0.27582004408142097</v>
      </c>
      <c r="O229" s="780" t="s">
        <v>2083</v>
      </c>
      <c r="P229" s="781">
        <v>0.2</v>
      </c>
      <c r="Q229" s="781">
        <v>0.4</v>
      </c>
      <c r="R229" s="781">
        <v>0.4</v>
      </c>
      <c r="S229" s="782">
        <f t="shared" si="70"/>
        <v>1276.44</v>
      </c>
      <c r="T229" s="782">
        <f t="shared" si="70"/>
        <v>2552.88</v>
      </c>
      <c r="U229" s="782">
        <f t="shared" si="70"/>
        <v>2552.88</v>
      </c>
      <c r="W229" s="782"/>
      <c r="X229" s="782"/>
      <c r="Y229" s="783"/>
      <c r="Z229" s="782"/>
      <c r="AA229" s="782"/>
      <c r="AB229" s="783"/>
      <c r="AC229" s="777">
        <f t="shared" si="61"/>
        <v>0</v>
      </c>
      <c r="AD229" s="790">
        <f t="shared" si="59"/>
        <v>4627.8</v>
      </c>
      <c r="AE229" s="790">
        <f t="shared" si="58"/>
        <v>9255.6</v>
      </c>
      <c r="AF229" s="790">
        <f t="shared" si="60"/>
        <v>9255.6</v>
      </c>
    </row>
    <row r="230" spans="1:32" ht="15" customHeight="1">
      <c r="A230" s="636" t="s">
        <v>1074</v>
      </c>
      <c r="B230" s="740" t="s">
        <v>2023</v>
      </c>
      <c r="C230" s="741" t="s">
        <v>2084</v>
      </c>
      <c r="D230" s="742" t="s">
        <v>2085</v>
      </c>
      <c r="E230" s="743" t="s">
        <v>2086</v>
      </c>
      <c r="F230" s="744" t="s">
        <v>1286</v>
      </c>
      <c r="G230" s="745">
        <v>30060</v>
      </c>
      <c r="H230" s="746">
        <v>0</v>
      </c>
      <c r="I230" s="745">
        <f t="shared" si="66"/>
        <v>30060</v>
      </c>
      <c r="J230" s="746">
        <v>0</v>
      </c>
      <c r="K230" s="746">
        <v>0</v>
      </c>
      <c r="L230" s="778">
        <f t="shared" si="67"/>
        <v>0</v>
      </c>
      <c r="M230" s="745">
        <f t="shared" si="68"/>
        <v>30060</v>
      </c>
      <c r="N230" s="779">
        <f t="shared" si="69"/>
        <v>0</v>
      </c>
      <c r="O230" s="780" t="s">
        <v>2087</v>
      </c>
      <c r="P230" s="781">
        <v>0</v>
      </c>
      <c r="Q230" s="781">
        <v>0.5</v>
      </c>
      <c r="R230" s="781">
        <v>0.5</v>
      </c>
      <c r="S230" s="782">
        <f t="shared" si="70"/>
        <v>0</v>
      </c>
      <c r="T230" s="782">
        <f t="shared" si="70"/>
        <v>0</v>
      </c>
      <c r="U230" s="782">
        <f t="shared" si="70"/>
        <v>0</v>
      </c>
      <c r="W230" s="782"/>
      <c r="X230" s="782"/>
      <c r="Y230" s="783"/>
      <c r="Z230" s="782"/>
      <c r="AA230" s="782"/>
      <c r="AB230" s="783"/>
      <c r="AC230" s="777">
        <f t="shared" si="61"/>
        <v>0</v>
      </c>
      <c r="AD230" s="790">
        <f t="shared" si="59"/>
        <v>0</v>
      </c>
      <c r="AE230" s="790">
        <f t="shared" si="58"/>
        <v>15030</v>
      </c>
      <c r="AF230" s="790">
        <f t="shared" si="60"/>
        <v>15030</v>
      </c>
    </row>
    <row r="231" spans="1:32" ht="15" customHeight="1">
      <c r="A231" s="636" t="s">
        <v>1074</v>
      </c>
      <c r="B231" s="740" t="s">
        <v>2023</v>
      </c>
      <c r="C231" s="741" t="s">
        <v>2088</v>
      </c>
      <c r="D231" s="742" t="s">
        <v>2089</v>
      </c>
      <c r="E231" s="743" t="s">
        <v>2090</v>
      </c>
      <c r="F231" s="744" t="s">
        <v>1286</v>
      </c>
      <c r="G231" s="745">
        <v>243999.99</v>
      </c>
      <c r="H231" s="746">
        <v>18473.59</v>
      </c>
      <c r="I231" s="745">
        <f t="shared" si="66"/>
        <v>225526.39999999999</v>
      </c>
      <c r="J231" s="746">
        <v>0</v>
      </c>
      <c r="K231" s="746">
        <v>0</v>
      </c>
      <c r="L231" s="778">
        <f t="shared" si="67"/>
        <v>18473.59</v>
      </c>
      <c r="M231" s="745">
        <f t="shared" si="68"/>
        <v>225526.39999999999</v>
      </c>
      <c r="N231" s="779">
        <f t="shared" si="69"/>
        <v>7.571143752915728E-2</v>
      </c>
      <c r="O231" s="780" t="s">
        <v>2091</v>
      </c>
      <c r="P231" s="781">
        <v>0</v>
      </c>
      <c r="Q231" s="781">
        <v>1</v>
      </c>
      <c r="R231" s="781">
        <v>0</v>
      </c>
      <c r="S231" s="782">
        <f t="shared" si="70"/>
        <v>0</v>
      </c>
      <c r="T231" s="782">
        <f t="shared" si="70"/>
        <v>18473.59</v>
      </c>
      <c r="U231" s="782">
        <f t="shared" si="70"/>
        <v>0</v>
      </c>
      <c r="W231" s="782"/>
      <c r="X231" s="782"/>
      <c r="Y231" s="783"/>
      <c r="Z231" s="782"/>
      <c r="AA231" s="782"/>
      <c r="AB231" s="783"/>
      <c r="AC231" s="777">
        <f t="shared" si="61"/>
        <v>0</v>
      </c>
      <c r="AD231" s="790">
        <f t="shared" si="59"/>
        <v>0</v>
      </c>
      <c r="AE231" s="790">
        <f t="shared" si="58"/>
        <v>0</v>
      </c>
      <c r="AF231" s="790">
        <f t="shared" si="60"/>
        <v>243999.99</v>
      </c>
    </row>
    <row r="232" spans="1:32" ht="15" customHeight="1" thickBot="1">
      <c r="A232" s="636" t="s">
        <v>1036</v>
      </c>
      <c r="B232" s="747" t="str">
        <f>B214</f>
        <v>Venues and Facilities</v>
      </c>
      <c r="C232" s="748"/>
      <c r="D232" s="749"/>
      <c r="E232" s="750" t="str">
        <f>B214&amp;" - Sub Total"</f>
        <v>Venues and Facilities - Sub Total</v>
      </c>
      <c r="F232" s="751"/>
      <c r="G232" s="752">
        <f>SUBTOTAL(9,G214:G231)</f>
        <v>1588432.3499999999</v>
      </c>
      <c r="H232" s="752">
        <f>SUBTOTAL(9,H214:H231)</f>
        <v>933954.28</v>
      </c>
      <c r="I232" s="752">
        <f t="shared" si="66"/>
        <v>654478.06999999983</v>
      </c>
      <c r="J232" s="752">
        <f>SUBTOTAL(9,J214:J231)</f>
        <v>32085.52</v>
      </c>
      <c r="K232" s="752">
        <f>SUBTOTAL(9,K214:K231)</f>
        <v>0</v>
      </c>
      <c r="L232" s="752">
        <f>SUBTOTAL(9,L214:L231)</f>
        <v>966039.8</v>
      </c>
      <c r="M232" s="752">
        <f>SUBTOTAL(9,M214:M231)</f>
        <v>622392.54999999993</v>
      </c>
      <c r="N232" s="784">
        <f>IFERROR(L232/#REF!,0)</f>
        <v>0</v>
      </c>
      <c r="O232" s="785"/>
      <c r="P232" s="752"/>
      <c r="Q232" s="752"/>
      <c r="R232" s="752"/>
      <c r="S232" s="786"/>
      <c r="T232" s="786"/>
      <c r="U232" s="786"/>
      <c r="W232" s="786"/>
      <c r="X232" s="786"/>
      <c r="Y232" s="787"/>
      <c r="Z232" s="786"/>
      <c r="AA232" s="786"/>
      <c r="AB232" s="787"/>
      <c r="AC232" s="777"/>
      <c r="AD232" s="790">
        <f t="shared" si="59"/>
        <v>0</v>
      </c>
      <c r="AE232" s="790">
        <f t="shared" si="58"/>
        <v>0</v>
      </c>
      <c r="AF232" s="790">
        <f t="shared" si="60"/>
        <v>0</v>
      </c>
    </row>
    <row r="233" spans="1:32" ht="15" customHeight="1">
      <c r="A233" s="636" t="s">
        <v>1161</v>
      </c>
      <c r="B233" s="753"/>
      <c r="C233" s="754"/>
      <c r="D233" s="754"/>
      <c r="E233" s="753"/>
      <c r="F233" s="755"/>
      <c r="G233" s="756"/>
      <c r="H233" s="756"/>
      <c r="I233" s="756"/>
      <c r="J233" s="756"/>
      <c r="K233" s="756"/>
      <c r="L233" s="756"/>
      <c r="M233" s="756"/>
      <c r="N233" s="753"/>
      <c r="O233" s="753"/>
      <c r="AC233" s="777"/>
      <c r="AD233" s="790">
        <f t="shared" si="59"/>
        <v>0</v>
      </c>
      <c r="AE233" s="790">
        <f t="shared" si="58"/>
        <v>0</v>
      </c>
      <c r="AF233" s="790">
        <f t="shared" si="60"/>
        <v>0</v>
      </c>
    </row>
    <row r="234" spans="1:32" ht="15" customHeight="1">
      <c r="A234" s="636" t="s">
        <v>1074</v>
      </c>
      <c r="B234" s="740" t="s">
        <v>2092</v>
      </c>
      <c r="C234" s="741" t="s">
        <v>2093</v>
      </c>
      <c r="D234" s="742" t="s">
        <v>2094</v>
      </c>
      <c r="E234" s="743" t="s">
        <v>2095</v>
      </c>
      <c r="F234" s="744" t="s">
        <v>1708</v>
      </c>
      <c r="G234" s="745">
        <v>2264502</v>
      </c>
      <c r="H234" s="746">
        <v>1758324.44</v>
      </c>
      <c r="I234" s="745">
        <f t="shared" ref="I234:I269" si="71">G234-H234</f>
        <v>506177.56000000006</v>
      </c>
      <c r="J234" s="746">
        <v>217050.7</v>
      </c>
      <c r="K234" s="746">
        <v>0</v>
      </c>
      <c r="L234" s="778">
        <f t="shared" ref="L234:L268" si="72">H234+J234</f>
        <v>1975375.14</v>
      </c>
      <c r="M234" s="745">
        <f t="shared" ref="M234:M268" si="73">G234-L234</f>
        <v>289126.8600000001</v>
      </c>
      <c r="N234" s="779">
        <f t="shared" ref="N234:N268" si="74">IFERROR(L234/G234,0)</f>
        <v>0.87232209995840138</v>
      </c>
      <c r="O234" s="780" t="s">
        <v>2095</v>
      </c>
      <c r="P234" s="781">
        <v>0</v>
      </c>
      <c r="Q234" s="781">
        <v>1</v>
      </c>
      <c r="R234" s="781">
        <v>0</v>
      </c>
      <c r="S234" s="782">
        <f t="shared" ref="S234:U253" si="75">$H234*P234</f>
        <v>0</v>
      </c>
      <c r="T234" s="782">
        <f t="shared" si="75"/>
        <v>1758324.44</v>
      </c>
      <c r="U234" s="782">
        <f t="shared" si="75"/>
        <v>0</v>
      </c>
      <c r="W234" s="782"/>
      <c r="X234" s="782"/>
      <c r="Y234" s="783"/>
      <c r="Z234" s="782"/>
      <c r="AA234" s="782"/>
      <c r="AB234" s="783"/>
      <c r="AC234" s="777">
        <f t="shared" si="61"/>
        <v>0</v>
      </c>
      <c r="AD234" s="790">
        <f t="shared" si="59"/>
        <v>0</v>
      </c>
      <c r="AE234" s="790">
        <f t="shared" si="58"/>
        <v>0</v>
      </c>
      <c r="AF234" s="790">
        <f t="shared" si="60"/>
        <v>2264502</v>
      </c>
    </row>
    <row r="235" spans="1:32" ht="15" customHeight="1">
      <c r="A235" s="636" t="s">
        <v>1074</v>
      </c>
      <c r="B235" s="740" t="s">
        <v>2092</v>
      </c>
      <c r="C235" s="741" t="s">
        <v>2096</v>
      </c>
      <c r="D235" s="742" t="s">
        <v>2097</v>
      </c>
      <c r="E235" s="743" t="s">
        <v>2098</v>
      </c>
      <c r="F235" s="744" t="s">
        <v>1708</v>
      </c>
      <c r="G235" s="745">
        <v>907270.53</v>
      </c>
      <c r="H235" s="746">
        <v>981670.2</v>
      </c>
      <c r="I235" s="745">
        <f t="shared" si="71"/>
        <v>-74399.669999999925</v>
      </c>
      <c r="J235" s="746">
        <v>36914.119999999995</v>
      </c>
      <c r="K235" s="746">
        <v>0</v>
      </c>
      <c r="L235" s="778">
        <f t="shared" si="72"/>
        <v>1018584.32</v>
      </c>
      <c r="M235" s="745">
        <f t="shared" si="73"/>
        <v>-111313.78999999992</v>
      </c>
      <c r="N235" s="779">
        <f t="shared" si="74"/>
        <v>1.1226908472382542</v>
      </c>
      <c r="O235" s="780" t="s">
        <v>2099</v>
      </c>
      <c r="P235" s="781">
        <v>0</v>
      </c>
      <c r="Q235" s="781">
        <v>1</v>
      </c>
      <c r="R235" s="781">
        <v>0</v>
      </c>
      <c r="S235" s="782">
        <f t="shared" si="75"/>
        <v>0</v>
      </c>
      <c r="T235" s="782">
        <f t="shared" si="75"/>
        <v>981670.2</v>
      </c>
      <c r="U235" s="782">
        <f t="shared" si="75"/>
        <v>0</v>
      </c>
      <c r="W235" s="782"/>
      <c r="X235" s="782"/>
      <c r="Y235" s="783"/>
      <c r="Z235" s="782"/>
      <c r="AA235" s="782"/>
      <c r="AB235" s="783"/>
      <c r="AC235" s="777">
        <f t="shared" si="61"/>
        <v>0</v>
      </c>
      <c r="AD235" s="790">
        <f t="shared" si="59"/>
        <v>0</v>
      </c>
      <c r="AE235" s="790">
        <f t="shared" si="58"/>
        <v>0</v>
      </c>
      <c r="AF235" s="790">
        <f t="shared" si="60"/>
        <v>907270.53</v>
      </c>
    </row>
    <row r="236" spans="1:32" ht="15" customHeight="1">
      <c r="A236" s="636" t="s">
        <v>1074</v>
      </c>
      <c r="B236" s="740" t="s">
        <v>2092</v>
      </c>
      <c r="C236" s="741" t="s">
        <v>2100</v>
      </c>
      <c r="D236" s="742" t="s">
        <v>2101</v>
      </c>
      <c r="E236" s="743" t="s">
        <v>2102</v>
      </c>
      <c r="F236" s="744" t="s">
        <v>1708</v>
      </c>
      <c r="G236" s="745">
        <v>136842</v>
      </c>
      <c r="H236" s="746">
        <v>87315.6</v>
      </c>
      <c r="I236" s="745">
        <f t="shared" si="71"/>
        <v>49526.399999999994</v>
      </c>
      <c r="J236" s="746">
        <v>8983</v>
      </c>
      <c r="K236" s="746">
        <v>0</v>
      </c>
      <c r="L236" s="778">
        <f t="shared" si="72"/>
        <v>96298.6</v>
      </c>
      <c r="M236" s="745">
        <f t="shared" si="73"/>
        <v>40543.399999999994</v>
      </c>
      <c r="N236" s="779">
        <f t="shared" si="74"/>
        <v>0.70372107978544607</v>
      </c>
      <c r="O236" s="780" t="s">
        <v>2099</v>
      </c>
      <c r="P236" s="781">
        <v>0</v>
      </c>
      <c r="Q236" s="781">
        <v>1</v>
      </c>
      <c r="R236" s="781">
        <v>0</v>
      </c>
      <c r="S236" s="782">
        <f t="shared" si="75"/>
        <v>0</v>
      </c>
      <c r="T236" s="782">
        <f t="shared" si="75"/>
        <v>87315.6</v>
      </c>
      <c r="U236" s="782">
        <f t="shared" si="75"/>
        <v>0</v>
      </c>
      <c r="W236" s="782"/>
      <c r="X236" s="782"/>
      <c r="Y236" s="783"/>
      <c r="Z236" s="782"/>
      <c r="AA236" s="782"/>
      <c r="AB236" s="783"/>
      <c r="AC236" s="777">
        <f t="shared" si="61"/>
        <v>0</v>
      </c>
      <c r="AD236" s="790">
        <f t="shared" si="59"/>
        <v>0</v>
      </c>
      <c r="AE236" s="790">
        <f t="shared" si="58"/>
        <v>0</v>
      </c>
      <c r="AF236" s="790">
        <f t="shared" si="60"/>
        <v>136842</v>
      </c>
    </row>
    <row r="237" spans="1:32" ht="15" customHeight="1">
      <c r="A237" s="636" t="s">
        <v>1074</v>
      </c>
      <c r="B237" s="740" t="s">
        <v>2092</v>
      </c>
      <c r="C237" s="741" t="s">
        <v>2103</v>
      </c>
      <c r="D237" s="742" t="s">
        <v>2104</v>
      </c>
      <c r="E237" s="743" t="s">
        <v>2105</v>
      </c>
      <c r="F237" s="744" t="s">
        <v>1708</v>
      </c>
      <c r="G237" s="745">
        <v>21012</v>
      </c>
      <c r="H237" s="746">
        <v>21011.82</v>
      </c>
      <c r="I237" s="745">
        <f t="shared" si="71"/>
        <v>0.18000000000029104</v>
      </c>
      <c r="J237" s="746">
        <v>1400</v>
      </c>
      <c r="K237" s="746">
        <v>0</v>
      </c>
      <c r="L237" s="778">
        <f t="shared" si="72"/>
        <v>22411.82</v>
      </c>
      <c r="M237" s="745">
        <f t="shared" si="73"/>
        <v>-1399.8199999999997</v>
      </c>
      <c r="N237" s="779">
        <f t="shared" si="74"/>
        <v>1.0666200266514372</v>
      </c>
      <c r="O237" s="780" t="s">
        <v>2099</v>
      </c>
      <c r="P237" s="781">
        <v>0</v>
      </c>
      <c r="Q237" s="781">
        <v>1</v>
      </c>
      <c r="R237" s="781">
        <v>0</v>
      </c>
      <c r="S237" s="782">
        <f t="shared" si="75"/>
        <v>0</v>
      </c>
      <c r="T237" s="782">
        <f t="shared" si="75"/>
        <v>21011.82</v>
      </c>
      <c r="U237" s="782">
        <f t="shared" si="75"/>
        <v>0</v>
      </c>
      <c r="W237" s="782"/>
      <c r="X237" s="782"/>
      <c r="Y237" s="783"/>
      <c r="Z237" s="782"/>
      <c r="AA237" s="782"/>
      <c r="AB237" s="783"/>
      <c r="AC237" s="777">
        <f t="shared" si="61"/>
        <v>0</v>
      </c>
      <c r="AD237" s="790">
        <f t="shared" si="59"/>
        <v>0</v>
      </c>
      <c r="AE237" s="790">
        <f t="shared" si="58"/>
        <v>0</v>
      </c>
      <c r="AF237" s="790">
        <f t="shared" si="60"/>
        <v>21012</v>
      </c>
    </row>
    <row r="238" spans="1:32" ht="15" customHeight="1">
      <c r="A238" s="636" t="s">
        <v>1074</v>
      </c>
      <c r="B238" s="740" t="s">
        <v>2092</v>
      </c>
      <c r="C238" s="741" t="s">
        <v>2106</v>
      </c>
      <c r="D238" s="742" t="s">
        <v>2107</v>
      </c>
      <c r="E238" s="743" t="s">
        <v>2108</v>
      </c>
      <c r="F238" s="744" t="s">
        <v>1708</v>
      </c>
      <c r="G238" s="745">
        <v>4428.13</v>
      </c>
      <c r="H238" s="746">
        <v>3626.21</v>
      </c>
      <c r="I238" s="745">
        <f t="shared" si="71"/>
        <v>801.92000000000007</v>
      </c>
      <c r="J238" s="746">
        <v>0</v>
      </c>
      <c r="K238" s="746">
        <v>0</v>
      </c>
      <c r="L238" s="778">
        <f t="shared" si="72"/>
        <v>3626.21</v>
      </c>
      <c r="M238" s="745">
        <f t="shared" si="73"/>
        <v>801.92000000000007</v>
      </c>
      <c r="N238" s="779">
        <f t="shared" si="74"/>
        <v>0.81890323906479712</v>
      </c>
      <c r="O238" s="780" t="s">
        <v>2099</v>
      </c>
      <c r="P238" s="781">
        <v>0</v>
      </c>
      <c r="Q238" s="781">
        <v>1</v>
      </c>
      <c r="R238" s="781">
        <v>0</v>
      </c>
      <c r="S238" s="782">
        <f t="shared" si="75"/>
        <v>0</v>
      </c>
      <c r="T238" s="782">
        <f t="shared" si="75"/>
        <v>3626.21</v>
      </c>
      <c r="U238" s="782">
        <f t="shared" si="75"/>
        <v>0</v>
      </c>
      <c r="W238" s="782"/>
      <c r="X238" s="782"/>
      <c r="Y238" s="783"/>
      <c r="Z238" s="782"/>
      <c r="AA238" s="782"/>
      <c r="AB238" s="783"/>
      <c r="AC238" s="777">
        <f t="shared" si="61"/>
        <v>0</v>
      </c>
      <c r="AD238" s="790">
        <f t="shared" si="59"/>
        <v>0</v>
      </c>
      <c r="AE238" s="790">
        <f t="shared" si="58"/>
        <v>0</v>
      </c>
      <c r="AF238" s="790">
        <f t="shared" si="60"/>
        <v>4428.13</v>
      </c>
    </row>
    <row r="239" spans="1:32" ht="15" customHeight="1">
      <c r="A239" s="636" t="s">
        <v>1074</v>
      </c>
      <c r="B239" s="740" t="s">
        <v>2092</v>
      </c>
      <c r="C239" s="741" t="s">
        <v>2109</v>
      </c>
      <c r="D239" s="742" t="s">
        <v>2110</v>
      </c>
      <c r="E239" s="743" t="s">
        <v>2111</v>
      </c>
      <c r="F239" s="744" t="s">
        <v>1708</v>
      </c>
      <c r="G239" s="745">
        <v>2191.33</v>
      </c>
      <c r="H239" s="746">
        <v>9293.64</v>
      </c>
      <c r="I239" s="745">
        <f t="shared" si="71"/>
        <v>-7102.3099999999995</v>
      </c>
      <c r="J239" s="746">
        <v>0</v>
      </c>
      <c r="K239" s="746">
        <v>0</v>
      </c>
      <c r="L239" s="778">
        <f t="shared" si="72"/>
        <v>9293.64</v>
      </c>
      <c r="M239" s="745">
        <f t="shared" si="73"/>
        <v>-7102.3099999999995</v>
      </c>
      <c r="N239" s="779">
        <f t="shared" si="74"/>
        <v>4.2410955903492402</v>
      </c>
      <c r="O239" s="780" t="s">
        <v>2112</v>
      </c>
      <c r="P239" s="781">
        <v>0</v>
      </c>
      <c r="Q239" s="781">
        <v>1</v>
      </c>
      <c r="R239" s="781">
        <v>0</v>
      </c>
      <c r="S239" s="782">
        <f t="shared" si="75"/>
        <v>0</v>
      </c>
      <c r="T239" s="782">
        <f t="shared" si="75"/>
        <v>9293.64</v>
      </c>
      <c r="U239" s="782">
        <f t="shared" si="75"/>
        <v>0</v>
      </c>
      <c r="W239" s="782"/>
      <c r="X239" s="782"/>
      <c r="Y239" s="783"/>
      <c r="Z239" s="782"/>
      <c r="AA239" s="782"/>
      <c r="AB239" s="783"/>
      <c r="AC239" s="777">
        <f t="shared" si="61"/>
        <v>0</v>
      </c>
      <c r="AD239" s="790">
        <f t="shared" si="59"/>
        <v>0</v>
      </c>
      <c r="AE239" s="790">
        <f t="shared" si="58"/>
        <v>0</v>
      </c>
      <c r="AF239" s="790">
        <f t="shared" si="60"/>
        <v>2191.33</v>
      </c>
    </row>
    <row r="240" spans="1:32" ht="15" customHeight="1">
      <c r="A240" s="636" t="s">
        <v>1074</v>
      </c>
      <c r="B240" s="740" t="s">
        <v>2092</v>
      </c>
      <c r="C240" s="741" t="s">
        <v>2113</v>
      </c>
      <c r="D240" s="742" t="s">
        <v>2114</v>
      </c>
      <c r="E240" s="743" t="s">
        <v>2115</v>
      </c>
      <c r="F240" s="744" t="s">
        <v>1708</v>
      </c>
      <c r="G240" s="745">
        <v>24645</v>
      </c>
      <c r="H240" s="746">
        <v>35561.599999999999</v>
      </c>
      <c r="I240" s="745">
        <f t="shared" si="71"/>
        <v>-10916.599999999999</v>
      </c>
      <c r="J240" s="746">
        <v>0</v>
      </c>
      <c r="K240" s="746">
        <v>0</v>
      </c>
      <c r="L240" s="778">
        <f t="shared" si="72"/>
        <v>35561.599999999999</v>
      </c>
      <c r="M240" s="745">
        <f t="shared" si="73"/>
        <v>-10916.599999999999</v>
      </c>
      <c r="N240" s="779">
        <f t="shared" si="74"/>
        <v>1.4429539460336782</v>
      </c>
      <c r="O240" s="780" t="s">
        <v>2116</v>
      </c>
      <c r="P240" s="781">
        <v>0</v>
      </c>
      <c r="Q240" s="781">
        <v>1</v>
      </c>
      <c r="R240" s="781">
        <v>0</v>
      </c>
      <c r="S240" s="782">
        <f t="shared" si="75"/>
        <v>0</v>
      </c>
      <c r="T240" s="782">
        <f t="shared" si="75"/>
        <v>35561.599999999999</v>
      </c>
      <c r="U240" s="782">
        <f t="shared" si="75"/>
        <v>0</v>
      </c>
      <c r="W240" s="782"/>
      <c r="X240" s="782"/>
      <c r="Y240" s="783"/>
      <c r="Z240" s="782"/>
      <c r="AA240" s="782"/>
      <c r="AB240" s="783"/>
      <c r="AC240" s="777">
        <f t="shared" si="61"/>
        <v>0</v>
      </c>
      <c r="AD240" s="790">
        <f t="shared" si="59"/>
        <v>0</v>
      </c>
      <c r="AE240" s="790">
        <f t="shared" si="58"/>
        <v>0</v>
      </c>
      <c r="AF240" s="790">
        <f t="shared" si="60"/>
        <v>24645</v>
      </c>
    </row>
    <row r="241" spans="1:32" ht="15" customHeight="1">
      <c r="A241" s="636" t="s">
        <v>1074</v>
      </c>
      <c r="B241" s="740" t="s">
        <v>2092</v>
      </c>
      <c r="C241" s="741" t="s">
        <v>2117</v>
      </c>
      <c r="D241" s="742" t="s">
        <v>2118</v>
      </c>
      <c r="E241" s="743" t="s">
        <v>2119</v>
      </c>
      <c r="F241" s="744" t="s">
        <v>1934</v>
      </c>
      <c r="G241" s="745">
        <v>18000</v>
      </c>
      <c r="H241" s="746">
        <v>18609.91</v>
      </c>
      <c r="I241" s="745">
        <f t="shared" si="71"/>
        <v>-609.90999999999985</v>
      </c>
      <c r="J241" s="746">
        <v>0</v>
      </c>
      <c r="K241" s="746">
        <v>0</v>
      </c>
      <c r="L241" s="778">
        <f t="shared" si="72"/>
        <v>18609.91</v>
      </c>
      <c r="M241" s="745">
        <f t="shared" si="73"/>
        <v>-609.90999999999985</v>
      </c>
      <c r="N241" s="779">
        <f t="shared" si="74"/>
        <v>1.0338838888888888</v>
      </c>
      <c r="O241" s="780" t="s">
        <v>2120</v>
      </c>
      <c r="P241" s="781">
        <v>0.13220000000000001</v>
      </c>
      <c r="Q241" s="781">
        <v>0</v>
      </c>
      <c r="R241" s="781">
        <v>0.86780000000000002</v>
      </c>
      <c r="S241" s="782">
        <f t="shared" si="75"/>
        <v>2460.230102</v>
      </c>
      <c r="T241" s="782">
        <f t="shared" si="75"/>
        <v>0</v>
      </c>
      <c r="U241" s="782">
        <f t="shared" si="75"/>
        <v>16149.679898</v>
      </c>
      <c r="W241" s="782"/>
      <c r="X241" s="782"/>
      <c r="Y241" s="783"/>
      <c r="Z241" s="782"/>
      <c r="AA241" s="782"/>
      <c r="AB241" s="783"/>
      <c r="AC241" s="777">
        <f t="shared" si="61"/>
        <v>0</v>
      </c>
      <c r="AD241" s="790">
        <f t="shared" si="59"/>
        <v>2379.6000000000004</v>
      </c>
      <c r="AE241" s="790">
        <f t="shared" si="58"/>
        <v>15620.4</v>
      </c>
      <c r="AF241" s="790">
        <f t="shared" si="60"/>
        <v>0</v>
      </c>
    </row>
    <row r="242" spans="1:32" ht="15" customHeight="1">
      <c r="A242" s="636" t="s">
        <v>1074</v>
      </c>
      <c r="B242" s="740" t="s">
        <v>2092</v>
      </c>
      <c r="C242" s="741" t="s">
        <v>2121</v>
      </c>
      <c r="D242" s="742" t="s">
        <v>2122</v>
      </c>
      <c r="E242" s="743" t="s">
        <v>2123</v>
      </c>
      <c r="F242" s="744" t="s">
        <v>1972</v>
      </c>
      <c r="G242" s="745">
        <v>64859.42</v>
      </c>
      <c r="H242" s="746">
        <v>41692.58</v>
      </c>
      <c r="I242" s="745">
        <f t="shared" si="71"/>
        <v>23166.839999999997</v>
      </c>
      <c r="J242" s="746">
        <v>22266.46</v>
      </c>
      <c r="K242" s="746">
        <v>0</v>
      </c>
      <c r="L242" s="778">
        <f t="shared" si="72"/>
        <v>63959.040000000001</v>
      </c>
      <c r="M242" s="745">
        <f t="shared" si="73"/>
        <v>900.37999999999738</v>
      </c>
      <c r="N242" s="779">
        <f t="shared" si="74"/>
        <v>0.98611797638646792</v>
      </c>
      <c r="O242" s="780" t="s">
        <v>2124</v>
      </c>
      <c r="P242" s="781">
        <v>0.35320000000000001</v>
      </c>
      <c r="Q242" s="781">
        <v>0</v>
      </c>
      <c r="R242" s="781">
        <v>0.64680000000000004</v>
      </c>
      <c r="S242" s="782">
        <f t="shared" si="75"/>
        <v>14725.819256000001</v>
      </c>
      <c r="T242" s="782">
        <f t="shared" si="75"/>
        <v>0</v>
      </c>
      <c r="U242" s="782">
        <f t="shared" si="75"/>
        <v>26966.760744000003</v>
      </c>
      <c r="W242" s="782"/>
      <c r="X242" s="782"/>
      <c r="Y242" s="783"/>
      <c r="Z242" s="782"/>
      <c r="AA242" s="782"/>
      <c r="AB242" s="783"/>
      <c r="AC242" s="777">
        <f t="shared" si="61"/>
        <v>0</v>
      </c>
      <c r="AD242" s="790">
        <f t="shared" si="59"/>
        <v>22908.347143999999</v>
      </c>
      <c r="AE242" s="790">
        <f t="shared" si="58"/>
        <v>41951.072855999999</v>
      </c>
      <c r="AF242" s="790">
        <f t="shared" si="60"/>
        <v>0</v>
      </c>
    </row>
    <row r="243" spans="1:32" ht="15" customHeight="1">
      <c r="A243" s="636" t="s">
        <v>1074</v>
      </c>
      <c r="B243" s="740" t="s">
        <v>2092</v>
      </c>
      <c r="C243" s="741" t="s">
        <v>2125</v>
      </c>
      <c r="D243" s="742" t="s">
        <v>2126</v>
      </c>
      <c r="E243" s="743" t="s">
        <v>2127</v>
      </c>
      <c r="F243" s="744" t="s">
        <v>1717</v>
      </c>
      <c r="G243" s="745">
        <v>577627.92000000004</v>
      </c>
      <c r="H243" s="746">
        <v>488422.08</v>
      </c>
      <c r="I243" s="745">
        <f t="shared" si="71"/>
        <v>89205.840000000026</v>
      </c>
      <c r="J243" s="746">
        <v>42142.880000000005</v>
      </c>
      <c r="K243" s="746">
        <v>73129.5</v>
      </c>
      <c r="L243" s="778">
        <f t="shared" si="72"/>
        <v>530564.96</v>
      </c>
      <c r="M243" s="745">
        <f t="shared" si="73"/>
        <v>47062.960000000079</v>
      </c>
      <c r="N243" s="779">
        <f t="shared" si="74"/>
        <v>0.91852374448935903</v>
      </c>
      <c r="O243" s="780" t="s">
        <v>2128</v>
      </c>
      <c r="P243" s="781">
        <v>0.1</v>
      </c>
      <c r="Q243" s="781">
        <v>0</v>
      </c>
      <c r="R243" s="781">
        <v>0.9</v>
      </c>
      <c r="S243" s="782">
        <f t="shared" si="75"/>
        <v>48842.208000000006</v>
      </c>
      <c r="T243" s="782">
        <f t="shared" si="75"/>
        <v>0</v>
      </c>
      <c r="U243" s="782">
        <f t="shared" si="75"/>
        <v>439579.87200000003</v>
      </c>
      <c r="W243" s="782"/>
      <c r="X243" s="782"/>
      <c r="Y243" s="783"/>
      <c r="Z243" s="782"/>
      <c r="AA243" s="782"/>
      <c r="AB243" s="783"/>
      <c r="AC243" s="777">
        <f t="shared" si="61"/>
        <v>0</v>
      </c>
      <c r="AD243" s="790">
        <f t="shared" si="59"/>
        <v>57762.792000000009</v>
      </c>
      <c r="AE243" s="790">
        <f t="shared" si="58"/>
        <v>519865.12800000003</v>
      </c>
      <c r="AF243" s="790">
        <f t="shared" si="60"/>
        <v>0</v>
      </c>
    </row>
    <row r="244" spans="1:32" ht="15" customHeight="1">
      <c r="A244" s="636" t="s">
        <v>1074</v>
      </c>
      <c r="B244" s="740" t="s">
        <v>2092</v>
      </c>
      <c r="C244" s="741" t="s">
        <v>2129</v>
      </c>
      <c r="D244" s="742" t="s">
        <v>2130</v>
      </c>
      <c r="E244" s="743" t="s">
        <v>2131</v>
      </c>
      <c r="F244" s="744" t="s">
        <v>2132</v>
      </c>
      <c r="G244" s="745">
        <v>13258898.029999999</v>
      </c>
      <c r="H244" s="746">
        <v>12645776.42</v>
      </c>
      <c r="I244" s="745">
        <f t="shared" si="71"/>
        <v>613121.6099999994</v>
      </c>
      <c r="J244" s="746">
        <v>43290.07</v>
      </c>
      <c r="K244" s="746">
        <v>2608975.35</v>
      </c>
      <c r="L244" s="778">
        <f t="shared" si="72"/>
        <v>12689066.49</v>
      </c>
      <c r="M244" s="745">
        <f t="shared" si="73"/>
        <v>569831.53999999911</v>
      </c>
      <c r="N244" s="779">
        <f t="shared" si="74"/>
        <v>0.95702270741424511</v>
      </c>
      <c r="O244" s="780" t="s">
        <v>2133</v>
      </c>
      <c r="P244" s="781">
        <v>0.46089999999999998</v>
      </c>
      <c r="Q244" s="781">
        <v>0</v>
      </c>
      <c r="R244" s="781">
        <v>0.53910000000000002</v>
      </c>
      <c r="S244" s="782">
        <f t="shared" si="75"/>
        <v>5828438.3519779993</v>
      </c>
      <c r="T244" s="782">
        <f t="shared" si="75"/>
        <v>0</v>
      </c>
      <c r="U244" s="782">
        <f t="shared" si="75"/>
        <v>6817338.0680220006</v>
      </c>
      <c r="W244" s="782"/>
      <c r="X244" s="782"/>
      <c r="Y244" s="783"/>
      <c r="Z244" s="782"/>
      <c r="AA244" s="782"/>
      <c r="AB244" s="783"/>
      <c r="AC244" s="777">
        <f t="shared" si="61"/>
        <v>0</v>
      </c>
      <c r="AD244" s="790">
        <f t="shared" si="59"/>
        <v>6111026.102026999</v>
      </c>
      <c r="AE244" s="790">
        <f t="shared" si="58"/>
        <v>7147871.9279730003</v>
      </c>
      <c r="AF244" s="790">
        <f t="shared" si="60"/>
        <v>0</v>
      </c>
    </row>
    <row r="245" spans="1:32" ht="15" customHeight="1">
      <c r="A245" s="636" t="s">
        <v>1074</v>
      </c>
      <c r="B245" s="740" t="s">
        <v>2092</v>
      </c>
      <c r="C245" s="741" t="s">
        <v>2134</v>
      </c>
      <c r="D245" s="742" t="s">
        <v>2135</v>
      </c>
      <c r="E245" s="743" t="s">
        <v>2136</v>
      </c>
      <c r="F245" s="744" t="s">
        <v>1299</v>
      </c>
      <c r="G245" s="745">
        <v>137073</v>
      </c>
      <c r="H245" s="746">
        <v>137073</v>
      </c>
      <c r="I245" s="745">
        <f t="shared" si="71"/>
        <v>0</v>
      </c>
      <c r="J245" s="746">
        <v>23.07</v>
      </c>
      <c r="K245" s="746">
        <v>63590</v>
      </c>
      <c r="L245" s="778">
        <f t="shared" si="72"/>
        <v>137096.07</v>
      </c>
      <c r="M245" s="745">
        <f t="shared" si="73"/>
        <v>-23.070000000006985</v>
      </c>
      <c r="N245" s="779">
        <f t="shared" si="74"/>
        <v>1.0001683044800946</v>
      </c>
      <c r="O245" s="780" t="s">
        <v>2137</v>
      </c>
      <c r="P245" s="781">
        <v>0</v>
      </c>
      <c r="Q245" s="781">
        <v>1</v>
      </c>
      <c r="R245" s="781">
        <v>0</v>
      </c>
      <c r="S245" s="782">
        <f t="shared" si="75"/>
        <v>0</v>
      </c>
      <c r="T245" s="782">
        <f t="shared" si="75"/>
        <v>137073</v>
      </c>
      <c r="U245" s="782">
        <f t="shared" si="75"/>
        <v>0</v>
      </c>
      <c r="W245" s="782"/>
      <c r="X245" s="782"/>
      <c r="Y245" s="783"/>
      <c r="Z245" s="782"/>
      <c r="AA245" s="782"/>
      <c r="AB245" s="783"/>
      <c r="AC245" s="777">
        <f t="shared" si="61"/>
        <v>0</v>
      </c>
      <c r="AD245" s="790">
        <f t="shared" si="59"/>
        <v>0</v>
      </c>
      <c r="AE245" s="790">
        <f t="shared" si="58"/>
        <v>0</v>
      </c>
      <c r="AF245" s="790">
        <f t="shared" si="60"/>
        <v>137073</v>
      </c>
    </row>
    <row r="246" spans="1:32" ht="15" customHeight="1">
      <c r="A246" s="636" t="s">
        <v>1074</v>
      </c>
      <c r="B246" s="740" t="s">
        <v>2092</v>
      </c>
      <c r="C246" s="741" t="s">
        <v>2138</v>
      </c>
      <c r="D246" s="742" t="s">
        <v>2139</v>
      </c>
      <c r="E246" s="743" t="s">
        <v>2140</v>
      </c>
      <c r="F246" s="744" t="s">
        <v>1279</v>
      </c>
      <c r="G246" s="745">
        <v>592777.68999999994</v>
      </c>
      <c r="H246" s="746">
        <v>8971.24</v>
      </c>
      <c r="I246" s="745">
        <f t="shared" si="71"/>
        <v>583806.44999999995</v>
      </c>
      <c r="J246" s="746">
        <v>19</v>
      </c>
      <c r="K246" s="746">
        <v>406056.86</v>
      </c>
      <c r="L246" s="778">
        <f t="shared" si="72"/>
        <v>8990.24</v>
      </c>
      <c r="M246" s="745">
        <f t="shared" si="73"/>
        <v>583787.44999999995</v>
      </c>
      <c r="N246" s="779">
        <f t="shared" si="74"/>
        <v>1.5166292780013364E-2</v>
      </c>
      <c r="O246" s="780" t="s">
        <v>2141</v>
      </c>
      <c r="P246" s="781">
        <v>0.24</v>
      </c>
      <c r="Q246" s="781">
        <v>0</v>
      </c>
      <c r="R246" s="781">
        <v>0.76</v>
      </c>
      <c r="S246" s="782">
        <f t="shared" si="75"/>
        <v>2153.0976000000001</v>
      </c>
      <c r="T246" s="782">
        <f t="shared" si="75"/>
        <v>0</v>
      </c>
      <c r="U246" s="782">
        <f t="shared" si="75"/>
        <v>6818.1423999999997</v>
      </c>
      <c r="W246" s="782"/>
      <c r="X246" s="782"/>
      <c r="Y246" s="783"/>
      <c r="Z246" s="782"/>
      <c r="AA246" s="782"/>
      <c r="AB246" s="783"/>
      <c r="AC246" s="777">
        <f t="shared" si="61"/>
        <v>0</v>
      </c>
      <c r="AD246" s="790">
        <f t="shared" si="59"/>
        <v>142266.64559999999</v>
      </c>
      <c r="AE246" s="790">
        <f t="shared" si="58"/>
        <v>450511.04439999996</v>
      </c>
      <c r="AF246" s="790">
        <f t="shared" si="60"/>
        <v>0</v>
      </c>
    </row>
    <row r="247" spans="1:32" ht="15" customHeight="1">
      <c r="A247" s="636" t="s">
        <v>1074</v>
      </c>
      <c r="B247" s="740" t="s">
        <v>2092</v>
      </c>
      <c r="C247" s="741" t="s">
        <v>2142</v>
      </c>
      <c r="D247" s="742" t="s">
        <v>2143</v>
      </c>
      <c r="E247" s="743" t="s">
        <v>2144</v>
      </c>
      <c r="F247" s="744" t="s">
        <v>1472</v>
      </c>
      <c r="G247" s="745">
        <v>18282.93</v>
      </c>
      <c r="H247" s="746">
        <v>17755</v>
      </c>
      <c r="I247" s="745">
        <f t="shared" si="71"/>
        <v>527.93000000000029</v>
      </c>
      <c r="J247" s="746">
        <v>0</v>
      </c>
      <c r="K247" s="746">
        <v>0</v>
      </c>
      <c r="L247" s="778">
        <f t="shared" si="72"/>
        <v>17755</v>
      </c>
      <c r="M247" s="745">
        <f t="shared" si="73"/>
        <v>527.93000000000029</v>
      </c>
      <c r="N247" s="779">
        <f t="shared" si="74"/>
        <v>0.97112443136849513</v>
      </c>
      <c r="O247" s="780" t="s">
        <v>2145</v>
      </c>
      <c r="P247" s="781">
        <v>0</v>
      </c>
      <c r="Q247" s="781">
        <v>0</v>
      </c>
      <c r="R247" s="781">
        <v>1</v>
      </c>
      <c r="S247" s="782">
        <f t="shared" si="75"/>
        <v>0</v>
      </c>
      <c r="T247" s="782">
        <f t="shared" si="75"/>
        <v>0</v>
      </c>
      <c r="U247" s="782">
        <f t="shared" si="75"/>
        <v>17755</v>
      </c>
      <c r="W247" s="782"/>
      <c r="X247" s="782"/>
      <c r="Y247" s="783"/>
      <c r="Z247" s="782"/>
      <c r="AA247" s="782"/>
      <c r="AB247" s="783"/>
      <c r="AC247" s="777">
        <f t="shared" si="61"/>
        <v>0</v>
      </c>
      <c r="AD247" s="790">
        <f t="shared" si="59"/>
        <v>0</v>
      </c>
      <c r="AE247" s="790">
        <f t="shared" si="58"/>
        <v>18282.93</v>
      </c>
      <c r="AF247" s="790">
        <f t="shared" si="60"/>
        <v>0</v>
      </c>
    </row>
    <row r="248" spans="1:32" ht="15" customHeight="1">
      <c r="A248" s="636" t="s">
        <v>1074</v>
      </c>
      <c r="B248" s="740" t="s">
        <v>2092</v>
      </c>
      <c r="C248" s="741" t="s">
        <v>2146</v>
      </c>
      <c r="D248" s="742" t="s">
        <v>2147</v>
      </c>
      <c r="E248" s="743" t="s">
        <v>2148</v>
      </c>
      <c r="F248" s="744" t="s">
        <v>2132</v>
      </c>
      <c r="G248" s="745">
        <v>1785898.01</v>
      </c>
      <c r="H248" s="746">
        <v>1191125.53</v>
      </c>
      <c r="I248" s="745">
        <f t="shared" si="71"/>
        <v>594772.47999999998</v>
      </c>
      <c r="J248" s="746">
        <v>31219.07</v>
      </c>
      <c r="K248" s="746">
        <v>594299.29</v>
      </c>
      <c r="L248" s="778">
        <f t="shared" si="72"/>
        <v>1222344.6000000001</v>
      </c>
      <c r="M248" s="745">
        <f t="shared" si="73"/>
        <v>563553.40999999992</v>
      </c>
      <c r="N248" s="779">
        <f t="shared" si="74"/>
        <v>0.6844425567168867</v>
      </c>
      <c r="O248" s="780" t="s">
        <v>2149</v>
      </c>
      <c r="P248" s="781">
        <v>0.22320000000000001</v>
      </c>
      <c r="Q248" s="781">
        <v>0</v>
      </c>
      <c r="R248" s="781">
        <v>0.77680000000000005</v>
      </c>
      <c r="S248" s="782">
        <f t="shared" si="75"/>
        <v>265859.21829600004</v>
      </c>
      <c r="T248" s="782">
        <f t="shared" si="75"/>
        <v>0</v>
      </c>
      <c r="U248" s="782">
        <f t="shared" si="75"/>
        <v>925266.31170400011</v>
      </c>
      <c r="W248" s="782"/>
      <c r="X248" s="782"/>
      <c r="Y248" s="783"/>
      <c r="Z248" s="782"/>
      <c r="AA248" s="782"/>
      <c r="AB248" s="783"/>
      <c r="AC248" s="777">
        <f t="shared" si="61"/>
        <v>0</v>
      </c>
      <c r="AD248" s="790">
        <f t="shared" si="59"/>
        <v>398612.43583200005</v>
      </c>
      <c r="AE248" s="790">
        <f t="shared" si="58"/>
        <v>1387285.5741680001</v>
      </c>
      <c r="AF248" s="790">
        <f t="shared" si="60"/>
        <v>0</v>
      </c>
    </row>
    <row r="249" spans="1:32" ht="15" customHeight="1">
      <c r="A249" s="636" t="s">
        <v>1074</v>
      </c>
      <c r="B249" s="740" t="s">
        <v>2092</v>
      </c>
      <c r="C249" s="741" t="s">
        <v>2150</v>
      </c>
      <c r="D249" s="742" t="s">
        <v>2151</v>
      </c>
      <c r="E249" s="743" t="s">
        <v>2152</v>
      </c>
      <c r="F249" s="744" t="s">
        <v>1731</v>
      </c>
      <c r="G249" s="745">
        <v>81228.100000000006</v>
      </c>
      <c r="H249" s="746">
        <v>27545.65</v>
      </c>
      <c r="I249" s="745">
        <f t="shared" si="71"/>
        <v>53682.450000000004</v>
      </c>
      <c r="J249" s="746">
        <v>54801.95</v>
      </c>
      <c r="K249" s="746">
        <v>0</v>
      </c>
      <c r="L249" s="778">
        <f t="shared" si="72"/>
        <v>82347.600000000006</v>
      </c>
      <c r="M249" s="745">
        <f t="shared" si="73"/>
        <v>-1119.5</v>
      </c>
      <c r="N249" s="779">
        <f t="shared" si="74"/>
        <v>1.0137821763650756</v>
      </c>
      <c r="O249" s="780" t="s">
        <v>2153</v>
      </c>
      <c r="P249" s="781">
        <v>0.1055</v>
      </c>
      <c r="Q249" s="781">
        <v>0</v>
      </c>
      <c r="R249" s="781">
        <v>0.89449999999999996</v>
      </c>
      <c r="S249" s="782">
        <f t="shared" si="75"/>
        <v>2906.0660750000002</v>
      </c>
      <c r="T249" s="782">
        <f t="shared" si="75"/>
        <v>0</v>
      </c>
      <c r="U249" s="782">
        <f t="shared" si="75"/>
        <v>24639.583924999999</v>
      </c>
      <c r="W249" s="782"/>
      <c r="X249" s="782"/>
      <c r="Y249" s="783"/>
      <c r="Z249" s="782"/>
      <c r="AA249" s="782"/>
      <c r="AB249" s="783"/>
      <c r="AC249" s="777">
        <f t="shared" si="61"/>
        <v>0</v>
      </c>
      <c r="AD249" s="790">
        <f t="shared" si="59"/>
        <v>8569.564550000001</v>
      </c>
      <c r="AE249" s="790">
        <f t="shared" si="58"/>
        <v>72658.535449999996</v>
      </c>
      <c r="AF249" s="790">
        <f t="shared" si="60"/>
        <v>0</v>
      </c>
    </row>
    <row r="250" spans="1:32" ht="15" customHeight="1">
      <c r="A250" s="636" t="s">
        <v>1074</v>
      </c>
      <c r="B250" s="740" t="s">
        <v>2092</v>
      </c>
      <c r="C250" s="741" t="s">
        <v>2154</v>
      </c>
      <c r="D250" s="742" t="s">
        <v>2155</v>
      </c>
      <c r="E250" s="743" t="s">
        <v>2156</v>
      </c>
      <c r="F250" s="744" t="s">
        <v>2132</v>
      </c>
      <c r="G250" s="745">
        <v>499999.84</v>
      </c>
      <c r="H250" s="746">
        <v>260024.94</v>
      </c>
      <c r="I250" s="745">
        <f t="shared" si="71"/>
        <v>239974.90000000002</v>
      </c>
      <c r="J250" s="746">
        <v>137244</v>
      </c>
      <c r="K250" s="746">
        <v>435744.84</v>
      </c>
      <c r="L250" s="778">
        <f t="shared" si="72"/>
        <v>397268.94</v>
      </c>
      <c r="M250" s="745">
        <f t="shared" si="73"/>
        <v>102730.90000000002</v>
      </c>
      <c r="N250" s="779">
        <f t="shared" si="74"/>
        <v>0.79453813425220288</v>
      </c>
      <c r="O250" s="780" t="s">
        <v>2157</v>
      </c>
      <c r="P250" s="781">
        <v>0.50409999999999999</v>
      </c>
      <c r="Q250" s="781">
        <v>0</v>
      </c>
      <c r="R250" s="781">
        <v>0.49590000000000001</v>
      </c>
      <c r="S250" s="782">
        <f t="shared" si="75"/>
        <v>131078.572254</v>
      </c>
      <c r="T250" s="782">
        <f t="shared" si="75"/>
        <v>0</v>
      </c>
      <c r="U250" s="782">
        <f t="shared" si="75"/>
        <v>128946.367746</v>
      </c>
      <c r="W250" s="782"/>
      <c r="X250" s="782"/>
      <c r="Y250" s="783"/>
      <c r="Z250" s="782"/>
      <c r="AA250" s="782"/>
      <c r="AB250" s="783"/>
      <c r="AC250" s="777">
        <f t="shared" si="61"/>
        <v>0</v>
      </c>
      <c r="AD250" s="790">
        <f t="shared" si="59"/>
        <v>252049.91934400002</v>
      </c>
      <c r="AE250" s="790">
        <f t="shared" si="58"/>
        <v>247949.920656</v>
      </c>
      <c r="AF250" s="790">
        <f t="shared" si="60"/>
        <v>0</v>
      </c>
    </row>
    <row r="251" spans="1:32" ht="15" customHeight="1">
      <c r="A251" s="636" t="s">
        <v>1074</v>
      </c>
      <c r="B251" s="740" t="s">
        <v>2092</v>
      </c>
      <c r="C251" s="741" t="s">
        <v>2158</v>
      </c>
      <c r="D251" s="742" t="s">
        <v>2159</v>
      </c>
      <c r="E251" s="743" t="s">
        <v>2160</v>
      </c>
      <c r="F251" s="744" t="s">
        <v>2161</v>
      </c>
      <c r="G251" s="745">
        <v>4241238</v>
      </c>
      <c r="H251" s="746">
        <v>3491356.91</v>
      </c>
      <c r="I251" s="745">
        <f t="shared" si="71"/>
        <v>749881.08999999985</v>
      </c>
      <c r="J251" s="746">
        <v>21362.910000000003</v>
      </c>
      <c r="K251" s="746">
        <v>826303.55</v>
      </c>
      <c r="L251" s="778">
        <f t="shared" si="72"/>
        <v>3512719.8200000003</v>
      </c>
      <c r="M251" s="745">
        <f t="shared" si="73"/>
        <v>728518.1799999997</v>
      </c>
      <c r="N251" s="779">
        <f t="shared" si="74"/>
        <v>0.82822982817752744</v>
      </c>
      <c r="O251" s="780" t="s">
        <v>2162</v>
      </c>
      <c r="P251" s="781">
        <v>0.26919999999999999</v>
      </c>
      <c r="Q251" s="781">
        <v>0.73080000000000001</v>
      </c>
      <c r="R251" s="781">
        <v>0</v>
      </c>
      <c r="S251" s="782">
        <f t="shared" si="75"/>
        <v>939873.28017200006</v>
      </c>
      <c r="T251" s="782">
        <f t="shared" si="75"/>
        <v>2551483.629828</v>
      </c>
      <c r="U251" s="782">
        <f t="shared" si="75"/>
        <v>0</v>
      </c>
      <c r="W251" s="782"/>
      <c r="X251" s="782"/>
      <c r="Y251" s="783"/>
      <c r="Z251" s="782"/>
      <c r="AA251" s="782"/>
      <c r="AB251" s="783"/>
      <c r="AC251" s="777">
        <f t="shared" si="61"/>
        <v>0</v>
      </c>
      <c r="AD251" s="790">
        <f t="shared" si="59"/>
        <v>1141741.2696</v>
      </c>
      <c r="AE251" s="790">
        <f t="shared" si="58"/>
        <v>0</v>
      </c>
      <c r="AF251" s="790">
        <f t="shared" si="60"/>
        <v>3099496.7304000002</v>
      </c>
    </row>
    <row r="252" spans="1:32" ht="15" customHeight="1">
      <c r="A252" s="636" t="s">
        <v>1074</v>
      </c>
      <c r="B252" s="740" t="s">
        <v>2092</v>
      </c>
      <c r="C252" s="741" t="s">
        <v>2163</v>
      </c>
      <c r="D252" s="742" t="s">
        <v>2164</v>
      </c>
      <c r="E252" s="743" t="s">
        <v>2165</v>
      </c>
      <c r="F252" s="744" t="s">
        <v>1472</v>
      </c>
      <c r="G252" s="745">
        <v>18841</v>
      </c>
      <c r="H252" s="746">
        <v>10470.299999999999</v>
      </c>
      <c r="I252" s="745">
        <f t="shared" si="71"/>
        <v>8370.7000000000007</v>
      </c>
      <c r="J252" s="746">
        <v>6000</v>
      </c>
      <c r="K252" s="746">
        <v>0</v>
      </c>
      <c r="L252" s="778">
        <f t="shared" si="72"/>
        <v>16470.3</v>
      </c>
      <c r="M252" s="745">
        <f t="shared" si="73"/>
        <v>2370.7000000000007</v>
      </c>
      <c r="N252" s="779">
        <f t="shared" si="74"/>
        <v>0.87417334536383418</v>
      </c>
      <c r="O252" s="780" t="s">
        <v>2166</v>
      </c>
      <c r="P252" s="781">
        <v>0</v>
      </c>
      <c r="Q252" s="781">
        <v>0.5</v>
      </c>
      <c r="R252" s="781">
        <v>0.5</v>
      </c>
      <c r="S252" s="782">
        <f t="shared" si="75"/>
        <v>0</v>
      </c>
      <c r="T252" s="782">
        <f t="shared" si="75"/>
        <v>5235.1499999999996</v>
      </c>
      <c r="U252" s="782">
        <f t="shared" si="75"/>
        <v>5235.1499999999996</v>
      </c>
      <c r="W252" s="782"/>
      <c r="X252" s="782"/>
      <c r="Y252" s="783"/>
      <c r="Z252" s="782"/>
      <c r="AA252" s="782"/>
      <c r="AB252" s="783"/>
      <c r="AC252" s="777">
        <f t="shared" si="61"/>
        <v>0</v>
      </c>
      <c r="AD252" s="790">
        <f t="shared" si="59"/>
        <v>0</v>
      </c>
      <c r="AE252" s="790">
        <f t="shared" si="58"/>
        <v>9420.5</v>
      </c>
      <c r="AF252" s="790">
        <f t="shared" si="60"/>
        <v>9420.5</v>
      </c>
    </row>
    <row r="253" spans="1:32" ht="15" customHeight="1">
      <c r="A253" s="636" t="s">
        <v>1074</v>
      </c>
      <c r="B253" s="740" t="s">
        <v>2092</v>
      </c>
      <c r="C253" s="741" t="s">
        <v>2167</v>
      </c>
      <c r="D253" s="742" t="s">
        <v>2168</v>
      </c>
      <c r="E253" s="743" t="s">
        <v>2169</v>
      </c>
      <c r="F253" s="744" t="s">
        <v>1472</v>
      </c>
      <c r="G253" s="745">
        <v>37137</v>
      </c>
      <c r="H253" s="746">
        <v>37136.800000000003</v>
      </c>
      <c r="I253" s="745">
        <f t="shared" si="71"/>
        <v>0.19999999999708962</v>
      </c>
      <c r="J253" s="746">
        <v>0</v>
      </c>
      <c r="K253" s="746">
        <v>0</v>
      </c>
      <c r="L253" s="778">
        <f t="shared" si="72"/>
        <v>37136.800000000003</v>
      </c>
      <c r="M253" s="745">
        <f t="shared" si="73"/>
        <v>0.19999999999708962</v>
      </c>
      <c r="N253" s="779">
        <f t="shared" si="74"/>
        <v>0.99999461453536909</v>
      </c>
      <c r="O253" s="780" t="s">
        <v>2170</v>
      </c>
      <c r="P253" s="781">
        <v>0</v>
      </c>
      <c r="Q253" s="781">
        <v>0.5</v>
      </c>
      <c r="R253" s="781">
        <v>0.5</v>
      </c>
      <c r="S253" s="782">
        <f t="shared" si="75"/>
        <v>0</v>
      </c>
      <c r="T253" s="782">
        <f t="shared" si="75"/>
        <v>18568.400000000001</v>
      </c>
      <c r="U253" s="782">
        <f t="shared" si="75"/>
        <v>18568.400000000001</v>
      </c>
      <c r="W253" s="782"/>
      <c r="X253" s="782"/>
      <c r="Y253" s="783"/>
      <c r="Z253" s="782"/>
      <c r="AA253" s="782"/>
      <c r="AB253" s="783"/>
      <c r="AC253" s="777">
        <f t="shared" si="61"/>
        <v>0</v>
      </c>
      <c r="AD253" s="790">
        <f t="shared" si="59"/>
        <v>0</v>
      </c>
      <c r="AE253" s="790">
        <f t="shared" si="58"/>
        <v>18568.5</v>
      </c>
      <c r="AF253" s="790">
        <f t="shared" si="60"/>
        <v>18568.5</v>
      </c>
    </row>
    <row r="254" spans="1:32" ht="15" customHeight="1">
      <c r="A254" s="636" t="s">
        <v>1074</v>
      </c>
      <c r="B254" s="740" t="s">
        <v>2092</v>
      </c>
      <c r="C254" s="741" t="s">
        <v>2171</v>
      </c>
      <c r="D254" s="742" t="s">
        <v>2172</v>
      </c>
      <c r="E254" s="743" t="s">
        <v>2173</v>
      </c>
      <c r="F254" s="744" t="s">
        <v>2174</v>
      </c>
      <c r="G254" s="745">
        <v>0</v>
      </c>
      <c r="H254" s="746">
        <v>-14381.16</v>
      </c>
      <c r="I254" s="745">
        <f t="shared" si="71"/>
        <v>14381.16</v>
      </c>
      <c r="J254" s="746">
        <v>0</v>
      </c>
      <c r="K254" s="746">
        <v>0</v>
      </c>
      <c r="L254" s="778">
        <f t="shared" si="72"/>
        <v>-14381.16</v>
      </c>
      <c r="M254" s="745">
        <f t="shared" si="73"/>
        <v>14381.16</v>
      </c>
      <c r="N254" s="779">
        <f t="shared" si="74"/>
        <v>0</v>
      </c>
      <c r="O254" s="780" t="s">
        <v>2175</v>
      </c>
      <c r="P254" s="781">
        <v>1</v>
      </c>
      <c r="Q254" s="781">
        <v>0</v>
      </c>
      <c r="R254" s="781">
        <v>0</v>
      </c>
      <c r="S254" s="782">
        <f t="shared" ref="S254:U268" si="76">$H254*P254</f>
        <v>-14381.16</v>
      </c>
      <c r="T254" s="782">
        <f t="shared" si="76"/>
        <v>0</v>
      </c>
      <c r="U254" s="782">
        <f t="shared" si="76"/>
        <v>0</v>
      </c>
      <c r="W254" s="782"/>
      <c r="X254" s="782"/>
      <c r="Y254" s="783"/>
      <c r="Z254" s="782"/>
      <c r="AA254" s="782"/>
      <c r="AB254" s="783"/>
      <c r="AC254" s="777">
        <f t="shared" si="61"/>
        <v>0</v>
      </c>
      <c r="AD254" s="790">
        <f t="shared" si="59"/>
        <v>0</v>
      </c>
      <c r="AE254" s="790">
        <f t="shared" si="58"/>
        <v>0</v>
      </c>
      <c r="AF254" s="790">
        <f t="shared" si="60"/>
        <v>0</v>
      </c>
    </row>
    <row r="255" spans="1:32" ht="15" customHeight="1">
      <c r="A255" s="636" t="s">
        <v>1074</v>
      </c>
      <c r="B255" s="740" t="s">
        <v>2092</v>
      </c>
      <c r="C255" s="741" t="s">
        <v>2163</v>
      </c>
      <c r="D255" s="742" t="s">
        <v>2176</v>
      </c>
      <c r="E255" s="743" t="s">
        <v>2177</v>
      </c>
      <c r="F255" s="744" t="s">
        <v>1472</v>
      </c>
      <c r="G255" s="745">
        <v>13356.53</v>
      </c>
      <c r="H255" s="746">
        <v>13356.53</v>
      </c>
      <c r="I255" s="745">
        <f t="shared" si="71"/>
        <v>0</v>
      </c>
      <c r="J255" s="746">
        <v>0</v>
      </c>
      <c r="K255" s="746">
        <v>0</v>
      </c>
      <c r="L255" s="778">
        <f t="shared" si="72"/>
        <v>13356.53</v>
      </c>
      <c r="M255" s="745">
        <f t="shared" si="73"/>
        <v>0</v>
      </c>
      <c r="N255" s="779">
        <f t="shared" si="74"/>
        <v>1</v>
      </c>
      <c r="O255" s="780" t="s">
        <v>2178</v>
      </c>
      <c r="P255" s="781">
        <v>0</v>
      </c>
      <c r="Q255" s="781">
        <v>0.5</v>
      </c>
      <c r="R255" s="781">
        <v>0.5</v>
      </c>
      <c r="S255" s="782">
        <f t="shared" si="76"/>
        <v>0</v>
      </c>
      <c r="T255" s="782">
        <f t="shared" si="76"/>
        <v>6678.2650000000003</v>
      </c>
      <c r="U255" s="782">
        <f t="shared" si="76"/>
        <v>6678.2650000000003</v>
      </c>
      <c r="W255" s="782"/>
      <c r="X255" s="782"/>
      <c r="Y255" s="783"/>
      <c r="Z255" s="782"/>
      <c r="AA255" s="782"/>
      <c r="AB255" s="783"/>
      <c r="AC255" s="777">
        <f t="shared" si="61"/>
        <v>0</v>
      </c>
      <c r="AD255" s="790">
        <f t="shared" si="59"/>
        <v>0</v>
      </c>
      <c r="AE255" s="790">
        <f t="shared" si="58"/>
        <v>6678.2650000000003</v>
      </c>
      <c r="AF255" s="790">
        <f t="shared" si="60"/>
        <v>6678.2650000000003</v>
      </c>
    </row>
    <row r="256" spans="1:32" ht="15" customHeight="1">
      <c r="A256" s="636" t="s">
        <v>1074</v>
      </c>
      <c r="B256" s="740" t="s">
        <v>2092</v>
      </c>
      <c r="C256" s="741" t="s">
        <v>2179</v>
      </c>
      <c r="D256" s="742" t="s">
        <v>2180</v>
      </c>
      <c r="E256" s="743" t="s">
        <v>2181</v>
      </c>
      <c r="F256" s="744" t="s">
        <v>1731</v>
      </c>
      <c r="G256" s="745">
        <v>0</v>
      </c>
      <c r="H256" s="746">
        <v>-880</v>
      </c>
      <c r="I256" s="745">
        <f t="shared" si="71"/>
        <v>880</v>
      </c>
      <c r="J256" s="746">
        <v>2411.02</v>
      </c>
      <c r="K256" s="746">
        <v>0</v>
      </c>
      <c r="L256" s="778">
        <f t="shared" si="72"/>
        <v>1531.02</v>
      </c>
      <c r="M256" s="745">
        <f t="shared" si="73"/>
        <v>-1531.02</v>
      </c>
      <c r="N256" s="779">
        <f t="shared" si="74"/>
        <v>0</v>
      </c>
      <c r="O256" s="780" t="s">
        <v>2182</v>
      </c>
      <c r="P256" s="781">
        <v>0.219</v>
      </c>
      <c r="Q256" s="781">
        <v>0</v>
      </c>
      <c r="R256" s="781">
        <v>0.78100000000000003</v>
      </c>
      <c r="S256" s="782">
        <f t="shared" si="76"/>
        <v>-192.72</v>
      </c>
      <c r="T256" s="782">
        <f t="shared" si="76"/>
        <v>0</v>
      </c>
      <c r="U256" s="782">
        <f t="shared" si="76"/>
        <v>-687.28</v>
      </c>
      <c r="W256" s="782"/>
      <c r="X256" s="782"/>
      <c r="Y256" s="783"/>
      <c r="Z256" s="782"/>
      <c r="AA256" s="782"/>
      <c r="AB256" s="783"/>
      <c r="AC256" s="777">
        <f t="shared" si="61"/>
        <v>0</v>
      </c>
      <c r="AD256" s="790">
        <f t="shared" si="59"/>
        <v>0</v>
      </c>
      <c r="AE256" s="790">
        <f t="shared" si="58"/>
        <v>0</v>
      </c>
      <c r="AF256" s="790">
        <f t="shared" si="60"/>
        <v>0</v>
      </c>
    </row>
    <row r="257" spans="1:32" ht="15" customHeight="1">
      <c r="A257" s="636" t="s">
        <v>1074</v>
      </c>
      <c r="B257" s="740" t="s">
        <v>2092</v>
      </c>
      <c r="C257" s="741" t="s">
        <v>2183</v>
      </c>
      <c r="D257" s="742" t="s">
        <v>2184</v>
      </c>
      <c r="E257" s="743" t="s">
        <v>2185</v>
      </c>
      <c r="F257" s="744" t="s">
        <v>2013</v>
      </c>
      <c r="G257" s="745">
        <v>1751514.78</v>
      </c>
      <c r="H257" s="746">
        <v>1322974.71</v>
      </c>
      <c r="I257" s="745">
        <f t="shared" si="71"/>
        <v>428540.07000000007</v>
      </c>
      <c r="J257" s="746">
        <v>21026.6</v>
      </c>
      <c r="K257" s="746">
        <v>741255.35</v>
      </c>
      <c r="L257" s="778">
        <f t="shared" si="72"/>
        <v>1344001.31</v>
      </c>
      <c r="M257" s="745">
        <f t="shared" si="73"/>
        <v>407513.47</v>
      </c>
      <c r="N257" s="779">
        <f t="shared" si="74"/>
        <v>0.76733655082259711</v>
      </c>
      <c r="O257" s="780" t="s">
        <v>2186</v>
      </c>
      <c r="P257" s="781">
        <v>0.26090000000000002</v>
      </c>
      <c r="Q257" s="781">
        <v>0</v>
      </c>
      <c r="R257" s="781">
        <v>0.73909999999999998</v>
      </c>
      <c r="S257" s="782">
        <f t="shared" si="76"/>
        <v>345164.10183900001</v>
      </c>
      <c r="T257" s="782">
        <f t="shared" si="76"/>
        <v>0</v>
      </c>
      <c r="U257" s="782">
        <f t="shared" si="76"/>
        <v>977810.60816099995</v>
      </c>
      <c r="W257" s="782"/>
      <c r="X257" s="782"/>
      <c r="Y257" s="783"/>
      <c r="Z257" s="782"/>
      <c r="AA257" s="782"/>
      <c r="AB257" s="783"/>
      <c r="AC257" s="777">
        <f t="shared" si="61"/>
        <v>0</v>
      </c>
      <c r="AD257" s="790">
        <f t="shared" si="59"/>
        <v>456970.20610200003</v>
      </c>
      <c r="AE257" s="790">
        <f t="shared" si="58"/>
        <v>1294544.5738979999</v>
      </c>
      <c r="AF257" s="790">
        <f t="shared" si="60"/>
        <v>0</v>
      </c>
    </row>
    <row r="258" spans="1:32" ht="15" customHeight="1">
      <c r="A258" s="636" t="s">
        <v>1074</v>
      </c>
      <c r="B258" s="740" t="s">
        <v>2092</v>
      </c>
      <c r="C258" s="741" t="s">
        <v>2187</v>
      </c>
      <c r="D258" s="742" t="s">
        <v>2188</v>
      </c>
      <c r="E258" s="743" t="s">
        <v>2189</v>
      </c>
      <c r="F258" s="744" t="s">
        <v>1731</v>
      </c>
      <c r="G258" s="745">
        <v>11000</v>
      </c>
      <c r="H258" s="746">
        <v>11000</v>
      </c>
      <c r="I258" s="745">
        <f t="shared" si="71"/>
        <v>0</v>
      </c>
      <c r="J258" s="746">
        <v>0</v>
      </c>
      <c r="K258" s="746">
        <v>0</v>
      </c>
      <c r="L258" s="778">
        <f t="shared" si="72"/>
        <v>11000</v>
      </c>
      <c r="M258" s="745">
        <f t="shared" si="73"/>
        <v>0</v>
      </c>
      <c r="N258" s="779">
        <f t="shared" si="74"/>
        <v>1</v>
      </c>
      <c r="O258" s="780" t="s">
        <v>2190</v>
      </c>
      <c r="P258" s="781">
        <v>0.27</v>
      </c>
      <c r="Q258" s="781">
        <v>0</v>
      </c>
      <c r="R258" s="781">
        <v>0.73</v>
      </c>
      <c r="S258" s="782">
        <f t="shared" si="76"/>
        <v>2970</v>
      </c>
      <c r="T258" s="782">
        <f t="shared" si="76"/>
        <v>0</v>
      </c>
      <c r="U258" s="782">
        <f t="shared" si="76"/>
        <v>8030</v>
      </c>
      <c r="W258" s="782"/>
      <c r="X258" s="782"/>
      <c r="Y258" s="783"/>
      <c r="Z258" s="782"/>
      <c r="AA258" s="782"/>
      <c r="AB258" s="783"/>
      <c r="AC258" s="777">
        <f t="shared" si="61"/>
        <v>0</v>
      </c>
      <c r="AD258" s="790">
        <f t="shared" si="59"/>
        <v>2970</v>
      </c>
      <c r="AE258" s="790">
        <f t="shared" si="58"/>
        <v>8030</v>
      </c>
      <c r="AF258" s="790">
        <f t="shared" si="60"/>
        <v>0</v>
      </c>
    </row>
    <row r="259" spans="1:32" ht="15" customHeight="1">
      <c r="A259" s="636" t="s">
        <v>1074</v>
      </c>
      <c r="B259" s="740" t="s">
        <v>2092</v>
      </c>
      <c r="C259" s="741" t="s">
        <v>2191</v>
      </c>
      <c r="D259" s="742" t="s">
        <v>2192</v>
      </c>
      <c r="E259" s="743" t="s">
        <v>2193</v>
      </c>
      <c r="F259" s="744" t="s">
        <v>1731</v>
      </c>
      <c r="G259" s="745">
        <v>123351.65</v>
      </c>
      <c r="H259" s="746">
        <v>68670.8</v>
      </c>
      <c r="I259" s="745">
        <f t="shared" si="71"/>
        <v>54680.849999999991</v>
      </c>
      <c r="J259" s="746">
        <v>0</v>
      </c>
      <c r="K259" s="746">
        <v>0</v>
      </c>
      <c r="L259" s="778">
        <f t="shared" si="72"/>
        <v>68670.8</v>
      </c>
      <c r="M259" s="745">
        <f t="shared" si="73"/>
        <v>54680.849999999991</v>
      </c>
      <c r="N259" s="779">
        <f t="shared" si="74"/>
        <v>0.55670759166983175</v>
      </c>
      <c r="O259" s="780" t="s">
        <v>2194</v>
      </c>
      <c r="P259" s="781">
        <v>0.15640000000000001</v>
      </c>
      <c r="Q259" s="781">
        <v>0</v>
      </c>
      <c r="R259" s="781">
        <v>0.84360000000000002</v>
      </c>
      <c r="S259" s="782">
        <f t="shared" si="76"/>
        <v>10740.113120000002</v>
      </c>
      <c r="T259" s="782">
        <f t="shared" si="76"/>
        <v>0</v>
      </c>
      <c r="U259" s="782">
        <f t="shared" si="76"/>
        <v>57930.686880000001</v>
      </c>
      <c r="W259" s="782"/>
      <c r="X259" s="782"/>
      <c r="Y259" s="783"/>
      <c r="Z259" s="782"/>
      <c r="AA259" s="782"/>
      <c r="AB259" s="783"/>
      <c r="AC259" s="777">
        <f t="shared" si="61"/>
        <v>0</v>
      </c>
      <c r="AD259" s="790">
        <f t="shared" si="59"/>
        <v>19292.198059999999</v>
      </c>
      <c r="AE259" s="790">
        <f t="shared" si="58"/>
        <v>104059.45194</v>
      </c>
      <c r="AF259" s="790">
        <f t="shared" si="60"/>
        <v>0</v>
      </c>
    </row>
    <row r="260" spans="1:32" ht="15" customHeight="1">
      <c r="A260" s="636" t="s">
        <v>1074</v>
      </c>
      <c r="B260" s="740" t="s">
        <v>2092</v>
      </c>
      <c r="C260" s="741" t="s">
        <v>2195</v>
      </c>
      <c r="D260" s="742" t="s">
        <v>2196</v>
      </c>
      <c r="E260" s="743" t="s">
        <v>2197</v>
      </c>
      <c r="F260" s="744" t="s">
        <v>1748</v>
      </c>
      <c r="G260" s="745">
        <v>1848260.44</v>
      </c>
      <c r="H260" s="746">
        <v>778722.9</v>
      </c>
      <c r="I260" s="745">
        <f t="shared" si="71"/>
        <v>1069537.54</v>
      </c>
      <c r="J260" s="746">
        <v>80599.850000000006</v>
      </c>
      <c r="K260" s="746">
        <v>1139475.49</v>
      </c>
      <c r="L260" s="778">
        <f t="shared" si="72"/>
        <v>859322.75</v>
      </c>
      <c r="M260" s="745">
        <f t="shared" si="73"/>
        <v>988937.69</v>
      </c>
      <c r="N260" s="779">
        <f t="shared" si="74"/>
        <v>0.46493596432762474</v>
      </c>
      <c r="O260" s="780" t="s">
        <v>2198</v>
      </c>
      <c r="P260" s="781">
        <v>0.80900000000000005</v>
      </c>
      <c r="Q260" s="781">
        <v>0</v>
      </c>
      <c r="R260" s="781">
        <v>0.191</v>
      </c>
      <c r="S260" s="782">
        <f t="shared" si="76"/>
        <v>629986.82610000006</v>
      </c>
      <c r="T260" s="782">
        <f t="shared" si="76"/>
        <v>0</v>
      </c>
      <c r="U260" s="782">
        <f t="shared" si="76"/>
        <v>148736.07390000002</v>
      </c>
      <c r="W260" s="782"/>
      <c r="X260" s="782"/>
      <c r="Y260" s="783"/>
      <c r="Z260" s="782"/>
      <c r="AA260" s="782"/>
      <c r="AB260" s="783"/>
      <c r="AC260" s="777">
        <f t="shared" si="61"/>
        <v>0</v>
      </c>
      <c r="AD260" s="790">
        <f t="shared" si="59"/>
        <v>1495242.6959600002</v>
      </c>
      <c r="AE260" s="790">
        <f t="shared" si="58"/>
        <v>353017.74404000002</v>
      </c>
      <c r="AF260" s="790">
        <f t="shared" si="60"/>
        <v>0</v>
      </c>
    </row>
    <row r="261" spans="1:32" ht="15" customHeight="1">
      <c r="A261" s="636" t="s">
        <v>1074</v>
      </c>
      <c r="B261" s="740" t="s">
        <v>2092</v>
      </c>
      <c r="C261" s="741" t="s">
        <v>2199</v>
      </c>
      <c r="D261" s="742" t="s">
        <v>2200</v>
      </c>
      <c r="E261" s="743" t="s">
        <v>2201</v>
      </c>
      <c r="F261" s="744" t="s">
        <v>1726</v>
      </c>
      <c r="G261" s="745">
        <v>2086659.04</v>
      </c>
      <c r="H261" s="746">
        <v>1111811.8500000001</v>
      </c>
      <c r="I261" s="745">
        <f t="shared" si="71"/>
        <v>974847.19</v>
      </c>
      <c r="J261" s="746">
        <v>5185.25</v>
      </c>
      <c r="K261" s="746">
        <v>432664.98000000004</v>
      </c>
      <c r="L261" s="778">
        <f t="shared" si="72"/>
        <v>1116997.1000000001</v>
      </c>
      <c r="M261" s="745">
        <f t="shared" si="73"/>
        <v>969661.94</v>
      </c>
      <c r="N261" s="779">
        <f t="shared" si="74"/>
        <v>0.53530408111140193</v>
      </c>
      <c r="O261" s="780" t="s">
        <v>2202</v>
      </c>
      <c r="P261" s="781">
        <v>0.41470000000000001</v>
      </c>
      <c r="Q261" s="781">
        <v>0</v>
      </c>
      <c r="R261" s="781">
        <v>0.58530000000000004</v>
      </c>
      <c r="S261" s="782">
        <f t="shared" si="76"/>
        <v>461068.37419500004</v>
      </c>
      <c r="T261" s="782">
        <f t="shared" si="76"/>
        <v>0</v>
      </c>
      <c r="U261" s="782">
        <f t="shared" si="76"/>
        <v>650743.47580500005</v>
      </c>
      <c r="W261" s="782"/>
      <c r="X261" s="782"/>
      <c r="Y261" s="783"/>
      <c r="Z261" s="782"/>
      <c r="AA261" s="782"/>
      <c r="AB261" s="783"/>
      <c r="AC261" s="777">
        <f t="shared" si="61"/>
        <v>0</v>
      </c>
      <c r="AD261" s="790">
        <f t="shared" si="59"/>
        <v>865337.50388800004</v>
      </c>
      <c r="AE261" s="790">
        <f t="shared" si="58"/>
        <v>1221321.536112</v>
      </c>
      <c r="AF261" s="790">
        <f t="shared" si="60"/>
        <v>0</v>
      </c>
    </row>
    <row r="262" spans="1:32" ht="15" customHeight="1">
      <c r="A262" s="636" t="s">
        <v>1074</v>
      </c>
      <c r="B262" s="740" t="s">
        <v>2092</v>
      </c>
      <c r="C262" s="741" t="s">
        <v>2203</v>
      </c>
      <c r="D262" s="742" t="s">
        <v>2204</v>
      </c>
      <c r="E262" s="743" t="s">
        <v>2205</v>
      </c>
      <c r="F262" s="744" t="s">
        <v>2206</v>
      </c>
      <c r="G262" s="745">
        <v>95394.04</v>
      </c>
      <c r="H262" s="746">
        <v>26050.48</v>
      </c>
      <c r="I262" s="745">
        <f t="shared" si="71"/>
        <v>69343.56</v>
      </c>
      <c r="J262" s="746">
        <v>8478.26</v>
      </c>
      <c r="K262" s="746">
        <v>0</v>
      </c>
      <c r="L262" s="778">
        <f t="shared" si="72"/>
        <v>34528.74</v>
      </c>
      <c r="M262" s="745">
        <f t="shared" si="73"/>
        <v>60865.299999999996</v>
      </c>
      <c r="N262" s="779">
        <f t="shared" si="74"/>
        <v>0.36195909094530432</v>
      </c>
      <c r="O262" s="780" t="s">
        <v>2207</v>
      </c>
      <c r="P262" s="781">
        <v>0.41449999999999998</v>
      </c>
      <c r="Q262" s="781">
        <v>0</v>
      </c>
      <c r="R262" s="781">
        <v>0.58550000000000002</v>
      </c>
      <c r="S262" s="782">
        <f t="shared" si="76"/>
        <v>10797.92396</v>
      </c>
      <c r="T262" s="782">
        <f t="shared" si="76"/>
        <v>0</v>
      </c>
      <c r="U262" s="782">
        <f t="shared" si="76"/>
        <v>15252.556039999999</v>
      </c>
      <c r="W262" s="782"/>
      <c r="X262" s="782"/>
      <c r="Y262" s="783"/>
      <c r="Z262" s="782"/>
      <c r="AA262" s="782"/>
      <c r="AB262" s="783"/>
      <c r="AC262" s="777">
        <f t="shared" si="61"/>
        <v>0</v>
      </c>
      <c r="AD262" s="790">
        <f t="shared" si="59"/>
        <v>39540.829579999998</v>
      </c>
      <c r="AE262" s="790">
        <f t="shared" si="58"/>
        <v>55853.210419999996</v>
      </c>
      <c r="AF262" s="790">
        <f t="shared" si="60"/>
        <v>0</v>
      </c>
    </row>
    <row r="263" spans="1:32" ht="15" customHeight="1">
      <c r="A263" s="636" t="s">
        <v>1074</v>
      </c>
      <c r="B263" s="740" t="s">
        <v>2092</v>
      </c>
      <c r="C263" s="741" t="s">
        <v>2208</v>
      </c>
      <c r="D263" s="742" t="s">
        <v>2209</v>
      </c>
      <c r="E263" s="743" t="s">
        <v>2210</v>
      </c>
      <c r="F263" s="744" t="s">
        <v>1731</v>
      </c>
      <c r="G263" s="745">
        <v>45317.4</v>
      </c>
      <c r="H263" s="746">
        <v>32719.360000000001</v>
      </c>
      <c r="I263" s="745">
        <f t="shared" si="71"/>
        <v>12598.04</v>
      </c>
      <c r="J263" s="746">
        <v>5102.67</v>
      </c>
      <c r="K263" s="746">
        <v>0</v>
      </c>
      <c r="L263" s="778">
        <f t="shared" si="72"/>
        <v>37822.03</v>
      </c>
      <c r="M263" s="745">
        <f t="shared" si="73"/>
        <v>7495.3700000000026</v>
      </c>
      <c r="N263" s="779">
        <f t="shared" si="74"/>
        <v>0.83460282363948501</v>
      </c>
      <c r="O263" s="780" t="s">
        <v>2194</v>
      </c>
      <c r="P263" s="781">
        <v>0.2039</v>
      </c>
      <c r="Q263" s="781">
        <v>0</v>
      </c>
      <c r="R263" s="781">
        <v>0.79610000000000003</v>
      </c>
      <c r="S263" s="782">
        <f t="shared" si="76"/>
        <v>6671.4775040000004</v>
      </c>
      <c r="T263" s="782">
        <f t="shared" si="76"/>
        <v>0</v>
      </c>
      <c r="U263" s="782">
        <f t="shared" si="76"/>
        <v>26047.882496000002</v>
      </c>
      <c r="W263" s="782"/>
      <c r="X263" s="782"/>
      <c r="Y263" s="783"/>
      <c r="Z263" s="782"/>
      <c r="AA263" s="782"/>
      <c r="AB263" s="783"/>
      <c r="AC263" s="777">
        <f t="shared" si="61"/>
        <v>0</v>
      </c>
      <c r="AD263" s="790">
        <f t="shared" si="59"/>
        <v>9240.2178600000007</v>
      </c>
      <c r="AE263" s="790">
        <f t="shared" ref="AE263:AE316" si="77">$G263*R263</f>
        <v>36077.182140000004</v>
      </c>
      <c r="AF263" s="790">
        <f t="shared" si="60"/>
        <v>0</v>
      </c>
    </row>
    <row r="264" spans="1:32" ht="15" customHeight="1">
      <c r="A264" s="636" t="s">
        <v>1074</v>
      </c>
      <c r="B264" s="740" t="s">
        <v>2092</v>
      </c>
      <c r="C264" s="741" t="s">
        <v>2211</v>
      </c>
      <c r="D264" s="742" t="s">
        <v>2212</v>
      </c>
      <c r="E264" s="743" t="s">
        <v>2213</v>
      </c>
      <c r="F264" s="744" t="s">
        <v>2214</v>
      </c>
      <c r="G264" s="745">
        <v>234379.07</v>
      </c>
      <c r="H264" s="746">
        <v>118634.07</v>
      </c>
      <c r="I264" s="745">
        <f t="shared" si="71"/>
        <v>115745</v>
      </c>
      <c r="J264" s="746">
        <v>181298.27</v>
      </c>
      <c r="K264" s="746">
        <v>0</v>
      </c>
      <c r="L264" s="778">
        <f t="shared" si="72"/>
        <v>299932.33999999997</v>
      </c>
      <c r="M264" s="745">
        <f t="shared" si="73"/>
        <v>-65553.26999999996</v>
      </c>
      <c r="N264" s="779">
        <f t="shared" si="74"/>
        <v>1.2796890951056337</v>
      </c>
      <c r="O264" s="780" t="s">
        <v>2215</v>
      </c>
      <c r="P264" s="781">
        <v>0.46089999999999998</v>
      </c>
      <c r="Q264" s="781">
        <v>0.53910000000000002</v>
      </c>
      <c r="R264" s="781">
        <v>0</v>
      </c>
      <c r="S264" s="782">
        <f t="shared" si="76"/>
        <v>54678.442863000004</v>
      </c>
      <c r="T264" s="782">
        <f t="shared" si="76"/>
        <v>63955.627137000003</v>
      </c>
      <c r="U264" s="782">
        <f t="shared" si="76"/>
        <v>0</v>
      </c>
      <c r="W264" s="782"/>
      <c r="X264" s="782"/>
      <c r="Y264" s="783"/>
      <c r="Z264" s="782"/>
      <c r="AA264" s="782"/>
      <c r="AB264" s="783"/>
      <c r="AC264" s="777">
        <f t="shared" si="61"/>
        <v>0</v>
      </c>
      <c r="AD264" s="790">
        <f t="shared" ref="AD264:AD316" si="78">$G264*P264</f>
        <v>108025.31336299999</v>
      </c>
      <c r="AE264" s="790">
        <f t="shared" si="77"/>
        <v>0</v>
      </c>
      <c r="AF264" s="790">
        <f t="shared" ref="AF264:AF316" si="79">$G264*Q264</f>
        <v>126353.75663700001</v>
      </c>
    </row>
    <row r="265" spans="1:32" ht="15" customHeight="1">
      <c r="A265" s="636" t="s">
        <v>1074</v>
      </c>
      <c r="B265" s="740" t="s">
        <v>2092</v>
      </c>
      <c r="C265" s="741" t="s">
        <v>2216</v>
      </c>
      <c r="D265" s="742" t="s">
        <v>2217</v>
      </c>
      <c r="E265" s="743" t="s">
        <v>2218</v>
      </c>
      <c r="F265" s="744" t="s">
        <v>1472</v>
      </c>
      <c r="G265" s="745">
        <v>219300</v>
      </c>
      <c r="H265" s="746">
        <v>0</v>
      </c>
      <c r="I265" s="745">
        <f t="shared" si="71"/>
        <v>219300</v>
      </c>
      <c r="J265" s="746">
        <v>0</v>
      </c>
      <c r="K265" s="746">
        <v>0</v>
      </c>
      <c r="L265" s="778">
        <f t="shared" si="72"/>
        <v>0</v>
      </c>
      <c r="M265" s="745">
        <f t="shared" si="73"/>
        <v>219300</v>
      </c>
      <c r="N265" s="779">
        <f t="shared" si="74"/>
        <v>0</v>
      </c>
      <c r="O265" s="780" t="s">
        <v>2219</v>
      </c>
      <c r="P265" s="781">
        <v>0</v>
      </c>
      <c r="Q265" s="781">
        <v>0</v>
      </c>
      <c r="R265" s="781">
        <v>0</v>
      </c>
      <c r="S265" s="782">
        <f t="shared" si="76"/>
        <v>0</v>
      </c>
      <c r="T265" s="782">
        <f t="shared" si="76"/>
        <v>0</v>
      </c>
      <c r="U265" s="782">
        <f t="shared" si="76"/>
        <v>0</v>
      </c>
      <c r="W265" s="782"/>
      <c r="X265" s="782"/>
      <c r="Y265" s="783"/>
      <c r="Z265" s="782"/>
      <c r="AA265" s="782"/>
      <c r="AB265" s="783"/>
      <c r="AC265" s="777">
        <f t="shared" si="61"/>
        <v>0</v>
      </c>
      <c r="AD265" s="790">
        <f t="shared" si="78"/>
        <v>0</v>
      </c>
      <c r="AE265" s="790">
        <f t="shared" si="77"/>
        <v>0</v>
      </c>
      <c r="AF265" s="790">
        <f t="shared" si="79"/>
        <v>0</v>
      </c>
    </row>
    <row r="266" spans="1:32" ht="15" customHeight="1">
      <c r="A266" s="636" t="s">
        <v>1074</v>
      </c>
      <c r="B266" s="740" t="s">
        <v>2092</v>
      </c>
      <c r="C266" s="741"/>
      <c r="D266" s="742" t="s">
        <v>2220</v>
      </c>
      <c r="E266" s="743" t="s">
        <v>2221</v>
      </c>
      <c r="F266" s="744" t="s">
        <v>1972</v>
      </c>
      <c r="G266" s="745">
        <v>150000</v>
      </c>
      <c r="H266" s="746">
        <v>45309.22</v>
      </c>
      <c r="I266" s="745">
        <f t="shared" si="71"/>
        <v>104690.78</v>
      </c>
      <c r="J266" s="746">
        <v>150585.04999999999</v>
      </c>
      <c r="K266" s="746">
        <v>0</v>
      </c>
      <c r="L266" s="778">
        <f t="shared" si="72"/>
        <v>195894.27</v>
      </c>
      <c r="M266" s="745">
        <f t="shared" si="73"/>
        <v>-45894.26999999999</v>
      </c>
      <c r="N266" s="779">
        <f t="shared" si="74"/>
        <v>1.3059618</v>
      </c>
      <c r="O266" s="780" t="s">
        <v>2222</v>
      </c>
      <c r="P266" s="781">
        <v>1</v>
      </c>
      <c r="Q266" s="781">
        <v>0</v>
      </c>
      <c r="R266" s="781">
        <v>0</v>
      </c>
      <c r="S266" s="782">
        <f t="shared" si="76"/>
        <v>45309.22</v>
      </c>
      <c r="T266" s="782">
        <f t="shared" si="76"/>
        <v>0</v>
      </c>
      <c r="U266" s="782">
        <f t="shared" si="76"/>
        <v>0</v>
      </c>
      <c r="W266" s="782"/>
      <c r="X266" s="782"/>
      <c r="Y266" s="783"/>
      <c r="Z266" s="782"/>
      <c r="AA266" s="782"/>
      <c r="AB266" s="783"/>
      <c r="AC266" s="777">
        <f t="shared" si="61"/>
        <v>0</v>
      </c>
      <c r="AD266" s="790">
        <f t="shared" si="78"/>
        <v>150000</v>
      </c>
      <c r="AE266" s="790">
        <f t="shared" si="77"/>
        <v>0</v>
      </c>
      <c r="AF266" s="790">
        <f t="shared" si="79"/>
        <v>0</v>
      </c>
    </row>
    <row r="267" spans="1:32" ht="15" customHeight="1">
      <c r="A267" s="636" t="s">
        <v>1074</v>
      </c>
      <c r="B267" s="740" t="s">
        <v>2092</v>
      </c>
      <c r="C267" s="741" t="s">
        <v>2223</v>
      </c>
      <c r="D267" s="742" t="s">
        <v>2224</v>
      </c>
      <c r="E267" s="743" t="s">
        <v>2225</v>
      </c>
      <c r="F267" s="744" t="s">
        <v>462</v>
      </c>
      <c r="G267" s="745">
        <v>140000</v>
      </c>
      <c r="H267" s="746">
        <v>78325</v>
      </c>
      <c r="I267" s="745">
        <f t="shared" si="71"/>
        <v>61675</v>
      </c>
      <c r="J267" s="746">
        <v>255</v>
      </c>
      <c r="K267" s="746">
        <v>0</v>
      </c>
      <c r="L267" s="778">
        <f t="shared" si="72"/>
        <v>78580</v>
      </c>
      <c r="M267" s="745">
        <f t="shared" si="73"/>
        <v>61420</v>
      </c>
      <c r="N267" s="779">
        <f t="shared" si="74"/>
        <v>0.56128571428571428</v>
      </c>
      <c r="O267" s="780" t="s">
        <v>2226</v>
      </c>
      <c r="P267" s="781">
        <v>0.2</v>
      </c>
      <c r="Q267" s="781">
        <v>0.5</v>
      </c>
      <c r="R267" s="781">
        <v>0.3</v>
      </c>
      <c r="S267" s="782">
        <f t="shared" si="76"/>
        <v>15665</v>
      </c>
      <c r="T267" s="782">
        <f t="shared" si="76"/>
        <v>39162.5</v>
      </c>
      <c r="U267" s="782">
        <f t="shared" si="76"/>
        <v>23497.5</v>
      </c>
      <c r="W267" s="782"/>
      <c r="X267" s="782"/>
      <c r="Y267" s="783"/>
      <c r="Z267" s="782"/>
      <c r="AA267" s="782"/>
      <c r="AB267" s="783"/>
      <c r="AC267" s="777">
        <f t="shared" si="61"/>
        <v>0</v>
      </c>
      <c r="AD267" s="790">
        <f t="shared" si="78"/>
        <v>28000</v>
      </c>
      <c r="AE267" s="790">
        <f t="shared" si="77"/>
        <v>42000</v>
      </c>
      <c r="AF267" s="790">
        <f t="shared" si="79"/>
        <v>70000</v>
      </c>
    </row>
    <row r="268" spans="1:32" ht="15" customHeight="1">
      <c r="A268" s="636" t="s">
        <v>1074</v>
      </c>
      <c r="B268" s="740" t="s">
        <v>2092</v>
      </c>
      <c r="C268" s="741" t="s">
        <v>2227</v>
      </c>
      <c r="D268" s="742" t="s">
        <v>2228</v>
      </c>
      <c r="E268" s="743" t="s">
        <v>2229</v>
      </c>
      <c r="F268" s="744" t="s">
        <v>1279</v>
      </c>
      <c r="G268" s="745">
        <v>3100000</v>
      </c>
      <c r="H268" s="746">
        <v>2624676.08</v>
      </c>
      <c r="I268" s="745">
        <f t="shared" si="71"/>
        <v>475323.91999999993</v>
      </c>
      <c r="J268" s="746">
        <v>4175</v>
      </c>
      <c r="K268" s="746">
        <v>398213.48</v>
      </c>
      <c r="L268" s="778">
        <f t="shared" si="72"/>
        <v>2628851.08</v>
      </c>
      <c r="M268" s="745">
        <f t="shared" si="73"/>
        <v>471148.91999999993</v>
      </c>
      <c r="N268" s="779">
        <f t="shared" si="74"/>
        <v>0.84801647741935482</v>
      </c>
      <c r="O268" s="780" t="s">
        <v>2229</v>
      </c>
      <c r="P268" s="781">
        <v>0.35320000000000001</v>
      </c>
      <c r="Q268" s="781">
        <v>0</v>
      </c>
      <c r="R268" s="781">
        <v>0.64680000000000004</v>
      </c>
      <c r="S268" s="782">
        <f t="shared" si="76"/>
        <v>927035.59145600011</v>
      </c>
      <c r="T268" s="782">
        <f t="shared" si="76"/>
        <v>0</v>
      </c>
      <c r="U268" s="782">
        <f t="shared" si="76"/>
        <v>1697640.4885440001</v>
      </c>
      <c r="W268" s="782"/>
      <c r="X268" s="782"/>
      <c r="Y268" s="783"/>
      <c r="Z268" s="782"/>
      <c r="AA268" s="782"/>
      <c r="AB268" s="783"/>
      <c r="AC268" s="777">
        <f t="shared" ref="AC268:AC316" si="80">H268-SUM(S268:U268)</f>
        <v>0</v>
      </c>
      <c r="AD268" s="790">
        <f t="shared" si="78"/>
        <v>1094920</v>
      </c>
      <c r="AE268" s="790">
        <f t="shared" si="77"/>
        <v>2005080.0000000002</v>
      </c>
      <c r="AF268" s="790">
        <f t="shared" si="79"/>
        <v>0</v>
      </c>
    </row>
    <row r="269" spans="1:32" ht="15" customHeight="1" thickBot="1">
      <c r="A269" s="636" t="s">
        <v>1036</v>
      </c>
      <c r="B269" s="747" t="e">
        <f>#REF!</f>
        <v>#REF!</v>
      </c>
      <c r="C269" s="748"/>
      <c r="D269" s="749"/>
      <c r="E269" s="750" t="str">
        <f>B268&amp;" - Sub Total"</f>
        <v>Waste Water - Sub Total</v>
      </c>
      <c r="F269" s="751"/>
      <c r="G269" s="752">
        <f>SUBTOTAL(9,G234:G268)</f>
        <v>34511284.880000003</v>
      </c>
      <c r="H269" s="752">
        <f>SUBTOTAL(9,H234:H268)</f>
        <v>27489753.710000001</v>
      </c>
      <c r="I269" s="752">
        <f t="shared" si="71"/>
        <v>7021531.1700000018</v>
      </c>
      <c r="J269" s="752">
        <f>SUBTOTAL(9,J234:J268)</f>
        <v>1081834.2000000002</v>
      </c>
      <c r="K269" s="752">
        <f>SUBTOTAL(9,K234:K268)</f>
        <v>7719708.6899999995</v>
      </c>
      <c r="L269" s="752">
        <f>SUBTOTAL(9,L234:L268)</f>
        <v>28571587.910000004</v>
      </c>
      <c r="M269" s="752">
        <f>SUBTOTAL(9,M234:M268)</f>
        <v>5939696.9700000007</v>
      </c>
      <c r="N269" s="784">
        <f>IFERROR(L269/#REF!,0)</f>
        <v>0</v>
      </c>
      <c r="O269" s="785"/>
      <c r="P269" s="752"/>
      <c r="Q269" s="752"/>
      <c r="R269" s="752"/>
      <c r="S269" s="786"/>
      <c r="T269" s="786"/>
      <c r="U269" s="786"/>
      <c r="W269" s="786"/>
      <c r="X269" s="786"/>
      <c r="Y269" s="787"/>
      <c r="Z269" s="786"/>
      <c r="AA269" s="786"/>
      <c r="AB269" s="787"/>
      <c r="AC269" s="777"/>
      <c r="AD269" s="790">
        <f t="shared" si="78"/>
        <v>0</v>
      </c>
      <c r="AE269" s="790">
        <f t="shared" si="77"/>
        <v>0</v>
      </c>
      <c r="AF269" s="790">
        <f t="shared" si="79"/>
        <v>0</v>
      </c>
    </row>
    <row r="270" spans="1:32" ht="15" customHeight="1">
      <c r="A270" s="636" t="s">
        <v>1161</v>
      </c>
      <c r="B270" s="753"/>
      <c r="C270" s="754"/>
      <c r="D270" s="754"/>
      <c r="E270" s="753"/>
      <c r="F270" s="755"/>
      <c r="G270" s="756"/>
      <c r="H270" s="756"/>
      <c r="I270" s="756"/>
      <c r="J270" s="756"/>
      <c r="K270" s="756"/>
      <c r="L270" s="756"/>
      <c r="M270" s="756"/>
      <c r="N270" s="753"/>
      <c r="O270" s="753"/>
      <c r="AC270" s="777"/>
      <c r="AD270" s="790">
        <f t="shared" si="78"/>
        <v>0</v>
      </c>
      <c r="AE270" s="790">
        <f t="shared" si="77"/>
        <v>0</v>
      </c>
      <c r="AF270" s="790">
        <f t="shared" si="79"/>
        <v>0</v>
      </c>
    </row>
    <row r="271" spans="1:32" ht="15" customHeight="1">
      <c r="A271" s="636" t="s">
        <v>1074</v>
      </c>
      <c r="B271" s="740" t="s">
        <v>124</v>
      </c>
      <c r="C271" s="741" t="s">
        <v>2230</v>
      </c>
      <c r="D271" s="742" t="s">
        <v>2231</v>
      </c>
      <c r="E271" s="743" t="s">
        <v>2232</v>
      </c>
      <c r="F271" s="744" t="s">
        <v>1708</v>
      </c>
      <c r="G271" s="745">
        <v>346855.06</v>
      </c>
      <c r="H271" s="746">
        <v>48984.66</v>
      </c>
      <c r="I271" s="745">
        <f t="shared" ref="I271:I317" si="81">G271-H271</f>
        <v>297870.40000000002</v>
      </c>
      <c r="J271" s="746">
        <v>0</v>
      </c>
      <c r="K271" s="746">
        <v>0</v>
      </c>
      <c r="L271" s="778">
        <f t="shared" ref="L271:L316" si="82">H271+J271</f>
        <v>48984.66</v>
      </c>
      <c r="M271" s="745">
        <f t="shared" ref="M271:M316" si="83">G271-L271</f>
        <v>297870.40000000002</v>
      </c>
      <c r="N271" s="779">
        <f t="shared" ref="N271:N316" si="84">IFERROR(L271/G271,0)</f>
        <v>0.14122515612140704</v>
      </c>
      <c r="O271" s="780" t="s">
        <v>2233</v>
      </c>
      <c r="P271" s="781">
        <v>0.40460000000000002</v>
      </c>
      <c r="Q271" s="781">
        <v>0.29770000000000002</v>
      </c>
      <c r="R271" s="781">
        <v>0.29770000000000002</v>
      </c>
      <c r="S271" s="782">
        <f t="shared" ref="S271:U293" si="85">$H271*P271</f>
        <v>19819.193436000001</v>
      </c>
      <c r="T271" s="782">
        <f t="shared" si="85"/>
        <v>14582.733282000003</v>
      </c>
      <c r="U271" s="782">
        <f t="shared" si="85"/>
        <v>14582.733282000003</v>
      </c>
      <c r="W271" s="782"/>
      <c r="X271" s="782"/>
      <c r="Y271" s="783"/>
      <c r="Z271" s="782"/>
      <c r="AA271" s="782"/>
      <c r="AB271" s="783"/>
      <c r="AC271" s="777">
        <f t="shared" si="80"/>
        <v>0</v>
      </c>
      <c r="AD271" s="790">
        <f t="shared" si="78"/>
        <v>140337.55727600001</v>
      </c>
      <c r="AE271" s="790">
        <f t="shared" si="77"/>
        <v>103258.75136200001</v>
      </c>
      <c r="AF271" s="790">
        <f t="shared" si="79"/>
        <v>103258.75136200001</v>
      </c>
    </row>
    <row r="272" spans="1:32" ht="15" customHeight="1">
      <c r="A272" s="636" t="s">
        <v>1074</v>
      </c>
      <c r="B272" s="740" t="s">
        <v>124</v>
      </c>
      <c r="C272" s="741" t="s">
        <v>2234</v>
      </c>
      <c r="D272" s="742" t="s">
        <v>2235</v>
      </c>
      <c r="E272" s="743" t="s">
        <v>2236</v>
      </c>
      <c r="F272" s="744" t="s">
        <v>462</v>
      </c>
      <c r="G272" s="745">
        <v>414033.94</v>
      </c>
      <c r="H272" s="746">
        <v>414000</v>
      </c>
      <c r="I272" s="745">
        <f t="shared" si="81"/>
        <v>33.940000000002328</v>
      </c>
      <c r="J272" s="746">
        <v>11102.19</v>
      </c>
      <c r="K272" s="746">
        <v>0</v>
      </c>
      <c r="L272" s="778">
        <f t="shared" si="82"/>
        <v>425102.19</v>
      </c>
      <c r="M272" s="745">
        <f t="shared" si="83"/>
        <v>-11068.25</v>
      </c>
      <c r="N272" s="779">
        <f t="shared" si="84"/>
        <v>1.0267327118158478</v>
      </c>
      <c r="O272" s="780" t="s">
        <v>2237</v>
      </c>
      <c r="P272" s="781">
        <v>0.25900000000000001</v>
      </c>
      <c r="Q272" s="781">
        <v>0</v>
      </c>
      <c r="R272" s="781">
        <v>0.74099999999999999</v>
      </c>
      <c r="S272" s="782">
        <f t="shared" si="85"/>
        <v>107226</v>
      </c>
      <c r="T272" s="782">
        <f t="shared" si="85"/>
        <v>0</v>
      </c>
      <c r="U272" s="782">
        <f t="shared" si="85"/>
        <v>306774</v>
      </c>
      <c r="W272" s="782"/>
      <c r="X272" s="782"/>
      <c r="Y272" s="783"/>
      <c r="Z272" s="782"/>
      <c r="AA272" s="782"/>
      <c r="AB272" s="783"/>
      <c r="AC272" s="777">
        <f t="shared" si="80"/>
        <v>0</v>
      </c>
      <c r="AD272" s="790">
        <f t="shared" si="78"/>
        <v>107234.79046</v>
      </c>
      <c r="AE272" s="790">
        <f t="shared" si="77"/>
        <v>306799.14954000001</v>
      </c>
      <c r="AF272" s="790">
        <f t="shared" si="79"/>
        <v>0</v>
      </c>
    </row>
    <row r="273" spans="1:32" ht="15" customHeight="1">
      <c r="A273" s="636" t="s">
        <v>1074</v>
      </c>
      <c r="B273" s="740" t="s">
        <v>124</v>
      </c>
      <c r="C273" s="741" t="s">
        <v>2238</v>
      </c>
      <c r="D273" s="742" t="s">
        <v>2239</v>
      </c>
      <c r="E273" s="743" t="s">
        <v>2240</v>
      </c>
      <c r="F273" s="744" t="s">
        <v>1708</v>
      </c>
      <c r="G273" s="745">
        <v>455408.28</v>
      </c>
      <c r="H273" s="746">
        <v>361031.01</v>
      </c>
      <c r="I273" s="745">
        <f t="shared" si="81"/>
        <v>94377.270000000019</v>
      </c>
      <c r="J273" s="746">
        <v>47944.47</v>
      </c>
      <c r="K273" s="746">
        <v>0</v>
      </c>
      <c r="L273" s="778">
        <f t="shared" si="82"/>
        <v>408975.48</v>
      </c>
      <c r="M273" s="745">
        <f t="shared" si="83"/>
        <v>46432.800000000047</v>
      </c>
      <c r="N273" s="779">
        <f t="shared" si="84"/>
        <v>0.89804137948479978</v>
      </c>
      <c r="O273" s="780" t="s">
        <v>2099</v>
      </c>
      <c r="P273" s="781">
        <v>0</v>
      </c>
      <c r="Q273" s="781">
        <v>1</v>
      </c>
      <c r="R273" s="781">
        <v>0</v>
      </c>
      <c r="S273" s="782">
        <f t="shared" si="85"/>
        <v>0</v>
      </c>
      <c r="T273" s="782">
        <f t="shared" si="85"/>
        <v>361031.01</v>
      </c>
      <c r="U273" s="782">
        <f t="shared" si="85"/>
        <v>0</v>
      </c>
      <c r="W273" s="782"/>
      <c r="X273" s="782"/>
      <c r="Y273" s="783"/>
      <c r="Z273" s="782"/>
      <c r="AA273" s="782"/>
      <c r="AB273" s="783"/>
      <c r="AC273" s="777">
        <f t="shared" si="80"/>
        <v>0</v>
      </c>
      <c r="AD273" s="790">
        <f t="shared" si="78"/>
        <v>0</v>
      </c>
      <c r="AE273" s="790">
        <f t="shared" si="77"/>
        <v>0</v>
      </c>
      <c r="AF273" s="790">
        <f t="shared" si="79"/>
        <v>455408.28</v>
      </c>
    </row>
    <row r="274" spans="1:32" ht="15" customHeight="1">
      <c r="A274" s="636" t="s">
        <v>1074</v>
      </c>
      <c r="B274" s="740" t="s">
        <v>124</v>
      </c>
      <c r="C274" s="741" t="s">
        <v>2241</v>
      </c>
      <c r="D274" s="742" t="s">
        <v>2242</v>
      </c>
      <c r="E274" s="743" t="s">
        <v>2243</v>
      </c>
      <c r="F274" s="744" t="s">
        <v>1708</v>
      </c>
      <c r="G274" s="745">
        <v>484699.62</v>
      </c>
      <c r="H274" s="746">
        <v>268874.45</v>
      </c>
      <c r="I274" s="745">
        <f t="shared" si="81"/>
        <v>215825.16999999998</v>
      </c>
      <c r="J274" s="746">
        <v>194804.79</v>
      </c>
      <c r="K274" s="746">
        <v>0</v>
      </c>
      <c r="L274" s="778">
        <f t="shared" si="82"/>
        <v>463679.24</v>
      </c>
      <c r="M274" s="745">
        <f t="shared" si="83"/>
        <v>21020.380000000005</v>
      </c>
      <c r="N274" s="779">
        <f t="shared" si="84"/>
        <v>0.9566321508566481</v>
      </c>
      <c r="O274" s="780" t="s">
        <v>2099</v>
      </c>
      <c r="P274" s="781">
        <v>0</v>
      </c>
      <c r="Q274" s="781">
        <v>1</v>
      </c>
      <c r="R274" s="781">
        <v>0</v>
      </c>
      <c r="S274" s="782">
        <f t="shared" si="85"/>
        <v>0</v>
      </c>
      <c r="T274" s="782">
        <f t="shared" si="85"/>
        <v>268874.45</v>
      </c>
      <c r="U274" s="782">
        <f t="shared" si="85"/>
        <v>0</v>
      </c>
      <c r="W274" s="782"/>
      <c r="X274" s="782"/>
      <c r="Y274" s="783"/>
      <c r="Z274" s="782"/>
      <c r="AA274" s="782"/>
      <c r="AB274" s="783"/>
      <c r="AC274" s="777">
        <f t="shared" si="80"/>
        <v>0</v>
      </c>
      <c r="AD274" s="790">
        <f t="shared" si="78"/>
        <v>0</v>
      </c>
      <c r="AE274" s="790">
        <f t="shared" si="77"/>
        <v>0</v>
      </c>
      <c r="AF274" s="790">
        <f t="shared" si="79"/>
        <v>484699.62</v>
      </c>
    </row>
    <row r="275" spans="1:32" ht="15" customHeight="1">
      <c r="A275" s="636" t="s">
        <v>1074</v>
      </c>
      <c r="B275" s="740" t="s">
        <v>124</v>
      </c>
      <c r="C275" s="741" t="s">
        <v>2244</v>
      </c>
      <c r="D275" s="742" t="s">
        <v>2245</v>
      </c>
      <c r="E275" s="743" t="s">
        <v>2246</v>
      </c>
      <c r="F275" s="744" t="s">
        <v>1708</v>
      </c>
      <c r="G275" s="745">
        <v>18676.8</v>
      </c>
      <c r="H275" s="746">
        <v>13129.62</v>
      </c>
      <c r="I275" s="745">
        <f t="shared" si="81"/>
        <v>5547.1799999999985</v>
      </c>
      <c r="J275" s="746">
        <v>0</v>
      </c>
      <c r="K275" s="746">
        <v>0</v>
      </c>
      <c r="L275" s="778">
        <f t="shared" si="82"/>
        <v>13129.62</v>
      </c>
      <c r="M275" s="745">
        <f t="shared" si="83"/>
        <v>5547.1799999999985</v>
      </c>
      <c r="N275" s="779">
        <f t="shared" si="84"/>
        <v>0.70299087638139302</v>
      </c>
      <c r="O275" s="780" t="s">
        <v>2099</v>
      </c>
      <c r="P275" s="781">
        <v>0</v>
      </c>
      <c r="Q275" s="781">
        <v>1</v>
      </c>
      <c r="R275" s="781">
        <v>0</v>
      </c>
      <c r="S275" s="782">
        <f t="shared" si="85"/>
        <v>0</v>
      </c>
      <c r="T275" s="782">
        <f t="shared" si="85"/>
        <v>13129.62</v>
      </c>
      <c r="U275" s="782">
        <f t="shared" si="85"/>
        <v>0</v>
      </c>
      <c r="W275" s="782"/>
      <c r="X275" s="782"/>
      <c r="Y275" s="783"/>
      <c r="Z275" s="782"/>
      <c r="AA275" s="782"/>
      <c r="AB275" s="783"/>
      <c r="AC275" s="777">
        <f t="shared" si="80"/>
        <v>0</v>
      </c>
      <c r="AD275" s="790">
        <f t="shared" si="78"/>
        <v>0</v>
      </c>
      <c r="AE275" s="790">
        <f t="shared" si="77"/>
        <v>0</v>
      </c>
      <c r="AF275" s="790">
        <f t="shared" si="79"/>
        <v>18676.8</v>
      </c>
    </row>
    <row r="276" spans="1:32" ht="15" customHeight="1">
      <c r="A276" s="636" t="s">
        <v>1074</v>
      </c>
      <c r="B276" s="740" t="s">
        <v>124</v>
      </c>
      <c r="C276" s="741" t="s">
        <v>2247</v>
      </c>
      <c r="D276" s="742" t="s">
        <v>2248</v>
      </c>
      <c r="E276" s="743" t="s">
        <v>2249</v>
      </c>
      <c r="F276" s="744" t="s">
        <v>1708</v>
      </c>
      <c r="G276" s="745">
        <v>20784.09</v>
      </c>
      <c r="H276" s="746">
        <v>20784.09</v>
      </c>
      <c r="I276" s="745">
        <f t="shared" si="81"/>
        <v>0</v>
      </c>
      <c r="J276" s="746">
        <v>0</v>
      </c>
      <c r="K276" s="746">
        <v>0</v>
      </c>
      <c r="L276" s="778">
        <f t="shared" si="82"/>
        <v>20784.09</v>
      </c>
      <c r="M276" s="745">
        <f t="shared" si="83"/>
        <v>0</v>
      </c>
      <c r="N276" s="779">
        <f t="shared" si="84"/>
        <v>1</v>
      </c>
      <c r="O276" s="780" t="s">
        <v>2099</v>
      </c>
      <c r="P276" s="781">
        <v>0</v>
      </c>
      <c r="Q276" s="781">
        <v>1</v>
      </c>
      <c r="R276" s="781">
        <v>0</v>
      </c>
      <c r="S276" s="782">
        <f t="shared" si="85"/>
        <v>0</v>
      </c>
      <c r="T276" s="782">
        <f t="shared" si="85"/>
        <v>20784.09</v>
      </c>
      <c r="U276" s="782">
        <f t="shared" si="85"/>
        <v>0</v>
      </c>
      <c r="W276" s="782"/>
      <c r="X276" s="782"/>
      <c r="Y276" s="783"/>
      <c r="Z276" s="782"/>
      <c r="AA276" s="782"/>
      <c r="AB276" s="783"/>
      <c r="AC276" s="777">
        <f t="shared" si="80"/>
        <v>0</v>
      </c>
      <c r="AD276" s="790">
        <f t="shared" si="78"/>
        <v>0</v>
      </c>
      <c r="AE276" s="790">
        <f t="shared" si="77"/>
        <v>0</v>
      </c>
      <c r="AF276" s="790">
        <f t="shared" si="79"/>
        <v>20784.09</v>
      </c>
    </row>
    <row r="277" spans="1:32" ht="15" customHeight="1">
      <c r="A277" s="636" t="s">
        <v>1074</v>
      </c>
      <c r="B277" s="740" t="s">
        <v>124</v>
      </c>
      <c r="C277" s="741" t="s">
        <v>2250</v>
      </c>
      <c r="D277" s="742" t="s">
        <v>2251</v>
      </c>
      <c r="E277" s="743" t="s">
        <v>2252</v>
      </c>
      <c r="F277" s="744" t="s">
        <v>1708</v>
      </c>
      <c r="G277" s="745">
        <v>27884.959999999999</v>
      </c>
      <c r="H277" s="746">
        <v>4872.7700000000004</v>
      </c>
      <c r="I277" s="745">
        <f t="shared" si="81"/>
        <v>23012.19</v>
      </c>
      <c r="J277" s="746">
        <v>0</v>
      </c>
      <c r="K277" s="746">
        <v>0</v>
      </c>
      <c r="L277" s="778">
        <f t="shared" si="82"/>
        <v>4872.7700000000004</v>
      </c>
      <c r="M277" s="745">
        <f t="shared" si="83"/>
        <v>23012.19</v>
      </c>
      <c r="N277" s="779">
        <f t="shared" si="84"/>
        <v>0.17474545418031801</v>
      </c>
      <c r="O277" s="780" t="s">
        <v>2099</v>
      </c>
      <c r="P277" s="781">
        <v>0</v>
      </c>
      <c r="Q277" s="781">
        <v>1</v>
      </c>
      <c r="R277" s="781">
        <v>0</v>
      </c>
      <c r="S277" s="782">
        <f t="shared" si="85"/>
        <v>0</v>
      </c>
      <c r="T277" s="782">
        <f t="shared" si="85"/>
        <v>4872.7700000000004</v>
      </c>
      <c r="U277" s="782">
        <f t="shared" si="85"/>
        <v>0</v>
      </c>
      <c r="W277" s="782"/>
      <c r="X277" s="782"/>
      <c r="Y277" s="783"/>
      <c r="Z277" s="782"/>
      <c r="AA277" s="782"/>
      <c r="AB277" s="783"/>
      <c r="AC277" s="777">
        <f t="shared" si="80"/>
        <v>0</v>
      </c>
      <c r="AD277" s="790">
        <f t="shared" si="78"/>
        <v>0</v>
      </c>
      <c r="AE277" s="790">
        <f t="shared" si="77"/>
        <v>0</v>
      </c>
      <c r="AF277" s="790">
        <f t="shared" si="79"/>
        <v>27884.959999999999</v>
      </c>
    </row>
    <row r="278" spans="1:32" ht="15" customHeight="1">
      <c r="A278" s="636" t="s">
        <v>1074</v>
      </c>
      <c r="B278" s="740" t="s">
        <v>124</v>
      </c>
      <c r="C278" s="741" t="s">
        <v>2253</v>
      </c>
      <c r="D278" s="742" t="s">
        <v>2254</v>
      </c>
      <c r="E278" s="743" t="s">
        <v>2255</v>
      </c>
      <c r="F278" s="744" t="s">
        <v>1708</v>
      </c>
      <c r="G278" s="745">
        <v>13189.37</v>
      </c>
      <c r="H278" s="746">
        <v>8150.5</v>
      </c>
      <c r="I278" s="745">
        <f t="shared" si="81"/>
        <v>5038.8700000000008</v>
      </c>
      <c r="J278" s="746">
        <v>5750</v>
      </c>
      <c r="K278" s="746">
        <v>0</v>
      </c>
      <c r="L278" s="778">
        <f t="shared" si="82"/>
        <v>13900.5</v>
      </c>
      <c r="M278" s="745">
        <f t="shared" si="83"/>
        <v>-711.1299999999992</v>
      </c>
      <c r="N278" s="779">
        <f t="shared" si="84"/>
        <v>1.0539169042948979</v>
      </c>
      <c r="O278" s="780" t="s">
        <v>2099</v>
      </c>
      <c r="P278" s="781">
        <v>0</v>
      </c>
      <c r="Q278" s="781">
        <v>1</v>
      </c>
      <c r="R278" s="781">
        <v>0</v>
      </c>
      <c r="S278" s="782">
        <f t="shared" si="85"/>
        <v>0</v>
      </c>
      <c r="T278" s="782">
        <f t="shared" si="85"/>
        <v>8150.5</v>
      </c>
      <c r="U278" s="782">
        <f t="shared" si="85"/>
        <v>0</v>
      </c>
      <c r="W278" s="782"/>
      <c r="X278" s="782"/>
      <c r="Y278" s="783"/>
      <c r="Z278" s="782"/>
      <c r="AA278" s="782"/>
      <c r="AB278" s="783"/>
      <c r="AC278" s="777">
        <f t="shared" si="80"/>
        <v>0</v>
      </c>
      <c r="AD278" s="790">
        <f t="shared" si="78"/>
        <v>0</v>
      </c>
      <c r="AE278" s="790">
        <f t="shared" si="77"/>
        <v>0</v>
      </c>
      <c r="AF278" s="790">
        <f t="shared" si="79"/>
        <v>13189.37</v>
      </c>
    </row>
    <row r="279" spans="1:32" ht="15" customHeight="1">
      <c r="A279" s="636" t="s">
        <v>1074</v>
      </c>
      <c r="B279" s="740" t="s">
        <v>124</v>
      </c>
      <c r="C279" s="741" t="s">
        <v>2256</v>
      </c>
      <c r="D279" s="742" t="s">
        <v>2257</v>
      </c>
      <c r="E279" s="743" t="s">
        <v>2258</v>
      </c>
      <c r="F279" s="744" t="s">
        <v>1708</v>
      </c>
      <c r="G279" s="745">
        <v>282.08</v>
      </c>
      <c r="H279" s="746">
        <v>0</v>
      </c>
      <c r="I279" s="745">
        <f t="shared" si="81"/>
        <v>282.08</v>
      </c>
      <c r="J279" s="746">
        <v>0</v>
      </c>
      <c r="K279" s="746">
        <v>0</v>
      </c>
      <c r="L279" s="778">
        <f t="shared" si="82"/>
        <v>0</v>
      </c>
      <c r="M279" s="745">
        <f t="shared" si="83"/>
        <v>282.08</v>
      </c>
      <c r="N279" s="779">
        <f t="shared" si="84"/>
        <v>0</v>
      </c>
      <c r="O279" s="780" t="s">
        <v>2099</v>
      </c>
      <c r="P279" s="781">
        <v>0</v>
      </c>
      <c r="Q279" s="781">
        <v>1</v>
      </c>
      <c r="R279" s="781">
        <v>0</v>
      </c>
      <c r="S279" s="782">
        <f t="shared" si="85"/>
        <v>0</v>
      </c>
      <c r="T279" s="782">
        <f t="shared" si="85"/>
        <v>0</v>
      </c>
      <c r="U279" s="782">
        <f t="shared" si="85"/>
        <v>0</v>
      </c>
      <c r="W279" s="782"/>
      <c r="X279" s="782"/>
      <c r="Y279" s="783"/>
      <c r="Z279" s="782"/>
      <c r="AA279" s="782"/>
      <c r="AB279" s="783"/>
      <c r="AC279" s="777">
        <f t="shared" si="80"/>
        <v>0</v>
      </c>
      <c r="AD279" s="790">
        <f t="shared" si="78"/>
        <v>0</v>
      </c>
      <c r="AE279" s="790">
        <f t="shared" si="77"/>
        <v>0</v>
      </c>
      <c r="AF279" s="790">
        <f t="shared" si="79"/>
        <v>282.08</v>
      </c>
    </row>
    <row r="280" spans="1:32" ht="15" customHeight="1">
      <c r="A280" s="636" t="s">
        <v>1074</v>
      </c>
      <c r="B280" s="740" t="s">
        <v>124</v>
      </c>
      <c r="C280" s="741" t="s">
        <v>2259</v>
      </c>
      <c r="D280" s="742" t="s">
        <v>2260</v>
      </c>
      <c r="E280" s="743" t="s">
        <v>2261</v>
      </c>
      <c r="F280" s="744" t="s">
        <v>1708</v>
      </c>
      <c r="G280" s="745">
        <v>45628.14</v>
      </c>
      <c r="H280" s="746">
        <v>0</v>
      </c>
      <c r="I280" s="745">
        <f t="shared" si="81"/>
        <v>45628.14</v>
      </c>
      <c r="J280" s="746">
        <v>3800</v>
      </c>
      <c r="K280" s="746">
        <v>0</v>
      </c>
      <c r="L280" s="778">
        <f t="shared" si="82"/>
        <v>3800</v>
      </c>
      <c r="M280" s="745">
        <f t="shared" si="83"/>
        <v>41828.14</v>
      </c>
      <c r="N280" s="779">
        <f t="shared" si="84"/>
        <v>8.3281939610073963E-2</v>
      </c>
      <c r="O280" s="780" t="s">
        <v>2099</v>
      </c>
      <c r="P280" s="781">
        <v>0</v>
      </c>
      <c r="Q280" s="781">
        <v>1</v>
      </c>
      <c r="R280" s="781">
        <v>0</v>
      </c>
      <c r="S280" s="782">
        <f t="shared" si="85"/>
        <v>0</v>
      </c>
      <c r="T280" s="782">
        <f t="shared" si="85"/>
        <v>0</v>
      </c>
      <c r="U280" s="782">
        <f t="shared" si="85"/>
        <v>0</v>
      </c>
      <c r="W280" s="782"/>
      <c r="X280" s="782"/>
      <c r="Y280" s="783"/>
      <c r="Z280" s="782"/>
      <c r="AA280" s="782"/>
      <c r="AB280" s="783"/>
      <c r="AC280" s="777">
        <f t="shared" si="80"/>
        <v>0</v>
      </c>
      <c r="AD280" s="790">
        <f t="shared" si="78"/>
        <v>0</v>
      </c>
      <c r="AE280" s="790">
        <f t="shared" si="77"/>
        <v>0</v>
      </c>
      <c r="AF280" s="790">
        <f t="shared" si="79"/>
        <v>45628.14</v>
      </c>
    </row>
    <row r="281" spans="1:32" ht="15" customHeight="1">
      <c r="A281" s="636" t="s">
        <v>1074</v>
      </c>
      <c r="B281" s="740" t="s">
        <v>124</v>
      </c>
      <c r="C281" s="741" t="s">
        <v>2262</v>
      </c>
      <c r="D281" s="742" t="s">
        <v>2263</v>
      </c>
      <c r="E281" s="743" t="s">
        <v>2264</v>
      </c>
      <c r="F281" s="744" t="s">
        <v>1717</v>
      </c>
      <c r="G281" s="745">
        <v>383039.1</v>
      </c>
      <c r="H281" s="746">
        <v>210682.49</v>
      </c>
      <c r="I281" s="745">
        <f t="shared" si="81"/>
        <v>172356.61</v>
      </c>
      <c r="J281" s="746">
        <v>103449.26999999999</v>
      </c>
      <c r="K281" s="746">
        <v>0</v>
      </c>
      <c r="L281" s="778">
        <f t="shared" si="82"/>
        <v>314131.76</v>
      </c>
      <c r="M281" s="745">
        <f t="shared" si="83"/>
        <v>68907.339999999967</v>
      </c>
      <c r="N281" s="779">
        <f t="shared" si="84"/>
        <v>0.82010363955011389</v>
      </c>
      <c r="O281" s="780" t="s">
        <v>2265</v>
      </c>
      <c r="P281" s="781">
        <v>0.1</v>
      </c>
      <c r="Q281" s="781">
        <v>0</v>
      </c>
      <c r="R281" s="781">
        <v>0.9</v>
      </c>
      <c r="S281" s="782">
        <f t="shared" si="85"/>
        <v>21068.249</v>
      </c>
      <c r="T281" s="782">
        <f t="shared" si="85"/>
        <v>0</v>
      </c>
      <c r="U281" s="782">
        <f t="shared" si="85"/>
        <v>189614.24100000001</v>
      </c>
      <c r="W281" s="782"/>
      <c r="X281" s="782"/>
      <c r="Y281" s="783"/>
      <c r="Z281" s="782"/>
      <c r="AA281" s="782"/>
      <c r="AB281" s="783"/>
      <c r="AC281" s="777">
        <f t="shared" si="80"/>
        <v>0</v>
      </c>
      <c r="AD281" s="790">
        <f t="shared" si="78"/>
        <v>38303.909999999996</v>
      </c>
      <c r="AE281" s="790">
        <f t="shared" si="77"/>
        <v>344735.19</v>
      </c>
      <c r="AF281" s="790">
        <f t="shared" si="79"/>
        <v>0</v>
      </c>
    </row>
    <row r="282" spans="1:32" ht="15" customHeight="1">
      <c r="A282" s="636" t="s">
        <v>1074</v>
      </c>
      <c r="B282" s="740" t="s">
        <v>124</v>
      </c>
      <c r="C282" s="741" t="s">
        <v>2266</v>
      </c>
      <c r="D282" s="742" t="s">
        <v>2267</v>
      </c>
      <c r="E282" s="743" t="s">
        <v>2268</v>
      </c>
      <c r="F282" s="744" t="s">
        <v>1299</v>
      </c>
      <c r="G282" s="745">
        <v>1021033</v>
      </c>
      <c r="H282" s="746">
        <v>442168.99</v>
      </c>
      <c r="I282" s="745">
        <f t="shared" si="81"/>
        <v>578864.01</v>
      </c>
      <c r="J282" s="746">
        <v>94386.14</v>
      </c>
      <c r="K282" s="746">
        <v>6909617.2300000004</v>
      </c>
      <c r="L282" s="778">
        <f t="shared" si="82"/>
        <v>536555.13</v>
      </c>
      <c r="M282" s="745">
        <f t="shared" si="83"/>
        <v>484477.87</v>
      </c>
      <c r="N282" s="779">
        <f t="shared" si="84"/>
        <v>0.5255022413575271</v>
      </c>
      <c r="O282" s="780" t="s">
        <v>2269</v>
      </c>
      <c r="P282" s="781">
        <v>0.25900000000000001</v>
      </c>
      <c r="Q282" s="781">
        <v>0</v>
      </c>
      <c r="R282" s="781">
        <v>0.74099999999999999</v>
      </c>
      <c r="S282" s="782">
        <f t="shared" si="85"/>
        <v>114521.76841</v>
      </c>
      <c r="T282" s="782">
        <f t="shared" si="85"/>
        <v>0</v>
      </c>
      <c r="U282" s="782">
        <f t="shared" si="85"/>
        <v>327647.22158999997</v>
      </c>
      <c r="W282" s="782"/>
      <c r="X282" s="782"/>
      <c r="Y282" s="783"/>
      <c r="Z282" s="782"/>
      <c r="AA282" s="782"/>
      <c r="AB282" s="783"/>
      <c r="AC282" s="777">
        <f t="shared" si="80"/>
        <v>0</v>
      </c>
      <c r="AD282" s="790">
        <f t="shared" si="78"/>
        <v>264447.54700000002</v>
      </c>
      <c r="AE282" s="790">
        <f t="shared" si="77"/>
        <v>756585.45299999998</v>
      </c>
      <c r="AF282" s="790">
        <f t="shared" si="79"/>
        <v>0</v>
      </c>
    </row>
    <row r="283" spans="1:32" ht="15" customHeight="1">
      <c r="A283" s="636" t="s">
        <v>1074</v>
      </c>
      <c r="B283" s="740" t="s">
        <v>124</v>
      </c>
      <c r="C283" s="741" t="s">
        <v>2270</v>
      </c>
      <c r="D283" s="742" t="s">
        <v>2271</v>
      </c>
      <c r="E283" s="743" t="s">
        <v>2272</v>
      </c>
      <c r="F283" s="744" t="s">
        <v>1299</v>
      </c>
      <c r="G283" s="745">
        <v>3542680.6</v>
      </c>
      <c r="H283" s="746">
        <v>3137764.65</v>
      </c>
      <c r="I283" s="745">
        <f t="shared" si="81"/>
        <v>404915.95000000019</v>
      </c>
      <c r="J283" s="746">
        <v>41651.439999999995</v>
      </c>
      <c r="K283" s="746">
        <v>145070.75</v>
      </c>
      <c r="L283" s="778">
        <f t="shared" si="82"/>
        <v>3179416.09</v>
      </c>
      <c r="M283" s="745">
        <f t="shared" si="83"/>
        <v>363264.51000000024</v>
      </c>
      <c r="N283" s="779">
        <f t="shared" si="84"/>
        <v>0.89746055289319615</v>
      </c>
      <c r="O283" s="780" t="s">
        <v>2273</v>
      </c>
      <c r="P283" s="781">
        <v>0.24</v>
      </c>
      <c r="Q283" s="781">
        <v>0</v>
      </c>
      <c r="R283" s="781">
        <v>0.76</v>
      </c>
      <c r="S283" s="782">
        <f t="shared" si="85"/>
        <v>753063.51599999995</v>
      </c>
      <c r="T283" s="782">
        <f t="shared" si="85"/>
        <v>0</v>
      </c>
      <c r="U283" s="782">
        <f t="shared" si="85"/>
        <v>2384701.1340000001</v>
      </c>
      <c r="W283" s="782"/>
      <c r="X283" s="782"/>
      <c r="Y283" s="783"/>
      <c r="Z283" s="782"/>
      <c r="AA283" s="782"/>
      <c r="AB283" s="783"/>
      <c r="AC283" s="777">
        <f t="shared" si="80"/>
        <v>0</v>
      </c>
      <c r="AD283" s="790">
        <f t="shared" si="78"/>
        <v>850243.34400000004</v>
      </c>
      <c r="AE283" s="790">
        <f t="shared" si="77"/>
        <v>2692437.2560000001</v>
      </c>
      <c r="AF283" s="790">
        <f t="shared" si="79"/>
        <v>0</v>
      </c>
    </row>
    <row r="284" spans="1:32" ht="15" customHeight="1">
      <c r="A284" s="636" t="s">
        <v>1074</v>
      </c>
      <c r="B284" s="740" t="s">
        <v>124</v>
      </c>
      <c r="C284" s="741" t="s">
        <v>2274</v>
      </c>
      <c r="D284" s="742" t="s">
        <v>2275</v>
      </c>
      <c r="E284" s="743" t="s">
        <v>2276</v>
      </c>
      <c r="F284" s="744" t="s">
        <v>1972</v>
      </c>
      <c r="G284" s="745">
        <v>648300.36</v>
      </c>
      <c r="H284" s="746">
        <v>326269.36</v>
      </c>
      <c r="I284" s="745">
        <f t="shared" si="81"/>
        <v>322031</v>
      </c>
      <c r="J284" s="746">
        <v>72884.7</v>
      </c>
      <c r="K284" s="746">
        <v>0</v>
      </c>
      <c r="L284" s="778">
        <f t="shared" si="82"/>
        <v>399154.06</v>
      </c>
      <c r="M284" s="745">
        <f t="shared" si="83"/>
        <v>249146.3</v>
      </c>
      <c r="N284" s="779">
        <f t="shared" si="84"/>
        <v>0.61569310249958831</v>
      </c>
      <c r="O284" s="780" t="s">
        <v>2277</v>
      </c>
      <c r="P284" s="781">
        <v>0.49919999999999998</v>
      </c>
      <c r="Q284" s="781">
        <v>0</v>
      </c>
      <c r="R284" s="781">
        <v>0.50080000000000002</v>
      </c>
      <c r="S284" s="782">
        <f t="shared" si="85"/>
        <v>162873.66451199999</v>
      </c>
      <c r="T284" s="782">
        <f t="shared" si="85"/>
        <v>0</v>
      </c>
      <c r="U284" s="782">
        <f t="shared" si="85"/>
        <v>163395.695488</v>
      </c>
      <c r="W284" s="782"/>
      <c r="X284" s="782"/>
      <c r="Y284" s="783"/>
      <c r="Z284" s="782"/>
      <c r="AA284" s="782"/>
      <c r="AB284" s="783"/>
      <c r="AC284" s="777">
        <f t="shared" si="80"/>
        <v>0</v>
      </c>
      <c r="AD284" s="790">
        <f t="shared" si="78"/>
        <v>323631.539712</v>
      </c>
      <c r="AE284" s="790">
        <f t="shared" si="77"/>
        <v>324668.82028799999</v>
      </c>
      <c r="AF284" s="790">
        <f t="shared" si="79"/>
        <v>0</v>
      </c>
    </row>
    <row r="285" spans="1:32" ht="15" customHeight="1">
      <c r="A285" s="636" t="s">
        <v>1074</v>
      </c>
      <c r="B285" s="740" t="s">
        <v>124</v>
      </c>
      <c r="C285" s="741" t="s">
        <v>2278</v>
      </c>
      <c r="D285" s="742" t="s">
        <v>2279</v>
      </c>
      <c r="E285" s="743" t="s">
        <v>2280</v>
      </c>
      <c r="F285" s="744" t="s">
        <v>1472</v>
      </c>
      <c r="G285" s="745">
        <v>141727.28</v>
      </c>
      <c r="H285" s="746">
        <v>148098.16</v>
      </c>
      <c r="I285" s="745">
        <f t="shared" si="81"/>
        <v>-6370.8800000000047</v>
      </c>
      <c r="J285" s="746">
        <v>0</v>
      </c>
      <c r="K285" s="746">
        <v>0</v>
      </c>
      <c r="L285" s="778">
        <f t="shared" si="82"/>
        <v>148098.16</v>
      </c>
      <c r="M285" s="745">
        <f t="shared" si="83"/>
        <v>-6370.8800000000047</v>
      </c>
      <c r="N285" s="779">
        <f t="shared" si="84"/>
        <v>1.0449516846721394</v>
      </c>
      <c r="O285" s="780" t="s">
        <v>2281</v>
      </c>
      <c r="P285" s="781">
        <v>0.499</v>
      </c>
      <c r="Q285" s="781">
        <v>0.2505</v>
      </c>
      <c r="R285" s="781">
        <v>0.2505</v>
      </c>
      <c r="S285" s="782">
        <f t="shared" si="85"/>
        <v>73900.981840000008</v>
      </c>
      <c r="T285" s="782">
        <f t="shared" si="85"/>
        <v>37098.589079999998</v>
      </c>
      <c r="U285" s="782">
        <f t="shared" si="85"/>
        <v>37098.589079999998</v>
      </c>
      <c r="W285" s="782"/>
      <c r="X285" s="782"/>
      <c r="Y285" s="783"/>
      <c r="Z285" s="782"/>
      <c r="AA285" s="782"/>
      <c r="AB285" s="783"/>
      <c r="AC285" s="777">
        <f t="shared" si="80"/>
        <v>0</v>
      </c>
      <c r="AD285" s="790">
        <f t="shared" si="78"/>
        <v>70721.912719999993</v>
      </c>
      <c r="AE285" s="790">
        <f t="shared" si="77"/>
        <v>35502.683640000003</v>
      </c>
      <c r="AF285" s="790">
        <f t="shared" si="79"/>
        <v>35502.683640000003</v>
      </c>
    </row>
    <row r="286" spans="1:32" ht="15" customHeight="1">
      <c r="A286" s="636" t="s">
        <v>1074</v>
      </c>
      <c r="B286" s="740" t="s">
        <v>124</v>
      </c>
      <c r="C286" s="741" t="s">
        <v>2282</v>
      </c>
      <c r="D286" s="742" t="s">
        <v>2283</v>
      </c>
      <c r="E286" s="743" t="s">
        <v>2284</v>
      </c>
      <c r="F286" s="744" t="s">
        <v>2161</v>
      </c>
      <c r="G286" s="745">
        <v>1198142</v>
      </c>
      <c r="H286" s="746">
        <v>733467.37</v>
      </c>
      <c r="I286" s="745">
        <f t="shared" si="81"/>
        <v>464674.63</v>
      </c>
      <c r="J286" s="746">
        <v>132901.72999999998</v>
      </c>
      <c r="K286" s="746">
        <v>91260.5</v>
      </c>
      <c r="L286" s="778">
        <f t="shared" si="82"/>
        <v>866369.1</v>
      </c>
      <c r="M286" s="745">
        <f t="shared" si="83"/>
        <v>331772.90000000002</v>
      </c>
      <c r="N286" s="779">
        <f t="shared" si="84"/>
        <v>0.72309384029605839</v>
      </c>
      <c r="O286" s="780" t="s">
        <v>2285</v>
      </c>
      <c r="P286" s="781">
        <v>0.46100000000000002</v>
      </c>
      <c r="Q286" s="781">
        <v>0</v>
      </c>
      <c r="R286" s="781">
        <v>0.53900000000000003</v>
      </c>
      <c r="S286" s="782">
        <f t="shared" si="85"/>
        <v>338128.45757000003</v>
      </c>
      <c r="T286" s="782">
        <f t="shared" si="85"/>
        <v>0</v>
      </c>
      <c r="U286" s="782">
        <f t="shared" si="85"/>
        <v>395338.91243000003</v>
      </c>
      <c r="W286" s="782"/>
      <c r="X286" s="782"/>
      <c r="Y286" s="783"/>
      <c r="Z286" s="782"/>
      <c r="AA286" s="782"/>
      <c r="AB286" s="783"/>
      <c r="AC286" s="777">
        <f t="shared" si="80"/>
        <v>0</v>
      </c>
      <c r="AD286" s="790">
        <f t="shared" si="78"/>
        <v>552343.46200000006</v>
      </c>
      <c r="AE286" s="790">
        <f t="shared" si="77"/>
        <v>645798.53800000006</v>
      </c>
      <c r="AF286" s="790">
        <f t="shared" si="79"/>
        <v>0</v>
      </c>
    </row>
    <row r="287" spans="1:32" ht="15" customHeight="1">
      <c r="A287" s="636" t="s">
        <v>1074</v>
      </c>
      <c r="B287" s="740" t="s">
        <v>124</v>
      </c>
      <c r="C287" s="741" t="s">
        <v>2286</v>
      </c>
      <c r="D287" s="742" t="s">
        <v>2287</v>
      </c>
      <c r="E287" s="743" t="s">
        <v>2288</v>
      </c>
      <c r="F287" s="744" t="s">
        <v>1279</v>
      </c>
      <c r="G287" s="745">
        <v>0</v>
      </c>
      <c r="H287" s="746">
        <v>-9433.43</v>
      </c>
      <c r="I287" s="745">
        <f t="shared" si="81"/>
        <v>9433.43</v>
      </c>
      <c r="J287" s="746">
        <v>0</v>
      </c>
      <c r="K287" s="746">
        <v>0</v>
      </c>
      <c r="L287" s="778">
        <f t="shared" si="82"/>
        <v>-9433.43</v>
      </c>
      <c r="M287" s="745">
        <f t="shared" si="83"/>
        <v>9433.43</v>
      </c>
      <c r="N287" s="779">
        <f t="shared" si="84"/>
        <v>0</v>
      </c>
      <c r="O287" s="780" t="s">
        <v>2289</v>
      </c>
      <c r="P287" s="781">
        <v>0.50419999999999998</v>
      </c>
      <c r="Q287" s="781">
        <v>0</v>
      </c>
      <c r="R287" s="781">
        <v>0.49580000000000002</v>
      </c>
      <c r="S287" s="782">
        <f t="shared" si="85"/>
        <v>-4756.3354060000001</v>
      </c>
      <c r="T287" s="782">
        <f t="shared" si="85"/>
        <v>0</v>
      </c>
      <c r="U287" s="782">
        <f t="shared" si="85"/>
        <v>-4677.0945940000001</v>
      </c>
      <c r="W287" s="782"/>
      <c r="X287" s="782"/>
      <c r="Y287" s="783"/>
      <c r="Z287" s="782"/>
      <c r="AA287" s="782"/>
      <c r="AB287" s="783"/>
      <c r="AC287" s="777">
        <f t="shared" si="80"/>
        <v>0</v>
      </c>
      <c r="AD287" s="790">
        <f t="shared" si="78"/>
        <v>0</v>
      </c>
      <c r="AE287" s="790">
        <f t="shared" si="77"/>
        <v>0</v>
      </c>
      <c r="AF287" s="790">
        <f t="shared" si="79"/>
        <v>0</v>
      </c>
    </row>
    <row r="288" spans="1:32" ht="15" customHeight="1">
      <c r="A288" s="636" t="s">
        <v>1074</v>
      </c>
      <c r="B288" s="740" t="s">
        <v>124</v>
      </c>
      <c r="C288" s="741" t="s">
        <v>2290</v>
      </c>
      <c r="D288" s="742" t="s">
        <v>2291</v>
      </c>
      <c r="E288" s="743" t="s">
        <v>2292</v>
      </c>
      <c r="F288" s="744" t="s">
        <v>1299</v>
      </c>
      <c r="G288" s="745">
        <v>109357</v>
      </c>
      <c r="H288" s="746">
        <v>109357</v>
      </c>
      <c r="I288" s="745">
        <f t="shared" si="81"/>
        <v>0</v>
      </c>
      <c r="J288" s="746">
        <v>0</v>
      </c>
      <c r="K288" s="746">
        <v>33910</v>
      </c>
      <c r="L288" s="778">
        <f t="shared" si="82"/>
        <v>109357</v>
      </c>
      <c r="M288" s="745">
        <f t="shared" si="83"/>
        <v>0</v>
      </c>
      <c r="N288" s="779">
        <f t="shared" si="84"/>
        <v>1</v>
      </c>
      <c r="O288" s="780" t="s">
        <v>2293</v>
      </c>
      <c r="P288" s="781">
        <v>0.25900000000000001</v>
      </c>
      <c r="Q288" s="781">
        <v>0</v>
      </c>
      <c r="R288" s="781">
        <v>0.74099999999999999</v>
      </c>
      <c r="S288" s="782">
        <f t="shared" si="85"/>
        <v>28323.463</v>
      </c>
      <c r="T288" s="782">
        <f t="shared" si="85"/>
        <v>0</v>
      </c>
      <c r="U288" s="782">
        <f t="shared" si="85"/>
        <v>81033.536999999997</v>
      </c>
      <c r="W288" s="782"/>
      <c r="X288" s="782"/>
      <c r="Y288" s="783"/>
      <c r="Z288" s="782"/>
      <c r="AA288" s="782"/>
      <c r="AB288" s="783"/>
      <c r="AC288" s="777">
        <f t="shared" si="80"/>
        <v>0</v>
      </c>
      <c r="AD288" s="790">
        <f t="shared" si="78"/>
        <v>28323.463</v>
      </c>
      <c r="AE288" s="790">
        <f t="shared" si="77"/>
        <v>81033.536999999997</v>
      </c>
      <c r="AF288" s="790">
        <f t="shared" si="79"/>
        <v>0</v>
      </c>
    </row>
    <row r="289" spans="1:32" ht="15" customHeight="1">
      <c r="A289" s="636" t="s">
        <v>1074</v>
      </c>
      <c r="B289" s="740" t="s">
        <v>124</v>
      </c>
      <c r="C289" s="741" t="s">
        <v>2294</v>
      </c>
      <c r="D289" s="742" t="s">
        <v>2295</v>
      </c>
      <c r="E289" s="743" t="s">
        <v>2296</v>
      </c>
      <c r="F289" s="744" t="s">
        <v>2013</v>
      </c>
      <c r="G289" s="745">
        <v>2604028</v>
      </c>
      <c r="H289" s="746">
        <v>1106258.31</v>
      </c>
      <c r="I289" s="745">
        <f t="shared" si="81"/>
        <v>1497769.69</v>
      </c>
      <c r="J289" s="746">
        <v>4895</v>
      </c>
      <c r="K289" s="746">
        <v>298227.5</v>
      </c>
      <c r="L289" s="778">
        <f t="shared" si="82"/>
        <v>1111153.31</v>
      </c>
      <c r="M289" s="745">
        <f t="shared" si="83"/>
        <v>1492874.69</v>
      </c>
      <c r="N289" s="779">
        <f t="shared" si="84"/>
        <v>0.42670559225937665</v>
      </c>
      <c r="O289" s="780" t="s">
        <v>2297</v>
      </c>
      <c r="P289" s="781">
        <v>1</v>
      </c>
      <c r="Q289" s="781">
        <v>0</v>
      </c>
      <c r="R289" s="781">
        <v>0</v>
      </c>
      <c r="S289" s="782">
        <f t="shared" si="85"/>
        <v>1106258.31</v>
      </c>
      <c r="T289" s="782">
        <f t="shared" si="85"/>
        <v>0</v>
      </c>
      <c r="U289" s="782">
        <f t="shared" si="85"/>
        <v>0</v>
      </c>
      <c r="W289" s="782"/>
      <c r="X289" s="782"/>
      <c r="Y289" s="783"/>
      <c r="Z289" s="782"/>
      <c r="AA289" s="782"/>
      <c r="AB289" s="783"/>
      <c r="AC289" s="777">
        <f t="shared" si="80"/>
        <v>0</v>
      </c>
      <c r="AD289" s="790">
        <f t="shared" si="78"/>
        <v>2604028</v>
      </c>
      <c r="AE289" s="790">
        <f t="shared" si="77"/>
        <v>0</v>
      </c>
      <c r="AF289" s="790">
        <f t="shared" si="79"/>
        <v>0</v>
      </c>
    </row>
    <row r="290" spans="1:32" ht="15" customHeight="1">
      <c r="A290" s="636" t="s">
        <v>1074</v>
      </c>
      <c r="B290" s="740" t="s">
        <v>124</v>
      </c>
      <c r="C290" s="741"/>
      <c r="D290" s="742" t="s">
        <v>2298</v>
      </c>
      <c r="E290" s="743" t="s">
        <v>2299</v>
      </c>
      <c r="F290" s="744" t="s">
        <v>1472</v>
      </c>
      <c r="G290" s="745">
        <v>0</v>
      </c>
      <c r="H290" s="746">
        <v>110</v>
      </c>
      <c r="I290" s="745">
        <f t="shared" si="81"/>
        <v>-110</v>
      </c>
      <c r="J290" s="746">
        <v>0</v>
      </c>
      <c r="K290" s="746">
        <v>0</v>
      </c>
      <c r="L290" s="778">
        <f t="shared" si="82"/>
        <v>110</v>
      </c>
      <c r="M290" s="745">
        <f t="shared" si="83"/>
        <v>-110</v>
      </c>
      <c r="N290" s="779">
        <f t="shared" si="84"/>
        <v>0</v>
      </c>
      <c r="O290" s="780" t="s">
        <v>2300</v>
      </c>
      <c r="P290" s="781">
        <v>0</v>
      </c>
      <c r="Q290" s="781">
        <v>0</v>
      </c>
      <c r="R290" s="781">
        <v>1</v>
      </c>
      <c r="S290" s="782">
        <f t="shared" si="85"/>
        <v>0</v>
      </c>
      <c r="T290" s="782">
        <f t="shared" si="85"/>
        <v>0</v>
      </c>
      <c r="U290" s="782">
        <f t="shared" si="85"/>
        <v>110</v>
      </c>
      <c r="W290" s="782"/>
      <c r="X290" s="782"/>
      <c r="Y290" s="783"/>
      <c r="Z290" s="782"/>
      <c r="AA290" s="782"/>
      <c r="AB290" s="783"/>
      <c r="AC290" s="777">
        <f t="shared" si="80"/>
        <v>0</v>
      </c>
      <c r="AD290" s="790">
        <f t="shared" si="78"/>
        <v>0</v>
      </c>
      <c r="AE290" s="790">
        <f t="shared" si="77"/>
        <v>0</v>
      </c>
      <c r="AF290" s="790">
        <f t="shared" si="79"/>
        <v>0</v>
      </c>
    </row>
    <row r="291" spans="1:32" ht="15" customHeight="1">
      <c r="A291" s="636" t="s">
        <v>1074</v>
      </c>
      <c r="B291" s="740" t="s">
        <v>124</v>
      </c>
      <c r="C291" s="741" t="s">
        <v>2301</v>
      </c>
      <c r="D291" s="742" t="s">
        <v>2302</v>
      </c>
      <c r="E291" s="743" t="s">
        <v>2303</v>
      </c>
      <c r="F291" s="744" t="s">
        <v>462</v>
      </c>
      <c r="G291" s="745">
        <v>1250000</v>
      </c>
      <c r="H291" s="746">
        <v>220405.6</v>
      </c>
      <c r="I291" s="745">
        <f t="shared" si="81"/>
        <v>1029594.4</v>
      </c>
      <c r="J291" s="746">
        <v>48160.55</v>
      </c>
      <c r="K291" s="746">
        <v>348.1</v>
      </c>
      <c r="L291" s="778">
        <f t="shared" si="82"/>
        <v>268566.15000000002</v>
      </c>
      <c r="M291" s="745">
        <f t="shared" si="83"/>
        <v>981433.85</v>
      </c>
      <c r="N291" s="779">
        <f t="shared" si="84"/>
        <v>0.21485292000000003</v>
      </c>
      <c r="O291" s="780" t="s">
        <v>2304</v>
      </c>
      <c r="P291" s="781">
        <v>0.2757</v>
      </c>
      <c r="Q291" s="781">
        <v>0.36220000000000002</v>
      </c>
      <c r="R291" s="781">
        <v>0.36209999999999998</v>
      </c>
      <c r="S291" s="782">
        <f t="shared" si="85"/>
        <v>60765.823920000003</v>
      </c>
      <c r="T291" s="782">
        <f t="shared" si="85"/>
        <v>79830.908320000002</v>
      </c>
      <c r="U291" s="782">
        <f t="shared" si="85"/>
        <v>79808.867759999994</v>
      </c>
      <c r="W291" s="782"/>
      <c r="X291" s="782"/>
      <c r="Y291" s="783"/>
      <c r="Z291" s="782"/>
      <c r="AA291" s="782"/>
      <c r="AB291" s="783"/>
      <c r="AC291" s="777">
        <f t="shared" si="80"/>
        <v>0</v>
      </c>
      <c r="AD291" s="790">
        <f t="shared" si="78"/>
        <v>344625</v>
      </c>
      <c r="AE291" s="790">
        <f t="shared" si="77"/>
        <v>452625</v>
      </c>
      <c r="AF291" s="790">
        <f t="shared" si="79"/>
        <v>452750</v>
      </c>
    </row>
    <row r="292" spans="1:32" ht="15" customHeight="1">
      <c r="A292" s="636" t="s">
        <v>1074</v>
      </c>
      <c r="B292" s="740" t="s">
        <v>124</v>
      </c>
      <c r="C292" s="741" t="s">
        <v>2305</v>
      </c>
      <c r="D292" s="742" t="s">
        <v>2306</v>
      </c>
      <c r="E292" s="743" t="s">
        <v>2307</v>
      </c>
      <c r="F292" s="744" t="s">
        <v>1731</v>
      </c>
      <c r="G292" s="745">
        <v>71604.320000000007</v>
      </c>
      <c r="H292" s="746">
        <v>23615.09</v>
      </c>
      <c r="I292" s="745">
        <f t="shared" si="81"/>
        <v>47989.23000000001</v>
      </c>
      <c r="J292" s="746">
        <v>7519.26</v>
      </c>
      <c r="K292" s="746">
        <v>0</v>
      </c>
      <c r="L292" s="778">
        <f t="shared" si="82"/>
        <v>31134.35</v>
      </c>
      <c r="M292" s="745">
        <f t="shared" si="83"/>
        <v>40469.970000000008</v>
      </c>
      <c r="N292" s="779">
        <f t="shared" si="84"/>
        <v>0.43481105609270498</v>
      </c>
      <c r="O292" s="780" t="s">
        <v>1736</v>
      </c>
      <c r="P292" s="781">
        <v>0.25900000000000001</v>
      </c>
      <c r="Q292" s="781">
        <v>0</v>
      </c>
      <c r="R292" s="781">
        <v>0.74099999999999999</v>
      </c>
      <c r="S292" s="782">
        <f t="shared" si="85"/>
        <v>6116.3083100000003</v>
      </c>
      <c r="T292" s="782">
        <f t="shared" si="85"/>
        <v>0</v>
      </c>
      <c r="U292" s="782">
        <f t="shared" si="85"/>
        <v>17498.78169</v>
      </c>
      <c r="W292" s="782"/>
      <c r="X292" s="782"/>
      <c r="Y292" s="783"/>
      <c r="Z292" s="782"/>
      <c r="AA292" s="782"/>
      <c r="AB292" s="783"/>
      <c r="AC292" s="777">
        <f t="shared" si="80"/>
        <v>0</v>
      </c>
      <c r="AD292" s="790">
        <f t="shared" si="78"/>
        <v>18545.518880000003</v>
      </c>
      <c r="AE292" s="790">
        <f t="shared" si="77"/>
        <v>53058.801120000004</v>
      </c>
      <c r="AF292" s="790">
        <f t="shared" si="79"/>
        <v>0</v>
      </c>
    </row>
    <row r="293" spans="1:32" ht="15" customHeight="1">
      <c r="A293" s="636" t="s">
        <v>1074</v>
      </c>
      <c r="B293" s="740" t="s">
        <v>124</v>
      </c>
      <c r="C293" s="741" t="s">
        <v>2308</v>
      </c>
      <c r="D293" s="742" t="s">
        <v>2309</v>
      </c>
      <c r="E293" s="743" t="s">
        <v>2310</v>
      </c>
      <c r="F293" s="744" t="s">
        <v>2311</v>
      </c>
      <c r="G293" s="745">
        <v>361000</v>
      </c>
      <c r="H293" s="746">
        <v>38605</v>
      </c>
      <c r="I293" s="745">
        <f t="shared" si="81"/>
        <v>322395</v>
      </c>
      <c r="J293" s="746">
        <v>422.77</v>
      </c>
      <c r="K293" s="746">
        <v>0</v>
      </c>
      <c r="L293" s="778">
        <f t="shared" si="82"/>
        <v>39027.769999999997</v>
      </c>
      <c r="M293" s="745">
        <f t="shared" si="83"/>
        <v>321972.23</v>
      </c>
      <c r="N293" s="779">
        <f t="shared" si="84"/>
        <v>0.10811016620498615</v>
      </c>
      <c r="O293" s="780" t="s">
        <v>2312</v>
      </c>
      <c r="P293" s="781">
        <v>0.45669999999999999</v>
      </c>
      <c r="Q293" s="781">
        <v>0</v>
      </c>
      <c r="R293" s="781">
        <v>0.54330000000000001</v>
      </c>
      <c r="S293" s="782">
        <f t="shared" si="85"/>
        <v>17630.9035</v>
      </c>
      <c r="T293" s="782">
        <f t="shared" si="85"/>
        <v>0</v>
      </c>
      <c r="U293" s="782">
        <f t="shared" si="85"/>
        <v>20974.0965</v>
      </c>
      <c r="W293" s="782"/>
      <c r="X293" s="782"/>
      <c r="Y293" s="783"/>
      <c r="Z293" s="782"/>
      <c r="AA293" s="782"/>
      <c r="AB293" s="783"/>
      <c r="AC293" s="777">
        <f t="shared" si="80"/>
        <v>0</v>
      </c>
      <c r="AD293" s="790">
        <f t="shared" si="78"/>
        <v>164868.70000000001</v>
      </c>
      <c r="AE293" s="790">
        <f t="shared" si="77"/>
        <v>196131.3</v>
      </c>
      <c r="AF293" s="790">
        <f t="shared" si="79"/>
        <v>0</v>
      </c>
    </row>
    <row r="294" spans="1:32" ht="15" customHeight="1">
      <c r="A294" s="636" t="s">
        <v>1074</v>
      </c>
      <c r="B294" s="740" t="s">
        <v>124</v>
      </c>
      <c r="C294" s="741" t="s">
        <v>2313</v>
      </c>
      <c r="D294" s="742" t="s">
        <v>2314</v>
      </c>
      <c r="E294" s="743" t="s">
        <v>2315</v>
      </c>
      <c r="F294" s="744" t="s">
        <v>2311</v>
      </c>
      <c r="G294" s="745">
        <v>411000</v>
      </c>
      <c r="H294" s="746">
        <v>49387.1</v>
      </c>
      <c r="I294" s="745">
        <f t="shared" si="81"/>
        <v>361612.9</v>
      </c>
      <c r="J294" s="746">
        <v>39823.360000000001</v>
      </c>
      <c r="K294" s="746">
        <v>0</v>
      </c>
      <c r="L294" s="778">
        <f t="shared" si="82"/>
        <v>89210.459999999992</v>
      </c>
      <c r="M294" s="745">
        <f t="shared" si="83"/>
        <v>321789.54000000004</v>
      </c>
      <c r="N294" s="779">
        <f t="shared" si="84"/>
        <v>0.21705708029197079</v>
      </c>
      <c r="O294" s="780" t="s">
        <v>2316</v>
      </c>
      <c r="P294" s="781">
        <v>0.45669999999999999</v>
      </c>
      <c r="Q294" s="781">
        <v>0.2717</v>
      </c>
      <c r="R294" s="781">
        <v>0.27160000000000001</v>
      </c>
      <c r="S294" s="782">
        <f t="shared" ref="S294:U313" si="86">$H294*P294</f>
        <v>22555.08857</v>
      </c>
      <c r="T294" s="782">
        <f t="shared" si="86"/>
        <v>13418.475069999999</v>
      </c>
      <c r="U294" s="782">
        <f t="shared" si="86"/>
        <v>13413.53636</v>
      </c>
      <c r="W294" s="782"/>
      <c r="X294" s="782"/>
      <c r="Y294" s="783"/>
      <c r="Z294" s="782"/>
      <c r="AA294" s="782"/>
      <c r="AB294" s="783"/>
      <c r="AC294" s="777">
        <f t="shared" si="80"/>
        <v>0</v>
      </c>
      <c r="AD294" s="790">
        <f t="shared" si="78"/>
        <v>187703.7</v>
      </c>
      <c r="AE294" s="790">
        <f t="shared" si="77"/>
        <v>111627.6</v>
      </c>
      <c r="AF294" s="790">
        <f t="shared" si="79"/>
        <v>111668.7</v>
      </c>
    </row>
    <row r="295" spans="1:32" ht="15" customHeight="1">
      <c r="A295" s="636" t="s">
        <v>1074</v>
      </c>
      <c r="B295" s="740" t="s">
        <v>124</v>
      </c>
      <c r="C295" s="741" t="s">
        <v>2317</v>
      </c>
      <c r="D295" s="742" t="s">
        <v>2318</v>
      </c>
      <c r="E295" s="743" t="s">
        <v>2319</v>
      </c>
      <c r="F295" s="744" t="s">
        <v>1472</v>
      </c>
      <c r="G295" s="745">
        <v>13711.68</v>
      </c>
      <c r="H295" s="746">
        <v>0</v>
      </c>
      <c r="I295" s="745">
        <f t="shared" si="81"/>
        <v>13711.68</v>
      </c>
      <c r="J295" s="746">
        <v>5500</v>
      </c>
      <c r="K295" s="746">
        <v>0</v>
      </c>
      <c r="L295" s="778">
        <f t="shared" si="82"/>
        <v>5500</v>
      </c>
      <c r="M295" s="745">
        <f t="shared" si="83"/>
        <v>8211.68</v>
      </c>
      <c r="N295" s="779">
        <f t="shared" si="84"/>
        <v>0.40111787906368873</v>
      </c>
      <c r="O295" s="780" t="s">
        <v>2320</v>
      </c>
      <c r="P295" s="781">
        <v>0.15620000000000001</v>
      </c>
      <c r="Q295" s="781">
        <v>0</v>
      </c>
      <c r="R295" s="781">
        <v>0.84379999999999999</v>
      </c>
      <c r="S295" s="782">
        <f t="shared" si="86"/>
        <v>0</v>
      </c>
      <c r="T295" s="782">
        <f t="shared" si="86"/>
        <v>0</v>
      </c>
      <c r="U295" s="782">
        <f t="shared" si="86"/>
        <v>0</v>
      </c>
      <c r="W295" s="782"/>
      <c r="X295" s="782"/>
      <c r="Y295" s="783"/>
      <c r="Z295" s="782"/>
      <c r="AA295" s="782"/>
      <c r="AB295" s="783"/>
      <c r="AC295" s="777">
        <f t="shared" si="80"/>
        <v>0</v>
      </c>
      <c r="AD295" s="790">
        <f t="shared" si="78"/>
        <v>2141.764416</v>
      </c>
      <c r="AE295" s="790">
        <f t="shared" si="77"/>
        <v>11569.915584</v>
      </c>
      <c r="AF295" s="790">
        <f t="shared" si="79"/>
        <v>0</v>
      </c>
    </row>
    <row r="296" spans="1:32" ht="15" customHeight="1">
      <c r="A296" s="636" t="s">
        <v>1074</v>
      </c>
      <c r="B296" s="740" t="s">
        <v>124</v>
      </c>
      <c r="C296" s="741" t="s">
        <v>2321</v>
      </c>
      <c r="D296" s="742" t="s">
        <v>2322</v>
      </c>
      <c r="E296" s="743" t="s">
        <v>2323</v>
      </c>
      <c r="F296" s="744" t="s">
        <v>1731</v>
      </c>
      <c r="G296" s="745">
        <v>15249.6</v>
      </c>
      <c r="H296" s="746">
        <v>15809.6</v>
      </c>
      <c r="I296" s="745">
        <f t="shared" si="81"/>
        <v>-560</v>
      </c>
      <c r="J296" s="746">
        <v>0</v>
      </c>
      <c r="K296" s="746">
        <v>20626.84</v>
      </c>
      <c r="L296" s="778">
        <f t="shared" si="82"/>
        <v>15809.6</v>
      </c>
      <c r="M296" s="745">
        <f t="shared" si="83"/>
        <v>-560</v>
      </c>
      <c r="N296" s="779">
        <f t="shared" si="84"/>
        <v>1.0367222746826146</v>
      </c>
      <c r="O296" s="780" t="s">
        <v>2324</v>
      </c>
      <c r="P296" s="781">
        <v>0.47960000000000003</v>
      </c>
      <c r="Q296" s="781">
        <v>0</v>
      </c>
      <c r="R296" s="781">
        <v>0.52039999999999997</v>
      </c>
      <c r="S296" s="782">
        <f t="shared" si="86"/>
        <v>7582.2841600000002</v>
      </c>
      <c r="T296" s="782">
        <f t="shared" si="86"/>
        <v>0</v>
      </c>
      <c r="U296" s="782">
        <f t="shared" si="86"/>
        <v>8227.3158399999993</v>
      </c>
      <c r="W296" s="782"/>
      <c r="X296" s="782"/>
      <c r="Y296" s="783"/>
      <c r="Z296" s="782"/>
      <c r="AA296" s="782"/>
      <c r="AB296" s="783"/>
      <c r="AC296" s="777">
        <f t="shared" si="80"/>
        <v>0</v>
      </c>
      <c r="AD296" s="790">
        <f t="shared" si="78"/>
        <v>7313.7081600000001</v>
      </c>
      <c r="AE296" s="790">
        <f t="shared" si="77"/>
        <v>7935.8918400000002</v>
      </c>
      <c r="AF296" s="790">
        <f t="shared" si="79"/>
        <v>0</v>
      </c>
    </row>
    <row r="297" spans="1:32" ht="15" customHeight="1">
      <c r="A297" s="636" t="s">
        <v>1074</v>
      </c>
      <c r="B297" s="740" t="s">
        <v>124</v>
      </c>
      <c r="C297" s="741" t="s">
        <v>2325</v>
      </c>
      <c r="D297" s="742" t="s">
        <v>2326</v>
      </c>
      <c r="E297" s="743" t="s">
        <v>2327</v>
      </c>
      <c r="F297" s="744" t="s">
        <v>1472</v>
      </c>
      <c r="G297" s="745">
        <v>282625</v>
      </c>
      <c r="H297" s="746">
        <v>0</v>
      </c>
      <c r="I297" s="745">
        <f t="shared" si="81"/>
        <v>282625</v>
      </c>
      <c r="J297" s="746">
        <v>0</v>
      </c>
      <c r="K297" s="746">
        <v>0</v>
      </c>
      <c r="L297" s="778">
        <f t="shared" si="82"/>
        <v>0</v>
      </c>
      <c r="M297" s="745">
        <f t="shared" si="83"/>
        <v>282625</v>
      </c>
      <c r="N297" s="779">
        <f t="shared" si="84"/>
        <v>0</v>
      </c>
      <c r="O297" s="780" t="s">
        <v>2328</v>
      </c>
      <c r="P297" s="781">
        <v>0.39510000000000001</v>
      </c>
      <c r="Q297" s="781">
        <v>0</v>
      </c>
      <c r="R297" s="781">
        <v>0.60489999999999999</v>
      </c>
      <c r="S297" s="782">
        <f t="shared" si="86"/>
        <v>0</v>
      </c>
      <c r="T297" s="782">
        <f t="shared" si="86"/>
        <v>0</v>
      </c>
      <c r="U297" s="782">
        <f t="shared" si="86"/>
        <v>0</v>
      </c>
      <c r="W297" s="782"/>
      <c r="X297" s="782"/>
      <c r="Y297" s="783"/>
      <c r="Z297" s="782"/>
      <c r="AA297" s="782"/>
      <c r="AB297" s="783"/>
      <c r="AC297" s="777">
        <f t="shared" si="80"/>
        <v>0</v>
      </c>
      <c r="AD297" s="790">
        <f t="shared" si="78"/>
        <v>111665.1375</v>
      </c>
      <c r="AE297" s="790">
        <f t="shared" si="77"/>
        <v>170959.86249999999</v>
      </c>
      <c r="AF297" s="790">
        <f t="shared" si="79"/>
        <v>0</v>
      </c>
    </row>
    <row r="298" spans="1:32" ht="15" customHeight="1">
      <c r="A298" s="636" t="s">
        <v>1074</v>
      </c>
      <c r="B298" s="740" t="s">
        <v>124</v>
      </c>
      <c r="C298" s="741" t="s">
        <v>2329</v>
      </c>
      <c r="D298" s="742" t="s">
        <v>2330</v>
      </c>
      <c r="E298" s="743" t="s">
        <v>2331</v>
      </c>
      <c r="F298" s="744" t="s">
        <v>1472</v>
      </c>
      <c r="G298" s="745">
        <v>13711.68</v>
      </c>
      <c r="H298" s="746">
        <v>0</v>
      </c>
      <c r="I298" s="745">
        <f t="shared" si="81"/>
        <v>13711.68</v>
      </c>
      <c r="J298" s="746">
        <v>8397</v>
      </c>
      <c r="K298" s="746">
        <v>0</v>
      </c>
      <c r="L298" s="778">
        <f t="shared" si="82"/>
        <v>8397</v>
      </c>
      <c r="M298" s="745">
        <f t="shared" si="83"/>
        <v>5314.68</v>
      </c>
      <c r="N298" s="779">
        <f t="shared" si="84"/>
        <v>0.61239760554505351</v>
      </c>
      <c r="O298" s="780" t="s">
        <v>2332</v>
      </c>
      <c r="P298" s="781">
        <v>0.1976</v>
      </c>
      <c r="Q298" s="781">
        <v>0</v>
      </c>
      <c r="R298" s="781">
        <v>0.8024</v>
      </c>
      <c r="S298" s="782">
        <f t="shared" si="86"/>
        <v>0</v>
      </c>
      <c r="T298" s="782">
        <f t="shared" si="86"/>
        <v>0</v>
      </c>
      <c r="U298" s="782">
        <f t="shared" si="86"/>
        <v>0</v>
      </c>
      <c r="W298" s="782"/>
      <c r="X298" s="782"/>
      <c r="Y298" s="783"/>
      <c r="Z298" s="782"/>
      <c r="AA298" s="782"/>
      <c r="AB298" s="783"/>
      <c r="AC298" s="777">
        <f t="shared" si="80"/>
        <v>0</v>
      </c>
      <c r="AD298" s="790">
        <f t="shared" si="78"/>
        <v>2709.427968</v>
      </c>
      <c r="AE298" s="790">
        <f t="shared" si="77"/>
        <v>11002.252032</v>
      </c>
      <c r="AF298" s="790">
        <f t="shared" si="79"/>
        <v>0</v>
      </c>
    </row>
    <row r="299" spans="1:32" ht="15" customHeight="1">
      <c r="A299" s="636" t="s">
        <v>1074</v>
      </c>
      <c r="B299" s="740" t="s">
        <v>124</v>
      </c>
      <c r="C299" s="741" t="s">
        <v>2333</v>
      </c>
      <c r="D299" s="742" t="s">
        <v>2334</v>
      </c>
      <c r="E299" s="743" t="s">
        <v>2335</v>
      </c>
      <c r="F299" s="744" t="s">
        <v>462</v>
      </c>
      <c r="G299" s="745">
        <v>500395.06</v>
      </c>
      <c r="H299" s="746">
        <v>306615.33</v>
      </c>
      <c r="I299" s="745">
        <f t="shared" si="81"/>
        <v>193779.72999999998</v>
      </c>
      <c r="J299" s="746">
        <v>47501.42</v>
      </c>
      <c r="K299" s="746">
        <v>30168.2</v>
      </c>
      <c r="L299" s="778">
        <f t="shared" si="82"/>
        <v>354116.75</v>
      </c>
      <c r="M299" s="745">
        <f t="shared" si="83"/>
        <v>146278.31</v>
      </c>
      <c r="N299" s="779">
        <f t="shared" si="84"/>
        <v>0.70767435234072851</v>
      </c>
      <c r="O299" s="780" t="s">
        <v>2336</v>
      </c>
      <c r="P299" s="781">
        <v>0.22239999999999999</v>
      </c>
      <c r="Q299" s="781">
        <v>0.38879999999999998</v>
      </c>
      <c r="R299" s="781">
        <v>0.38879999999999998</v>
      </c>
      <c r="S299" s="782">
        <f t="shared" si="86"/>
        <v>68191.249391999998</v>
      </c>
      <c r="T299" s="782">
        <f t="shared" si="86"/>
        <v>119212.04030399999</v>
      </c>
      <c r="U299" s="782">
        <f t="shared" si="86"/>
        <v>119212.04030399999</v>
      </c>
      <c r="W299" s="782"/>
      <c r="X299" s="782"/>
      <c r="Y299" s="783"/>
      <c r="Z299" s="782"/>
      <c r="AA299" s="782"/>
      <c r="AB299" s="783"/>
      <c r="AC299" s="777">
        <f t="shared" si="80"/>
        <v>0</v>
      </c>
      <c r="AD299" s="790">
        <f t="shared" si="78"/>
        <v>111287.86134399999</v>
      </c>
      <c r="AE299" s="790">
        <f t="shared" si="77"/>
        <v>194553.59932799998</v>
      </c>
      <c r="AF299" s="790">
        <f t="shared" si="79"/>
        <v>194553.59932799998</v>
      </c>
    </row>
    <row r="300" spans="1:32" ht="15" customHeight="1">
      <c r="A300" s="636" t="s">
        <v>1074</v>
      </c>
      <c r="B300" s="740" t="s">
        <v>124</v>
      </c>
      <c r="C300" s="741" t="s">
        <v>2305</v>
      </c>
      <c r="D300" s="742" t="s">
        <v>2337</v>
      </c>
      <c r="E300" s="743" t="s">
        <v>2338</v>
      </c>
      <c r="F300" s="744" t="s">
        <v>1731</v>
      </c>
      <c r="G300" s="745">
        <v>0</v>
      </c>
      <c r="H300" s="746">
        <v>-210</v>
      </c>
      <c r="I300" s="745">
        <f t="shared" si="81"/>
        <v>210</v>
      </c>
      <c r="J300" s="746">
        <v>11000</v>
      </c>
      <c r="K300" s="746">
        <v>0</v>
      </c>
      <c r="L300" s="778">
        <f t="shared" si="82"/>
        <v>10790</v>
      </c>
      <c r="M300" s="745">
        <f t="shared" si="83"/>
        <v>-10790</v>
      </c>
      <c r="N300" s="779">
        <f t="shared" si="84"/>
        <v>0</v>
      </c>
      <c r="O300" s="780" t="s">
        <v>1736</v>
      </c>
      <c r="P300" s="781">
        <v>0.32490000000000002</v>
      </c>
      <c r="Q300" s="781">
        <v>0</v>
      </c>
      <c r="R300" s="781">
        <v>0.67510000000000003</v>
      </c>
      <c r="S300" s="782">
        <f t="shared" si="86"/>
        <v>-68.228999999999999</v>
      </c>
      <c r="T300" s="782">
        <f t="shared" si="86"/>
        <v>0</v>
      </c>
      <c r="U300" s="782">
        <f t="shared" si="86"/>
        <v>-141.77100000000002</v>
      </c>
      <c r="W300" s="782"/>
      <c r="X300" s="782"/>
      <c r="Y300" s="783"/>
      <c r="Z300" s="782"/>
      <c r="AA300" s="782"/>
      <c r="AB300" s="783"/>
      <c r="AC300" s="777">
        <f t="shared" si="80"/>
        <v>0</v>
      </c>
      <c r="AD300" s="790">
        <f t="shared" si="78"/>
        <v>0</v>
      </c>
      <c r="AE300" s="790">
        <f t="shared" si="77"/>
        <v>0</v>
      </c>
      <c r="AF300" s="790">
        <f t="shared" si="79"/>
        <v>0</v>
      </c>
    </row>
    <row r="301" spans="1:32" ht="15" customHeight="1">
      <c r="A301" s="636" t="s">
        <v>1074</v>
      </c>
      <c r="B301" s="740" t="s">
        <v>124</v>
      </c>
      <c r="C301" s="741" t="s">
        <v>2339</v>
      </c>
      <c r="D301" s="742" t="s">
        <v>2340</v>
      </c>
      <c r="E301" s="743" t="s">
        <v>2341</v>
      </c>
      <c r="F301" s="744" t="s">
        <v>1972</v>
      </c>
      <c r="G301" s="745">
        <v>1698459.98</v>
      </c>
      <c r="H301" s="746">
        <v>18174.03</v>
      </c>
      <c r="I301" s="745">
        <f t="shared" si="81"/>
        <v>1680285.95</v>
      </c>
      <c r="J301" s="746">
        <v>13838.5</v>
      </c>
      <c r="K301" s="746">
        <v>0</v>
      </c>
      <c r="L301" s="778">
        <f t="shared" si="82"/>
        <v>32012.53</v>
      </c>
      <c r="M301" s="745">
        <f t="shared" si="83"/>
        <v>1666447.45</v>
      </c>
      <c r="N301" s="779">
        <f t="shared" si="84"/>
        <v>1.8847974269019869E-2</v>
      </c>
      <c r="O301" s="780" t="s">
        <v>2342</v>
      </c>
      <c r="P301" s="781">
        <v>1</v>
      </c>
      <c r="Q301" s="781">
        <v>0</v>
      </c>
      <c r="R301" s="781">
        <v>0</v>
      </c>
      <c r="S301" s="782">
        <f t="shared" si="86"/>
        <v>18174.03</v>
      </c>
      <c r="T301" s="782">
        <f t="shared" si="86"/>
        <v>0</v>
      </c>
      <c r="U301" s="782">
        <f t="shared" si="86"/>
        <v>0</v>
      </c>
      <c r="W301" s="782"/>
      <c r="X301" s="782"/>
      <c r="Y301" s="783"/>
      <c r="Z301" s="782"/>
      <c r="AA301" s="782"/>
      <c r="AB301" s="783"/>
      <c r="AC301" s="777">
        <f t="shared" si="80"/>
        <v>0</v>
      </c>
      <c r="AD301" s="790">
        <f t="shared" si="78"/>
        <v>1698459.98</v>
      </c>
      <c r="AE301" s="790">
        <f t="shared" si="77"/>
        <v>0</v>
      </c>
      <c r="AF301" s="790">
        <f t="shared" si="79"/>
        <v>0</v>
      </c>
    </row>
    <row r="302" spans="1:32" ht="15" customHeight="1">
      <c r="A302" s="636" t="s">
        <v>1074</v>
      </c>
      <c r="B302" s="740" t="s">
        <v>124</v>
      </c>
      <c r="C302" s="741" t="s">
        <v>2343</v>
      </c>
      <c r="D302" s="742" t="s">
        <v>2344</v>
      </c>
      <c r="E302" s="743" t="s">
        <v>2345</v>
      </c>
      <c r="F302" s="744" t="s">
        <v>1731</v>
      </c>
      <c r="G302" s="745">
        <v>205000</v>
      </c>
      <c r="H302" s="746">
        <v>161346.95000000001</v>
      </c>
      <c r="I302" s="745">
        <f t="shared" si="81"/>
        <v>43653.049999999988</v>
      </c>
      <c r="J302" s="746">
        <v>46178.16</v>
      </c>
      <c r="K302" s="746">
        <v>0</v>
      </c>
      <c r="L302" s="778">
        <f t="shared" si="82"/>
        <v>207525.11000000002</v>
      </c>
      <c r="M302" s="745">
        <f t="shared" si="83"/>
        <v>-2525.1100000000151</v>
      </c>
      <c r="N302" s="779">
        <f t="shared" si="84"/>
        <v>1.0123176097560975</v>
      </c>
      <c r="O302" s="780" t="s">
        <v>2346</v>
      </c>
      <c r="P302" s="781">
        <v>0.4168</v>
      </c>
      <c r="Q302" s="781">
        <v>0</v>
      </c>
      <c r="R302" s="781">
        <v>0.58320000000000005</v>
      </c>
      <c r="S302" s="782">
        <f t="shared" si="86"/>
        <v>67249.408760000006</v>
      </c>
      <c r="T302" s="782">
        <f t="shared" si="86"/>
        <v>0</v>
      </c>
      <c r="U302" s="782">
        <f t="shared" si="86"/>
        <v>94097.54124000002</v>
      </c>
      <c r="W302" s="782"/>
      <c r="X302" s="782"/>
      <c r="Y302" s="783"/>
      <c r="Z302" s="782"/>
      <c r="AA302" s="782"/>
      <c r="AB302" s="783"/>
      <c r="AC302" s="777">
        <f t="shared" si="80"/>
        <v>0</v>
      </c>
      <c r="AD302" s="790">
        <f t="shared" si="78"/>
        <v>85444</v>
      </c>
      <c r="AE302" s="790">
        <f t="shared" si="77"/>
        <v>119556.00000000001</v>
      </c>
      <c r="AF302" s="790">
        <f t="shared" si="79"/>
        <v>0</v>
      </c>
    </row>
    <row r="303" spans="1:32" ht="15" customHeight="1">
      <c r="A303" s="636" t="s">
        <v>1074</v>
      </c>
      <c r="B303" s="740" t="s">
        <v>124</v>
      </c>
      <c r="C303" s="741" t="s">
        <v>2347</v>
      </c>
      <c r="D303" s="742" t="s">
        <v>2348</v>
      </c>
      <c r="E303" s="743" t="s">
        <v>2349</v>
      </c>
      <c r="F303" s="744" t="s">
        <v>2013</v>
      </c>
      <c r="G303" s="745">
        <v>519495</v>
      </c>
      <c r="H303" s="746">
        <v>479265.96</v>
      </c>
      <c r="I303" s="745">
        <f t="shared" si="81"/>
        <v>40229.039999999979</v>
      </c>
      <c r="J303" s="746">
        <v>168840.83000000002</v>
      </c>
      <c r="K303" s="746">
        <v>187655</v>
      </c>
      <c r="L303" s="778">
        <f t="shared" si="82"/>
        <v>648106.79</v>
      </c>
      <c r="M303" s="745">
        <f t="shared" si="83"/>
        <v>-128611.79000000004</v>
      </c>
      <c r="N303" s="779">
        <f t="shared" si="84"/>
        <v>1.2475707947140975</v>
      </c>
      <c r="O303" s="780" t="s">
        <v>2350</v>
      </c>
      <c r="P303" s="781">
        <v>0.44869999999999999</v>
      </c>
      <c r="Q303" s="781">
        <v>0.27560000000000001</v>
      </c>
      <c r="R303" s="781">
        <v>0.2757</v>
      </c>
      <c r="S303" s="782">
        <f t="shared" si="86"/>
        <v>215046.636252</v>
      </c>
      <c r="T303" s="782">
        <f t="shared" si="86"/>
        <v>132085.69857600002</v>
      </c>
      <c r="U303" s="782">
        <f t="shared" si="86"/>
        <v>132133.625172</v>
      </c>
      <c r="W303" s="782"/>
      <c r="X303" s="782"/>
      <c r="Y303" s="783"/>
      <c r="Z303" s="782"/>
      <c r="AA303" s="782"/>
      <c r="AB303" s="783"/>
      <c r="AC303" s="777">
        <f t="shared" si="80"/>
        <v>0</v>
      </c>
      <c r="AD303" s="790">
        <f t="shared" si="78"/>
        <v>233097.40649999998</v>
      </c>
      <c r="AE303" s="790">
        <f t="shared" si="77"/>
        <v>143224.7715</v>
      </c>
      <c r="AF303" s="790">
        <f t="shared" si="79"/>
        <v>143172.82200000001</v>
      </c>
    </row>
    <row r="304" spans="1:32" ht="15" customHeight="1">
      <c r="A304" s="636" t="s">
        <v>1074</v>
      </c>
      <c r="B304" s="740" t="s">
        <v>124</v>
      </c>
      <c r="C304" s="741" t="s">
        <v>2351</v>
      </c>
      <c r="D304" s="742" t="s">
        <v>2352</v>
      </c>
      <c r="E304" s="743" t="s">
        <v>2353</v>
      </c>
      <c r="F304" s="744" t="s">
        <v>1748</v>
      </c>
      <c r="G304" s="745">
        <v>1155140.24</v>
      </c>
      <c r="H304" s="746">
        <v>700898.37</v>
      </c>
      <c r="I304" s="745">
        <f t="shared" si="81"/>
        <v>454241.87</v>
      </c>
      <c r="J304" s="746">
        <v>19273.21</v>
      </c>
      <c r="K304" s="746">
        <v>473251.6</v>
      </c>
      <c r="L304" s="778">
        <f t="shared" si="82"/>
        <v>720171.58</v>
      </c>
      <c r="M304" s="745">
        <f t="shared" si="83"/>
        <v>434968.66000000003</v>
      </c>
      <c r="N304" s="779">
        <f t="shared" si="84"/>
        <v>0.62344947830749964</v>
      </c>
      <c r="O304" s="780" t="s">
        <v>2354</v>
      </c>
      <c r="P304" s="781">
        <v>0.81899999999999995</v>
      </c>
      <c r="Q304" s="781">
        <v>0</v>
      </c>
      <c r="R304" s="781">
        <v>0.18099999999999999</v>
      </c>
      <c r="S304" s="782">
        <f t="shared" si="86"/>
        <v>574035.76503000001</v>
      </c>
      <c r="T304" s="782">
        <f t="shared" si="86"/>
        <v>0</v>
      </c>
      <c r="U304" s="782">
        <f t="shared" si="86"/>
        <v>126862.60497</v>
      </c>
      <c r="W304" s="782"/>
      <c r="X304" s="782"/>
      <c r="Y304" s="783"/>
      <c r="Z304" s="782"/>
      <c r="AA304" s="782"/>
      <c r="AB304" s="783"/>
      <c r="AC304" s="777">
        <f t="shared" si="80"/>
        <v>0</v>
      </c>
      <c r="AD304" s="790">
        <f t="shared" si="78"/>
        <v>946059.85655999999</v>
      </c>
      <c r="AE304" s="790">
        <f t="shared" si="77"/>
        <v>209080.38344000001</v>
      </c>
      <c r="AF304" s="790">
        <f t="shared" si="79"/>
        <v>0</v>
      </c>
    </row>
    <row r="305" spans="1:32" ht="15" customHeight="1">
      <c r="A305" s="636" t="s">
        <v>1074</v>
      </c>
      <c r="B305" s="740" t="s">
        <v>124</v>
      </c>
      <c r="C305" s="741" t="s">
        <v>2355</v>
      </c>
      <c r="D305" s="742" t="s">
        <v>2356</v>
      </c>
      <c r="E305" s="743" t="s">
        <v>2357</v>
      </c>
      <c r="F305" s="744" t="s">
        <v>2311</v>
      </c>
      <c r="G305" s="745">
        <v>1469405</v>
      </c>
      <c r="H305" s="746">
        <v>1176935.71</v>
      </c>
      <c r="I305" s="745">
        <f t="shared" si="81"/>
        <v>292469.29000000004</v>
      </c>
      <c r="J305" s="746">
        <v>81858.62</v>
      </c>
      <c r="K305" s="746">
        <v>390026.04</v>
      </c>
      <c r="L305" s="778">
        <f t="shared" si="82"/>
        <v>1258794.33</v>
      </c>
      <c r="M305" s="745">
        <f t="shared" si="83"/>
        <v>210610.66999999993</v>
      </c>
      <c r="N305" s="779">
        <f t="shared" si="84"/>
        <v>0.85666942061582751</v>
      </c>
      <c r="O305" s="780" t="s">
        <v>2358</v>
      </c>
      <c r="P305" s="781">
        <v>1</v>
      </c>
      <c r="Q305" s="781">
        <v>0</v>
      </c>
      <c r="R305" s="781">
        <v>0</v>
      </c>
      <c r="S305" s="782">
        <f t="shared" si="86"/>
        <v>1176935.71</v>
      </c>
      <c r="T305" s="782">
        <f t="shared" si="86"/>
        <v>0</v>
      </c>
      <c r="U305" s="782">
        <f t="shared" si="86"/>
        <v>0</v>
      </c>
      <c r="W305" s="782"/>
      <c r="X305" s="782"/>
      <c r="Y305" s="783"/>
      <c r="Z305" s="782"/>
      <c r="AA305" s="782"/>
      <c r="AB305" s="783"/>
      <c r="AC305" s="777">
        <f t="shared" si="80"/>
        <v>0</v>
      </c>
      <c r="AD305" s="790">
        <f t="shared" si="78"/>
        <v>1469405</v>
      </c>
      <c r="AE305" s="790">
        <f t="shared" si="77"/>
        <v>0</v>
      </c>
      <c r="AF305" s="790">
        <f t="shared" si="79"/>
        <v>0</v>
      </c>
    </row>
    <row r="306" spans="1:32" ht="15" customHeight="1">
      <c r="A306" s="636" t="s">
        <v>1074</v>
      </c>
      <c r="B306" s="740" t="s">
        <v>124</v>
      </c>
      <c r="C306" s="741" t="s">
        <v>2359</v>
      </c>
      <c r="D306" s="742" t="s">
        <v>2360</v>
      </c>
      <c r="E306" s="743" t="s">
        <v>2361</v>
      </c>
      <c r="F306" s="744" t="s">
        <v>1972</v>
      </c>
      <c r="G306" s="745">
        <v>733568</v>
      </c>
      <c r="H306" s="746">
        <v>0</v>
      </c>
      <c r="I306" s="745">
        <f t="shared" si="81"/>
        <v>733568</v>
      </c>
      <c r="J306" s="746">
        <v>0</v>
      </c>
      <c r="K306" s="746">
        <v>0</v>
      </c>
      <c r="L306" s="778">
        <f t="shared" si="82"/>
        <v>0</v>
      </c>
      <c r="M306" s="745">
        <f t="shared" si="83"/>
        <v>733568</v>
      </c>
      <c r="N306" s="779">
        <f t="shared" si="84"/>
        <v>0</v>
      </c>
      <c r="O306" s="780" t="s">
        <v>2362</v>
      </c>
      <c r="P306" s="781">
        <v>1</v>
      </c>
      <c r="Q306" s="781">
        <v>0</v>
      </c>
      <c r="R306" s="781">
        <v>0</v>
      </c>
      <c r="S306" s="782">
        <f t="shared" si="86"/>
        <v>0</v>
      </c>
      <c r="T306" s="782">
        <f t="shared" si="86"/>
        <v>0</v>
      </c>
      <c r="U306" s="782">
        <f t="shared" si="86"/>
        <v>0</v>
      </c>
      <c r="W306" s="782"/>
      <c r="X306" s="782"/>
      <c r="Y306" s="783"/>
      <c r="Z306" s="782"/>
      <c r="AA306" s="782"/>
      <c r="AB306" s="783"/>
      <c r="AC306" s="777">
        <f t="shared" si="80"/>
        <v>0</v>
      </c>
      <c r="AD306" s="790">
        <f t="shared" si="78"/>
        <v>733568</v>
      </c>
      <c r="AE306" s="790">
        <f t="shared" si="77"/>
        <v>0</v>
      </c>
      <c r="AF306" s="790">
        <f t="shared" si="79"/>
        <v>0</v>
      </c>
    </row>
    <row r="307" spans="1:32" ht="15" customHeight="1">
      <c r="A307" s="636" t="s">
        <v>1074</v>
      </c>
      <c r="B307" s="740" t="s">
        <v>124</v>
      </c>
      <c r="C307" s="741" t="s">
        <v>2363</v>
      </c>
      <c r="D307" s="742" t="s">
        <v>2364</v>
      </c>
      <c r="E307" s="743" t="s">
        <v>2365</v>
      </c>
      <c r="F307" s="744" t="s">
        <v>1731</v>
      </c>
      <c r="G307" s="745">
        <v>25000</v>
      </c>
      <c r="H307" s="746">
        <v>24999.919999999998</v>
      </c>
      <c r="I307" s="745">
        <f t="shared" si="81"/>
        <v>8.000000000174623E-2</v>
      </c>
      <c r="J307" s="746">
        <v>0</v>
      </c>
      <c r="K307" s="746">
        <v>198469.51</v>
      </c>
      <c r="L307" s="778">
        <f t="shared" si="82"/>
        <v>24999.919999999998</v>
      </c>
      <c r="M307" s="745">
        <f t="shared" si="83"/>
        <v>8.000000000174623E-2</v>
      </c>
      <c r="N307" s="779">
        <f t="shared" si="84"/>
        <v>0.99999679999999991</v>
      </c>
      <c r="O307" s="780" t="s">
        <v>2366</v>
      </c>
      <c r="P307" s="781">
        <v>0.30549999999999999</v>
      </c>
      <c r="Q307" s="781">
        <v>0</v>
      </c>
      <c r="R307" s="781">
        <v>0.69450000000000001</v>
      </c>
      <c r="S307" s="782">
        <f t="shared" si="86"/>
        <v>7637.4755599999989</v>
      </c>
      <c r="T307" s="782">
        <f t="shared" si="86"/>
        <v>0</v>
      </c>
      <c r="U307" s="782">
        <f t="shared" si="86"/>
        <v>17362.444439999999</v>
      </c>
      <c r="W307" s="782"/>
      <c r="X307" s="782"/>
      <c r="Y307" s="783"/>
      <c r="Z307" s="782"/>
      <c r="AA307" s="782"/>
      <c r="AB307" s="783"/>
      <c r="AC307" s="777">
        <f t="shared" si="80"/>
        <v>0</v>
      </c>
      <c r="AD307" s="790">
        <f t="shared" si="78"/>
        <v>7637.5</v>
      </c>
      <c r="AE307" s="790">
        <f t="shared" si="77"/>
        <v>17362.5</v>
      </c>
      <c r="AF307" s="790">
        <f t="shared" si="79"/>
        <v>0</v>
      </c>
    </row>
    <row r="308" spans="1:32" ht="15" customHeight="1">
      <c r="A308" s="636" t="s">
        <v>1074</v>
      </c>
      <c r="B308" s="740" t="s">
        <v>124</v>
      </c>
      <c r="C308" s="741" t="s">
        <v>2367</v>
      </c>
      <c r="D308" s="742" t="s">
        <v>2368</v>
      </c>
      <c r="E308" s="743" t="s">
        <v>2369</v>
      </c>
      <c r="F308" s="744" t="s">
        <v>1948</v>
      </c>
      <c r="G308" s="745">
        <v>423970.72</v>
      </c>
      <c r="H308" s="746">
        <v>207452.88</v>
      </c>
      <c r="I308" s="745">
        <f t="shared" si="81"/>
        <v>216517.83999999997</v>
      </c>
      <c r="J308" s="746">
        <v>248418.57</v>
      </c>
      <c r="K308" s="746">
        <v>0</v>
      </c>
      <c r="L308" s="778">
        <f t="shared" si="82"/>
        <v>455871.45</v>
      </c>
      <c r="M308" s="745">
        <f t="shared" si="83"/>
        <v>-31900.73000000004</v>
      </c>
      <c r="N308" s="779">
        <f t="shared" si="84"/>
        <v>1.0752427667646485</v>
      </c>
      <c r="O308" s="780" t="s">
        <v>2370</v>
      </c>
      <c r="P308" s="781">
        <v>0.34229999999999999</v>
      </c>
      <c r="Q308" s="781">
        <v>0.32890000000000003</v>
      </c>
      <c r="R308" s="781">
        <v>0.32879999999999998</v>
      </c>
      <c r="S308" s="782">
        <f t="shared" si="86"/>
        <v>71011.120823999998</v>
      </c>
      <c r="T308" s="782">
        <f t="shared" si="86"/>
        <v>68231.252232000013</v>
      </c>
      <c r="U308" s="782">
        <f t="shared" si="86"/>
        <v>68210.506943999993</v>
      </c>
      <c r="W308" s="782"/>
      <c r="X308" s="782"/>
      <c r="Y308" s="783"/>
      <c r="Z308" s="782"/>
      <c r="AA308" s="782"/>
      <c r="AB308" s="783"/>
      <c r="AC308" s="777">
        <f t="shared" si="80"/>
        <v>0</v>
      </c>
      <c r="AD308" s="790">
        <f t="shared" si="78"/>
        <v>145125.17745599998</v>
      </c>
      <c r="AE308" s="790">
        <f t="shared" si="77"/>
        <v>139401.57273599997</v>
      </c>
      <c r="AF308" s="790">
        <f t="shared" si="79"/>
        <v>139443.96980799999</v>
      </c>
    </row>
    <row r="309" spans="1:32" ht="15" customHeight="1">
      <c r="A309" s="636" t="s">
        <v>1074</v>
      </c>
      <c r="B309" s="740" t="s">
        <v>124</v>
      </c>
      <c r="C309" s="741" t="s">
        <v>2371</v>
      </c>
      <c r="D309" s="742" t="s">
        <v>2372</v>
      </c>
      <c r="E309" s="743" t="s">
        <v>2373</v>
      </c>
      <c r="F309" s="744" t="s">
        <v>1748</v>
      </c>
      <c r="G309" s="745">
        <v>1090158.3799999999</v>
      </c>
      <c r="H309" s="746">
        <v>526978.46</v>
      </c>
      <c r="I309" s="745">
        <f t="shared" si="81"/>
        <v>563179.91999999993</v>
      </c>
      <c r="J309" s="746">
        <v>12692.66</v>
      </c>
      <c r="K309" s="746">
        <v>397725.25</v>
      </c>
      <c r="L309" s="778">
        <f t="shared" si="82"/>
        <v>539671.12</v>
      </c>
      <c r="M309" s="745">
        <f t="shared" si="83"/>
        <v>550487.25999999989</v>
      </c>
      <c r="N309" s="779">
        <f t="shared" si="84"/>
        <v>0.49503918870944241</v>
      </c>
      <c r="O309" s="780" t="s">
        <v>2374</v>
      </c>
      <c r="P309" s="781">
        <v>0.34429999999999999</v>
      </c>
      <c r="Q309" s="781">
        <v>0.32790000000000002</v>
      </c>
      <c r="R309" s="781">
        <v>0.32779999999999998</v>
      </c>
      <c r="S309" s="782">
        <f t="shared" si="86"/>
        <v>181438.68377799998</v>
      </c>
      <c r="T309" s="782">
        <f t="shared" si="86"/>
        <v>172796.23703399999</v>
      </c>
      <c r="U309" s="782">
        <f t="shared" si="86"/>
        <v>172743.53918799997</v>
      </c>
      <c r="W309" s="782"/>
      <c r="X309" s="782"/>
      <c r="Y309" s="783"/>
      <c r="Z309" s="782"/>
      <c r="AA309" s="782"/>
      <c r="AB309" s="783"/>
      <c r="AC309" s="777">
        <f t="shared" si="80"/>
        <v>0</v>
      </c>
      <c r="AD309" s="790">
        <f t="shared" si="78"/>
        <v>375341.53023399995</v>
      </c>
      <c r="AE309" s="790">
        <f t="shared" si="77"/>
        <v>357353.91696399992</v>
      </c>
      <c r="AF309" s="790">
        <f t="shared" si="79"/>
        <v>357462.93280199997</v>
      </c>
    </row>
    <row r="310" spans="1:32" ht="15" customHeight="1">
      <c r="A310" s="636" t="s">
        <v>1074</v>
      </c>
      <c r="B310" s="740" t="s">
        <v>124</v>
      </c>
      <c r="C310" s="741" t="s">
        <v>2305</v>
      </c>
      <c r="D310" s="742" t="s">
        <v>2375</v>
      </c>
      <c r="E310" s="743" t="s">
        <v>2376</v>
      </c>
      <c r="F310" s="744" t="s">
        <v>1731</v>
      </c>
      <c r="G310" s="745">
        <v>1038.5899999999999</v>
      </c>
      <c r="H310" s="746">
        <v>1038.5899999999999</v>
      </c>
      <c r="I310" s="745">
        <f t="shared" si="81"/>
        <v>0</v>
      </c>
      <c r="J310" s="746">
        <v>4268.7700000000004</v>
      </c>
      <c r="K310" s="746">
        <v>0</v>
      </c>
      <c r="L310" s="778">
        <f t="shared" si="82"/>
        <v>5307.3600000000006</v>
      </c>
      <c r="M310" s="745">
        <f t="shared" si="83"/>
        <v>-4268.7700000000004</v>
      </c>
      <c r="N310" s="779">
        <f t="shared" si="84"/>
        <v>5.1101589655205624</v>
      </c>
      <c r="O310" s="780" t="s">
        <v>1736</v>
      </c>
      <c r="P310" s="781">
        <v>0.19040000000000001</v>
      </c>
      <c r="Q310" s="781">
        <v>0</v>
      </c>
      <c r="R310" s="781">
        <v>0.80959999999999999</v>
      </c>
      <c r="S310" s="782">
        <f t="shared" si="86"/>
        <v>197.747536</v>
      </c>
      <c r="T310" s="782">
        <f t="shared" si="86"/>
        <v>0</v>
      </c>
      <c r="U310" s="782">
        <f t="shared" si="86"/>
        <v>840.84246399999995</v>
      </c>
      <c r="W310" s="782"/>
      <c r="X310" s="782"/>
      <c r="Y310" s="783"/>
      <c r="Z310" s="782"/>
      <c r="AA310" s="782"/>
      <c r="AB310" s="783"/>
      <c r="AC310" s="777">
        <f t="shared" si="80"/>
        <v>0</v>
      </c>
      <c r="AD310" s="790">
        <f t="shared" si="78"/>
        <v>197.747536</v>
      </c>
      <c r="AE310" s="790">
        <f t="shared" si="77"/>
        <v>840.84246399999995</v>
      </c>
      <c r="AF310" s="790">
        <f t="shared" si="79"/>
        <v>0</v>
      </c>
    </row>
    <row r="311" spans="1:32" ht="15" customHeight="1">
      <c r="A311" s="636" t="s">
        <v>1074</v>
      </c>
      <c r="B311" s="740" t="s">
        <v>124</v>
      </c>
      <c r="C311" s="741" t="s">
        <v>2305</v>
      </c>
      <c r="D311" s="742" t="s">
        <v>2377</v>
      </c>
      <c r="E311" s="743" t="s">
        <v>2378</v>
      </c>
      <c r="F311" s="744" t="s">
        <v>1731</v>
      </c>
      <c r="G311" s="745">
        <v>25450</v>
      </c>
      <c r="H311" s="746">
        <v>17244.580000000002</v>
      </c>
      <c r="I311" s="745">
        <f t="shared" si="81"/>
        <v>8205.4199999999983</v>
      </c>
      <c r="J311" s="746">
        <v>18005.43</v>
      </c>
      <c r="K311" s="746">
        <v>0</v>
      </c>
      <c r="L311" s="778">
        <f t="shared" si="82"/>
        <v>35250.01</v>
      </c>
      <c r="M311" s="745">
        <f t="shared" si="83"/>
        <v>-9800.010000000002</v>
      </c>
      <c r="N311" s="779">
        <f t="shared" si="84"/>
        <v>1.3850691552062868</v>
      </c>
      <c r="O311" s="780" t="s">
        <v>1736</v>
      </c>
      <c r="P311" s="781">
        <v>0.33179999999999998</v>
      </c>
      <c r="Q311" s="781">
        <v>0</v>
      </c>
      <c r="R311" s="781">
        <v>0.66820000000000002</v>
      </c>
      <c r="S311" s="782">
        <f t="shared" si="86"/>
        <v>5721.7516439999999</v>
      </c>
      <c r="T311" s="782">
        <f t="shared" si="86"/>
        <v>0</v>
      </c>
      <c r="U311" s="782">
        <f t="shared" si="86"/>
        <v>11522.828356000002</v>
      </c>
      <c r="W311" s="782"/>
      <c r="X311" s="782"/>
      <c r="Y311" s="783"/>
      <c r="Z311" s="782"/>
      <c r="AA311" s="782"/>
      <c r="AB311" s="783"/>
      <c r="AC311" s="777">
        <f t="shared" si="80"/>
        <v>0</v>
      </c>
      <c r="AD311" s="790">
        <f t="shared" si="78"/>
        <v>8444.31</v>
      </c>
      <c r="AE311" s="790">
        <f t="shared" si="77"/>
        <v>17005.689999999999</v>
      </c>
      <c r="AF311" s="790">
        <f t="shared" si="79"/>
        <v>0</v>
      </c>
    </row>
    <row r="312" spans="1:32" ht="15" customHeight="1">
      <c r="A312" s="636" t="s">
        <v>1074</v>
      </c>
      <c r="B312" s="740" t="s">
        <v>124</v>
      </c>
      <c r="C312" s="741" t="s">
        <v>2305</v>
      </c>
      <c r="D312" s="742" t="s">
        <v>2379</v>
      </c>
      <c r="E312" s="743" t="s">
        <v>2380</v>
      </c>
      <c r="F312" s="744" t="s">
        <v>1731</v>
      </c>
      <c r="G312" s="745">
        <v>138184.74</v>
      </c>
      <c r="H312" s="746">
        <v>97910.76</v>
      </c>
      <c r="I312" s="745">
        <f t="shared" si="81"/>
        <v>40273.979999999996</v>
      </c>
      <c r="J312" s="746">
        <v>74603.64</v>
      </c>
      <c r="K312" s="746">
        <v>30000</v>
      </c>
      <c r="L312" s="778">
        <f t="shared" si="82"/>
        <v>172514.4</v>
      </c>
      <c r="M312" s="745">
        <f t="shared" si="83"/>
        <v>-34329.660000000003</v>
      </c>
      <c r="N312" s="779">
        <f t="shared" si="84"/>
        <v>1.2484330758953557</v>
      </c>
      <c r="O312" s="780" t="s">
        <v>1736</v>
      </c>
      <c r="P312" s="781">
        <v>0.2757</v>
      </c>
      <c r="Q312" s="781">
        <v>0</v>
      </c>
      <c r="R312" s="781">
        <v>0.72430000000000005</v>
      </c>
      <c r="S312" s="782">
        <f t="shared" si="86"/>
        <v>26993.996531999997</v>
      </c>
      <c r="T312" s="782">
        <f t="shared" si="86"/>
        <v>0</v>
      </c>
      <c r="U312" s="782">
        <f t="shared" si="86"/>
        <v>70916.763468000005</v>
      </c>
      <c r="W312" s="782"/>
      <c r="X312" s="782"/>
      <c r="Y312" s="783"/>
      <c r="Z312" s="782"/>
      <c r="AA312" s="782"/>
      <c r="AB312" s="783"/>
      <c r="AC312" s="777">
        <f t="shared" si="80"/>
        <v>0</v>
      </c>
      <c r="AD312" s="790">
        <f t="shared" si="78"/>
        <v>38097.532818</v>
      </c>
      <c r="AE312" s="790">
        <f t="shared" si="77"/>
        <v>100087.207182</v>
      </c>
      <c r="AF312" s="790">
        <f t="shared" si="79"/>
        <v>0</v>
      </c>
    </row>
    <row r="313" spans="1:32" ht="15" customHeight="1">
      <c r="A313" s="636" t="s">
        <v>1074</v>
      </c>
      <c r="B313" s="740" t="s">
        <v>124</v>
      </c>
      <c r="C313" s="741"/>
      <c r="D313" s="742" t="s">
        <v>2381</v>
      </c>
      <c r="E313" s="743" t="s">
        <v>2382</v>
      </c>
      <c r="F313" s="744" t="s">
        <v>1948</v>
      </c>
      <c r="G313" s="745">
        <v>0</v>
      </c>
      <c r="H313" s="746">
        <v>26254.49</v>
      </c>
      <c r="I313" s="745">
        <f t="shared" si="81"/>
        <v>-26254.49</v>
      </c>
      <c r="J313" s="746">
        <v>8875</v>
      </c>
      <c r="K313" s="746">
        <v>0</v>
      </c>
      <c r="L313" s="778">
        <f t="shared" si="82"/>
        <v>35129.490000000005</v>
      </c>
      <c r="M313" s="745">
        <f t="shared" si="83"/>
        <v>-35129.490000000005</v>
      </c>
      <c r="N313" s="779">
        <f t="shared" si="84"/>
        <v>0</v>
      </c>
      <c r="O313" s="780" t="s">
        <v>2383</v>
      </c>
      <c r="P313" s="781">
        <v>0</v>
      </c>
      <c r="Q313" s="781">
        <v>1</v>
      </c>
      <c r="R313" s="781">
        <v>0</v>
      </c>
      <c r="S313" s="782">
        <f t="shared" si="86"/>
        <v>0</v>
      </c>
      <c r="T313" s="782">
        <f t="shared" si="86"/>
        <v>26254.49</v>
      </c>
      <c r="U313" s="782">
        <f t="shared" si="86"/>
        <v>0</v>
      </c>
      <c r="W313" s="782"/>
      <c r="X313" s="782"/>
      <c r="Y313" s="783"/>
      <c r="Z313" s="782"/>
      <c r="AA313" s="782"/>
      <c r="AB313" s="783"/>
      <c r="AC313" s="777">
        <f t="shared" si="80"/>
        <v>0</v>
      </c>
      <c r="AD313" s="790">
        <f t="shared" si="78"/>
        <v>0</v>
      </c>
      <c r="AE313" s="790">
        <f t="shared" si="77"/>
        <v>0</v>
      </c>
      <c r="AF313" s="790">
        <f t="shared" si="79"/>
        <v>0</v>
      </c>
    </row>
    <row r="314" spans="1:32" ht="15" customHeight="1">
      <c r="A314" s="636" t="s">
        <v>1074</v>
      </c>
      <c r="B314" s="740" t="s">
        <v>124</v>
      </c>
      <c r="C314" s="741" t="s">
        <v>2384</v>
      </c>
      <c r="D314" s="742" t="s">
        <v>2385</v>
      </c>
      <c r="E314" s="743" t="s">
        <v>2386</v>
      </c>
      <c r="F314" s="744" t="s">
        <v>1948</v>
      </c>
      <c r="G314" s="745">
        <v>162809</v>
      </c>
      <c r="H314" s="746">
        <v>0</v>
      </c>
      <c r="I314" s="745">
        <f t="shared" si="81"/>
        <v>162809</v>
      </c>
      <c r="J314" s="746">
        <v>0</v>
      </c>
      <c r="K314" s="746">
        <v>0</v>
      </c>
      <c r="L314" s="778">
        <f t="shared" si="82"/>
        <v>0</v>
      </c>
      <c r="M314" s="745">
        <f t="shared" si="83"/>
        <v>162809</v>
      </c>
      <c r="N314" s="779">
        <f t="shared" si="84"/>
        <v>0</v>
      </c>
      <c r="O314" s="780" t="s">
        <v>2387</v>
      </c>
      <c r="P314" s="781">
        <v>0</v>
      </c>
      <c r="Q314" s="781">
        <v>0</v>
      </c>
      <c r="R314" s="781">
        <v>0</v>
      </c>
      <c r="S314" s="782">
        <f t="shared" ref="S314:U316" si="87">$H314*P314</f>
        <v>0</v>
      </c>
      <c r="T314" s="782">
        <f t="shared" si="87"/>
        <v>0</v>
      </c>
      <c r="U314" s="782">
        <f t="shared" si="87"/>
        <v>0</v>
      </c>
      <c r="W314" s="782"/>
      <c r="X314" s="782"/>
      <c r="Y314" s="783"/>
      <c r="Z314" s="782"/>
      <c r="AA314" s="782"/>
      <c r="AB314" s="783"/>
      <c r="AC314" s="777">
        <f t="shared" si="80"/>
        <v>0</v>
      </c>
      <c r="AD314" s="790">
        <f t="shared" si="78"/>
        <v>0</v>
      </c>
      <c r="AE314" s="790">
        <f t="shared" si="77"/>
        <v>0</v>
      </c>
      <c r="AF314" s="790">
        <f t="shared" si="79"/>
        <v>0</v>
      </c>
    </row>
    <row r="315" spans="1:32" ht="15" customHeight="1">
      <c r="A315" s="636" t="s">
        <v>1074</v>
      </c>
      <c r="B315" s="740" t="s">
        <v>124</v>
      </c>
      <c r="C315" s="741" t="s">
        <v>2388</v>
      </c>
      <c r="D315" s="742" t="s">
        <v>2389</v>
      </c>
      <c r="E315" s="743" t="s">
        <v>2390</v>
      </c>
      <c r="F315" s="744" t="s">
        <v>462</v>
      </c>
      <c r="G315" s="745">
        <v>100000</v>
      </c>
      <c r="H315" s="746">
        <v>1120</v>
      </c>
      <c r="I315" s="745">
        <f t="shared" si="81"/>
        <v>98880</v>
      </c>
      <c r="J315" s="746">
        <v>8500</v>
      </c>
      <c r="K315" s="746">
        <v>0</v>
      </c>
      <c r="L315" s="778">
        <f t="shared" si="82"/>
        <v>9620</v>
      </c>
      <c r="M315" s="745">
        <f t="shared" si="83"/>
        <v>90380</v>
      </c>
      <c r="N315" s="779">
        <f t="shared" si="84"/>
        <v>9.6199999999999994E-2</v>
      </c>
      <c r="O315" s="780" t="s">
        <v>2391</v>
      </c>
      <c r="P315" s="781">
        <v>0</v>
      </c>
      <c r="Q315" s="781">
        <v>0</v>
      </c>
      <c r="R315" s="781">
        <v>1</v>
      </c>
      <c r="S315" s="782">
        <f t="shared" si="87"/>
        <v>0</v>
      </c>
      <c r="T315" s="782">
        <f t="shared" si="87"/>
        <v>0</v>
      </c>
      <c r="U315" s="782">
        <f t="shared" si="87"/>
        <v>1120</v>
      </c>
      <c r="W315" s="782"/>
      <c r="X315" s="782"/>
      <c r="Y315" s="783"/>
      <c r="Z315" s="782"/>
      <c r="AA315" s="782"/>
      <c r="AB315" s="783"/>
      <c r="AC315" s="777">
        <f t="shared" si="80"/>
        <v>0</v>
      </c>
      <c r="AD315" s="790">
        <f t="shared" si="78"/>
        <v>0</v>
      </c>
      <c r="AE315" s="790">
        <f t="shared" si="77"/>
        <v>100000</v>
      </c>
      <c r="AF315" s="790">
        <f t="shared" si="79"/>
        <v>0</v>
      </c>
    </row>
    <row r="316" spans="1:32" ht="15" customHeight="1">
      <c r="A316" s="636" t="s">
        <v>1074</v>
      </c>
      <c r="B316" s="740" t="s">
        <v>124</v>
      </c>
      <c r="C316" s="741" t="s">
        <v>2392</v>
      </c>
      <c r="D316" s="742" t="s">
        <v>2393</v>
      </c>
      <c r="E316" s="743" t="s">
        <v>2394</v>
      </c>
      <c r="F316" s="744" t="s">
        <v>1731</v>
      </c>
      <c r="G316" s="745">
        <v>0</v>
      </c>
      <c r="H316" s="746">
        <v>70</v>
      </c>
      <c r="I316" s="745">
        <f t="shared" si="81"/>
        <v>-70</v>
      </c>
      <c r="J316" s="746">
        <v>0</v>
      </c>
      <c r="K316" s="746">
        <v>0</v>
      </c>
      <c r="L316" s="778">
        <f t="shared" si="82"/>
        <v>70</v>
      </c>
      <c r="M316" s="745">
        <f t="shared" si="83"/>
        <v>-70</v>
      </c>
      <c r="N316" s="779">
        <f t="shared" si="84"/>
        <v>0</v>
      </c>
      <c r="O316" s="780" t="s">
        <v>2395</v>
      </c>
      <c r="P316" s="781">
        <v>0.46</v>
      </c>
      <c r="Q316" s="781">
        <v>0.32100000000000001</v>
      </c>
      <c r="R316" s="781">
        <v>0.219</v>
      </c>
      <c r="S316" s="782">
        <f t="shared" si="87"/>
        <v>32.200000000000003</v>
      </c>
      <c r="T316" s="782">
        <f t="shared" si="87"/>
        <v>22.47</v>
      </c>
      <c r="U316" s="782">
        <f t="shared" si="87"/>
        <v>15.33</v>
      </c>
      <c r="W316" s="782"/>
      <c r="X316" s="782"/>
      <c r="Y316" s="783"/>
      <c r="Z316" s="782"/>
      <c r="AA316" s="782"/>
      <c r="AB316" s="783"/>
      <c r="AC316" s="777">
        <f t="shared" si="80"/>
        <v>0</v>
      </c>
      <c r="AD316" s="790">
        <f t="shared" si="78"/>
        <v>0</v>
      </c>
      <c r="AE316" s="790">
        <f t="shared" si="77"/>
        <v>0</v>
      </c>
      <c r="AF316" s="790">
        <f t="shared" si="79"/>
        <v>0</v>
      </c>
    </row>
    <row r="317" spans="1:32" ht="15" customHeight="1" thickBot="1">
      <c r="A317" s="636" t="s">
        <v>1036</v>
      </c>
      <c r="B317" s="747" t="str">
        <f>B271</f>
        <v>Water Supply</v>
      </c>
      <c r="C317" s="748"/>
      <c r="D317" s="749"/>
      <c r="E317" s="750" t="str">
        <f>B271&amp;" - Sub Total"</f>
        <v>Water Supply - Sub Total</v>
      </c>
      <c r="F317" s="751"/>
      <c r="G317" s="752">
        <f>SUBTOTAL(9,G271:G316)</f>
        <v>22142726.669999994</v>
      </c>
      <c r="H317" s="752">
        <f>SUBTOTAL(9,H271:H316)</f>
        <v>11438488.420000004</v>
      </c>
      <c r="I317" s="752">
        <f t="shared" si="81"/>
        <v>10704238.249999991</v>
      </c>
      <c r="J317" s="752">
        <f>SUBTOTAL(9,J271:J316)</f>
        <v>1587247.48</v>
      </c>
      <c r="K317" s="752">
        <f>SUBTOTAL(9,K271:K316)</f>
        <v>9206356.5199999996</v>
      </c>
      <c r="L317" s="752">
        <f>SUBTOTAL(9,L271:L316)</f>
        <v>13025735.899999997</v>
      </c>
      <c r="M317" s="752">
        <f>SUBTOTAL(9,M271:M316)</f>
        <v>9116990.7699999996</v>
      </c>
      <c r="N317" s="784">
        <f>IFERROR(L317/#REF!,0)</f>
        <v>0</v>
      </c>
      <c r="O317" s="785"/>
      <c r="P317" s="752"/>
      <c r="Q317" s="752"/>
      <c r="R317" s="752"/>
      <c r="S317" s="786"/>
      <c r="T317" s="786"/>
      <c r="U317" s="786"/>
      <c r="W317" s="786"/>
      <c r="X317" s="786"/>
      <c r="Y317" s="787"/>
      <c r="Z317" s="786"/>
      <c r="AA317" s="786"/>
      <c r="AB317" s="787"/>
    </row>
    <row r="318" spans="1:32">
      <c r="A318" s="636" t="s">
        <v>1161</v>
      </c>
      <c r="B318" s="753"/>
      <c r="C318" s="754"/>
      <c r="D318" s="754"/>
      <c r="E318" s="753"/>
      <c r="F318" s="755"/>
      <c r="G318" s="756"/>
      <c r="H318" s="756"/>
      <c r="I318" s="756"/>
      <c r="J318" s="756"/>
      <c r="K318" s="756"/>
      <c r="L318" s="756"/>
      <c r="M318" s="756"/>
      <c r="N318" s="753"/>
      <c r="O318" s="753"/>
    </row>
    <row r="319" spans="1:32">
      <c r="A319" s="636" t="s">
        <v>1242</v>
      </c>
      <c r="B319" s="753"/>
      <c r="C319" s="754"/>
      <c r="D319" s="754"/>
      <c r="E319" s="753"/>
      <c r="F319" s="755"/>
      <c r="G319" s="756"/>
      <c r="H319" s="756"/>
      <c r="I319" s="756"/>
      <c r="J319" s="756"/>
      <c r="K319" s="756"/>
      <c r="L319" s="756"/>
      <c r="M319" s="756"/>
      <c r="N319" s="753"/>
      <c r="O319" s="753"/>
    </row>
    <row r="320" spans="1:32" ht="15.75" thickBot="1">
      <c r="A320" s="636" t="s">
        <v>1242</v>
      </c>
      <c r="B320" s="753"/>
      <c r="C320" s="754"/>
      <c r="D320" s="754"/>
      <c r="E320" s="757" t="s">
        <v>2396</v>
      </c>
      <c r="F320" s="755"/>
      <c r="G320" s="758">
        <f>SUBTOTAL(9,G7:G319)</f>
        <v>153239910.73000005</v>
      </c>
      <c r="H320" s="758">
        <f>SUBTOTAL(9,H7:H319)</f>
        <v>105329380.03999992</v>
      </c>
      <c r="I320" s="758">
        <f>G320-H320</f>
        <v>47910530.690000132</v>
      </c>
      <c r="J320" s="758">
        <f>SUBTOTAL(9,J7:J319)</f>
        <v>9349488.3099999987</v>
      </c>
      <c r="K320" s="758">
        <f>SUBTOTAL(9,K7:K319)</f>
        <v>34317544.730000004</v>
      </c>
      <c r="L320" s="758">
        <f>SUBTOTAL(9,L7:L319)</f>
        <v>114678868.34999993</v>
      </c>
      <c r="M320" s="758">
        <f>SUBTOTAL(9,M7:M319)</f>
        <v>38561042.379999995</v>
      </c>
      <c r="N320" s="789"/>
      <c r="O320" s="753"/>
    </row>
    <row r="321" spans="1:15" ht="15.75" thickTop="1">
      <c r="A321" s="636" t="s">
        <v>1242</v>
      </c>
      <c r="C321" s="1"/>
      <c r="D321" s="1"/>
      <c r="O321" s="753"/>
    </row>
    <row r="322" spans="1:15">
      <c r="A322" s="636" t="s">
        <v>1242</v>
      </c>
    </row>
  </sheetData>
  <autoFilter ref="A6:AC6" xr:uid="{00000000-0009-0000-0000-000009000000}"/>
  <conditionalFormatting sqref="N317 N8 N37 N40 N50 N60 N66 N114 N127 N145 N212 N232 N269">
    <cfRule type="iconSet" priority="1">
      <iconSet reverse="1">
        <cfvo type="percent" val="0"/>
        <cfvo type="num" val="0.9"/>
        <cfvo type="num" val="1.01" gte="0"/>
      </iconSet>
    </cfRule>
  </conditionalFormatting>
  <conditionalFormatting sqref="N271:N316 N7 N10:N36 N39 N42:N49 N53:N59 N62:N65 N68:N113 N116:N126 N129:N144 N147:N211 N214:N231 N234:N268">
    <cfRule type="iconSet" priority="2">
      <iconSet reverse="1">
        <cfvo type="percent" val="0"/>
        <cfvo type="num" val="0.9"/>
        <cfvo type="num" val="1.01" gte="0"/>
      </iconSet>
    </cfRule>
  </conditionalFormatting>
  <pageMargins left="0.31496062992125984" right="0.31496062992125984" top="0.35433070866141736" bottom="0.35433070866141736" header="0.31496062992125984" footer="0.31496062992125984"/>
  <pageSetup paperSize="8" scale="63" fitToHeight="6"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3:B37"/>
  <sheetViews>
    <sheetView showGridLines="0" topLeftCell="A19" zoomScale="70" zoomScaleNormal="70" workbookViewId="0">
      <selection activeCell="R40" sqref="R40"/>
    </sheetView>
  </sheetViews>
  <sheetFormatPr defaultRowHeight="15"/>
  <sheetData>
    <row r="3" spans="1:2">
      <c r="A3">
        <v>1</v>
      </c>
      <c r="B3" t="s">
        <v>2397</v>
      </c>
    </row>
    <row r="18" spans="1:2">
      <c r="A18">
        <v>2</v>
      </c>
      <c r="B18" t="s">
        <v>2398</v>
      </c>
    </row>
    <row r="37" spans="1:2">
      <c r="A37">
        <v>3</v>
      </c>
      <c r="B37" t="s">
        <v>2399</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N9"/>
  <sheetViews>
    <sheetView topLeftCell="F1" workbookViewId="0">
      <selection activeCell="G3" sqref="G3"/>
    </sheetView>
  </sheetViews>
  <sheetFormatPr defaultRowHeight="15"/>
  <cols>
    <col min="1" max="1" width="22.28515625" bestFit="1" customWidth="1"/>
    <col min="2" max="2" width="58.7109375" bestFit="1" customWidth="1"/>
    <col min="3" max="3" width="4" bestFit="1" customWidth="1"/>
    <col min="4" max="4" width="59.5703125" bestFit="1" customWidth="1"/>
    <col min="5" max="5" width="37.42578125" bestFit="1" customWidth="1"/>
    <col min="8" max="8" width="47.28515625" bestFit="1" customWidth="1"/>
    <col min="10" max="10" width="60.140625" bestFit="1" customWidth="1"/>
  </cols>
  <sheetData>
    <row r="1" spans="1:14">
      <c r="A1" t="s">
        <v>2400</v>
      </c>
      <c r="B1" t="s">
        <v>2401</v>
      </c>
      <c r="C1" t="s">
        <v>160</v>
      </c>
      <c r="D1" t="s">
        <v>2402</v>
      </c>
      <c r="E1" t="s">
        <v>2403</v>
      </c>
      <c r="F1" t="s">
        <v>2404</v>
      </c>
      <c r="G1" t="s">
        <v>2405</v>
      </c>
      <c r="H1" t="s">
        <v>2406</v>
      </c>
      <c r="I1" t="s">
        <v>2407</v>
      </c>
      <c r="J1" t="s">
        <v>2408</v>
      </c>
      <c r="K1" t="s">
        <v>160</v>
      </c>
      <c r="L1" t="s">
        <v>598</v>
      </c>
      <c r="M1" t="s">
        <v>2409</v>
      </c>
      <c r="N1" t="s">
        <v>2410</v>
      </c>
    </row>
    <row r="2" spans="1:14">
      <c r="A2" t="s">
        <v>458</v>
      </c>
      <c r="B2" t="s">
        <v>189</v>
      </c>
      <c r="C2" t="s">
        <v>122</v>
      </c>
      <c r="D2" t="s">
        <v>189</v>
      </c>
      <c r="E2" t="s">
        <v>2411</v>
      </c>
      <c r="F2" t="s">
        <v>537</v>
      </c>
      <c r="G2" t="s">
        <v>2412</v>
      </c>
      <c r="H2" t="s">
        <v>122</v>
      </c>
      <c r="I2" t="s">
        <v>2413</v>
      </c>
      <c r="J2" t="s">
        <v>2414</v>
      </c>
      <c r="K2" t="s">
        <v>122</v>
      </c>
      <c r="L2" t="s">
        <v>2415</v>
      </c>
      <c r="M2" t="s">
        <v>2416</v>
      </c>
      <c r="N2" t="s">
        <v>2417</v>
      </c>
    </row>
    <row r="3" spans="1:14">
      <c r="A3" t="s">
        <v>57</v>
      </c>
      <c r="B3" t="s">
        <v>2418</v>
      </c>
      <c r="D3" t="s">
        <v>2418</v>
      </c>
      <c r="E3" t="s">
        <v>2419</v>
      </c>
      <c r="F3" t="s">
        <v>2420</v>
      </c>
      <c r="G3" t="s">
        <v>2421</v>
      </c>
      <c r="I3" t="s">
        <v>2422</v>
      </c>
      <c r="J3" t="s">
        <v>2423</v>
      </c>
      <c r="L3" t="s">
        <v>2424</v>
      </c>
      <c r="M3" t="s">
        <v>2425</v>
      </c>
      <c r="N3" t="s">
        <v>2426</v>
      </c>
    </row>
    <row r="4" spans="1:14">
      <c r="A4" t="s">
        <v>26</v>
      </c>
      <c r="B4" t="s">
        <v>2427</v>
      </c>
      <c r="D4" t="s">
        <v>2427</v>
      </c>
      <c r="E4" t="s">
        <v>323</v>
      </c>
      <c r="F4" t="s">
        <v>2428</v>
      </c>
      <c r="G4" t="s">
        <v>2429</v>
      </c>
      <c r="I4" t="s">
        <v>2430</v>
      </c>
      <c r="M4" t="s">
        <v>627</v>
      </c>
      <c r="N4" t="s">
        <v>2431</v>
      </c>
    </row>
    <row r="5" spans="1:14">
      <c r="A5" t="s">
        <v>27</v>
      </c>
      <c r="B5" t="s">
        <v>2432</v>
      </c>
      <c r="D5" t="s">
        <v>2433</v>
      </c>
      <c r="E5" t="s">
        <v>2434</v>
      </c>
      <c r="F5" t="s">
        <v>2435</v>
      </c>
      <c r="G5" t="s">
        <v>2434</v>
      </c>
      <c r="I5" t="s">
        <v>2436</v>
      </c>
      <c r="N5" t="s">
        <v>2437</v>
      </c>
    </row>
    <row r="6" spans="1:14">
      <c r="A6" t="s">
        <v>28</v>
      </c>
      <c r="B6" t="s">
        <v>2433</v>
      </c>
      <c r="D6" t="s">
        <v>2438</v>
      </c>
      <c r="I6" t="s">
        <v>2439</v>
      </c>
    </row>
    <row r="7" spans="1:14">
      <c r="B7" t="s">
        <v>2440</v>
      </c>
      <c r="D7" t="s">
        <v>2441</v>
      </c>
      <c r="I7" t="s">
        <v>2442</v>
      </c>
    </row>
    <row r="8" spans="1:14">
      <c r="B8" t="s">
        <v>2443</v>
      </c>
      <c r="D8" t="s">
        <v>2444</v>
      </c>
    </row>
    <row r="9" spans="1:14">
      <c r="B9" t="s">
        <v>2444</v>
      </c>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1:K135"/>
  <sheetViews>
    <sheetView zoomScale="70" zoomScaleNormal="70" workbookViewId="0">
      <selection activeCell="B6" sqref="B6"/>
    </sheetView>
  </sheetViews>
  <sheetFormatPr defaultRowHeight="15"/>
  <cols>
    <col min="1" max="1" width="51.140625" customWidth="1"/>
    <col min="2" max="3" width="32.5703125" customWidth="1"/>
    <col min="4" max="4" width="94.85546875" bestFit="1" customWidth="1"/>
    <col min="5" max="5" width="15.42578125" customWidth="1"/>
    <col min="6" max="6" width="94.42578125" bestFit="1" customWidth="1"/>
    <col min="7" max="7" width="29.140625" customWidth="1"/>
    <col min="8" max="8" width="71.85546875" customWidth="1"/>
    <col min="9" max="9" width="21.42578125" customWidth="1"/>
    <col min="10" max="11" width="25.140625" customWidth="1"/>
  </cols>
  <sheetData>
    <row r="1" spans="1:10">
      <c r="A1" t="s">
        <v>43</v>
      </c>
      <c r="B1" t="e">
        <v>#VALUE!</v>
      </c>
      <c r="C1" t="s">
        <v>2445</v>
      </c>
      <c r="D1">
        <v>192</v>
      </c>
      <c r="E1">
        <v>1</v>
      </c>
      <c r="F1">
        <v>0</v>
      </c>
    </row>
    <row r="2" spans="1:10">
      <c r="A2" t="s">
        <v>2446</v>
      </c>
      <c r="D2" t="s">
        <v>934</v>
      </c>
      <c r="F2" t="s">
        <v>439</v>
      </c>
      <c r="H2" t="s">
        <v>757</v>
      </c>
      <c r="J2" t="s">
        <v>2447</v>
      </c>
    </row>
    <row r="3" spans="1:10">
      <c r="B3">
        <v>192</v>
      </c>
      <c r="D3" t="s">
        <v>7</v>
      </c>
      <c r="F3" t="s">
        <v>7</v>
      </c>
      <c r="H3" t="s">
        <v>7</v>
      </c>
      <c r="J3" t="s">
        <v>2448</v>
      </c>
    </row>
    <row r="4" spans="1:10">
      <c r="A4" t="s">
        <v>2449</v>
      </c>
      <c r="B4">
        <v>9375.1977179000005</v>
      </c>
      <c r="C4">
        <v>9375.1977179000005</v>
      </c>
      <c r="D4" t="s">
        <v>2450</v>
      </c>
      <c r="E4">
        <v>55063.369542364562</v>
      </c>
      <c r="F4" t="s">
        <v>2451</v>
      </c>
      <c r="G4">
        <v>52043.289473684206</v>
      </c>
      <c r="H4" t="s">
        <v>2452</v>
      </c>
      <c r="I4">
        <v>54996.306328404229</v>
      </c>
      <c r="J4" t="s">
        <v>2453</v>
      </c>
    </row>
    <row r="5" spans="1:10">
      <c r="A5" t="s">
        <v>2454</v>
      </c>
      <c r="B5">
        <v>63795</v>
      </c>
      <c r="C5">
        <v>47400</v>
      </c>
      <c r="D5" t="s">
        <v>2455</v>
      </c>
      <c r="E5">
        <v>0.86312986193846797</v>
      </c>
      <c r="F5" t="s">
        <v>2456</v>
      </c>
      <c r="G5">
        <v>0.81578947368421051</v>
      </c>
      <c r="H5" t="s">
        <v>2457</v>
      </c>
      <c r="I5">
        <v>24602</v>
      </c>
      <c r="J5" t="s">
        <v>2458</v>
      </c>
    </row>
    <row r="6" spans="1:10">
      <c r="A6" t="s">
        <v>2459</v>
      </c>
      <c r="B6">
        <v>28538</v>
      </c>
      <c r="D6" t="s">
        <v>2460</v>
      </c>
      <c r="E6">
        <v>24632</v>
      </c>
      <c r="F6" t="s">
        <v>2461</v>
      </c>
      <c r="G6">
        <v>23281</v>
      </c>
      <c r="H6" t="s">
        <v>2462</v>
      </c>
      <c r="I6">
        <v>2048</v>
      </c>
      <c r="J6" t="s">
        <v>2463</v>
      </c>
    </row>
    <row r="7" spans="1:10">
      <c r="A7" t="s">
        <v>2464</v>
      </c>
      <c r="B7">
        <v>2927</v>
      </c>
      <c r="D7" t="s">
        <v>2465</v>
      </c>
      <c r="E7">
        <v>1975</v>
      </c>
      <c r="F7" t="s">
        <v>2466</v>
      </c>
      <c r="G7">
        <v>2826</v>
      </c>
      <c r="H7" t="s">
        <v>2467</v>
      </c>
      <c r="I7">
        <v>26650</v>
      </c>
    </row>
    <row r="8" spans="1:10">
      <c r="A8" t="s">
        <v>2468</v>
      </c>
      <c r="B8">
        <v>31465</v>
      </c>
      <c r="D8" t="s">
        <v>2469</v>
      </c>
      <c r="E8">
        <v>26607</v>
      </c>
      <c r="F8" t="s">
        <v>2470</v>
      </c>
      <c r="G8">
        <v>26107</v>
      </c>
      <c r="H8" t="s">
        <v>2471</v>
      </c>
      <c r="I8">
        <v>369.50709999999998</v>
      </c>
    </row>
    <row r="9" spans="1:10">
      <c r="A9" t="s">
        <v>2472</v>
      </c>
      <c r="B9">
        <v>2.2354404653444528</v>
      </c>
      <c r="D9" t="s">
        <v>2473</v>
      </c>
      <c r="E9">
        <v>11901168.26</v>
      </c>
      <c r="F9" t="s">
        <v>2474</v>
      </c>
      <c r="G9">
        <v>0</v>
      </c>
      <c r="H9" t="s">
        <v>2475</v>
      </c>
      <c r="I9">
        <v>0</v>
      </c>
    </row>
    <row r="10" spans="1:10">
      <c r="A10" t="s">
        <v>2476</v>
      </c>
      <c r="B10">
        <v>14.67</v>
      </c>
      <c r="D10" t="s">
        <v>2477</v>
      </c>
      <c r="E10">
        <v>0</v>
      </c>
      <c r="F10" t="s">
        <v>2478</v>
      </c>
      <c r="G10">
        <v>0</v>
      </c>
      <c r="H10" t="s">
        <v>2479</v>
      </c>
      <c r="I10">
        <v>1.042</v>
      </c>
      <c r="J10" t="s">
        <v>2480</v>
      </c>
    </row>
    <row r="11" spans="1:10">
      <c r="A11" t="s">
        <v>2481</v>
      </c>
      <c r="B11">
        <v>2</v>
      </c>
      <c r="D11" t="s">
        <v>2482</v>
      </c>
      <c r="E11">
        <v>0</v>
      </c>
      <c r="F11" t="s">
        <v>2483</v>
      </c>
      <c r="G11">
        <v>5155044</v>
      </c>
      <c r="H11" t="s">
        <v>2484</v>
      </c>
      <c r="I11">
        <v>0.5754070760751282</v>
      </c>
    </row>
    <row r="12" spans="1:10">
      <c r="A12" t="s">
        <v>2485</v>
      </c>
      <c r="B12">
        <v>58</v>
      </c>
      <c r="D12" t="s">
        <v>2486</v>
      </c>
      <c r="E12">
        <v>7735759.3689999999</v>
      </c>
      <c r="F12" t="s">
        <v>2487</v>
      </c>
      <c r="G12">
        <v>569.654</v>
      </c>
      <c r="H12" t="s">
        <v>2488</v>
      </c>
      <c r="I12">
        <v>0.14650056791872201</v>
      </c>
    </row>
    <row r="13" spans="1:10">
      <c r="A13" t="s">
        <v>2489</v>
      </c>
      <c r="B13">
        <v>278</v>
      </c>
      <c r="D13" t="s">
        <v>2490</v>
      </c>
      <c r="E13">
        <v>1547151.8738000002</v>
      </c>
      <c r="F13" t="s">
        <v>2491</v>
      </c>
      <c r="G13">
        <v>2.048</v>
      </c>
      <c r="H13" t="s">
        <v>2492</v>
      </c>
      <c r="I13">
        <v>0.11331040729663923</v>
      </c>
    </row>
    <row r="14" spans="1:10">
      <c r="A14" t="s">
        <v>2493</v>
      </c>
      <c r="B14">
        <v>0</v>
      </c>
      <c r="D14" t="s">
        <v>2494</v>
      </c>
      <c r="E14">
        <v>319.63654746034985</v>
      </c>
      <c r="F14" t="s">
        <v>2495</v>
      </c>
      <c r="G14">
        <v>9.9580000000000002</v>
      </c>
      <c r="H14" t="s">
        <v>2496</v>
      </c>
      <c r="I14">
        <v>4.1029522842727519E-2</v>
      </c>
    </row>
    <row r="15" spans="1:10">
      <c r="A15" t="s">
        <v>2497</v>
      </c>
      <c r="D15" t="s">
        <v>2498</v>
      </c>
      <c r="E15" t="s">
        <v>122</v>
      </c>
      <c r="F15" t="s">
        <v>2499</v>
      </c>
      <c r="G15">
        <v>0.53459999999999996</v>
      </c>
      <c r="H15" t="s">
        <v>2500</v>
      </c>
      <c r="I15">
        <v>8.0715634422180257E-2</v>
      </c>
    </row>
    <row r="16" spans="1:10">
      <c r="A16" t="s">
        <v>2501</v>
      </c>
      <c r="D16" t="s">
        <v>2502</v>
      </c>
      <c r="E16">
        <v>681.37299999999993</v>
      </c>
      <c r="F16" t="s">
        <v>2503</v>
      </c>
      <c r="G16">
        <v>0.13059999999999999</v>
      </c>
      <c r="H16" t="s">
        <v>2504</v>
      </c>
      <c r="I16">
        <v>4.3181849550387529E-2</v>
      </c>
    </row>
    <row r="17" spans="1:9">
      <c r="A17" t="s">
        <v>2505</v>
      </c>
      <c r="D17" t="s">
        <v>2506</v>
      </c>
      <c r="E17">
        <v>0.89800000000000002</v>
      </c>
      <c r="F17" t="s">
        <v>2507</v>
      </c>
      <c r="G17">
        <v>9.7699999999999995E-2</v>
      </c>
      <c r="H17" t="s">
        <v>2508</v>
      </c>
      <c r="I17" t="s">
        <v>189</v>
      </c>
    </row>
    <row r="18" spans="1:9">
      <c r="A18" t="s">
        <v>2509</v>
      </c>
      <c r="D18" t="s">
        <v>2510</v>
      </c>
      <c r="E18">
        <v>6.431</v>
      </c>
      <c r="F18" t="s">
        <v>2511</v>
      </c>
      <c r="G18">
        <v>0.11559999999999999</v>
      </c>
      <c r="H18" t="s">
        <v>2512</v>
      </c>
      <c r="I18">
        <v>23.19</v>
      </c>
    </row>
    <row r="19" spans="1:9">
      <c r="A19" t="s">
        <v>2513</v>
      </c>
      <c r="D19" t="s">
        <v>2514</v>
      </c>
      <c r="E19">
        <v>0.5776</v>
      </c>
      <c r="F19" t="s">
        <v>2515</v>
      </c>
      <c r="G19">
        <v>5.1700000000000003E-2</v>
      </c>
      <c r="H19" t="s">
        <v>2516</v>
      </c>
      <c r="I19" t="s">
        <v>122</v>
      </c>
    </row>
    <row r="20" spans="1:9">
      <c r="A20" t="s">
        <v>2517</v>
      </c>
      <c r="D20" t="s">
        <v>2518</v>
      </c>
      <c r="E20">
        <v>0.1401</v>
      </c>
      <c r="F20" t="s">
        <v>2519</v>
      </c>
      <c r="G20">
        <v>6.9900000000000004E-2</v>
      </c>
      <c r="H20" t="s">
        <v>2520</v>
      </c>
      <c r="I20" t="s">
        <v>2521</v>
      </c>
    </row>
    <row r="21" spans="1:9">
      <c r="A21" t="s">
        <v>2522</v>
      </c>
      <c r="D21" t="s">
        <v>2523</v>
      </c>
      <c r="E21">
        <v>0.11219999999999999</v>
      </c>
      <c r="F21" t="s">
        <v>2524</v>
      </c>
      <c r="G21" t="s">
        <v>189</v>
      </c>
      <c r="H21" t="s">
        <v>2525</v>
      </c>
      <c r="I21">
        <v>0</v>
      </c>
    </row>
    <row r="22" spans="1:9">
      <c r="A22" t="s">
        <v>2526</v>
      </c>
      <c r="D22" t="s">
        <v>2527</v>
      </c>
      <c r="E22">
        <v>9.1200000000000003E-2</v>
      </c>
      <c r="F22" t="s">
        <v>2528</v>
      </c>
      <c r="G22">
        <v>24.2</v>
      </c>
      <c r="H22" t="s">
        <v>2529</v>
      </c>
      <c r="I22">
        <v>3.0000000000000001E-3</v>
      </c>
    </row>
    <row r="23" spans="1:9">
      <c r="A23" t="s">
        <v>2530</v>
      </c>
      <c r="D23" t="s">
        <v>2531</v>
      </c>
      <c r="E23">
        <v>1.2800000000000001E-2</v>
      </c>
      <c r="F23" t="s">
        <v>2532</v>
      </c>
      <c r="G23">
        <v>7.3198818932193932E-2</v>
      </c>
      <c r="H23" t="s">
        <v>2533</v>
      </c>
      <c r="I23">
        <v>0</v>
      </c>
    </row>
    <row r="24" spans="1:9">
      <c r="A24" t="s">
        <v>2534</v>
      </c>
      <c r="B24">
        <v>3</v>
      </c>
      <c r="D24" t="s">
        <v>2535</v>
      </c>
      <c r="E24">
        <v>6.6100000000000006E-2</v>
      </c>
      <c r="F24" t="s">
        <v>2536</v>
      </c>
      <c r="G24">
        <v>65</v>
      </c>
      <c r="H24" t="s">
        <v>2537</v>
      </c>
      <c r="I24">
        <v>506</v>
      </c>
    </row>
    <row r="25" spans="1:9">
      <c r="A25" t="s">
        <v>2538</v>
      </c>
      <c r="B25">
        <v>0.3</v>
      </c>
      <c r="D25" t="s">
        <v>2539</v>
      </c>
      <c r="E25" t="s">
        <v>189</v>
      </c>
      <c r="F25" t="s">
        <v>2540</v>
      </c>
      <c r="G25">
        <v>21</v>
      </c>
      <c r="H25" t="s">
        <v>2541</v>
      </c>
      <c r="I25">
        <v>0</v>
      </c>
    </row>
    <row r="26" spans="1:9">
      <c r="A26" t="s">
        <v>2542</v>
      </c>
      <c r="B26">
        <v>0.7</v>
      </c>
      <c r="D26" t="s">
        <v>2543</v>
      </c>
      <c r="E26">
        <v>17.600000000000001</v>
      </c>
      <c r="F26" t="s">
        <v>2544</v>
      </c>
      <c r="G26" t="s">
        <v>122</v>
      </c>
      <c r="H26" t="s">
        <v>2545</v>
      </c>
      <c r="I26">
        <v>0</v>
      </c>
    </row>
    <row r="27" spans="1:9">
      <c r="A27" t="s">
        <v>2546</v>
      </c>
      <c r="B27">
        <v>0.45</v>
      </c>
      <c r="D27" t="s">
        <v>2547</v>
      </c>
      <c r="E27">
        <v>12</v>
      </c>
      <c r="F27" t="s">
        <v>2548</v>
      </c>
      <c r="G27" t="s">
        <v>2521</v>
      </c>
      <c r="H27" t="s">
        <v>2549</v>
      </c>
      <c r="I27">
        <v>0</v>
      </c>
    </row>
    <row r="28" spans="1:9">
      <c r="A28" t="s">
        <v>2550</v>
      </c>
      <c r="B28">
        <v>0.99</v>
      </c>
      <c r="D28" t="s">
        <v>2551</v>
      </c>
      <c r="E28">
        <v>5</v>
      </c>
      <c r="F28" t="s">
        <v>2552</v>
      </c>
      <c r="G28">
        <v>0.7</v>
      </c>
      <c r="H28" t="s">
        <v>2553</v>
      </c>
      <c r="I28">
        <v>0</v>
      </c>
    </row>
    <row r="29" spans="1:9">
      <c r="A29" t="s">
        <v>2554</v>
      </c>
      <c r="D29" t="s">
        <v>2555</v>
      </c>
      <c r="E29">
        <v>33</v>
      </c>
      <c r="F29" t="s">
        <v>2556</v>
      </c>
      <c r="G29">
        <v>7</v>
      </c>
      <c r="H29" t="s">
        <v>2557</v>
      </c>
      <c r="I29">
        <v>0</v>
      </c>
    </row>
    <row r="30" spans="1:9">
      <c r="D30" t="s">
        <v>2558</v>
      </c>
      <c r="E30">
        <v>11</v>
      </c>
      <c r="F30" t="s">
        <v>2559</v>
      </c>
      <c r="G30" t="s">
        <v>2521</v>
      </c>
      <c r="H30" t="s">
        <v>2560</v>
      </c>
      <c r="I30">
        <v>0</v>
      </c>
    </row>
    <row r="31" spans="1:9">
      <c r="D31" t="s">
        <v>2561</v>
      </c>
      <c r="E31">
        <v>47</v>
      </c>
      <c r="F31" t="s">
        <v>2562</v>
      </c>
      <c r="G31">
        <v>5155044</v>
      </c>
      <c r="H31" t="s">
        <v>2563</v>
      </c>
      <c r="I31">
        <v>0</v>
      </c>
    </row>
    <row r="32" spans="1:9">
      <c r="D32" t="s">
        <v>2564</v>
      </c>
      <c r="E32">
        <v>26823.599999999999</v>
      </c>
      <c r="F32" t="s">
        <v>2565</v>
      </c>
      <c r="G32" t="s">
        <v>2521</v>
      </c>
      <c r="H32" t="s">
        <v>2566</v>
      </c>
      <c r="I32">
        <v>0</v>
      </c>
    </row>
    <row r="33" spans="4:9">
      <c r="D33" t="s">
        <v>2567</v>
      </c>
      <c r="E33">
        <v>29804</v>
      </c>
      <c r="F33" t="s">
        <v>2568</v>
      </c>
      <c r="G33" t="s">
        <v>2521</v>
      </c>
      <c r="H33" t="s">
        <v>2569</v>
      </c>
      <c r="I33" t="s">
        <v>122</v>
      </c>
    </row>
    <row r="34" spans="4:9">
      <c r="D34" t="s">
        <v>2570</v>
      </c>
      <c r="E34">
        <v>636</v>
      </c>
      <c r="F34" t="s">
        <v>2571</v>
      </c>
      <c r="G34" t="s">
        <v>2521</v>
      </c>
      <c r="H34" t="s">
        <v>2572</v>
      </c>
      <c r="I34" t="s">
        <v>160</v>
      </c>
    </row>
    <row r="35" spans="4:9">
      <c r="D35" t="s">
        <v>2573</v>
      </c>
      <c r="E35">
        <v>67</v>
      </c>
      <c r="F35" t="s">
        <v>2574</v>
      </c>
      <c r="G35" t="s">
        <v>2521</v>
      </c>
      <c r="H35" t="s">
        <v>2575</v>
      </c>
      <c r="I35">
        <v>0</v>
      </c>
    </row>
    <row r="36" spans="4:9">
      <c r="D36" t="s">
        <v>2576</v>
      </c>
      <c r="E36">
        <v>39</v>
      </c>
      <c r="F36" t="s">
        <v>2577</v>
      </c>
      <c r="G36" t="s">
        <v>2521</v>
      </c>
      <c r="H36" t="s">
        <v>2578</v>
      </c>
      <c r="I36">
        <v>125.94981244999512</v>
      </c>
    </row>
    <row r="37" spans="4:9">
      <c r="D37" t="s">
        <v>2579</v>
      </c>
      <c r="E37" t="s">
        <v>2521</v>
      </c>
      <c r="F37" t="s">
        <v>2580</v>
      </c>
      <c r="G37" t="s">
        <v>2521</v>
      </c>
      <c r="H37" t="s">
        <v>2581</v>
      </c>
      <c r="I37" t="s">
        <v>323</v>
      </c>
    </row>
    <row r="38" spans="4:9">
      <c r="D38" t="s">
        <v>2582</v>
      </c>
      <c r="E38" t="s">
        <v>122</v>
      </c>
      <c r="F38" t="s">
        <v>2583</v>
      </c>
      <c r="G38" t="s">
        <v>2521</v>
      </c>
      <c r="H38" t="s">
        <v>2584</v>
      </c>
      <c r="I38">
        <v>133</v>
      </c>
    </row>
    <row r="39" spans="4:9">
      <c r="D39" t="s">
        <v>2585</v>
      </c>
      <c r="E39" t="s">
        <v>2438</v>
      </c>
      <c r="F39" t="s">
        <v>2586</v>
      </c>
      <c r="G39" t="s">
        <v>2521</v>
      </c>
      <c r="H39" t="s">
        <v>2587</v>
      </c>
      <c r="I39">
        <v>133</v>
      </c>
    </row>
    <row r="40" spans="4:9">
      <c r="D40" t="s">
        <v>2588</v>
      </c>
      <c r="E40">
        <v>0.5</v>
      </c>
      <c r="F40" t="s">
        <v>2589</v>
      </c>
      <c r="G40" t="s">
        <v>2521</v>
      </c>
      <c r="H40" t="s">
        <v>2590</v>
      </c>
      <c r="I40" t="s">
        <v>2521</v>
      </c>
    </row>
    <row r="41" spans="4:9">
      <c r="D41" t="s">
        <v>2591</v>
      </c>
      <c r="E41">
        <v>3929919.54</v>
      </c>
      <c r="F41" t="s">
        <v>2592</v>
      </c>
      <c r="G41" t="s">
        <v>2521</v>
      </c>
      <c r="H41" t="s">
        <v>2593</v>
      </c>
      <c r="I41">
        <v>4.9906191369606008</v>
      </c>
    </row>
    <row r="42" spans="4:9">
      <c r="D42" t="s">
        <v>2594</v>
      </c>
      <c r="E42">
        <v>0.33021292146658549</v>
      </c>
      <c r="F42" t="s">
        <v>2595</v>
      </c>
      <c r="G42" t="s">
        <v>2521</v>
      </c>
      <c r="H42" t="s">
        <v>2596</v>
      </c>
      <c r="I42">
        <v>0</v>
      </c>
    </row>
    <row r="43" spans="4:9">
      <c r="D43" t="s">
        <v>2597</v>
      </c>
      <c r="E43">
        <v>3929919.54</v>
      </c>
      <c r="F43" t="s">
        <v>2598</v>
      </c>
      <c r="G43">
        <v>3</v>
      </c>
      <c r="H43" t="s">
        <v>2599</v>
      </c>
      <c r="I43">
        <v>0</v>
      </c>
    </row>
    <row r="44" spans="4:9">
      <c r="D44" t="s">
        <v>2600</v>
      </c>
      <c r="E44">
        <v>607</v>
      </c>
      <c r="F44" t="s">
        <v>2601</v>
      </c>
      <c r="G44">
        <v>2.0623819622102162</v>
      </c>
      <c r="H44" t="s">
        <v>2602</v>
      </c>
      <c r="I44">
        <v>0</v>
      </c>
    </row>
    <row r="45" spans="4:9">
      <c r="D45" t="s">
        <v>2603</v>
      </c>
      <c r="E45">
        <v>18.302686099922092</v>
      </c>
      <c r="F45" t="s">
        <v>2604</v>
      </c>
      <c r="H45" t="s">
        <v>2605</v>
      </c>
      <c r="I45" t="s">
        <v>2521</v>
      </c>
    </row>
    <row r="46" spans="4:9">
      <c r="D46" t="s">
        <v>2606</v>
      </c>
      <c r="E46">
        <v>311159.3356398</v>
      </c>
      <c r="F46" t="s">
        <v>2607</v>
      </c>
      <c r="H46" t="s">
        <v>2608</v>
      </c>
      <c r="I46" t="s">
        <v>2521</v>
      </c>
    </row>
    <row r="47" spans="4:9">
      <c r="D47" t="s">
        <v>2609</v>
      </c>
      <c r="E47">
        <v>48.035799319321576</v>
      </c>
      <c r="F47" t="s">
        <v>2610</v>
      </c>
      <c r="H47" t="s">
        <v>2611</v>
      </c>
      <c r="I47">
        <v>0</v>
      </c>
    </row>
    <row r="48" spans="4:9">
      <c r="D48" t="s">
        <v>2612</v>
      </c>
      <c r="E48">
        <v>12.636408857588108</v>
      </c>
      <c r="F48" t="s">
        <v>2613</v>
      </c>
      <c r="H48" t="s">
        <v>2614</v>
      </c>
      <c r="I48">
        <v>0.05</v>
      </c>
    </row>
    <row r="49" spans="4:9">
      <c r="D49" t="s">
        <v>2615</v>
      </c>
      <c r="E49">
        <v>60</v>
      </c>
      <c r="F49" t="s">
        <v>2616</v>
      </c>
      <c r="H49" t="s">
        <v>2617</v>
      </c>
      <c r="I49">
        <v>0.01</v>
      </c>
    </row>
    <row r="50" spans="4:9">
      <c r="D50" t="s">
        <v>2618</v>
      </c>
      <c r="E50" t="s">
        <v>2521</v>
      </c>
      <c r="F50" t="s">
        <v>2619</v>
      </c>
      <c r="G50">
        <v>0</v>
      </c>
      <c r="H50" t="s">
        <v>2620</v>
      </c>
      <c r="I50">
        <v>2932280.79</v>
      </c>
    </row>
    <row r="51" spans="4:9">
      <c r="D51" t="s">
        <v>2621</v>
      </c>
      <c r="E51" t="s">
        <v>2521</v>
      </c>
      <c r="F51" t="s">
        <v>2622</v>
      </c>
      <c r="G51">
        <v>42</v>
      </c>
      <c r="H51" t="s">
        <v>2623</v>
      </c>
      <c r="I51">
        <v>672635.84</v>
      </c>
    </row>
    <row r="52" spans="4:9">
      <c r="D52" t="s">
        <v>2624</v>
      </c>
      <c r="E52">
        <v>0</v>
      </c>
      <c r="F52" t="s">
        <v>2625</v>
      </c>
      <c r="G52">
        <v>42</v>
      </c>
      <c r="H52" t="s">
        <v>2626</v>
      </c>
      <c r="I52">
        <v>3604916.63</v>
      </c>
    </row>
    <row r="53" spans="4:9">
      <c r="D53" t="s">
        <v>2627</v>
      </c>
      <c r="E53">
        <v>117</v>
      </c>
      <c r="F53" t="s">
        <v>2628</v>
      </c>
      <c r="G53">
        <v>0</v>
      </c>
      <c r="H53" t="s">
        <v>2629</v>
      </c>
      <c r="I53">
        <v>135.26891669793622</v>
      </c>
    </row>
    <row r="54" spans="4:9">
      <c r="D54" t="s">
        <v>2630</v>
      </c>
      <c r="E54">
        <v>4.3973390461156834</v>
      </c>
      <c r="F54" t="s">
        <v>2631</v>
      </c>
      <c r="G54">
        <v>0</v>
      </c>
      <c r="H54" t="s">
        <v>2632</v>
      </c>
      <c r="I54">
        <v>489730</v>
      </c>
    </row>
    <row r="55" spans="4:9">
      <c r="D55" t="s">
        <v>2633</v>
      </c>
      <c r="E55">
        <v>10</v>
      </c>
      <c r="F55" t="s">
        <v>2634</v>
      </c>
      <c r="G55">
        <v>0</v>
      </c>
      <c r="H55" t="s">
        <v>2635</v>
      </c>
      <c r="I55">
        <v>686291</v>
      </c>
    </row>
    <row r="56" spans="4:9">
      <c r="D56" t="s">
        <v>2636</v>
      </c>
      <c r="E56">
        <v>7</v>
      </c>
      <c r="F56" t="s">
        <v>2637</v>
      </c>
      <c r="G56">
        <v>42</v>
      </c>
      <c r="H56" t="s">
        <v>2638</v>
      </c>
      <c r="I56">
        <v>421117</v>
      </c>
    </row>
    <row r="57" spans="4:9">
      <c r="D57" t="s">
        <v>2639</v>
      </c>
      <c r="E57">
        <v>142</v>
      </c>
      <c r="F57" t="s">
        <v>2640</v>
      </c>
      <c r="G57" t="s">
        <v>2521</v>
      </c>
      <c r="H57" t="s">
        <v>2641</v>
      </c>
      <c r="I57">
        <v>103205</v>
      </c>
    </row>
    <row r="58" spans="4:9">
      <c r="D58" t="s">
        <v>2642</v>
      </c>
      <c r="E58">
        <v>24</v>
      </c>
      <c r="F58" t="s">
        <v>2643</v>
      </c>
      <c r="G58" t="s">
        <v>598</v>
      </c>
      <c r="H58" t="s">
        <v>2644</v>
      </c>
      <c r="I58">
        <v>66666.666666666672</v>
      </c>
    </row>
    <row r="59" spans="4:9">
      <c r="D59" t="s">
        <v>2645</v>
      </c>
      <c r="E59">
        <v>5</v>
      </c>
      <c r="F59" t="s">
        <v>2646</v>
      </c>
      <c r="G59" t="s">
        <v>2417</v>
      </c>
      <c r="H59" t="s">
        <v>2647</v>
      </c>
      <c r="I59">
        <v>1277279.6666666667</v>
      </c>
    </row>
    <row r="60" spans="4:9">
      <c r="D60" t="s">
        <v>2648</v>
      </c>
      <c r="E60">
        <v>3</v>
      </c>
      <c r="F60" t="s">
        <v>2649</v>
      </c>
      <c r="G60" t="s">
        <v>160</v>
      </c>
      <c r="H60" t="s">
        <v>2650</v>
      </c>
      <c r="I60">
        <v>47.927942464040029</v>
      </c>
    </row>
    <row r="61" spans="4:9">
      <c r="D61" t="s">
        <v>2651</v>
      </c>
      <c r="E61">
        <v>53</v>
      </c>
      <c r="F61" t="s">
        <v>2652</v>
      </c>
      <c r="G61" t="s">
        <v>160</v>
      </c>
      <c r="H61" t="s">
        <v>2653</v>
      </c>
      <c r="I61">
        <v>4237954</v>
      </c>
    </row>
    <row r="62" spans="4:9">
      <c r="D62" t="s">
        <v>2654</v>
      </c>
      <c r="E62">
        <v>57</v>
      </c>
      <c r="F62" t="s">
        <v>2655</v>
      </c>
      <c r="G62" t="s">
        <v>160</v>
      </c>
      <c r="H62" t="s">
        <v>2656</v>
      </c>
      <c r="I62">
        <v>313302</v>
      </c>
    </row>
    <row r="63" spans="4:9">
      <c r="D63" t="s">
        <v>2657</v>
      </c>
      <c r="E63" t="s">
        <v>2521</v>
      </c>
      <c r="F63" t="s">
        <v>2658</v>
      </c>
      <c r="G63" t="s">
        <v>122</v>
      </c>
      <c r="H63" t="s">
        <v>2659</v>
      </c>
      <c r="I63">
        <v>8.6909638184891946E-2</v>
      </c>
    </row>
    <row r="64" spans="4:9">
      <c r="D64" t="s">
        <v>2660</v>
      </c>
      <c r="E64">
        <v>5.3369414063968126</v>
      </c>
      <c r="F64" t="s">
        <v>2661</v>
      </c>
      <c r="G64">
        <v>1</v>
      </c>
      <c r="H64" t="s">
        <v>2662</v>
      </c>
      <c r="I64">
        <v>1.9877140301651217</v>
      </c>
    </row>
    <row r="65" spans="4:9">
      <c r="D65" t="s">
        <v>2663</v>
      </c>
      <c r="E65" t="s">
        <v>2521</v>
      </c>
      <c r="F65" t="s">
        <v>2664</v>
      </c>
      <c r="G65">
        <v>1</v>
      </c>
      <c r="H65" t="s">
        <v>2665</v>
      </c>
      <c r="I65">
        <v>13880710.706666667</v>
      </c>
    </row>
    <row r="66" spans="4:9">
      <c r="D66" t="s">
        <v>2666</v>
      </c>
      <c r="E66">
        <v>887.0517051431857</v>
      </c>
      <c r="F66" t="s">
        <v>2667</v>
      </c>
      <c r="G66">
        <v>0</v>
      </c>
      <c r="H66" t="s">
        <v>2668</v>
      </c>
      <c r="I66">
        <v>520.85218411507196</v>
      </c>
    </row>
    <row r="67" spans="4:9">
      <c r="D67" t="s">
        <v>2669</v>
      </c>
      <c r="E67" t="s">
        <v>323</v>
      </c>
      <c r="F67" t="s">
        <v>2670</v>
      </c>
      <c r="G67">
        <v>0</v>
      </c>
      <c r="H67" t="s">
        <v>2671</v>
      </c>
      <c r="I67">
        <v>10287087.01723169</v>
      </c>
    </row>
    <row r="68" spans="4:9">
      <c r="D68" t="s">
        <v>2672</v>
      </c>
      <c r="E68" t="s">
        <v>2521</v>
      </c>
      <c r="F68" t="s">
        <v>2673</v>
      </c>
      <c r="G68">
        <v>6</v>
      </c>
      <c r="H68" t="s">
        <v>2674</v>
      </c>
      <c r="I68">
        <v>6701138.3803131841</v>
      </c>
    </row>
    <row r="69" spans="4:9">
      <c r="D69" t="s">
        <v>2675</v>
      </c>
      <c r="E69">
        <v>498.81162652317204</v>
      </c>
      <c r="F69" t="s">
        <v>2676</v>
      </c>
      <c r="G69">
        <v>0</v>
      </c>
      <c r="H69" t="s">
        <v>2677</v>
      </c>
      <c r="I69">
        <v>2717408.7310212324</v>
      </c>
    </row>
    <row r="70" spans="4:9">
      <c r="D70" t="s">
        <v>2678</v>
      </c>
      <c r="E70" t="s">
        <v>323</v>
      </c>
      <c r="F70" t="s">
        <v>2679</v>
      </c>
      <c r="G70" t="s">
        <v>627</v>
      </c>
      <c r="H70" t="s">
        <v>2680</v>
      </c>
      <c r="I70">
        <v>868539.90589727205</v>
      </c>
    </row>
    <row r="71" spans="4:9">
      <c r="D71" t="s">
        <v>2681</v>
      </c>
      <c r="E71" t="s">
        <v>2521</v>
      </c>
      <c r="F71" t="s">
        <v>2682</v>
      </c>
      <c r="G71">
        <v>0</v>
      </c>
      <c r="H71" t="s">
        <v>2683</v>
      </c>
      <c r="I71">
        <v>8052175.04</v>
      </c>
    </row>
    <row r="72" spans="4:9">
      <c r="D72" t="s">
        <v>2684</v>
      </c>
      <c r="E72">
        <v>498.81162652317204</v>
      </c>
      <c r="F72" t="s">
        <v>2685</v>
      </c>
      <c r="G72">
        <v>0</v>
      </c>
      <c r="H72" t="s">
        <v>2686</v>
      </c>
      <c r="I72">
        <v>5420587.2830480002</v>
      </c>
    </row>
    <row r="73" spans="4:9">
      <c r="D73" t="s">
        <v>2687</v>
      </c>
      <c r="E73">
        <v>0.43333333333333335</v>
      </c>
      <c r="F73" t="s">
        <v>2688</v>
      </c>
      <c r="G73" t="s">
        <v>2521</v>
      </c>
      <c r="H73" t="s">
        <v>2689</v>
      </c>
      <c r="I73">
        <v>2026671.3486859996</v>
      </c>
    </row>
    <row r="74" spans="4:9">
      <c r="D74" t="s">
        <v>2690</v>
      </c>
      <c r="E74">
        <v>6.7833333333333332</v>
      </c>
      <c r="F74" t="s">
        <v>2691</v>
      </c>
      <c r="G74" t="s">
        <v>2521</v>
      </c>
      <c r="H74" t="s">
        <v>2692</v>
      </c>
      <c r="I74">
        <v>604916.4082660001</v>
      </c>
    </row>
    <row r="75" spans="4:9">
      <c r="D75" t="s">
        <v>2693</v>
      </c>
      <c r="E75">
        <v>18.350000000000001</v>
      </c>
      <c r="F75" t="s">
        <v>2694</v>
      </c>
      <c r="G75">
        <v>0</v>
      </c>
      <c r="H75" t="s">
        <v>2695</v>
      </c>
      <c r="I75">
        <v>302.14540487804879</v>
      </c>
    </row>
    <row r="76" spans="4:9">
      <c r="D76" t="s">
        <v>2696</v>
      </c>
      <c r="E76">
        <v>53.083333333333336</v>
      </c>
      <c r="F76" t="s">
        <v>2697</v>
      </c>
      <c r="G76" t="s">
        <v>122</v>
      </c>
      <c r="H76" t="s">
        <v>2698</v>
      </c>
      <c r="I76">
        <v>14202013</v>
      </c>
    </row>
    <row r="77" spans="4:9">
      <c r="D77" t="s">
        <v>2699</v>
      </c>
      <c r="E77">
        <v>0</v>
      </c>
      <c r="F77" t="s">
        <v>2700</v>
      </c>
      <c r="G77" t="s">
        <v>122</v>
      </c>
      <c r="H77" t="s">
        <v>2701</v>
      </c>
      <c r="I77">
        <v>272505435.80000001</v>
      </c>
    </row>
    <row r="78" spans="4:9">
      <c r="D78" t="s">
        <v>2702</v>
      </c>
      <c r="E78">
        <v>2.0666E-4</v>
      </c>
      <c r="F78" t="s">
        <v>2703</v>
      </c>
      <c r="H78" t="s">
        <v>2704</v>
      </c>
      <c r="I78">
        <v>0.14273784195533978</v>
      </c>
    </row>
    <row r="79" spans="4:9">
      <c r="D79" t="s">
        <v>2705</v>
      </c>
      <c r="E79" t="s">
        <v>2521</v>
      </c>
      <c r="F79" t="s">
        <v>2706</v>
      </c>
      <c r="H79" t="s">
        <v>2707</v>
      </c>
      <c r="I79">
        <v>0</v>
      </c>
    </row>
    <row r="80" spans="4:9">
      <c r="D80" t="s">
        <v>2708</v>
      </c>
      <c r="E80" t="s">
        <v>2521</v>
      </c>
      <c r="F80" t="s">
        <v>2709</v>
      </c>
    </row>
    <row r="81" spans="4:7">
      <c r="D81" t="s">
        <v>2710</v>
      </c>
      <c r="E81">
        <v>9672937.7400000002</v>
      </c>
      <c r="F81" t="s">
        <v>2711</v>
      </c>
    </row>
    <row r="82" spans="4:7">
      <c r="D82" t="s">
        <v>2712</v>
      </c>
      <c r="E82">
        <v>3922338.99</v>
      </c>
      <c r="F82" t="s">
        <v>2713</v>
      </c>
    </row>
    <row r="83" spans="4:7">
      <c r="D83" t="s">
        <v>2714</v>
      </c>
      <c r="E83">
        <v>13595276.73</v>
      </c>
      <c r="F83" t="s">
        <v>2715</v>
      </c>
      <c r="G83">
        <v>678</v>
      </c>
    </row>
    <row r="84" spans="4:7">
      <c r="D84" t="s">
        <v>2716</v>
      </c>
      <c r="E84">
        <v>510.96616416732439</v>
      </c>
      <c r="F84" t="s">
        <v>2717</v>
      </c>
      <c r="G84" t="s">
        <v>323</v>
      </c>
    </row>
    <row r="85" spans="4:7">
      <c r="D85" t="s">
        <v>2718</v>
      </c>
      <c r="E85">
        <v>1321690</v>
      </c>
      <c r="F85" t="s">
        <v>2719</v>
      </c>
      <c r="G85" t="s">
        <v>2521</v>
      </c>
    </row>
    <row r="86" spans="4:7">
      <c r="D86" t="s">
        <v>2720</v>
      </c>
      <c r="E86">
        <v>983747</v>
      </c>
      <c r="F86" t="s">
        <v>2721</v>
      </c>
      <c r="G86" t="s">
        <v>122</v>
      </c>
    </row>
    <row r="87" spans="4:7">
      <c r="D87" t="s">
        <v>2722</v>
      </c>
      <c r="E87" t="s">
        <v>2521</v>
      </c>
      <c r="F87" t="s">
        <v>2723</v>
      </c>
      <c r="G87">
        <v>678</v>
      </c>
    </row>
    <row r="88" spans="4:7">
      <c r="D88" t="s">
        <v>2724</v>
      </c>
      <c r="E88">
        <v>1337715</v>
      </c>
      <c r="F88" t="s">
        <v>2725</v>
      </c>
      <c r="G88" t="s">
        <v>323</v>
      </c>
    </row>
    <row r="89" spans="4:7">
      <c r="D89" t="s">
        <v>2726</v>
      </c>
      <c r="E89">
        <v>1609488</v>
      </c>
      <c r="F89" t="s">
        <v>2727</v>
      </c>
      <c r="G89" t="s">
        <v>2521</v>
      </c>
    </row>
    <row r="90" spans="4:7">
      <c r="D90" t="s">
        <v>2728</v>
      </c>
      <c r="E90">
        <v>941693</v>
      </c>
      <c r="F90" t="s">
        <v>2729</v>
      </c>
      <c r="G90">
        <v>678</v>
      </c>
    </row>
    <row r="91" spans="4:7">
      <c r="D91" t="s">
        <v>2730</v>
      </c>
      <c r="E91">
        <v>66666.666666666672</v>
      </c>
      <c r="F91" t="s">
        <v>2731</v>
      </c>
      <c r="G91">
        <v>167</v>
      </c>
    </row>
    <row r="92" spans="4:7">
      <c r="D92" t="s">
        <v>2732</v>
      </c>
      <c r="E92">
        <v>4939309.666666667</v>
      </c>
      <c r="F92" t="s">
        <v>2733</v>
      </c>
      <c r="G92">
        <v>30</v>
      </c>
    </row>
    <row r="93" spans="4:7">
      <c r="D93" t="s">
        <v>2734</v>
      </c>
      <c r="E93">
        <v>185.63948083837587</v>
      </c>
      <c r="F93" t="s">
        <v>2735</v>
      </c>
      <c r="G93">
        <v>80</v>
      </c>
    </row>
    <row r="94" spans="4:7">
      <c r="D94" t="s">
        <v>2736</v>
      </c>
      <c r="E94">
        <v>5042140</v>
      </c>
      <c r="F94" t="s">
        <v>2737</v>
      </c>
      <c r="G94">
        <v>57</v>
      </c>
    </row>
    <row r="95" spans="4:7">
      <c r="D95" t="s">
        <v>2738</v>
      </c>
      <c r="E95">
        <v>732252</v>
      </c>
      <c r="F95" t="s">
        <v>2739</v>
      </c>
      <c r="G95">
        <v>0</v>
      </c>
    </row>
    <row r="96" spans="4:7">
      <c r="D96" t="s">
        <v>2740</v>
      </c>
      <c r="E96">
        <v>5.3860764627481031E-2</v>
      </c>
      <c r="F96" t="s">
        <v>2741</v>
      </c>
      <c r="G96">
        <v>6.3967518290113761</v>
      </c>
    </row>
    <row r="97" spans="4:7">
      <c r="D97" t="s">
        <v>2742</v>
      </c>
      <c r="E97">
        <v>0.90285673812396916</v>
      </c>
      <c r="F97" t="s">
        <v>2743</v>
      </c>
      <c r="G97">
        <v>0.29166666666666669</v>
      </c>
    </row>
    <row r="98" spans="4:7">
      <c r="D98" t="s">
        <v>2744</v>
      </c>
      <c r="E98">
        <v>32094483.506666668</v>
      </c>
      <c r="F98" t="s">
        <v>2745</v>
      </c>
      <c r="G98">
        <v>2.0166666666666666</v>
      </c>
    </row>
    <row r="99" spans="4:7">
      <c r="D99" t="s">
        <v>2746</v>
      </c>
      <c r="E99">
        <v>1206.2420981947107</v>
      </c>
      <c r="F99" t="s">
        <v>2747</v>
      </c>
      <c r="G99">
        <v>0</v>
      </c>
    </row>
    <row r="100" spans="4:7">
      <c r="D100" t="s">
        <v>2748</v>
      </c>
      <c r="E100">
        <v>28867015.740000002</v>
      </c>
      <c r="F100" t="s">
        <v>2749</v>
      </c>
      <c r="G100">
        <v>0</v>
      </c>
    </row>
    <row r="101" spans="4:7">
      <c r="D101" t="s">
        <v>2750</v>
      </c>
      <c r="E101">
        <v>12884727.352851361</v>
      </c>
      <c r="F101" t="s">
        <v>2751</v>
      </c>
      <c r="G101">
        <v>0</v>
      </c>
    </row>
    <row r="102" spans="4:7">
      <c r="D102" t="s">
        <v>2752</v>
      </c>
      <c r="E102">
        <v>12261523.70450497</v>
      </c>
      <c r="F102" t="s">
        <v>2753</v>
      </c>
      <c r="G102" t="s">
        <v>2521</v>
      </c>
    </row>
    <row r="103" spans="4:7">
      <c r="D103" t="s">
        <v>2754</v>
      </c>
      <c r="E103">
        <v>3720764.6826436687</v>
      </c>
      <c r="F103" t="s">
        <v>2755</v>
      </c>
      <c r="G103">
        <v>13203661.48</v>
      </c>
    </row>
    <row r="104" spans="4:7">
      <c r="D104" t="s">
        <v>2756</v>
      </c>
      <c r="E104">
        <v>21380781.84</v>
      </c>
      <c r="F104" t="s">
        <v>2757</v>
      </c>
      <c r="G104">
        <v>6406374.29</v>
      </c>
    </row>
    <row r="105" spans="4:7">
      <c r="D105" t="s">
        <v>2758</v>
      </c>
      <c r="E105">
        <v>9044409.0263560005</v>
      </c>
      <c r="F105" t="s">
        <v>2759</v>
      </c>
      <c r="G105">
        <v>19610035.77</v>
      </c>
    </row>
    <row r="106" spans="4:7">
      <c r="D106" t="s">
        <v>2760</v>
      </c>
      <c r="E106">
        <v>9500614.6372739989</v>
      </c>
      <c r="F106" t="s">
        <v>2761</v>
      </c>
      <c r="G106">
        <v>751.14091124985634</v>
      </c>
    </row>
    <row r="107" spans="4:7">
      <c r="D107" t="s">
        <v>2762</v>
      </c>
      <c r="E107">
        <v>2835758.17637</v>
      </c>
      <c r="F107" t="s">
        <v>2763</v>
      </c>
      <c r="G107">
        <v>1535680</v>
      </c>
    </row>
    <row r="108" spans="4:7">
      <c r="D108" t="s">
        <v>2764</v>
      </c>
      <c r="E108">
        <v>803.57732326079599</v>
      </c>
      <c r="F108" t="s">
        <v>2765</v>
      </c>
      <c r="G108">
        <v>952446</v>
      </c>
    </row>
    <row r="109" spans="4:7">
      <c r="D109" t="s">
        <v>2766</v>
      </c>
      <c r="E109">
        <v>9711379</v>
      </c>
      <c r="F109" t="s">
        <v>2767</v>
      </c>
      <c r="G109">
        <v>1599491.31</v>
      </c>
    </row>
    <row r="110" spans="4:7">
      <c r="D110" t="s">
        <v>2768</v>
      </c>
      <c r="E110">
        <v>29792493.57</v>
      </c>
      <c r="F110" t="s">
        <v>2769</v>
      </c>
      <c r="G110">
        <v>1505026</v>
      </c>
    </row>
    <row r="111" spans="4:7">
      <c r="D111" t="s">
        <v>2770</v>
      </c>
      <c r="E111">
        <v>210409308.19</v>
      </c>
      <c r="F111" t="s">
        <v>2771</v>
      </c>
      <c r="G111">
        <v>751007</v>
      </c>
    </row>
    <row r="112" spans="4:7">
      <c r="D112" t="s">
        <v>2772</v>
      </c>
      <c r="E112">
        <v>0.56241163005588901</v>
      </c>
      <c r="F112" t="s">
        <v>2773</v>
      </c>
      <c r="G112">
        <v>2082162</v>
      </c>
    </row>
    <row r="113" spans="4:11">
      <c r="D113" t="s">
        <v>2774</v>
      </c>
      <c r="E113" t="s">
        <v>2521</v>
      </c>
      <c r="F113" t="s">
        <v>2775</v>
      </c>
      <c r="G113">
        <v>66666.666666666672</v>
      </c>
      <c r="K113" s="138"/>
    </row>
    <row r="114" spans="4:11">
      <c r="F114" t="s">
        <v>2776</v>
      </c>
      <c r="G114">
        <v>6956798.9766666675</v>
      </c>
    </row>
    <row r="115" spans="4:11">
      <c r="F115" t="s">
        <v>2777</v>
      </c>
      <c r="G115">
        <v>266.47255435962262</v>
      </c>
    </row>
    <row r="116" spans="4:11">
      <c r="F116" t="s">
        <v>2778</v>
      </c>
      <c r="G116">
        <v>7280342.3700000001</v>
      </c>
    </row>
    <row r="117" spans="4:11">
      <c r="F117" t="s">
        <v>2779</v>
      </c>
      <c r="G117">
        <v>1337034.06</v>
      </c>
    </row>
    <row r="118" spans="4:11">
      <c r="F118" t="s">
        <v>2780</v>
      </c>
      <c r="G118">
        <v>6.8181112756838178E-2</v>
      </c>
    </row>
    <row r="119" spans="4:11">
      <c r="F119" t="s">
        <v>2781</v>
      </c>
      <c r="G119">
        <v>0.84779201050657582</v>
      </c>
    </row>
    <row r="120" spans="4:11">
      <c r="F120" t="s">
        <v>2782</v>
      </c>
      <c r="G120">
        <v>42609555.846666664</v>
      </c>
    </row>
    <row r="121" spans="4:11">
      <c r="F121" t="s">
        <v>2783</v>
      </c>
      <c r="G121">
        <v>1632.1123011708225</v>
      </c>
    </row>
    <row r="122" spans="4:11">
      <c r="F122" t="s">
        <v>2784</v>
      </c>
      <c r="G122">
        <v>29914236.679999996</v>
      </c>
    </row>
    <row r="123" spans="4:11">
      <c r="F123" t="s">
        <v>2785</v>
      </c>
      <c r="G123">
        <v>10104038.514535492</v>
      </c>
    </row>
    <row r="124" spans="4:11">
      <c r="F124" t="s">
        <v>2786</v>
      </c>
      <c r="G124">
        <v>12926867.425379569</v>
      </c>
    </row>
    <row r="125" spans="4:11">
      <c r="F125" t="s">
        <v>2787</v>
      </c>
      <c r="G125">
        <v>6883330.740084934</v>
      </c>
    </row>
    <row r="126" spans="4:11">
      <c r="F126" t="s">
        <v>2788</v>
      </c>
      <c r="G126">
        <v>27035380.439999998</v>
      </c>
    </row>
    <row r="127" spans="4:11">
      <c r="F127" t="s">
        <v>2789</v>
      </c>
      <c r="G127">
        <v>9441177.0743419975</v>
      </c>
    </row>
    <row r="128" spans="4:11">
      <c r="F128" t="s">
        <v>2790</v>
      </c>
      <c r="G128">
        <v>12068539.303596001</v>
      </c>
    </row>
    <row r="129" spans="6:7">
      <c r="F129" t="s">
        <v>2791</v>
      </c>
      <c r="G129">
        <v>5525664.0620620009</v>
      </c>
    </row>
    <row r="130" spans="6:7">
      <c r="F130" t="s">
        <v>2792</v>
      </c>
      <c r="G130">
        <v>1035.5605944765771</v>
      </c>
    </row>
    <row r="131" spans="6:7">
      <c r="F131" t="s">
        <v>2793</v>
      </c>
      <c r="G131">
        <v>9392767.4700000007</v>
      </c>
    </row>
    <row r="132" spans="6:7">
      <c r="F132" t="s">
        <v>2794</v>
      </c>
      <c r="G132">
        <v>47737934.799999997</v>
      </c>
    </row>
    <row r="133" spans="6:7">
      <c r="F133" t="s">
        <v>2795</v>
      </c>
      <c r="G133">
        <v>282128715.20999998</v>
      </c>
    </row>
    <row r="134" spans="6:7">
      <c r="F134" t="s">
        <v>2796</v>
      </c>
      <c r="G134">
        <v>0.7589840945985622</v>
      </c>
    </row>
    <row r="135" spans="6:7">
      <c r="F135" t="s">
        <v>2797</v>
      </c>
      <c r="G135">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NW6"/>
  <sheetViews>
    <sheetView zoomScale="85" zoomScaleNormal="85" workbookViewId="0">
      <selection activeCell="G3" sqref="G3"/>
    </sheetView>
  </sheetViews>
  <sheetFormatPr defaultRowHeight="15"/>
  <cols>
    <col min="127" max="127" width="37.7109375" bestFit="1" customWidth="1"/>
    <col min="210" max="210" width="8.5703125" customWidth="1"/>
    <col min="287" max="287" width="10.7109375" customWidth="1"/>
    <col min="321" max="321" width="81.28515625" bestFit="1" customWidth="1"/>
    <col min="322" max="322" width="47.7109375" bestFit="1" customWidth="1"/>
    <col min="323" max="323" width="51.28515625" bestFit="1" customWidth="1"/>
    <col min="324" max="324" width="39.140625" bestFit="1" customWidth="1"/>
    <col min="325" max="325" width="62.28515625" bestFit="1" customWidth="1"/>
    <col min="326" max="326" width="67" bestFit="1" customWidth="1"/>
    <col min="327" max="327" width="28.85546875" bestFit="1" customWidth="1"/>
    <col min="328" max="328" width="37.28515625" bestFit="1" customWidth="1"/>
    <col min="329" max="329" width="40" bestFit="1" customWidth="1"/>
    <col min="330" max="330" width="67.85546875" bestFit="1" customWidth="1"/>
    <col min="331" max="331" width="59.42578125" bestFit="1" customWidth="1"/>
    <col min="332" max="332" width="74.140625" bestFit="1" customWidth="1"/>
    <col min="333" max="333" width="74.85546875" bestFit="1" customWidth="1"/>
    <col min="334" max="334" width="64" bestFit="1" customWidth="1"/>
    <col min="335" max="335" width="60.42578125" bestFit="1" customWidth="1"/>
    <col min="337" max="337" width="33.85546875" bestFit="1" customWidth="1"/>
    <col min="338" max="338" width="57.7109375" bestFit="1" customWidth="1"/>
    <col min="340" max="340" width="45.85546875" bestFit="1" customWidth="1"/>
    <col min="343" max="343" width="59.28515625" bestFit="1" customWidth="1"/>
    <col min="344" max="344" width="45.5703125" bestFit="1" customWidth="1"/>
    <col min="345" max="345" width="62.28515625" bestFit="1" customWidth="1"/>
    <col min="349" max="349" width="62.5703125" bestFit="1" customWidth="1"/>
    <col min="353" max="353" width="62.140625" bestFit="1" customWidth="1"/>
    <col min="354" max="354" width="62.85546875" bestFit="1" customWidth="1"/>
    <col min="355" max="355" width="50.85546875" bestFit="1" customWidth="1"/>
    <col min="357" max="361" width="47.7109375" customWidth="1"/>
    <col min="362" max="362" width="51.140625" bestFit="1" customWidth="1"/>
  </cols>
  <sheetData>
    <row r="1" spans="1:387">
      <c r="A1" s="21" t="s">
        <v>2449</v>
      </c>
      <c r="B1" t="s">
        <v>2454</v>
      </c>
      <c r="C1" t="s">
        <v>2459</v>
      </c>
      <c r="D1" t="s">
        <v>2464</v>
      </c>
      <c r="E1" t="s">
        <v>2468</v>
      </c>
      <c r="F1" t="s">
        <v>2472</v>
      </c>
      <c r="G1" t="s">
        <v>2476</v>
      </c>
      <c r="H1" t="s">
        <v>2481</v>
      </c>
      <c r="I1" t="s">
        <v>2485</v>
      </c>
      <c r="J1" t="s">
        <v>2489</v>
      </c>
      <c r="K1" t="s">
        <v>2493</v>
      </c>
      <c r="L1" t="s">
        <v>2497</v>
      </c>
      <c r="M1" t="s">
        <v>2501</v>
      </c>
      <c r="N1" t="s">
        <v>2505</v>
      </c>
      <c r="O1" t="s">
        <v>2509</v>
      </c>
      <c r="P1" t="s">
        <v>2513</v>
      </c>
      <c r="Q1" t="s">
        <v>2517</v>
      </c>
      <c r="R1" t="s">
        <v>2522</v>
      </c>
      <c r="S1" t="s">
        <v>2526</v>
      </c>
      <c r="T1" t="s">
        <v>2530</v>
      </c>
      <c r="U1" t="s">
        <v>2534</v>
      </c>
      <c r="V1" t="s">
        <v>2538</v>
      </c>
      <c r="W1" t="s">
        <v>2542</v>
      </c>
      <c r="X1" t="s">
        <v>2546</v>
      </c>
      <c r="Y1" t="s">
        <v>2550</v>
      </c>
      <c r="Z1" t="s">
        <v>2554</v>
      </c>
      <c r="AA1" t="s">
        <v>2450</v>
      </c>
      <c r="AB1" t="s">
        <v>2455</v>
      </c>
      <c r="AC1" t="s">
        <v>2460</v>
      </c>
      <c r="AD1" t="s">
        <v>2798</v>
      </c>
      <c r="AE1" t="s">
        <v>2469</v>
      </c>
      <c r="AF1" t="s">
        <v>2473</v>
      </c>
      <c r="AG1" t="s">
        <v>2477</v>
      </c>
      <c r="AH1" t="s">
        <v>2482</v>
      </c>
      <c r="AI1" t="s">
        <v>2486</v>
      </c>
      <c r="AJ1" t="s">
        <v>2799</v>
      </c>
      <c r="AK1" t="s">
        <v>2494</v>
      </c>
      <c r="AL1" t="s">
        <v>2498</v>
      </c>
      <c r="AM1" t="s">
        <v>2502</v>
      </c>
      <c r="AN1" t="s">
        <v>2506</v>
      </c>
      <c r="AO1" t="s">
        <v>2510</v>
      </c>
      <c r="AP1" t="s">
        <v>2514</v>
      </c>
      <c r="AQ1" t="s">
        <v>2518</v>
      </c>
      <c r="AR1" t="s">
        <v>2523</v>
      </c>
      <c r="AS1" t="s">
        <v>2527</v>
      </c>
      <c r="AT1" t="s">
        <v>2531</v>
      </c>
      <c r="AU1" t="s">
        <v>2535</v>
      </c>
      <c r="AV1" t="s">
        <v>2539</v>
      </c>
      <c r="AW1" t="s">
        <v>2543</v>
      </c>
      <c r="AX1" t="s">
        <v>2547</v>
      </c>
      <c r="AY1" t="s">
        <v>2551</v>
      </c>
      <c r="AZ1" t="s">
        <v>2555</v>
      </c>
      <c r="BA1" t="s">
        <v>2558</v>
      </c>
      <c r="BB1" t="s">
        <v>2561</v>
      </c>
      <c r="BC1" t="s">
        <v>2564</v>
      </c>
      <c r="BD1" t="s">
        <v>2567</v>
      </c>
      <c r="BE1" t="s">
        <v>2800</v>
      </c>
      <c r="BF1" t="s">
        <v>2801</v>
      </c>
      <c r="BG1" t="s">
        <v>2576</v>
      </c>
      <c r="BH1" t="s">
        <v>2579</v>
      </c>
      <c r="BI1" t="s">
        <v>2582</v>
      </c>
      <c r="BJ1" t="s">
        <v>2585</v>
      </c>
      <c r="BK1" t="s">
        <v>2588</v>
      </c>
      <c r="BL1" t="s">
        <v>2591</v>
      </c>
      <c r="BM1" t="s">
        <v>2594</v>
      </c>
      <c r="BN1" t="s">
        <v>2597</v>
      </c>
      <c r="BO1" t="s">
        <v>2600</v>
      </c>
      <c r="BP1" t="s">
        <v>2603</v>
      </c>
      <c r="BQ1" t="s">
        <v>2606</v>
      </c>
      <c r="BR1" t="s">
        <v>2609</v>
      </c>
      <c r="BS1" t="s">
        <v>2612</v>
      </c>
      <c r="BT1" t="s">
        <v>2615</v>
      </c>
      <c r="BU1" t="s">
        <v>2618</v>
      </c>
      <c r="BV1" t="s">
        <v>2621</v>
      </c>
      <c r="BW1" t="s">
        <v>2624</v>
      </c>
      <c r="BX1" t="s">
        <v>2627</v>
      </c>
      <c r="BY1" t="s">
        <v>2630</v>
      </c>
      <c r="BZ1" t="s">
        <v>2633</v>
      </c>
      <c r="CA1" t="s">
        <v>2636</v>
      </c>
      <c r="CB1" t="s">
        <v>2639</v>
      </c>
      <c r="CC1" t="s">
        <v>2642</v>
      </c>
      <c r="CD1" t="s">
        <v>2645</v>
      </c>
      <c r="CE1" t="s">
        <v>2648</v>
      </c>
      <c r="CF1" t="s">
        <v>2651</v>
      </c>
      <c r="CG1" t="s">
        <v>2654</v>
      </c>
      <c r="CH1" t="s">
        <v>2657</v>
      </c>
      <c r="CI1" t="s">
        <v>2660</v>
      </c>
      <c r="CJ1" t="s">
        <v>2663</v>
      </c>
      <c r="CK1" t="s">
        <v>2802</v>
      </c>
      <c r="CL1" t="s">
        <v>2803</v>
      </c>
      <c r="CM1" t="s">
        <v>2804</v>
      </c>
      <c r="CN1" t="s">
        <v>2675</v>
      </c>
      <c r="CO1" t="s">
        <v>2678</v>
      </c>
      <c r="CP1" t="s">
        <v>2681</v>
      </c>
      <c r="CQ1" t="s">
        <v>2684</v>
      </c>
      <c r="CR1" t="s">
        <v>2805</v>
      </c>
      <c r="CS1" t="s">
        <v>2806</v>
      </c>
      <c r="CT1" t="s">
        <v>2807</v>
      </c>
      <c r="CU1" t="s">
        <v>2808</v>
      </c>
      <c r="CV1" t="s">
        <v>2699</v>
      </c>
      <c r="CW1" t="s">
        <v>2702</v>
      </c>
      <c r="CX1" t="s">
        <v>2809</v>
      </c>
      <c r="CY1" t="s">
        <v>2708</v>
      </c>
      <c r="CZ1" t="s">
        <v>2710</v>
      </c>
      <c r="DA1" t="s">
        <v>2712</v>
      </c>
      <c r="DB1" t="s">
        <v>2714</v>
      </c>
      <c r="DC1" t="s">
        <v>2716</v>
      </c>
      <c r="DD1" t="s">
        <v>2718</v>
      </c>
      <c r="DE1" t="s">
        <v>2720</v>
      </c>
      <c r="DF1" t="s">
        <v>2722</v>
      </c>
      <c r="DG1" t="s">
        <v>2724</v>
      </c>
      <c r="DH1" t="s">
        <v>2726</v>
      </c>
      <c r="DI1" t="s">
        <v>2728</v>
      </c>
      <c r="DJ1" t="s">
        <v>2810</v>
      </c>
      <c r="DK1" t="s">
        <v>2732</v>
      </c>
      <c r="DL1" t="s">
        <v>2734</v>
      </c>
      <c r="DM1" t="s">
        <v>2736</v>
      </c>
      <c r="DN1" t="s">
        <v>2738</v>
      </c>
      <c r="DO1" t="s">
        <v>2740</v>
      </c>
      <c r="DP1" t="s">
        <v>2742</v>
      </c>
      <c r="DQ1" t="s">
        <v>2744</v>
      </c>
      <c r="DR1" t="s">
        <v>2746</v>
      </c>
      <c r="DS1" t="s">
        <v>2748</v>
      </c>
      <c r="DT1" t="s">
        <v>2750</v>
      </c>
      <c r="DU1" t="s">
        <v>2752</v>
      </c>
      <c r="DV1" t="s">
        <v>2754</v>
      </c>
      <c r="DW1" t="s">
        <v>2756</v>
      </c>
      <c r="DX1" t="s">
        <v>2758</v>
      </c>
      <c r="DY1" t="s">
        <v>2760</v>
      </c>
      <c r="DZ1" t="s">
        <v>2762</v>
      </c>
      <c r="EA1" t="s">
        <v>2764</v>
      </c>
      <c r="EB1" t="s">
        <v>2766</v>
      </c>
      <c r="EC1" t="s">
        <v>2768</v>
      </c>
      <c r="ED1" t="s">
        <v>2770</v>
      </c>
      <c r="EE1" t="s">
        <v>2772</v>
      </c>
      <c r="EF1" t="s">
        <v>2774</v>
      </c>
      <c r="EG1" t="s">
        <v>2451</v>
      </c>
      <c r="EH1" t="s">
        <v>2456</v>
      </c>
      <c r="EI1" t="s">
        <v>2461</v>
      </c>
      <c r="EJ1" t="s">
        <v>2811</v>
      </c>
      <c r="EK1" t="s">
        <v>2470</v>
      </c>
      <c r="EL1" t="s">
        <v>2474</v>
      </c>
      <c r="EM1" t="s">
        <v>2478</v>
      </c>
      <c r="EN1" t="s">
        <v>2483</v>
      </c>
      <c r="EO1" t="s">
        <v>2487</v>
      </c>
      <c r="EP1" t="s">
        <v>2491</v>
      </c>
      <c r="EQ1" t="s">
        <v>2495</v>
      </c>
      <c r="ER1" t="s">
        <v>2499</v>
      </c>
      <c r="ES1" t="s">
        <v>2503</v>
      </c>
      <c r="ET1" t="s">
        <v>2507</v>
      </c>
      <c r="EU1" t="s">
        <v>2511</v>
      </c>
      <c r="EV1" t="s">
        <v>2515</v>
      </c>
      <c r="EW1" t="s">
        <v>2519</v>
      </c>
      <c r="EX1" t="s">
        <v>2524</v>
      </c>
      <c r="EY1" t="s">
        <v>2528</v>
      </c>
      <c r="EZ1" t="s">
        <v>2532</v>
      </c>
      <c r="FA1" t="s">
        <v>2536</v>
      </c>
      <c r="FB1" t="s">
        <v>2540</v>
      </c>
      <c r="FC1" t="s">
        <v>2544</v>
      </c>
      <c r="FD1" t="s">
        <v>2548</v>
      </c>
      <c r="FE1" t="s">
        <v>2552</v>
      </c>
      <c r="FF1" t="s">
        <v>2556</v>
      </c>
      <c r="FG1" t="s">
        <v>2559</v>
      </c>
      <c r="FH1" t="s">
        <v>2812</v>
      </c>
      <c r="FI1" t="s">
        <v>2813</v>
      </c>
      <c r="FJ1" t="s">
        <v>2568</v>
      </c>
      <c r="FK1" t="s">
        <v>2571</v>
      </c>
      <c r="FL1" t="s">
        <v>2574</v>
      </c>
      <c r="FM1" t="s">
        <v>2812</v>
      </c>
      <c r="FN1" t="s">
        <v>2813</v>
      </c>
      <c r="FO1" t="s">
        <v>2814</v>
      </c>
      <c r="FP1" t="s">
        <v>2815</v>
      </c>
      <c r="FQ1" t="s">
        <v>2816</v>
      </c>
      <c r="FR1" t="s">
        <v>2817</v>
      </c>
      <c r="FS1" t="s">
        <v>2818</v>
      </c>
      <c r="FT1" t="s">
        <v>2598</v>
      </c>
      <c r="FU1" t="s">
        <v>2601</v>
      </c>
      <c r="FV1" t="s">
        <v>2604</v>
      </c>
      <c r="FW1" t="s">
        <v>2607</v>
      </c>
      <c r="FX1" t="s">
        <v>2610</v>
      </c>
      <c r="FY1" t="s">
        <v>2613</v>
      </c>
      <c r="FZ1" t="s">
        <v>2616</v>
      </c>
      <c r="GA1" t="s">
        <v>2619</v>
      </c>
      <c r="GB1" t="s">
        <v>2622</v>
      </c>
      <c r="GC1" t="s">
        <v>2625</v>
      </c>
      <c r="GD1" t="s">
        <v>2628</v>
      </c>
      <c r="GE1" t="s">
        <v>2631</v>
      </c>
      <c r="GF1" t="s">
        <v>2634</v>
      </c>
      <c r="GG1" t="s">
        <v>2637</v>
      </c>
      <c r="GH1" t="s">
        <v>2640</v>
      </c>
      <c r="GI1" t="s">
        <v>2643</v>
      </c>
      <c r="GJ1" t="s">
        <v>2646</v>
      </c>
      <c r="GK1" t="s">
        <v>2649</v>
      </c>
      <c r="GL1" t="s">
        <v>2652</v>
      </c>
      <c r="GM1" t="s">
        <v>2655</v>
      </c>
      <c r="GN1" t="s">
        <v>2658</v>
      </c>
      <c r="GO1" t="s">
        <v>2661</v>
      </c>
      <c r="GP1" t="s">
        <v>2664</v>
      </c>
      <c r="GQ1" t="s">
        <v>2667</v>
      </c>
      <c r="GR1" t="s">
        <v>2670</v>
      </c>
      <c r="GS1" t="s">
        <v>2673</v>
      </c>
      <c r="GT1" t="s">
        <v>2676</v>
      </c>
      <c r="GU1" t="s">
        <v>2679</v>
      </c>
      <c r="GV1" t="s">
        <v>2682</v>
      </c>
      <c r="GW1" t="s">
        <v>2685</v>
      </c>
      <c r="GX1" t="s">
        <v>2685</v>
      </c>
      <c r="GY1" t="s">
        <v>2688</v>
      </c>
      <c r="GZ1" t="s">
        <v>2691</v>
      </c>
      <c r="HA1" t="s">
        <v>2694</v>
      </c>
      <c r="HB1" t="s">
        <v>2703</v>
      </c>
      <c r="HC1" t="s">
        <v>2706</v>
      </c>
      <c r="HD1" t="s">
        <v>2709</v>
      </c>
      <c r="HE1" t="s">
        <v>2711</v>
      </c>
      <c r="HF1" t="s">
        <v>2713</v>
      </c>
      <c r="HG1" t="s">
        <v>2715</v>
      </c>
      <c r="HH1" t="s">
        <v>2717</v>
      </c>
      <c r="HI1" t="s">
        <v>2719</v>
      </c>
      <c r="HJ1" t="s">
        <v>2721</v>
      </c>
      <c r="HK1" t="s">
        <v>2723</v>
      </c>
      <c r="HL1" t="s">
        <v>2725</v>
      </c>
      <c r="HM1" t="s">
        <v>2727</v>
      </c>
      <c r="HN1" t="s">
        <v>2729</v>
      </c>
      <c r="HO1" t="s">
        <v>2731</v>
      </c>
      <c r="HP1" t="s">
        <v>2733</v>
      </c>
      <c r="HQ1" t="s">
        <v>2735</v>
      </c>
      <c r="HR1" t="s">
        <v>2737</v>
      </c>
      <c r="HS1" t="s">
        <v>2739</v>
      </c>
      <c r="HT1" t="s">
        <v>2741</v>
      </c>
      <c r="HU1" t="s">
        <v>2743</v>
      </c>
      <c r="HV1" t="s">
        <v>2745</v>
      </c>
      <c r="HW1" t="s">
        <v>2747</v>
      </c>
      <c r="HX1" t="s">
        <v>2749</v>
      </c>
      <c r="HY1" t="s">
        <v>2751</v>
      </c>
      <c r="HZ1" t="s">
        <v>2753</v>
      </c>
      <c r="IA1" t="s">
        <v>2755</v>
      </c>
      <c r="IB1" t="s">
        <v>2757</v>
      </c>
      <c r="IC1" t="s">
        <v>2759</v>
      </c>
      <c r="ID1" t="s">
        <v>2761</v>
      </c>
      <c r="IE1" t="s">
        <v>2763</v>
      </c>
      <c r="IF1" t="s">
        <v>2765</v>
      </c>
      <c r="IG1" t="s">
        <v>2767</v>
      </c>
      <c r="IH1" t="s">
        <v>2769</v>
      </c>
      <c r="II1" t="s">
        <v>2771</v>
      </c>
      <c r="IJ1" t="s">
        <v>2773</v>
      </c>
      <c r="IK1" t="s">
        <v>2775</v>
      </c>
      <c r="IL1" t="s">
        <v>2776</v>
      </c>
      <c r="IM1" t="s">
        <v>2777</v>
      </c>
      <c r="IN1" t="s">
        <v>2778</v>
      </c>
      <c r="IO1" t="s">
        <v>2779</v>
      </c>
      <c r="IP1" t="s">
        <v>2780</v>
      </c>
      <c r="IQ1" t="s">
        <v>2781</v>
      </c>
      <c r="IR1" t="s">
        <v>2782</v>
      </c>
      <c r="IS1" t="s">
        <v>2783</v>
      </c>
      <c r="IT1" t="s">
        <v>2784</v>
      </c>
      <c r="IU1" t="s">
        <v>2785</v>
      </c>
      <c r="IV1" t="s">
        <v>2786</v>
      </c>
      <c r="IW1" t="s">
        <v>2787</v>
      </c>
      <c r="IX1" t="s">
        <v>2788</v>
      </c>
      <c r="IY1" t="s">
        <v>2789</v>
      </c>
      <c r="IZ1" t="s">
        <v>2790</v>
      </c>
      <c r="JA1" t="s">
        <v>2791</v>
      </c>
      <c r="JB1" t="s">
        <v>2792</v>
      </c>
      <c r="JC1" t="s">
        <v>2793</v>
      </c>
      <c r="JD1" t="s">
        <v>2794</v>
      </c>
      <c r="JE1" t="s">
        <v>2795</v>
      </c>
      <c r="JF1" t="s">
        <v>2796</v>
      </c>
      <c r="JG1" t="s">
        <v>2797</v>
      </c>
      <c r="JH1" t="s">
        <v>2452</v>
      </c>
      <c r="JI1" t="s">
        <v>2819</v>
      </c>
      <c r="JJ1" t="s">
        <v>2820</v>
      </c>
      <c r="JK1" t="s">
        <v>2467</v>
      </c>
      <c r="JL1" t="s">
        <v>2471</v>
      </c>
      <c r="JM1" t="s">
        <v>2475</v>
      </c>
      <c r="JN1" t="s">
        <v>2479</v>
      </c>
      <c r="JO1" t="s">
        <v>2484</v>
      </c>
      <c r="JP1" t="s">
        <v>2488</v>
      </c>
      <c r="JQ1" t="s">
        <v>2492</v>
      </c>
      <c r="JR1" t="s">
        <v>2496</v>
      </c>
      <c r="JS1" t="s">
        <v>2500</v>
      </c>
      <c r="JT1" t="s">
        <v>2504</v>
      </c>
      <c r="JU1" t="s">
        <v>2508</v>
      </c>
      <c r="JV1" t="s">
        <v>2512</v>
      </c>
      <c r="JW1" t="s">
        <v>2516</v>
      </c>
      <c r="JX1" t="s">
        <v>2520</v>
      </c>
      <c r="JY1" t="s">
        <v>2525</v>
      </c>
      <c r="JZ1" t="s">
        <v>2529</v>
      </c>
      <c r="KA1" t="s">
        <v>2533</v>
      </c>
      <c r="KB1" t="s">
        <v>2537</v>
      </c>
      <c r="KC1" t="s">
        <v>2541</v>
      </c>
      <c r="KD1" t="s">
        <v>2545</v>
      </c>
      <c r="KE1" t="s">
        <v>2549</v>
      </c>
      <c r="KF1" t="s">
        <v>2553</v>
      </c>
      <c r="KG1" t="s">
        <v>2557</v>
      </c>
      <c r="KH1" t="s">
        <v>2560</v>
      </c>
      <c r="KI1" t="s">
        <v>2563</v>
      </c>
      <c r="KJ1" t="s">
        <v>2566</v>
      </c>
      <c r="KK1" t="s">
        <v>2569</v>
      </c>
      <c r="KL1" t="s">
        <v>2572</v>
      </c>
      <c r="KM1" t="s">
        <v>2575</v>
      </c>
      <c r="KN1" t="s">
        <v>2578</v>
      </c>
      <c r="KO1" t="s">
        <v>2581</v>
      </c>
      <c r="KP1" t="s">
        <v>2584</v>
      </c>
      <c r="KQ1" t="s">
        <v>2587</v>
      </c>
      <c r="KR1" t="s">
        <v>2590</v>
      </c>
      <c r="KS1" t="s">
        <v>2593</v>
      </c>
      <c r="KT1" t="s">
        <v>2596</v>
      </c>
      <c r="KU1" t="s">
        <v>2599</v>
      </c>
      <c r="KV1" t="s">
        <v>2602</v>
      </c>
      <c r="KW1" t="s">
        <v>2605</v>
      </c>
      <c r="KX1" t="s">
        <v>2608</v>
      </c>
      <c r="KY1" t="s">
        <v>2611</v>
      </c>
      <c r="KZ1" t="s">
        <v>2614</v>
      </c>
      <c r="LA1" t="s">
        <v>2617</v>
      </c>
      <c r="LB1" t="s">
        <v>2620</v>
      </c>
      <c r="LC1" t="s">
        <v>2623</v>
      </c>
      <c r="LD1" t="s">
        <v>2626</v>
      </c>
      <c r="LE1" t="s">
        <v>2629</v>
      </c>
      <c r="LF1" t="s">
        <v>2632</v>
      </c>
      <c r="LG1" t="s">
        <v>2635</v>
      </c>
      <c r="LH1" t="s">
        <v>2638</v>
      </c>
      <c r="LI1" t="s">
        <v>2641</v>
      </c>
      <c r="LJ1" t="s">
        <v>2644</v>
      </c>
      <c r="LK1" t="s">
        <v>2647</v>
      </c>
      <c r="LL1" t="s">
        <v>2650</v>
      </c>
      <c r="LM1" t="s">
        <v>2653</v>
      </c>
      <c r="LN1" t="s">
        <v>2656</v>
      </c>
      <c r="LO1" t="s">
        <v>2659</v>
      </c>
      <c r="LP1" t="s">
        <v>2662</v>
      </c>
      <c r="LQ1" t="s">
        <v>2665</v>
      </c>
      <c r="LR1" t="s">
        <v>2668</v>
      </c>
      <c r="LS1" t="s">
        <v>2671</v>
      </c>
      <c r="LT1" t="s">
        <v>2674</v>
      </c>
      <c r="LU1" t="s">
        <v>2677</v>
      </c>
      <c r="LV1" t="s">
        <v>2680</v>
      </c>
      <c r="LW1" t="s">
        <v>2683</v>
      </c>
      <c r="LX1" t="s">
        <v>2686</v>
      </c>
      <c r="LY1" t="s">
        <v>2689</v>
      </c>
      <c r="LZ1" t="s">
        <v>2692</v>
      </c>
      <c r="MA1" t="s">
        <v>2695</v>
      </c>
      <c r="MB1" t="s">
        <v>2698</v>
      </c>
      <c r="MC1" t="s">
        <v>2701</v>
      </c>
      <c r="MD1" t="s">
        <v>2704</v>
      </c>
      <c r="ME1" t="s">
        <v>2707</v>
      </c>
      <c r="MF1" s="180" t="s">
        <v>2821</v>
      </c>
      <c r="MG1" s="180" t="s">
        <v>2822</v>
      </c>
      <c r="MH1" s="180" t="s">
        <v>2823</v>
      </c>
      <c r="MI1" s="180" t="s">
        <v>2824</v>
      </c>
      <c r="MJ1" s="180" t="s">
        <v>2825</v>
      </c>
      <c r="MK1" s="180" t="s">
        <v>2826</v>
      </c>
      <c r="ML1" s="180" t="s">
        <v>2827</v>
      </c>
      <c r="MM1" s="180" t="s">
        <v>2828</v>
      </c>
      <c r="MN1" s="180" t="s">
        <v>2829</v>
      </c>
      <c r="MO1" s="180" t="s">
        <v>2830</v>
      </c>
      <c r="MP1" s="180" t="s">
        <v>2831</v>
      </c>
      <c r="MQ1" s="180" t="s">
        <v>2832</v>
      </c>
      <c r="MR1" s="180" t="s">
        <v>2833</v>
      </c>
      <c r="MS1" s="180" t="s">
        <v>2834</v>
      </c>
      <c r="MT1" s="180" t="s">
        <v>2835</v>
      </c>
      <c r="MU1" s="180" t="s">
        <v>2836</v>
      </c>
      <c r="MV1" s="180" t="s">
        <v>2837</v>
      </c>
      <c r="MW1" s="180" t="s">
        <v>2838</v>
      </c>
      <c r="MX1" s="180" t="s">
        <v>2839</v>
      </c>
      <c r="MY1" s="180" t="s">
        <v>2840</v>
      </c>
      <c r="MZ1" s="180" t="s">
        <v>2841</v>
      </c>
      <c r="NA1" s="180" t="s">
        <v>2842</v>
      </c>
      <c r="NB1" s="180" t="s">
        <v>2843</v>
      </c>
      <c r="NC1" s="180" t="s">
        <v>2844</v>
      </c>
      <c r="ND1" s="180" t="s">
        <v>2845</v>
      </c>
      <c r="NE1" s="180" t="s">
        <v>2846</v>
      </c>
      <c r="NF1" s="180" t="s">
        <v>2847</v>
      </c>
      <c r="NG1" s="180" t="s">
        <v>2848</v>
      </c>
      <c r="NH1" s="180" t="s">
        <v>2849</v>
      </c>
      <c r="NI1" s="180" t="s">
        <v>2850</v>
      </c>
      <c r="NJ1" s="180" t="s">
        <v>2851</v>
      </c>
      <c r="NK1" s="180" t="s">
        <v>2852</v>
      </c>
      <c r="NL1" s="180" t="s">
        <v>2853</v>
      </c>
      <c r="NM1" s="180" t="s">
        <v>2854</v>
      </c>
      <c r="NN1" s="180" t="s">
        <v>2855</v>
      </c>
      <c r="NO1" s="180" t="s">
        <v>2856</v>
      </c>
      <c r="NP1" s="180" t="s">
        <v>2857</v>
      </c>
      <c r="NQ1" s="180" t="s">
        <v>2858</v>
      </c>
      <c r="NR1" s="180" t="s">
        <v>2859</v>
      </c>
      <c r="NS1" s="180" t="s">
        <v>2860</v>
      </c>
      <c r="NT1" s="180" t="s">
        <v>2861</v>
      </c>
      <c r="NU1" s="180" t="s">
        <v>2862</v>
      </c>
      <c r="NV1" s="180" t="s">
        <v>2863</v>
      </c>
      <c r="NW1" s="180" t="s">
        <v>2864</v>
      </c>
    </row>
    <row r="2" spans="1:387">
      <c r="A2">
        <f>IF(ISBLANK(VLOOKUP(A1,Common!$B$6:$H$31,7,FALSE)),"",VLOOKUP(A1,Common!$B$6:$H$31,7,FALSE))</f>
        <v>9375.1977179000005</v>
      </c>
      <c r="B2">
        <f>IF(ISBLANK(VLOOKUP(B1,Common!$B$6:$H$31,7,FALSE)),"",VLOOKUP(B1,Common!$B$6:$H$31,7,FALSE))</f>
        <v>47400</v>
      </c>
      <c r="C2">
        <f>IF(ISBLANK(VLOOKUP(C1,Common!$B$6:$H$31,7,FALSE)),"",VLOOKUP(C1,Common!$B$6:$H$31,7,FALSE))</f>
        <v>28124</v>
      </c>
      <c r="D2">
        <f>IF(ISBLANK(VLOOKUP(D1,Common!$B$6:$H$31,7,FALSE)),"",VLOOKUP(D1,Common!$B$6:$H$31,7,FALSE))</f>
        <v>2939</v>
      </c>
      <c r="E2">
        <f>IF(ISBLANK(VLOOKUP(E1,Common!$B$6:$H$31,7,FALSE)),"",VLOOKUP(E1,Common!$B$6:$H$31,7,FALSE))</f>
        <v>31063</v>
      </c>
      <c r="F2">
        <f>IF(ISBLANK(VLOOKUP(F1,Common!$B$6:$H$31,7,FALSE)),"",VLOOKUP(F1,Common!$B$6:$H$31,7,FALSE))</f>
        <v>1.6853932584269662</v>
      </c>
      <c r="G2">
        <f>IF(ISBLANK(VLOOKUP(G1,Common!$B$6:$H$31,7,FALSE)),"",VLOOKUP(G1,Common!$B$6:$H$31,7,FALSE))</f>
        <v>19.5</v>
      </c>
      <c r="H2">
        <f>IF(ISBLANK(VLOOKUP(H1,Common!$B$6:$H$31,7,FALSE)),"",VLOOKUP(H1,Common!$B$6:$H$31,7,FALSE))</f>
        <v>2</v>
      </c>
      <c r="I2">
        <f>IF(ISBLANK(VLOOKUP(I1,Common!$B$6:$H$31,7,FALSE)),"",VLOOKUP(I1,Common!$B$6:$H$31,7,FALSE))</f>
        <v>37</v>
      </c>
      <c r="J2" t="str">
        <f>IF(ISBLANK(VLOOKUP(J1,Common!$B$6:$H$31,7,FALSE)),"",VLOOKUP(J1,Common!$B$6:$H$31,7,FALSE))</f>
        <v/>
      </c>
      <c r="K2" t="str">
        <f>IF(ISBLANK(VLOOKUP(K1,Common!$B$6:$H$31,7,FALSE)),"",VLOOKUP(K1,Common!$B$6:$H$31,7,FALSE))</f>
        <v/>
      </c>
      <c r="L2" t="str">
        <f>IF(ISBLANK(VLOOKUP(L1,Common!$B$6:$H$31,7,FALSE)),"",VLOOKUP(L1,Common!$B$6:$H$31,7,FALSE))</f>
        <v/>
      </c>
      <c r="M2" t="str">
        <f>IF(ISBLANK(VLOOKUP(M1,Common!$B$6:$H$31,7,FALSE)),"",VLOOKUP(M1,Common!$B$6:$H$31,7,FALSE))</f>
        <v/>
      </c>
      <c r="N2" t="str">
        <f>IF(ISBLANK(VLOOKUP(N1,Common!$B$6:$H$31,7,FALSE)),"",VLOOKUP(N1,Common!$B$6:$H$31,7,FALSE))</f>
        <v/>
      </c>
      <c r="O2" t="str">
        <f>IF(ISBLANK(VLOOKUP(O1,Common!$B$6:$H$31,7,FALSE)),"",VLOOKUP(O1,Common!$B$6:$H$31,7,FALSE))</f>
        <v/>
      </c>
      <c r="P2" t="str">
        <f>IF(ISBLANK(VLOOKUP(P1,Common!$B$6:$H$31,7,FALSE)),"",VLOOKUP(P1,Common!$B$6:$H$31,7,FALSE))</f>
        <v/>
      </c>
      <c r="Q2" t="str">
        <f>IF(ISBLANK(VLOOKUP(Q1,Common!$B$6:$H$31,7,FALSE)),"",VLOOKUP(Q1,Common!$B$6:$H$31,7,FALSE))</f>
        <v/>
      </c>
      <c r="R2" t="str">
        <f>IF(ISBLANK(VLOOKUP(R1,Common!$B$6:$H$31,7,FALSE)),"",VLOOKUP(R1,Common!$B$6:$H$31,7,FALSE))</f>
        <v/>
      </c>
      <c r="S2" t="str">
        <f>IF(ISBLANK(VLOOKUP(S1,Common!$B$6:$H$31,7,FALSE)),"",VLOOKUP(S1,Common!$B$6:$H$31,7,FALSE))</f>
        <v/>
      </c>
      <c r="T2" t="str">
        <f>IF(ISBLANK(VLOOKUP(T1,Common!$B$6:$H$31,7,FALSE)),"",VLOOKUP(T1,Common!$B$6:$H$31,7,FALSE))</f>
        <v/>
      </c>
      <c r="U2" t="str">
        <f>IF(ISBLANK(VLOOKUP(U1,Common!$B$6:$H$31,7,FALSE)),"",VLOOKUP(U1,Common!$B$6:$H$31,7,FALSE))</f>
        <v/>
      </c>
      <c r="V2">
        <f>IF(ISBLANK(VLOOKUP(V1,Common!$B$6:$H$31,7,FALSE)),"",VLOOKUP(V1,Common!$B$6:$H$31,7,FALSE))</f>
        <v>0.3</v>
      </c>
      <c r="W2">
        <f>IF(ISBLANK(VLOOKUP(W1,Common!$B$6:$H$31,7,FALSE)),"",VLOOKUP(W1,Common!$B$6:$H$31,7,FALSE))</f>
        <v>0.7</v>
      </c>
      <c r="X2">
        <f>IF(ISBLANK(VLOOKUP(X1,Common!$B$6:$H$31,7,FALSE)),"",VLOOKUP(X1,Common!$B$6:$H$31,7,FALSE))</f>
        <v>0.45</v>
      </c>
      <c r="Y2">
        <f>IF(ISBLANK(VLOOKUP(Y1,Common!$B$6:$H$31,7,FALSE)),"",VLOOKUP(Y1,Common!$B$6:$H$31,7,FALSE))</f>
        <v>1</v>
      </c>
      <c r="Z2" t="str">
        <f>IF(ISBLANK(VLOOKUP(Z1,Common!$B$6:$H$31,7,FALSE)),"",VLOOKUP(Z1,Common!$B$6:$H$31,7,FALSE))</f>
        <v>No</v>
      </c>
      <c r="AA2">
        <f>IF(ISBLANK(VLOOKUP(AA1,Water!$B$6:$H$115,7,FALSE)),"",VLOOKUP(AA1,Water!$B$6:$H$115,7,FALSE))</f>
        <v>43115.730337078647</v>
      </c>
      <c r="AB2">
        <f>IF(ISBLANK(VLOOKUP(AB1,Water!$B$6:$H$115,7,FALSE)),"",VLOOKUP(AB1,Water!$B$6:$H$115,7,FALSE))</f>
        <v>0.90961456407338925</v>
      </c>
      <c r="AC2">
        <f>IF(ISBLANK(VLOOKUP(AC1,Water!$B$6:$H$115,7,FALSE)),"",VLOOKUP(AC1,Water!$B$6:$H$115,7,FALSE))</f>
        <v>25582</v>
      </c>
      <c r="AD2">
        <f>IF(ISBLANK(VLOOKUP(AD1,Water!$B$6:$H$115,7,FALSE)),"",VLOOKUP(AD1,Water!$B$6:$H$115,7,FALSE))</f>
        <v>2251</v>
      </c>
      <c r="AE2">
        <f>IF(ISBLANK(VLOOKUP(AE1,Water!$B$6:$H$115,7,FALSE)),"",VLOOKUP(AE1,Water!$B$6:$H$115,7,FALSE))</f>
        <v>27833</v>
      </c>
      <c r="AF2">
        <f>IF(ISBLANK(VLOOKUP(AF1,Water!$B$6:$H$115,7,FALSE)),"",VLOOKUP(AF1,Water!$B$6:$H$115,7,FALSE))</f>
        <v>12251029</v>
      </c>
      <c r="AG2">
        <f>IF(ISBLANK(VLOOKUP(AG1,Water!$B$6:$H$115,7,FALSE)),"",VLOOKUP(AG1,Water!$B$6:$H$115,7,FALSE))</f>
        <v>0</v>
      </c>
      <c r="AH2">
        <f>IF(ISBLANK(VLOOKUP(AH1,Water!$B$6:$H$115,7,FALSE)),"",VLOOKUP(AH1,Water!$B$6:$H$115,7,FALSE))</f>
        <v>0</v>
      </c>
      <c r="AI2">
        <f>IF(ISBLANK(VLOOKUP(AI1,Water!$B$6:$H$115,7,FALSE)),"",VLOOKUP(AI1,Water!$B$6:$H$115,7,FALSE))</f>
        <v>8208189.4300000006</v>
      </c>
      <c r="AJ2">
        <f>IF(ISBLANK(VLOOKUP(AJ1,Water!$B$6:$H$115,7,FALSE)),"",VLOOKUP(AJ1,Water!$B$6:$H$115,7,FALSE))</f>
        <v>2450205.8000000003</v>
      </c>
      <c r="AK2">
        <f>IF(ISBLANK(VLOOKUP(AK1,Water!$B$6:$H$115,7,FALSE)),"",VLOOKUP(AK1,Water!$B$6:$H$115,7,FALSE))</f>
        <v>384.3548300335317</v>
      </c>
      <c r="AL2" t="str">
        <f>IF(ISBLANK(VLOOKUP(AL1,Water!$B$6:$H$115,7,FALSE)),"",VLOOKUP(AL1,Water!$B$6:$H$115,7,FALSE))</f>
        <v>Yes</v>
      </c>
      <c r="AM2">
        <f>IF(ISBLANK(VLOOKUP(AM1,Water!$B$6:$H$115,7,FALSE)),"",VLOOKUP(AM1,Water!$B$6:$H$115,7,FALSE))</f>
        <v>701.33799999999997</v>
      </c>
      <c r="AN2">
        <f>IF(ISBLANK(VLOOKUP(AN1,Water!$B$6:$H$115,7,FALSE)),"",VLOOKUP(AN1,Water!$B$6:$H$115,7,FALSE))</f>
        <v>0.26376168999999999</v>
      </c>
      <c r="AO2">
        <f>IF(ISBLANK(VLOOKUP(AO1,Water!$B$6:$H$115,7,FALSE)),"",VLOOKUP(AO1,Water!$B$6:$H$115,7,FALSE))</f>
        <v>3.8310000000000004E-2</v>
      </c>
      <c r="AP2" t="str">
        <f>IF(ISBLANK(VLOOKUP(AP1,Water!$B$6:$H$115,7,FALSE)),"",VLOOKUP(AP1,Water!$B$6:$H$115,7,FALSE))</f>
        <v/>
      </c>
      <c r="AQ2" t="str">
        <f>IF(ISBLANK(VLOOKUP(AQ1,Water!$B$6:$H$115,7,FALSE)),"",VLOOKUP(AQ1,Water!$B$6:$H$115,7,FALSE))</f>
        <v/>
      </c>
      <c r="AR2" t="str">
        <f>IF(ISBLANK(VLOOKUP(AR1,Water!$B$6:$H$115,7,FALSE)),"",VLOOKUP(AR1,Water!$B$6:$H$115,7,FALSE))</f>
        <v/>
      </c>
      <c r="AS2" t="str">
        <f>IF(ISBLANK(VLOOKUP(AS1,Water!$B$6:$H$115,7,FALSE)),"",VLOOKUP(AS1,Water!$B$6:$H$115,7,FALSE))</f>
        <v/>
      </c>
      <c r="AT2" t="str">
        <f>IF(ISBLANK(VLOOKUP(AT1,Water!$B$6:$H$115,7,FALSE)),"",VLOOKUP(AT1,Water!$B$6:$H$115,7,FALSE))</f>
        <v/>
      </c>
      <c r="AU2" t="str">
        <f>IF(ISBLANK(VLOOKUP(AU1,Water!$B$6:$H$115,7,FALSE)),"",VLOOKUP(AU1,Water!$B$6:$H$115,7,FALSE))</f>
        <v/>
      </c>
      <c r="AV2" t="str">
        <f>IF(ISBLANK(VLOOKUP(AV1,Water!$B$6:$H$115,7,FALSE)),"",VLOOKUP(AV1,Water!$B$6:$H$115,7,FALSE))</f>
        <v>Informal</v>
      </c>
      <c r="AW2">
        <f>IF(ISBLANK(VLOOKUP(AW1,Water!$B$6:$H$115,7,FALSE)),"",VLOOKUP(AW1,Water!$B$6:$H$115,7,FALSE))</f>
        <v>19.3</v>
      </c>
      <c r="AX2">
        <f>IF(ISBLANK(VLOOKUP(AX1,Water!$B$6:$H$115,7,FALSE)),"",VLOOKUP(AX1,Water!$B$6:$H$115,7,FALSE))</f>
        <v>12</v>
      </c>
      <c r="AY2">
        <f>IF(ISBLANK(VLOOKUP(AY1,Water!$B$6:$H$115,7,FALSE)),"",VLOOKUP(AY1,Water!$B$6:$H$115,7,FALSE))</f>
        <v>5</v>
      </c>
      <c r="AZ2">
        <f>IF(ISBLANK(VLOOKUP(AZ1,Water!$B$6:$H$115,7,FALSE)),"",VLOOKUP(AZ1,Water!$B$6:$H$115,7,FALSE))</f>
        <v>33</v>
      </c>
      <c r="BA2">
        <f>IF(ISBLANK(VLOOKUP(BA1,Water!$B$6:$H$115,7,FALSE)),"",VLOOKUP(BA1,Water!$B$6:$H$115,7,FALSE))</f>
        <v>11</v>
      </c>
      <c r="BB2">
        <f>IF(ISBLANK(VLOOKUP(BB1,Water!$B$6:$H$115,7,FALSE)),"",VLOOKUP(BB1,Water!$B$6:$H$115,7,FALSE))</f>
        <v>47</v>
      </c>
      <c r="BC2">
        <f>IF(ISBLANK(VLOOKUP(BC1,Water!$B$6:$H$115,7,FALSE)),"",VLOOKUP(BC1,Water!$B$6:$H$115,7,FALSE))</f>
        <v>26823.599999999999</v>
      </c>
      <c r="BD2">
        <f>IF(ISBLANK(VLOOKUP(BD1,Water!$B$6:$H$115,7,FALSE)),"",VLOOKUP(BD1,Water!$B$6:$H$115,7,FALSE))</f>
        <v>29804</v>
      </c>
      <c r="BE2">
        <f>IF(ISBLANK(VLOOKUP(BE1,Water!$B$6:$H$115,7,FALSE)),"",VLOOKUP(BE1,Water!$B$6:$H$115,7,FALSE))</f>
        <v>960</v>
      </c>
      <c r="BF2">
        <f>IF(ISBLANK(VLOOKUP(BF1,Water!$B$6:$H$115,7,FALSE)),"",VLOOKUP(BF1,Water!$B$6:$H$115,7,FALSE))</f>
        <v>71</v>
      </c>
      <c r="BG2">
        <f>IF(ISBLANK(VLOOKUP(BG1,Water!$B$6:$H$115,7,FALSE)),"",VLOOKUP(BG1,Water!$B$6:$H$115,7,FALSE))</f>
        <v>39</v>
      </c>
      <c r="BH2">
        <f>IF(ISBLANK(VLOOKUP(BH1,Water!$B$6:$H$115,7,FALSE)),"",VLOOKUP(BH1,Water!$B$6:$H$115,7,FALSE))</f>
        <v>0</v>
      </c>
      <c r="BI2" t="str">
        <f>IF(ISBLANK(VLOOKUP(BI1,Water!$B$6:$H$115,7,FALSE)),"",VLOOKUP(BI1,Water!$B$6:$H$115,7,FALSE))</f>
        <v>No</v>
      </c>
      <c r="BJ2" t="str">
        <f>IF(ISBLANK(VLOOKUP(BJ1,Water!$B$6:$H$115,7,FALSE)),"",VLOOKUP(BJ1,Water!$B$6:$H$115,7,FALSE))</f>
        <v>Informal</v>
      </c>
      <c r="BK2">
        <f>IF(ISBLANK(VLOOKUP(BK1,Water!$B$6:$H$115,7,FALSE)),"",VLOOKUP(BK1,Water!$B$6:$H$115,7,FALSE))</f>
        <v>0.5</v>
      </c>
      <c r="BL2">
        <f>IF(ISBLANK(VLOOKUP(BL1,Water!$B$6:$H$115,7,FALSE)),"",VLOOKUP(BL1,Water!$B$6:$H$115,7,FALSE))</f>
        <v>3752138.39</v>
      </c>
      <c r="BM2">
        <f>IF(ISBLANK(VLOOKUP(BM1,Water!$B$6:$H$115,7,FALSE)),"",VLOOKUP(BM1,Water!$B$6:$H$115,7,FALSE))</f>
        <v>0.30627128464066161</v>
      </c>
      <c r="BN2">
        <f>IF(ISBLANK(VLOOKUP(BN1,Water!$B$6:$H$115,7,FALSE)),"",VLOOKUP(BN1,Water!$B$6:$H$115,7,FALSE))</f>
        <v>3752138.39</v>
      </c>
      <c r="BO2">
        <f>IF(ISBLANK(VLOOKUP(BO1,Water!$B$6:$H$115,7,FALSE)),"",VLOOKUP(BO1,Water!$B$6:$H$115,7,FALSE))</f>
        <v>553</v>
      </c>
      <c r="BP2">
        <f>IF(ISBLANK(VLOOKUP(BP1,Water!$B$6:$H$115,7,FALSE)),"",VLOOKUP(BP1,Water!$B$6:$H$115,7,FALSE))</f>
        <v>16.861525247562504</v>
      </c>
      <c r="BQ2">
        <f>IF(ISBLANK(VLOOKUP(BQ1,Water!$B$6:$H$115,7,FALSE)),"",VLOOKUP(BQ1,Water!$B$6:$H$115,7,FALSE))</f>
        <v>326112.32876040001</v>
      </c>
      <c r="BR2">
        <f>IF(ISBLANK(VLOOKUP(BR1,Water!$B$6:$H$115,7,FALSE)),"",VLOOKUP(BR1,Water!$B$6:$H$115,7,FALSE))</f>
        <v>48.035399729032257</v>
      </c>
      <c r="BS2">
        <f>IF(ISBLANK(VLOOKUP(BS1,Water!$B$6:$H$115,7,FALSE)),"",VLOOKUP(BS1,Water!$B$6:$H$115,7,FALSE))</f>
        <v>11.512343045326439</v>
      </c>
      <c r="BT2">
        <f>IF(ISBLANK(VLOOKUP(BT1,Water!$B$6:$H$115,7,FALSE)),"",VLOOKUP(BT1,Water!$B$6:$H$115,7,FALSE))</f>
        <v>60</v>
      </c>
      <c r="BU2" t="str">
        <f>IF(ISBLANK(VLOOKUP(BU1,Water!$B$6:$H$115,7,FALSE)),"",VLOOKUP(BU1,Water!$B$6:$H$115,7,FALSE))</f>
        <v/>
      </c>
      <c r="BV2">
        <f>IF(ISBLANK(VLOOKUP(BV1,Water!$B$6:$H$115,7,FALSE)),"",VLOOKUP(BV1,Water!$B$6:$H$115,7,FALSE))</f>
        <v>0</v>
      </c>
      <c r="BW2">
        <f>IF(ISBLANK(VLOOKUP(BW1,Water!$B$6:$H$115,7,FALSE)),"",VLOOKUP(BW1,Water!$B$6:$H$115,7,FALSE))</f>
        <v>0</v>
      </c>
      <c r="BX2">
        <f>IF(ISBLANK(VLOOKUP(BX1,Water!$B$6:$H$115,7,FALSE)),"",VLOOKUP(BX1,Water!$B$6:$H$115,7,FALSE))</f>
        <v>133</v>
      </c>
      <c r="BY2">
        <f>IF(ISBLANK(VLOOKUP(BY1,Water!$B$6:$H$115,7,FALSE)),"",VLOOKUP(BY1,Water!$B$6:$H$115,7,FALSE))</f>
        <v>4.7785003413214531</v>
      </c>
      <c r="BZ2">
        <f>IF(ISBLANK(VLOOKUP(BZ1,Water!$B$6:$H$115,7,FALSE)),"",VLOOKUP(BZ1,Water!$B$6:$H$115,7,FALSE))</f>
        <v>47</v>
      </c>
      <c r="CA2">
        <f>IF(ISBLANK(VLOOKUP(CA1,Water!$B$6:$H$115,7,FALSE)),"",VLOOKUP(CA1,Water!$B$6:$H$115,7,FALSE))</f>
        <v>50</v>
      </c>
      <c r="CB2">
        <f>IF(ISBLANK(VLOOKUP(CB1,Water!$B$6:$H$115,7,FALSE)),"",VLOOKUP(CB1,Water!$B$6:$H$115,7,FALSE))</f>
        <v>196</v>
      </c>
      <c r="CC2">
        <f>IF(ISBLANK(VLOOKUP(CC1,Water!$B$6:$H$115,7,FALSE)),"",VLOOKUP(CC1,Water!$B$6:$H$115,7,FALSE))</f>
        <v>41</v>
      </c>
      <c r="CD2">
        <f>IF(ISBLANK(VLOOKUP(CD1,Water!$B$6:$H$115,7,FALSE)),"",VLOOKUP(CD1,Water!$B$6:$H$115,7,FALSE))</f>
        <v>5</v>
      </c>
      <c r="CE2">
        <f>IF(ISBLANK(VLOOKUP(CE1,Water!$B$6:$H$115,7,FALSE)),"",VLOOKUP(CE1,Water!$B$6:$H$115,7,FALSE))</f>
        <v>2</v>
      </c>
      <c r="CF2">
        <f>IF(ISBLANK(VLOOKUP(CF1,Water!$B$6:$H$115,7,FALSE)),"",VLOOKUP(CF1,Water!$B$6:$H$115,7,FALSE))</f>
        <v>75</v>
      </c>
      <c r="CG2">
        <f>IF(ISBLANK(VLOOKUP(CG1,Water!$B$6:$H$115,7,FALSE)),"",VLOOKUP(CG1,Water!$B$6:$H$115,7,FALSE))</f>
        <v>72</v>
      </c>
      <c r="CH2">
        <f>IF(ISBLANK(VLOOKUP(CH1,Water!$B$6:$H$115,7,FALSE)),"",VLOOKUP(CH1,Water!$B$6:$H$115,7,FALSE))</f>
        <v>1</v>
      </c>
      <c r="CI2">
        <f>IF(ISBLANK(VLOOKUP(CI1,Water!$B$6:$H$115,7,FALSE)),"",VLOOKUP(CI1,Water!$B$6:$H$115,7,FALSE))</f>
        <v>7.0420005030000361</v>
      </c>
      <c r="CJ2" t="str">
        <f>IF(ISBLANK(VLOOKUP(CJ1,Water!$B$6:$H$115,7,FALSE)),"",VLOOKUP(CJ1,Water!$B$6:$H$115,7,FALSE))</f>
        <v/>
      </c>
      <c r="CK2">
        <f>IF(ISBLANK(VLOOKUP(CK1,Water!$B$6:$H$115,7,FALSE)),"",VLOOKUP(CK1,Water!$B$6:$H$115,7,FALSE))</f>
        <v>839.81596731674881</v>
      </c>
      <c r="CL2" t="str">
        <f>IF(ISBLANK(VLOOKUP(CL1,Water!$B$6:$H$115,7,FALSE)),"",VLOOKUP(CL1,Water!$B$6:$H$115,7,FALSE))</f>
        <v>Targeted Rate</v>
      </c>
      <c r="CM2" t="str">
        <f>IF(ISBLANK(VLOOKUP(CM1,Water!$B$6:$H$115,7,FALSE)),"",VLOOKUP(CM1,Water!$B$6:$H$115,7,FALSE))</f>
        <v/>
      </c>
      <c r="CN2">
        <f>IF(ISBLANK(VLOOKUP(CN1,Water!$B$6:$H$115,7,FALSE)),"",VLOOKUP(CN1,Water!$B$6:$H$115,7,FALSE))</f>
        <v>481.78551731985988</v>
      </c>
      <c r="CO2" t="str">
        <f>IF(ISBLANK(VLOOKUP(CO1,Water!$B$6:$H$115,7,FALSE)),"",VLOOKUP(CO1,Water!$B$6:$H$115,7,FALSE))</f>
        <v>Targeted Rate</v>
      </c>
      <c r="CP2" t="str">
        <f>IF(ISBLANK(VLOOKUP(CP1,Water!$B$6:$H$115,7,FALSE)),"",VLOOKUP(CP1,Water!$B$6:$H$115,7,FALSE))</f>
        <v/>
      </c>
      <c r="CQ2" t="str">
        <f>IF(ISBLANK(VLOOKUP(CQ1,Water!$B$6:$H$115,7,FALSE)),"",VLOOKUP(CQ1,Water!$B$6:$H$115,7,FALSE))</f>
        <v/>
      </c>
      <c r="CR2">
        <f>IF(ISBLANK(VLOOKUP(CR1,Water!$B$6:$H$115,7,FALSE)),"",VLOOKUP(CR1,Water!$B$6:$H$115,7,FALSE))</f>
        <v>0.43666666666666665</v>
      </c>
      <c r="CS2">
        <f>IF(ISBLANK(VLOOKUP(CS1,Water!$B$6:$H$115,7,FALSE)),"",VLOOKUP(CS1,Water!$B$6:$H$115,7,FALSE))</f>
        <v>6.7666666666666666</v>
      </c>
      <c r="CT2">
        <f>IF(ISBLANK(VLOOKUP(CT1,Water!$B$6:$H$115,7,FALSE)),"",VLOOKUP(CT1,Water!$B$6:$H$115,7,FALSE))</f>
        <v>10.783333333333333</v>
      </c>
      <c r="CU2">
        <f>IF(ISBLANK(VLOOKUP(CU1,Water!$B$6:$H$115,7,FALSE)),"",VLOOKUP(CU1,Water!$B$6:$H$115,7,FALSE))</f>
        <v>42.85</v>
      </c>
      <c r="CV2">
        <f>IF(ISBLANK(VLOOKUP(CV1,Water!$B$6:$H$115,7,FALSE)),"",VLOOKUP(CV1,Water!$B$6:$H$115,7,FALSE))</f>
        <v>0</v>
      </c>
      <c r="CW2">
        <f>IF(ISBLANK(VLOOKUP(CW1,Water!$B$6:$H$115,7,FALSE)),"",VLOOKUP(CW1,Water!$B$6:$H$115,7,FALSE))</f>
        <v>0</v>
      </c>
      <c r="CY2">
        <f>IF(ISBLANK(VLOOKUP(CY1,Water!$B$6:$H$115,7,FALSE)),"",VLOOKUP(CY1,Water!$B$6:$H$115,7,FALSE))</f>
        <v>0</v>
      </c>
      <c r="CZ2">
        <f>IF(ISBLANK(VLOOKUP(CZ1,Water!$B$6:$H$115,7,FALSE)),"",VLOOKUP(CZ1,Water!$B$6:$H$115,7,FALSE))</f>
        <v>9647695.7100000009</v>
      </c>
      <c r="DA2">
        <f>IF(ISBLANK(VLOOKUP(DA1,Water!$B$6:$H$115,7,FALSE)),"",VLOOKUP(DA1,Water!$B$6:$H$115,7,FALSE))</f>
        <v>4562106.17</v>
      </c>
      <c r="DB2">
        <f>IF(ISBLANK(VLOOKUP(DB1,Water!$B$6:$H$115,7,FALSE)),"",VLOOKUP(DB1,Water!$B$6:$H$115,7,FALSE))</f>
        <v>14209801.880000001</v>
      </c>
      <c r="DC2">
        <f>IF(ISBLANK(VLOOKUP(DC1,Water!$B$6:$H$115,7,FALSE)),"",VLOOKUP(DC1,Water!$B$6:$H$115,7,FALSE))</f>
        <v>510.53791829842277</v>
      </c>
      <c r="DD2">
        <f>IF(ISBLANK(VLOOKUP(DD1,Water!$B$6:$H$115,7,FALSE)),"",VLOOKUP(DD1,Water!$B$6:$H$115,7,FALSE))</f>
        <v>1292515</v>
      </c>
      <c r="DE2">
        <f>IF(ISBLANK(VLOOKUP(DE1,Water!$B$6:$H$115,7,FALSE)),"",VLOOKUP(DE1,Water!$B$6:$H$115,7,FALSE))</f>
        <v>961100</v>
      </c>
      <c r="DF2" t="str">
        <f>IF(ISBLANK(VLOOKUP(DF1,Water!$B$6:$H$115,7,FALSE)),"",VLOOKUP(DF1,Water!$B$6:$H$115,7,FALSE))</f>
        <v/>
      </c>
      <c r="DG2">
        <f>IF(ISBLANK(VLOOKUP(DG1,Water!$B$6:$H$115,7,FALSE)),"",VLOOKUP(DG1,Water!$B$6:$H$115,7,FALSE))</f>
        <v>1316368.1599999999</v>
      </c>
      <c r="DH2">
        <f>IF(ISBLANK(VLOOKUP(DH1,Water!$B$6:$H$115,7,FALSE)),"",VLOOKUP(DH1,Water!$B$6:$H$115,7,FALSE))</f>
        <v>1818731.15</v>
      </c>
      <c r="DI2">
        <f>IF(ISBLANK(VLOOKUP(DI1,Water!$B$6:$H$115,7,FALSE)),"",VLOOKUP(DI1,Water!$B$6:$H$115,7,FALSE))</f>
        <v>1116746.79</v>
      </c>
      <c r="DJ2">
        <f>IF(ISBLANK(VLOOKUP(DJ1,Water!$B$6:$H$115,7,FALSE)),"",VLOOKUP(DJ1,Water!$B$6:$H$115,7,FALSE))</f>
        <v>0</v>
      </c>
      <c r="DK2">
        <f>IF(ISBLANK(VLOOKUP(DK1,Water!$B$6:$H$115,7,FALSE)),"",VLOOKUP(DK1,Water!$B$6:$H$115,7,FALSE))</f>
        <v>5212946.0999999996</v>
      </c>
      <c r="DL2">
        <f>IF(ISBLANK(VLOOKUP(DL1,Water!$B$6:$H$115,7,FALSE)),"",VLOOKUP(DL1,Water!$B$6:$H$115,7,FALSE))</f>
        <v>187.29371968526567</v>
      </c>
      <c r="DM2">
        <f>IF(ISBLANK(VLOOKUP(DM1,Water!$B$6:$H$115,7,FALSE)),"",VLOOKUP(DM1,Water!$B$6:$H$115,7,FALSE))</f>
        <v>5290202.1100000003</v>
      </c>
      <c r="DN2">
        <f>IF(ISBLANK(VLOOKUP(DN1,Water!$B$6:$H$115,7,FALSE)),"",VLOOKUP(DN1,Water!$B$6:$H$115,7,FALSE))</f>
        <v>703394.48</v>
      </c>
      <c r="DO2">
        <f>IF(ISBLANK(VLOOKUP(DO1,Water!$B$6:$H$115,7,FALSE)),"",VLOOKUP(DO1,Water!$B$6:$H$115,7,FALSE))</f>
        <v>4.9500653558725051E-2</v>
      </c>
      <c r="DP2">
        <f>IF(ISBLANK(VLOOKUP(DP1,Water!$B$6:$H$115,7,FALSE)),"",VLOOKUP(DP1,Water!$B$6:$H$115,7,FALSE))</f>
        <v>0.86089849268222429</v>
      </c>
      <c r="DQ2">
        <f>IF(ISBLANK(VLOOKUP(DQ1,Water!$B$6:$H$115,7,FALSE)),"",VLOOKUP(DQ1,Water!$B$6:$H$115,7,FALSE))</f>
        <v>22645031.109999999</v>
      </c>
      <c r="DR2">
        <f>IF(ISBLANK(VLOOKUP(DR1,Water!$B$6:$H$115,7,FALSE)),"",VLOOKUP(DR1,Water!$B$6:$H$115,7,FALSE))</f>
        <v>813.60367585240544</v>
      </c>
      <c r="DS2">
        <f>IF(ISBLANK(VLOOKUP(DS1,Water!$B$6:$H$115,7,FALSE)),"",VLOOKUP(DS1,Water!$B$6:$H$115,7,FALSE))</f>
        <v>21979917.669999998</v>
      </c>
      <c r="DT2">
        <f>IF(ISBLANK(VLOOKUP(DT1,Water!$B$6:$H$115,7,FALSE)),0,VLOOKUP(DT1,Water!$B$6:$H$115,7,FALSE))</f>
        <v>11671354.385540003</v>
      </c>
      <c r="DU2">
        <f>IF(ISBLANK(VLOOKUP(DU1,Water!$B$6:$H$115,7,FALSE)),"",VLOOKUP(DU1,Water!$B$6:$H$115,7,FALSE))</f>
        <v>7704196.4855199978</v>
      </c>
      <c r="DV2">
        <f>IF(ISBLANK(VLOOKUP(DV1,Water!$B$6:$H$115,7,FALSE)),"",VLOOKUP(DV1,Water!$B$6:$H$115,7,FALSE))</f>
        <v>2604366.7989400006</v>
      </c>
      <c r="DW2">
        <f>IF(ISBLANK(VLOOKUP(DW1,Water!$B$6:$H$115,7,FALSE)),"",VLOOKUP(DW1,Water!$B$6:$H$115,7,FALSE))</f>
        <v>11438488.419999998</v>
      </c>
      <c r="DX2">
        <f>IF(ISBLANK(VLOOKUP(DX1,Water!$B$6:$H$115,7,FALSE)),"",VLOOKUP(DX1,Water!$B$6:$H$115,7,FALSE))</f>
        <v>5247675.2231299998</v>
      </c>
      <c r="DY2">
        <f>IF(ISBLANK(VLOOKUP(DY1,Water!$B$6:$H$115,7,FALSE)),"",VLOOKUP(DY1,Water!$B$6:$H$115,7,FALSE))</f>
        <v>4850437.8629719988</v>
      </c>
      <c r="DZ2">
        <f>IF(ISBLANK(VLOOKUP(DZ1,Water!$B$6:$H$115,7,FALSE)),"",VLOOKUP(DZ1,Water!$B$6:$H$115,7,FALSE))</f>
        <v>1340375.333898</v>
      </c>
      <c r="EA2">
        <f>IF(ISBLANK(VLOOKUP(EA1,Water!$B$6:$H$115,7,FALSE)),"",VLOOKUP(EA1,Water!$B$6:$H$115,7,FALSE))</f>
        <v>410.96857758775548</v>
      </c>
      <c r="EB2">
        <f>IF(ISBLANK(VLOOKUP(EB1,Water!$B$6:$H$115,7,FALSE)),"",VLOOKUP(EB1,Water!$B$6:$H$115,7,FALSE))</f>
        <v>8110448.5</v>
      </c>
      <c r="EC2">
        <f>IF(ISBLANK(VLOOKUP(EC1,Water!$B$6:$H$115,7,FALSE)),"",VLOOKUP(EC1,Water!$B$6:$H$115,7,FALSE))</f>
        <v>36560159</v>
      </c>
      <c r="ED2">
        <f>IF(ISBLANK(VLOOKUP(ED1,Water!$B$6:$H$115,7,FALSE)),"",VLOOKUP(ED1,Water!$B$6:$H$115,7,FALSE))</f>
        <v>239371338</v>
      </c>
      <c r="EE2">
        <f>IF(ISBLANK(VLOOKUP(EE1,Water!$B$6:$H$115,7,FALSE)),"",VLOOKUP(EE1,Water!$B$6:$H$115,7,FALSE))</f>
        <v>0.25336939988820195</v>
      </c>
      <c r="EF2">
        <f>IF(ISBLANK(VLOOKUP(EF1,Water!$B$6:$H$115,7,FALSE)),"",VLOOKUP(EF1,Water!$B$6:$H$115,7,FALSE))</f>
        <v>2388380.5</v>
      </c>
      <c r="EG2">
        <f>IF(ISBLANK(VLOOKUP(EG1,Wastewater!$B$6:$H$136,7,FALSE)),"",VLOOKUP(EG1,Wastewater!$B$6:$H$136,7,FALSE))</f>
        <v>40838.764044943819</v>
      </c>
      <c r="EH2">
        <f>IF(ISBLANK(VLOOKUP(EH1,Wastewater!$B$6:$H$136,7,FALSE)),"",VLOOKUP(EH1,Wastewater!$B$6:$H$136,7,FALSE))</f>
        <v>0.86157730052624093</v>
      </c>
      <c r="EI2">
        <f>IF(ISBLANK(VLOOKUP(EI1,Wastewater!$B$6:$H$136,7,FALSE)),"",VLOOKUP(EI1,Wastewater!$B$6:$H$136,7,FALSE))</f>
        <v>24231</v>
      </c>
      <c r="EJ2">
        <f>IF(ISBLANK(VLOOKUP(EJ1,Wastewater!$B$6:$H$136,7,FALSE)),"",VLOOKUP(EJ1,Wastewater!$B$6:$H$136,7,FALSE))</f>
        <v>2941</v>
      </c>
      <c r="EK2">
        <f>IF(ISBLANK(VLOOKUP(EK1,Wastewater!$B$6:$H$136,7,FALSE)),"",VLOOKUP(EK1,Wastewater!$B$6:$H$136,7,FALSE))</f>
        <v>27172</v>
      </c>
      <c r="EL2">
        <f>IF(ISBLANK(VLOOKUP(EL1,Wastewater!$B$6:$H$136,7,FALSE)),"",VLOOKUP(EL1,Wastewater!$B$6:$H$136,7,FALSE))</f>
        <v>0</v>
      </c>
      <c r="EM2">
        <f>IF(ISBLANK(VLOOKUP(EM1,Wastewater!$B$6:$H$136,7,FALSE)),"",VLOOKUP(EM1,Wastewater!$B$6:$H$136,7,FALSE))</f>
        <v>0</v>
      </c>
      <c r="EN2">
        <f>IF(ISBLANK(VLOOKUP(EN1,Wastewater!$B$6:$H$136,7,FALSE)),"",VLOOKUP(EN1,Wastewater!$B$6:$H$136,7,FALSE))</f>
        <v>4726397</v>
      </c>
      <c r="EO2">
        <f>IF(ISBLANK(VLOOKUP(EO1,Wastewater!$B$6:$H$136,7,FALSE)),"",VLOOKUP(EO1,Wastewater!$B$6:$H$136,7,FALSE))</f>
        <v>613.904</v>
      </c>
      <c r="EP2">
        <f>IF(ISBLANK(VLOOKUP(EP1,Wastewater!$B$6:$H$136,7,FALSE)),"",VLOOKUP(EP1,Wastewater!$B$6:$H$136,7,FALSE))</f>
        <v>3.1331398999999958</v>
      </c>
      <c r="EQ2">
        <f>IF(ISBLANK(VLOOKUP(EQ1,Wastewater!$B$6:$H$136,7,FALSE)),"",VLOOKUP(EQ1,Wastewater!$B$6:$H$136,7,FALSE))</f>
        <v>0</v>
      </c>
      <c r="ER2" t="str">
        <f>IF(ISBLANK(VLOOKUP(ER1,Wastewater!$B$6:$H$136,7,FALSE)),"",VLOOKUP(ER1,Wastewater!$B$6:$H$136,7,FALSE))</f>
        <v/>
      </c>
      <c r="ES2" t="str">
        <f>IF(ISBLANK(VLOOKUP(ES1,Wastewater!$B$6:$H$136,7,FALSE)),"",VLOOKUP(ES1,Wastewater!$B$6:$H$136,7,FALSE))</f>
        <v/>
      </c>
      <c r="ET2" t="str">
        <f>IF(ISBLANK(VLOOKUP(ET1,Wastewater!$B$6:$H$136,7,FALSE)),"",VLOOKUP(ET1,Wastewater!$B$6:$H$136,7,FALSE))</f>
        <v/>
      </c>
      <c r="EU2" t="str">
        <f>IF(ISBLANK(VLOOKUP(EU1,Wastewater!$B$6:$H$136,7,FALSE)),"",VLOOKUP(EU1,Wastewater!$B$6:$H$136,7,FALSE))</f>
        <v/>
      </c>
      <c r="EV2" t="str">
        <f>IF(ISBLANK(VLOOKUP(EV1,Wastewater!$B$6:$H$136,7,FALSE)),"",VLOOKUP(EV1,Wastewater!$B$6:$H$136,7,FALSE))</f>
        <v/>
      </c>
      <c r="EW2" t="str">
        <f>IF(ISBLANK(VLOOKUP(EW1,Wastewater!$B$6:$H$136,7,FALSE)),"",VLOOKUP(EW1,Wastewater!$B$6:$H$136,7,FALSE))</f>
        <v/>
      </c>
      <c r="EX2" t="str">
        <f>IF(ISBLANK(VLOOKUP(EX1,Wastewater!$B$6:$H$136,7,FALSE)),"",VLOOKUP(EX1,Wastewater!$B$6:$H$136,7,FALSE))</f>
        <v/>
      </c>
      <c r="EY2">
        <f>IF(ISBLANK(VLOOKUP(EY1,Wastewater!$B$6:$H$136,7,FALSE)),"",VLOOKUP(EY1,Wastewater!$B$6:$H$136,7,FALSE))</f>
        <v>21.1</v>
      </c>
      <c r="EZ2">
        <f>IF(ISBLANK(VLOOKUP(EZ1,Wastewater!$B$6:$H$136,7,FALSE)),"",VLOOKUP(EZ1,Wastewater!$B$6:$H$136,7,FALSE))</f>
        <v>3.2814576871953924E-2</v>
      </c>
      <c r="FA2">
        <f>IF(ISBLANK(VLOOKUP(FA1,Wastewater!$B$6:$H$136,7,FALSE)),"",VLOOKUP(FA1,Wastewater!$B$6:$H$136,7,FALSE))</f>
        <v>68</v>
      </c>
      <c r="FB2" t="str">
        <f>IF(ISBLANK(VLOOKUP(FB1,Wastewater!$B$6:$H$136,7,FALSE)),"",VLOOKUP(FB1,Wastewater!$B$6:$H$136,7,FALSE))</f>
        <v/>
      </c>
      <c r="FC2" t="str">
        <f>IF(ISBLANK(VLOOKUP(FC1,Wastewater!$B$6:$H$136,7,FALSE)),"",VLOOKUP(FC1,Wastewater!$B$6:$H$136,7,FALSE))</f>
        <v/>
      </c>
      <c r="FD2" t="str">
        <f>IF(ISBLANK(VLOOKUP(FD1,Wastewater!$B$6:$H$136,7,FALSE)),"",VLOOKUP(FD1,Wastewater!$B$6:$H$136,7,FALSE))</f>
        <v/>
      </c>
      <c r="FE2" t="str">
        <f>IF(ISBLANK(VLOOKUP(FE1,Wastewater!$B$6:$H$136,7,FALSE)),"",VLOOKUP(FE1,Wastewater!$B$6:$H$136,7,FALSE))</f>
        <v/>
      </c>
      <c r="FF2">
        <f>IF(ISBLANK(VLOOKUP(FF1,Wastewater!$B$6:$H$136,7,FALSE)),"",VLOOKUP(FF1,Wastewater!$B$6:$H$136,7,FALSE))</f>
        <v>6</v>
      </c>
      <c r="FG2" t="str">
        <f>IF(ISBLANK(VLOOKUP(FG1,Wastewater!$B$6:$H$136,7,FALSE)),"",VLOOKUP(FG1,Wastewater!$B$6:$H$136,7,FALSE))</f>
        <v/>
      </c>
      <c r="FH2">
        <f>IF(ISBLANK(VLOOKUP(FH1,Wastewater!$B$6:$H$136,7,FALSE)),"",VLOOKUP(FH1,Wastewater!$B$6:$H$136,7,FALSE))</f>
        <v>4726397</v>
      </c>
      <c r="FI2">
        <f>IF(ISBLANK(VLOOKUP(FI1,Wastewater!$B$6:$H$136,7,FALSE)),"",VLOOKUP(FI1,Wastewater!$B$6:$H$136,7,FALSE))</f>
        <v>0</v>
      </c>
      <c r="FJ2" t="str">
        <f>IF(ISBLANK(VLOOKUP(FJ1,Wastewater!$B$6:$H$136,7,FALSE)),"",VLOOKUP(FJ1,Wastewater!$B$6:$H$136,7,FALSE))</f>
        <v/>
      </c>
      <c r="FK2" t="str">
        <f>IF(ISBLANK(VLOOKUP(FK1,Wastewater!$B$6:$H$136,7,FALSE)),"",VLOOKUP(FK1,Wastewater!$B$6:$H$136,7,FALSE))</f>
        <v/>
      </c>
      <c r="FL2" t="str">
        <f>IF(ISBLANK(VLOOKUP(FL1,Wastewater!$B$6:$H$136,7,FALSE)),"",VLOOKUP(FL1,Wastewater!$B$6:$H$136,7,FALSE))</f>
        <v/>
      </c>
      <c r="FM2">
        <f>IF(ISBLANK(VLOOKUP(FM1,Wastewater!$B$6:$H$136,7,FALSE)),"",VLOOKUP(FM1,Wastewater!$B$6:$H$136,7,FALSE))</f>
        <v>4726397</v>
      </c>
      <c r="FN2">
        <f>IF(ISBLANK(VLOOKUP(FN1,Wastewater!$B$6:$H$136,7,FALSE)),"",VLOOKUP(FN1,Wastewater!$B$6:$H$136,7,FALSE))</f>
        <v>0</v>
      </c>
      <c r="FO2">
        <f>IF(ISBLANK(VLOOKUP(FO1,Wastewater!$B$6:$H$136,7,FALSE)),"",VLOOKUP(FO1,Wastewater!$B$6:$H$136,7,FALSE))</f>
        <v>0</v>
      </c>
      <c r="FP2">
        <f>IF(ISBLANK(VLOOKUP(FP1,Wastewater!$B$6:$H$136,7,FALSE)),"",VLOOKUP(FP1,Wastewater!$B$6:$H$136,7,FALSE))</f>
        <v>1</v>
      </c>
      <c r="FQ2">
        <f>IF(ISBLANK(VLOOKUP(FQ1,Wastewater!$B$6:$H$136,7,FALSE)),"",VLOOKUP(FQ1,Wastewater!$B$6:$H$136,7,FALSE))</f>
        <v>0</v>
      </c>
      <c r="FR2">
        <f>IF(ISBLANK(VLOOKUP(FR1,Wastewater!$B$6:$H$136,7,FALSE)),"",VLOOKUP(FR1,Wastewater!$B$6:$H$136,7,FALSE))</f>
        <v>0</v>
      </c>
      <c r="FS2" t="str">
        <f>IF(ISBLANK(VLOOKUP(FS1,Wastewater!$B$6:$H$136,7,FALSE)),"",VLOOKUP(FS1,Wastewater!$B$6:$H$136,7,FALSE))</f>
        <v/>
      </c>
      <c r="FT2">
        <f>IF(ISBLANK(VLOOKUP(FT1,Wastewater!$B$6:$H$136,7,FALSE)),"",VLOOKUP(FT1,Wastewater!$B$6:$H$136,7,FALSE))</f>
        <v>3</v>
      </c>
      <c r="FU2">
        <f>IF(ISBLANK(VLOOKUP(FU1,Wastewater!$B$6:$H$136,7,FALSE)),"",VLOOKUP(FU1,Wastewater!$B$6:$H$136,7,FALSE))</f>
        <v>2.1074990018824065</v>
      </c>
      <c r="FV2">
        <f>IF(ISBLANK(VLOOKUP(FV1,Wastewater!$B$6:$H$136,7,FALSE)),"",VLOOKUP(FV1,Wastewater!$B$6:$H$136,7,FALSE))</f>
        <v>5005</v>
      </c>
      <c r="FW2">
        <f>IF(ISBLANK(VLOOKUP(FW1,Wastewater!$B$6:$H$136,7,FALSE)),"",VLOOKUP(FW1,Wastewater!$B$6:$H$136,7,FALSE))</f>
        <v>0</v>
      </c>
      <c r="FX2">
        <f>IF(ISBLANK(VLOOKUP(FX1,Wastewater!$B$6:$H$136,7,FALSE)),"",VLOOKUP(FX1,Wastewater!$B$6:$H$136,7,FALSE))</f>
        <v>0</v>
      </c>
      <c r="FY2">
        <f>IF(ISBLANK(VLOOKUP(FY1,Wastewater!$B$6:$H$136,7,FALSE)),"",VLOOKUP(FY1,Wastewater!$B$6:$H$136,7,FALSE))</f>
        <v>0</v>
      </c>
      <c r="FZ2">
        <f>IF(ISBLANK(VLOOKUP(FZ1,Wastewater!$B$6:$H$136,7,FALSE)),"",VLOOKUP(FZ1,Wastewater!$B$6:$H$136,7,FALSE))</f>
        <v>0</v>
      </c>
      <c r="GA2">
        <f>IF(ISBLANK(VLOOKUP(GA1,Wastewater!$B$6:$H$136,7,FALSE)),"",VLOOKUP(GA1,Wastewater!$B$6:$H$136,7,FALSE))</f>
        <v>0</v>
      </c>
      <c r="GB2">
        <f>IF(ISBLANK(VLOOKUP(GB1,Wastewater!$B$6:$H$136,7,FALSE)),"",VLOOKUP(GB1,Wastewater!$B$6:$H$136,7,FALSE))</f>
        <v>57</v>
      </c>
      <c r="GC2">
        <f>IF(ISBLANK(VLOOKUP(GC1,Wastewater!$B$6:$H$136,7,FALSE)),"",VLOOKUP(GC1,Wastewater!$B$6:$H$136,7,FALSE))</f>
        <v>57</v>
      </c>
      <c r="GD2">
        <f>IF(ISBLANK(VLOOKUP(GD1,Wastewater!$B$6:$H$136,7,FALSE)),"",VLOOKUP(GD1,Wastewater!$B$6:$H$136,7,FALSE))</f>
        <v>0</v>
      </c>
      <c r="GE2">
        <f>IF(ISBLANK(VLOOKUP(GE1,Wastewater!$B$6:$H$136,7,FALSE)),"",VLOOKUP(GE1,Wastewater!$B$6:$H$136,7,FALSE))</f>
        <v>0</v>
      </c>
      <c r="GF2">
        <f>IF(ISBLANK(VLOOKUP(GF1,Wastewater!$B$6:$H$136,7,FALSE)),"",VLOOKUP(GF1,Wastewater!$B$6:$H$136,7,FALSE))</f>
        <v>0</v>
      </c>
      <c r="GG2">
        <f>IF(ISBLANK(VLOOKUP(GG1,Wastewater!$B$6:$H$136,7,FALSE)),"",VLOOKUP(GG1,Wastewater!$B$6:$H$136,7,FALSE))</f>
        <v>57</v>
      </c>
      <c r="GH2" t="str">
        <f>IF(ISBLANK(VLOOKUP(GH1,Wastewater!$B$6:$H$136,7,FALSE)),"",VLOOKUP(GH1,Wastewater!$B$6:$H$136,7,FALSE))</f>
        <v/>
      </c>
      <c r="GI2" t="str">
        <f>IF(ISBLANK(VLOOKUP(GI1,Wastewater!$B$6:$H$136,7,FALSE)),"",VLOOKUP(GI1,Wastewater!$B$6:$H$136,7,FALSE))</f>
        <v>NZS4404</v>
      </c>
      <c r="GJ2" t="str">
        <f>IF(ISBLANK(VLOOKUP(GJ1,Wastewater!$B$6:$H$136,7,FALSE)),"",VLOOKUP(GJ1,Wastewater!$B$6:$H$136,7,FALSE))</f>
        <v/>
      </c>
      <c r="GK2" t="str">
        <f>IF(ISBLANK(VLOOKUP(GK1,Wastewater!$B$6:$H$136,7,FALSE)),"",VLOOKUP(GK1,Wastewater!$B$6:$H$136,7,FALSE))</f>
        <v>Yes</v>
      </c>
      <c r="GL2" t="str">
        <f>IF(ISBLANK(VLOOKUP(GL1,Wastewater!$B$6:$H$136,7,FALSE)),"",VLOOKUP(GL1,Wastewater!$B$6:$H$136,7,FALSE))</f>
        <v>Yes</v>
      </c>
      <c r="GM2" t="str">
        <f>IF(ISBLANK(VLOOKUP(GM1,Wastewater!$B$6:$H$136,7,FALSE)),"",VLOOKUP(GM1,Wastewater!$B$6:$H$136,7,FALSE))</f>
        <v>Yes</v>
      </c>
      <c r="GN2" t="str">
        <f>IF(ISBLANK(VLOOKUP(GN1,Wastewater!$B$6:$H$136,7,FALSE)),"",VLOOKUP(GN1,Wastewater!$B$6:$H$136,7,FALSE))</f>
        <v>No</v>
      </c>
      <c r="GO2">
        <f>IF(ISBLANK(VLOOKUP(GO1,Wastewater!$B$6:$H$136,7,FALSE)),"",VLOOKUP(GO1,Wastewater!$B$6:$H$136,7,FALSE))</f>
        <v>2</v>
      </c>
      <c r="GP2">
        <f>IF(ISBLANK(VLOOKUP(GP1,Wastewater!$B$6:$H$136,7,FALSE)),"",VLOOKUP(GP1,Wastewater!$B$6:$H$136,7,FALSE))</f>
        <v>1</v>
      </c>
      <c r="GQ2">
        <f>IF(ISBLANK(VLOOKUP(GQ1,Wastewater!$B$6:$H$136,7,FALSE)),"",VLOOKUP(GQ1,Wastewater!$B$6:$H$136,7,FALSE))</f>
        <v>0</v>
      </c>
      <c r="GR2">
        <f>IF(ISBLANK(VLOOKUP(GR1,Wastewater!$B$6:$H$136,7,FALSE)),"",VLOOKUP(GR1,Wastewater!$B$6:$H$136,7,FALSE))</f>
        <v>0</v>
      </c>
      <c r="GS2">
        <f>IF(ISBLANK(VLOOKUP(GS1,Wastewater!$B$6:$H$136,7,FALSE)),"",VLOOKUP(GS1,Wastewater!$B$6:$H$136,7,FALSE))</f>
        <v>5</v>
      </c>
      <c r="GT2">
        <f>IF(ISBLANK(VLOOKUP(GT1,Wastewater!$B$6:$H$136,7,FALSE)),"",VLOOKUP(GT1,Wastewater!$B$6:$H$136,7,FALSE))</f>
        <v>0</v>
      </c>
      <c r="GU2" t="str">
        <f>IF(ISBLANK(VLOOKUP(GU1,Wastewater!$B$6:$H$136,7,FALSE)),"",VLOOKUP(GU1,Wastewater!$B$6:$H$136,7,FALSE))</f>
        <v>No regulatory approach</v>
      </c>
      <c r="GV2">
        <f>IF(ISBLANK(VLOOKUP(GV1,Wastewater!$B$6:$H$136,7,FALSE)),"",VLOOKUP(GV1,Wastewater!$B$6:$H$136,7,FALSE))</f>
        <v>0</v>
      </c>
      <c r="GW2">
        <f>IF(ISBLANK(VLOOKUP(GW1,Wastewater!$B$6:$H$136,7,FALSE)),"",VLOOKUP(GW1,Wastewater!$B$6:$H$136,7,FALSE))</f>
        <v>0</v>
      </c>
      <c r="GX2">
        <f>IF(ISBLANK(VLOOKUP(GX1,Wastewater!$B$6:$H$136,7,FALSE)),"",VLOOKUP(GX1,Wastewater!$B$6:$H$136,7,FALSE))</f>
        <v>0</v>
      </c>
      <c r="GY2" t="str">
        <f>IF(ISBLANK(VLOOKUP(GY1,Wastewater!$B$6:$H$136,7,FALSE)),"",VLOOKUP(GY1,Wastewater!$B$6:$H$136,7,FALSE))</f>
        <v/>
      </c>
      <c r="GZ2" t="str">
        <f>IF(ISBLANK(VLOOKUP(GZ1,Wastewater!$B$6:$H$136,7,FALSE)),"",VLOOKUP(GZ1,Wastewater!$B$6:$H$136,7,FALSE))</f>
        <v/>
      </c>
      <c r="HA2" t="str">
        <f>IF(ISBLANK(VLOOKUP(HA1,Wastewater!$B$6:$H$136,7,FALSE)),"",VLOOKUP(HA1,Wastewater!$B$6:$H$136,7,FALSE))</f>
        <v/>
      </c>
      <c r="HB2" t="str">
        <f>IF(ISBLANK(VLOOKUP(HB1,Wastewater!$B$6:$H$136,7,FALSE)),"",VLOOKUP(HB1,Wastewater!$B$6:$H$136,7,FALSE))</f>
        <v>Yes</v>
      </c>
      <c r="HC2">
        <f>IF(ISBLANK(VLOOKUP(HC1,Wastewater!$B$6:$H$136,7,FALSE)),"",VLOOKUP(HC1,Wastewater!$B$6:$H$136,7,FALSE))</f>
        <v>0</v>
      </c>
      <c r="HD2">
        <f>IF(ISBLANK(VLOOKUP(HD1,Wastewater!$B$6:$H$136,7,FALSE)),"",VLOOKUP(HD1,Wastewater!$B$6:$H$136,7,FALSE))</f>
        <v>0</v>
      </c>
      <c r="HE2">
        <f>IF(ISBLANK(VLOOKUP(HE1,Wastewater!$B$6:$H$136,7,FALSE)),"",VLOOKUP(HE1,Wastewater!$B$6:$H$136,7,FALSE))</f>
        <v>0</v>
      </c>
      <c r="HF2">
        <f>IF(ISBLANK(VLOOKUP(HF1,Wastewater!$B$6:$H$136,7,FALSE)),"",VLOOKUP(HF1,Wastewater!$B$6:$H$136,7,FALSE))</f>
        <v>0.75</v>
      </c>
      <c r="HG2">
        <f>IF(ISBLANK(VLOOKUP(HG1,Wastewater!$B$6:$H$136,7,FALSE)),"",VLOOKUP(HG1,Wastewater!$B$6:$H$136,7,FALSE))</f>
        <v>664</v>
      </c>
      <c r="HH2" t="str">
        <f>IF(ISBLANK(VLOOKUP(HH1,Wastewater!$B$6:$H$136,7,FALSE)),"",VLOOKUP(HH1,Wastewater!$B$6:$H$136,7,FALSE))</f>
        <v>Targeted Rate</v>
      </c>
      <c r="HI2" t="str">
        <f>IF(ISBLANK(VLOOKUP(HI1,Wastewater!$B$6:$H$136,7,FALSE)),"",VLOOKUP(HI1,Wastewater!$B$6:$H$136,7,FALSE))</f>
        <v/>
      </c>
      <c r="HJ2" t="str">
        <f>IF(ISBLANK(VLOOKUP(HJ1,Wastewater!$B$6:$H$136,7,FALSE)),"",VLOOKUP(HJ1,Wastewater!$B$6:$H$136,7,FALSE))</f>
        <v/>
      </c>
      <c r="HK2">
        <f>IF(ISBLANK(VLOOKUP(HK1,Wastewater!$B$6:$H$136,7,FALSE)),"",VLOOKUP(HK1,Wastewater!$B$6:$H$136,7,FALSE))</f>
        <v>664</v>
      </c>
      <c r="HL2" t="str">
        <f>IF(ISBLANK(VLOOKUP(HL1,Wastewater!$B$6:$H$136,7,FALSE)),"",VLOOKUP(HL1,Wastewater!$B$6:$H$136,7,FALSE))</f>
        <v>Targeted Rate</v>
      </c>
      <c r="HM2" t="str">
        <f>IF(ISBLANK(VLOOKUP(HM1,Wastewater!$B$6:$H$136,7,FALSE)),"",VLOOKUP(HM1,Wastewater!$B$6:$H$136,7,FALSE))</f>
        <v/>
      </c>
      <c r="HN2" t="str">
        <f>IF(ISBLANK(VLOOKUP(HN1,Wastewater!$B$6:$H$136,7,FALSE)),"",VLOOKUP(HN1,Wastewater!$B$6:$H$136,7,FALSE))</f>
        <v/>
      </c>
      <c r="HO2">
        <f>IF(ISBLANK(VLOOKUP(HO1,Wastewater!$B$6:$H$136,7,FALSE)),"",VLOOKUP(HO1,Wastewater!$B$6:$H$136,7,FALSE))</f>
        <v>204</v>
      </c>
      <c r="HP2">
        <f>IF(ISBLANK(VLOOKUP(HP1,Wastewater!$B$6:$H$136,7,FALSE)),"",VLOOKUP(HP1,Wastewater!$B$6:$H$136,7,FALSE))</f>
        <v>46</v>
      </c>
      <c r="HQ2">
        <f>IF(ISBLANK(VLOOKUP(HQ1,Wastewater!$B$6:$H$136,7,FALSE)),"",VLOOKUP(HQ1,Wastewater!$B$6:$H$136,7,FALSE))</f>
        <v>101</v>
      </c>
      <c r="HR2">
        <f>IF(ISBLANK(VLOOKUP(HR1,Wastewater!$B$6:$H$136,7,FALSE)),"",VLOOKUP(HR1,Wastewater!$B$6:$H$136,7,FALSE))</f>
        <v>57</v>
      </c>
      <c r="HS2">
        <f>IF(ISBLANK(VLOOKUP(HS1,Wastewater!$B$6:$H$136,7,FALSE)),"",VLOOKUP(HS1,Wastewater!$B$6:$H$136,7,FALSE))</f>
        <v>0</v>
      </c>
      <c r="HT2">
        <f>IF(ISBLANK(VLOOKUP(HT1,Wastewater!$B$6:$H$136,7,FALSE)),"",VLOOKUP(HT1,Wastewater!$B$6:$H$136,7,FALSE))</f>
        <v>7.5077285440895043</v>
      </c>
      <c r="HU2">
        <f>IF(ISBLANK(VLOOKUP(HU1,Wastewater!$B$6:$H$136,7,FALSE)),"",VLOOKUP(HU1,Wastewater!$B$6:$H$136,7,FALSE))</f>
        <v>0.28333333333333333</v>
      </c>
      <c r="HV2">
        <f>IF(ISBLANK(VLOOKUP(HV1,Wastewater!$B$6:$H$136,7,FALSE)),"",VLOOKUP(HV1,Wastewater!$B$6:$H$136,7,FALSE))</f>
        <v>2.2000000000000002</v>
      </c>
      <c r="HW2">
        <f>IF(ISBLANK(VLOOKUP(HW1,Wastewater!$B$6:$H$136,7,FALSE)),"",VLOOKUP(HW1,Wastewater!$B$6:$H$136,7,FALSE))</f>
        <v>0</v>
      </c>
      <c r="HX2">
        <f>IF(ISBLANK(VLOOKUP(HX1,Wastewater!$B$6:$H$136,7,FALSE)),"",VLOOKUP(HX1,Wastewater!$B$6:$H$136,7,FALSE))</f>
        <v>0</v>
      </c>
      <c r="HY2">
        <f>IF(ISBLANK(VLOOKUP(HY1,Wastewater!$B$6:$H$136,7,FALSE)),"",VLOOKUP(HY1,Wastewater!$B$6:$H$136,7,FALSE))</f>
        <v>0</v>
      </c>
      <c r="HZ2">
        <f>IF(ISBLANK(VLOOKUP(HZ1,Wastewater!$B$6:$H$136,7,FALSE)),"",VLOOKUP(HZ1,Wastewater!$B$6:$H$136,7,FALSE))</f>
        <v>0</v>
      </c>
      <c r="IA2">
        <f>IF(ISBLANK(VLOOKUP(IA1,Wastewater!$B$6:$H$136,7,FALSE)),"",VLOOKUP(IA1,Wastewater!$B$6:$H$136,7,FALSE))</f>
        <v>13703952.459999999</v>
      </c>
      <c r="IB2">
        <f>IF(ISBLANK(VLOOKUP(IB1,Wastewater!$B$6:$H$136,7,FALSE)),"",VLOOKUP(IB1,Wastewater!$B$6:$H$136,7,FALSE))</f>
        <v>4620066.58</v>
      </c>
      <c r="IC2">
        <f>IF(ISBLANK(VLOOKUP(IC1,Wastewater!$B$6:$H$136,7,FALSE)),"",VLOOKUP(IC1,Wastewater!$B$6:$H$136,7,FALSE))</f>
        <v>18324019.039999999</v>
      </c>
      <c r="ID2">
        <f>IF(ISBLANK(VLOOKUP(ID1,Wastewater!$B$6:$H$136,7,FALSE)),"",VLOOKUP(ID1,Wastewater!$B$6:$H$136,7,FALSE))</f>
        <v>674.37137641689969</v>
      </c>
      <c r="IE2">
        <f>IF(ISBLANK(VLOOKUP(IE1,Wastewater!$B$6:$H$136,7,FALSE)),"",VLOOKUP(IE1,Wastewater!$B$6:$H$136,7,FALSE))</f>
        <v>5454832</v>
      </c>
      <c r="IF2">
        <f>IF(ISBLANK(VLOOKUP(IF1,Wastewater!$B$6:$H$136,7,FALSE)),"",VLOOKUP(IF1,Wastewater!$B$6:$H$136,7,FALSE))</f>
        <v>936359.42</v>
      </c>
      <c r="IG2">
        <f>IF(ISBLANK(VLOOKUP(IG1,Wastewater!$B$6:$H$136,7,FALSE)),"",VLOOKUP(IG1,Wastewater!$B$6:$H$136,7,FALSE))</f>
        <v>1663637.69</v>
      </c>
      <c r="IH2">
        <f>IF(ISBLANK(VLOOKUP(IH1,Wastewater!$B$6:$H$136,7,FALSE)),"",VLOOKUP(IH1,Wastewater!$B$6:$H$136,7,FALSE))</f>
        <v>1503256.73</v>
      </c>
      <c r="II2">
        <f>IF(ISBLANK(VLOOKUP(II1,Wastewater!$B$6:$H$136,7,FALSE)),"",VLOOKUP(II1,Wastewater!$B$6:$H$136,7,FALSE))</f>
        <v>935357.19</v>
      </c>
      <c r="IJ2">
        <f>IF(ISBLANK(VLOOKUP(IJ1,Wastewater!$B$6:$H$136,7,FALSE)),"",VLOOKUP(IJ1,Wastewater!$B$6:$H$136,7,FALSE))</f>
        <v>1965636.58</v>
      </c>
      <c r="IK2">
        <f>IF(ISBLANK(VLOOKUP(IK1,Wastewater!$B$6:$H$136,7,FALSE)),"",VLOOKUP(IK1,Wastewater!$B$6:$H$136,7,FALSE))</f>
        <v>0</v>
      </c>
      <c r="IL2">
        <f>IF(ISBLANK(VLOOKUP(IL1,Wastewater!$B$6:$H$136,7,FALSE)),"",VLOOKUP(IL1,Wastewater!$B$6:$H$136,7,FALSE))</f>
        <v>7004247.6099999994</v>
      </c>
      <c r="IM2">
        <f>IF(ISBLANK(VLOOKUP(IM1,Wastewater!$B$6:$H$136,7,FALSE)),"",VLOOKUP(IM1,Wastewater!$B$6:$H$136,7,FALSE))</f>
        <v>257.77445936993962</v>
      </c>
      <c r="IN2">
        <f>IF(ISBLANK(VLOOKUP(IN1,Wastewater!$B$6:$H$136,7,FALSE)),"",VLOOKUP(IN1,Wastewater!$B$6:$H$136,7,FALSE))</f>
        <v>7448815.54</v>
      </c>
      <c r="IO2">
        <f>IF(ISBLANK(VLOOKUP(IO1,Wastewater!$B$6:$H$136,7,FALSE)),"",VLOOKUP(IO1,Wastewater!$B$6:$H$136,7,FALSE))</f>
        <v>1539308.76</v>
      </c>
      <c r="IP2">
        <f>IF(ISBLANK(VLOOKUP(IP1,Wastewater!$B$6:$H$136,7,FALSE)),"",VLOOKUP(IP1,Wastewater!$B$6:$H$136,7,FALSE))</f>
        <v>8.4004974926068413E-2</v>
      </c>
      <c r="IQ2">
        <f>IF(ISBLANK(VLOOKUP(IQ1,Wastewater!$B$6:$H$136,7,FALSE)),"",VLOOKUP(IQ1,Wastewater!$B$6:$H$136,7,FALSE))</f>
        <v>0.85690556329739576</v>
      </c>
      <c r="IR2">
        <f>IF(ISBLANK(VLOOKUP(IR1,Wastewater!$B$6:$H$136,7,FALSE)),"",VLOOKUP(IR1,Wastewater!$B$6:$H$136,7,FALSE))</f>
        <v>43482125.620000005</v>
      </c>
      <c r="IS2">
        <f>IF(ISBLANK(VLOOKUP(IS1,Wastewater!$B$6:$H$136,7,FALSE)),"",VLOOKUP(IS1,Wastewater!$B$6:$H$136,7,FALSE))</f>
        <v>1600.2548807596056</v>
      </c>
      <c r="IT2">
        <f>IF(ISBLANK(VLOOKUP(IT1,Wastewater!$B$6:$H$136,7,FALSE)),"",VLOOKUP(IT1,Wastewater!$B$6:$H$136,7,FALSE))</f>
        <v>34291984.880000003</v>
      </c>
      <c r="IU2">
        <f>IF(ISBLANK(VLOOKUP(IU1,Wastewater!$B$6:$H$136,7,FALSE)),"",VLOOKUP(IU1,Wastewater!$B$6:$H$136,7,FALSE))</f>
        <v>12406855.640910001</v>
      </c>
      <c r="IV2">
        <f>IF(ISBLANK(VLOOKUP(IV1,Wastewater!$B$6:$H$136,7,FALSE)),"",VLOOKUP(IV1,Wastewater!$B$6:$H$136,7,FALSE))</f>
        <v>15056647.497052999</v>
      </c>
      <c r="IW2">
        <f>IF(ISBLANK(VLOOKUP(IW1,Wastewater!$B$6:$H$136,7,FALSE)),"",VLOOKUP(IW1,Wastewater!$B$6:$H$136,7,FALSE))</f>
        <v>6828481.7420370001</v>
      </c>
      <c r="IX2">
        <f>IF(ISBLANK(VLOOKUP(IX1,Wastewater!$B$6:$H$136,7,FALSE)),"",VLOOKUP(IX1,Wastewater!$B$6:$H$136,7,FALSE))</f>
        <v>27489753.710000001</v>
      </c>
      <c r="IY2">
        <f>IF(ISBLANK(VLOOKUP(IY1,Wastewater!$B$6:$H$136,7,FALSE)),"",VLOOKUP(IY1,Wastewater!$B$6:$H$136,7,FALSE))</f>
        <v>9731850.0347700007</v>
      </c>
      <c r="IZ2">
        <f>IF(ISBLANK(VLOOKUP(IZ1,Wastewater!$B$6:$H$136,7,FALSE)),"",VLOOKUP(IZ1,Wastewater!$B$6:$H$136,7,FALSE))</f>
        <v>12038943.593265003</v>
      </c>
      <c r="JA2">
        <f>IF(ISBLANK(VLOOKUP(JA1,Wastewater!$B$6:$H$136,7,FALSE)),"",VLOOKUP(JA1,Wastewater!$B$6:$H$136,7,FALSE))</f>
        <v>5718960.0819650004</v>
      </c>
      <c r="JB2">
        <f>IF(ISBLANK(VLOOKUP(JB1,Wastewater!$B$6:$H$136,7,FALSE)),"",VLOOKUP(JB1,Wastewater!$B$6:$H$136,7,FALSE))</f>
        <v>1011.6941597968497</v>
      </c>
      <c r="JC2">
        <f>IF(ISBLANK(VLOOKUP(JC1,Wastewater!$B$6:$H$136,7,FALSE)),"",VLOOKUP(JC1,Wastewater!$B$6:$H$136,7,FALSE))</f>
        <v>8352525.9400000004</v>
      </c>
      <c r="JD2">
        <f>IF(ISBLANK(VLOOKUP(JD1,Wastewater!$B$6:$H$136,7,FALSE)),"",VLOOKUP(JD1,Wastewater!$B$6:$H$136,7,FALSE))</f>
        <v>59807523</v>
      </c>
      <c r="JE2">
        <f>IF(ISBLANK(VLOOKUP(JE1,Wastewater!$B$6:$H$136,7,FALSE)),"",VLOOKUP(JE1,Wastewater!$B$6:$H$136,7,FALSE))</f>
        <v>303411948</v>
      </c>
      <c r="JF2">
        <f>IF(ISBLANK(VLOOKUP(JF1,Wastewater!$B$6:$H$136,7,FALSE)),"",VLOOKUP(JF1,Wastewater!$B$6:$H$136,7,FALSE))</f>
        <v>0.76776771437744584</v>
      </c>
      <c r="JG2">
        <f>IF(ISBLANK(VLOOKUP(JG1,Wastewater!$B$6:$H$136,7,FALSE)),"",VLOOKUP(JG1,Wastewater!$B$6:$H$136,7,FALSE))</f>
        <v>7098939.5</v>
      </c>
      <c r="JH2">
        <f>IF(ISBLANK(VLOOKUP(JH1,Stormwater!$B$6:$H$81,7,FALSE)),"",VLOOKUP(JH1,Stormwater!$B$6:$H$81,7,FALSE))</f>
        <v>43065.168539325838</v>
      </c>
      <c r="JI2">
        <f>IF(ISBLANK(VLOOKUP(JI1,Stormwater!$B$6:$H$81,7,FALSE)),"",VLOOKUP(JI1,Stormwater!$B$6:$H$81,7,FALSE))</f>
        <v>25552</v>
      </c>
      <c r="JJ2">
        <f>IF(ISBLANK(VLOOKUP(JJ1,Stormwater!$B$6:$H$81,7,FALSE)),"",VLOOKUP(JJ1,Stormwater!$B$6:$H$81,7,FALSE))</f>
        <v>2127</v>
      </c>
      <c r="JK2">
        <f>IF(ISBLANK(VLOOKUP(JK1,Stormwater!$B$6:$H$81,7,FALSE)),"",VLOOKUP(JK1,Stormwater!$B$6:$H$81,7,FALSE))</f>
        <v>27679</v>
      </c>
      <c r="JL2">
        <f>IF(ISBLANK(VLOOKUP(JL1,Stormwater!$B$6:$H$81,7,FALSE)),"",VLOOKUP(JL1,Stormwater!$B$6:$H$81,7,FALSE))</f>
        <v>420.86</v>
      </c>
      <c r="JM2">
        <f>IF(ISBLANK(VLOOKUP(JM1,Stormwater!$B$6:$H$81,7,FALSE)),"",VLOOKUP(JM1,Stormwater!$B$6:$H$81,7,FALSE))</f>
        <v>0</v>
      </c>
      <c r="JN2">
        <f>IF(ISBLANK(VLOOKUP(JN1,Stormwater!$B$6:$H$81,7,FALSE)),"",VLOOKUP(JN1,Stormwater!$B$6:$H$81,7,FALSE))</f>
        <v>0.16943999999999881</v>
      </c>
      <c r="JO2" t="str">
        <f>IF(ISBLANK(VLOOKUP(JO1,Stormwater!$B$6:$H$81,7,FALSE)),"",VLOOKUP(JO1,Stormwater!$B$6:$H$81,7,FALSE))</f>
        <v/>
      </c>
      <c r="JP2" t="str">
        <f>IF(ISBLANK(VLOOKUP(JP1,Stormwater!$B$6:$H$81,7,FALSE)),"",VLOOKUP(JP1,Stormwater!$B$6:$H$81,7,FALSE))</f>
        <v/>
      </c>
      <c r="JQ2" t="str">
        <f>IF(ISBLANK(VLOOKUP(JQ1,Stormwater!$B$6:$H$81,7,FALSE)),"",VLOOKUP(JQ1,Stormwater!$B$6:$H$81,7,FALSE))</f>
        <v/>
      </c>
      <c r="JR2" t="str">
        <f>IF(ISBLANK(VLOOKUP(JR1,Stormwater!$B$6:$H$81,7,FALSE)),"",VLOOKUP(JR1,Stormwater!$B$6:$H$81,7,FALSE))</f>
        <v/>
      </c>
      <c r="JS2" t="str">
        <f>IF(ISBLANK(VLOOKUP(JS1,Stormwater!$B$6:$H$81,7,FALSE)),"",VLOOKUP(JS1,Stormwater!$B$6:$H$81,7,FALSE))</f>
        <v/>
      </c>
      <c r="JT2" t="str">
        <f>IF(ISBLANK(VLOOKUP(JT1,Stormwater!$B$6:$H$81,7,FALSE)),"",VLOOKUP(JT1,Stormwater!$B$6:$H$81,7,FALSE))</f>
        <v/>
      </c>
      <c r="JU2" t="str">
        <f>IF(ISBLANK(VLOOKUP(JU1,Stormwater!$B$6:$H$81,7,FALSE)),"",VLOOKUP(JU1,Stormwater!$B$6:$H$81,7,FALSE))</f>
        <v/>
      </c>
      <c r="JV2">
        <f>IF(ISBLANK(VLOOKUP(JV1,Stormwater!$B$6:$H$81,7,FALSE)),"",VLOOKUP(JV1,Stormwater!$B$6:$H$81,7,FALSE))</f>
        <v>23.43</v>
      </c>
      <c r="JW2" t="str">
        <f>IF(ISBLANK(VLOOKUP(JW1,Stormwater!$B$6:$H$81,7,FALSE)),"",VLOOKUP(JW1,Stormwater!$B$6:$H$81,7,FALSE))</f>
        <v/>
      </c>
      <c r="JX2" t="str">
        <f>IF(ISBLANK(VLOOKUP(JX1,Stormwater!$B$6:$H$81,7,FALSE)),"",VLOOKUP(JX1,Stormwater!$B$6:$H$81,7,FALSE))</f>
        <v/>
      </c>
      <c r="JY2" t="str">
        <f>IF(ISBLANK(VLOOKUP(JY1,Stormwater!$B$6:$H$81,7,FALSE)),"",VLOOKUP(JY1,Stormwater!$B$6:$H$81,7,FALSE))</f>
        <v/>
      </c>
      <c r="JZ2" t="str">
        <f>IF(ISBLANK(VLOOKUP(JZ1,Stormwater!$B$6:$H$81,7,FALSE)),"",VLOOKUP(JZ1,Stormwater!$B$6:$H$81,7,FALSE))</f>
        <v/>
      </c>
      <c r="KA2">
        <f>IF(ISBLANK(VLOOKUP(KA1,Stormwater!$B$6:$H$81,7,FALSE)),"",VLOOKUP(KA1,Stormwater!$B$6:$H$81,7,FALSE))</f>
        <v>0</v>
      </c>
      <c r="KB2">
        <f>IF(ISBLANK(VLOOKUP(KB1,Stormwater!$B$6:$H$81,7,FALSE)),"",VLOOKUP(KB1,Stormwater!$B$6:$H$81,7,FALSE))</f>
        <v>510</v>
      </c>
      <c r="KC2">
        <f>IF(ISBLANK(VLOOKUP(KC1,Stormwater!$B$6:$H$81,7,FALSE)),"",VLOOKUP(KC1,Stormwater!$B$6:$H$81,7,FALSE))</f>
        <v>0</v>
      </c>
      <c r="KD2">
        <f>IF(ISBLANK(VLOOKUP(KD1,Stormwater!$B$6:$H$81,7,FALSE)),"",VLOOKUP(KD1,Stormwater!$B$6:$H$81,7,FALSE))</f>
        <v>0</v>
      </c>
      <c r="KE2">
        <f>IF(ISBLANK(VLOOKUP(KE1,Stormwater!$B$6:$H$81,7,FALSE)),"",VLOOKUP(KE1,Stormwater!$B$6:$H$81,7,FALSE))</f>
        <v>0</v>
      </c>
      <c r="KF2">
        <f>IF(ISBLANK(VLOOKUP(KF1,Stormwater!$B$6:$H$81,7,FALSE)),"",VLOOKUP(KF1,Stormwater!$B$6:$H$81,7,FALSE))</f>
        <v>0</v>
      </c>
      <c r="KG2">
        <f>IF(ISBLANK(VLOOKUP(KG1,Stormwater!$B$6:$H$81,7,FALSE)),"",VLOOKUP(KG1,Stormwater!$B$6:$H$81,7,FALSE))</f>
        <v>0</v>
      </c>
      <c r="KH2">
        <f>IF(ISBLANK(VLOOKUP(KH1,Stormwater!$B$6:$H$81,7,FALSE)),"",VLOOKUP(KH1,Stormwater!$B$6:$H$81,7,FALSE))</f>
        <v>0</v>
      </c>
      <c r="KI2">
        <f>IF(ISBLANK(VLOOKUP(KI1,Stormwater!$B$6:$H$81,7,FALSE)),"",VLOOKUP(KI1,Stormwater!$B$6:$H$81,7,FALSE))</f>
        <v>0</v>
      </c>
      <c r="KJ2">
        <f>IF(ISBLANK(VLOOKUP(KJ1,Stormwater!$B$6:$H$81,7,FALSE)),"",VLOOKUP(KJ1,Stormwater!$B$6:$H$81,7,FALSE))</f>
        <v>0</v>
      </c>
      <c r="KK2" t="str">
        <f>IF(ISBLANK(VLOOKUP(KK1,Stormwater!$B$6:$H$81,7,FALSE)),"",VLOOKUP(KK1,Stormwater!$B$6:$H$81,7,FALSE))</f>
        <v>No</v>
      </c>
      <c r="KL2" t="str">
        <f>IF(ISBLANK(VLOOKUP(KL1,Stormwater!$B$6:$H$81,7,FALSE)),"",VLOOKUP(KL1,Stormwater!$B$6:$H$81,7,FALSE))</f>
        <v>No</v>
      </c>
      <c r="KM2">
        <f>IF(ISBLANK(VLOOKUP(KM1,Stormwater!$B$6:$H$81,7,FALSE)),"",VLOOKUP(KM1,Stormwater!$B$6:$H$81,7,FALSE))</f>
        <v>0</v>
      </c>
      <c r="KN2">
        <f>IF(ISBLANK(VLOOKUP(KN1,Stormwater!$B$6:$H$81,7,FALSE)),"",VLOOKUP(KN1,Stormwater!$B$6:$H$81,7,FALSE))</f>
        <v>138.63168914572606</v>
      </c>
      <c r="KO2" t="str">
        <f>IF(ISBLANK(VLOOKUP(KO1,Stormwater!$B$6:$H$81,7,FALSE)),"",VLOOKUP(KO1,Stormwater!$B$6:$H$81,7,FALSE))</f>
        <v>Targeted Rate</v>
      </c>
      <c r="KP2">
        <f>IF(ISBLANK(VLOOKUP(KP1,Stormwater!$B$6:$H$81,7,FALSE)),"",VLOOKUP(KP1,Stormwater!$B$6:$H$81,7,FALSE))</f>
        <v>178</v>
      </c>
      <c r="KQ2">
        <f>IF(ISBLANK(VLOOKUP(KQ1,Stormwater!$B$6:$H$81,7,FALSE)),"",VLOOKUP(KQ1,Stormwater!$B$6:$H$81,7,FALSE))</f>
        <v>178</v>
      </c>
      <c r="KR2" t="str">
        <f>IF(ISBLANK(VLOOKUP(KR1,Stormwater!$B$6:$H$81,7,FALSE)),"",VLOOKUP(KR1,Stormwater!$B$6:$H$81,7,FALSE))</f>
        <v/>
      </c>
      <c r="KS2">
        <f>IF(ISBLANK(VLOOKUP(KS1,Stormwater!$B$6:$H$81,7,FALSE)),"",VLOOKUP(KS1,Stormwater!$B$6:$H$81,7,FALSE))</f>
        <v>6.430868167202572</v>
      </c>
      <c r="KT2">
        <f>IF(ISBLANK(VLOOKUP(KT1,Stormwater!$B$6:$H$81,7,FALSE)),"",VLOOKUP(KT1,Stormwater!$B$6:$H$81,7,FALSE))</f>
        <v>0</v>
      </c>
      <c r="KU2">
        <f>IF(ISBLANK(VLOOKUP(KU1,Stormwater!$B$6:$H$81,7,FALSE)),"",VLOOKUP(KU1,Stormwater!$B$6:$H$81,7,FALSE))</f>
        <v>0</v>
      </c>
      <c r="KV2">
        <f>IF(ISBLANK(VLOOKUP(KV1,Stormwater!$B$6:$H$81,7,FALSE)),"",VLOOKUP(KV1,Stormwater!$B$6:$H$81,7,FALSE))</f>
        <v>0</v>
      </c>
      <c r="KW2">
        <f>IF(ISBLANK(VLOOKUP(KW1,Stormwater!$B$6:$H$81,7,FALSE)),"",VLOOKUP(KW1,Stormwater!$B$6:$H$81,7,FALSE))</f>
        <v>0</v>
      </c>
      <c r="KX2">
        <f>IF(ISBLANK(VLOOKUP(KX1,Stormwater!$B$6:$H$81,7,FALSE)),"",VLOOKUP(KX1,Stormwater!$B$6:$H$81,7,FALSE))</f>
        <v>0</v>
      </c>
      <c r="KY2">
        <f>IF(ISBLANK(VLOOKUP(KY1,Stormwater!$B$6:$H$81,7,FALSE)),"",VLOOKUP(KY1,Stormwater!$B$6:$H$81,7,FALSE))</f>
        <v>0</v>
      </c>
      <c r="KZ2">
        <f>IF(ISBLANK(VLOOKUP(KZ1,Stormwater!$B$6:$H$81,7,FALSE)),"",VLOOKUP(KZ1,Stormwater!$B$6:$H$81,7,FALSE))</f>
        <v>0.05</v>
      </c>
      <c r="LA2">
        <f>IF(ISBLANK(VLOOKUP(LA1,Stormwater!$B$6:$H$81,7,FALSE)),"",VLOOKUP(LA1,Stormwater!$B$6:$H$81,7,FALSE))</f>
        <v>0.01</v>
      </c>
      <c r="LB2">
        <f>IF(ISBLANK(VLOOKUP(LB1,Stormwater!$B$6:$H$81,7,FALSE)),"",VLOOKUP(LB1,Stormwater!$B$6:$H$81,7,FALSE))</f>
        <v>3069010.55</v>
      </c>
      <c r="LC2">
        <f>IF(ISBLANK(VLOOKUP(LC1,Stormwater!$B$6:$H$81,7,FALSE)),"",VLOOKUP(LC1,Stormwater!$B$6:$H$81,7,FALSE))</f>
        <v>571882.6</v>
      </c>
      <c r="LD2">
        <f>IF(ISBLANK(VLOOKUP(LD1,Stormwater!$B$6:$H$81,7,FALSE)),"",VLOOKUP(LD1,Stormwater!$B$6:$H$81,7,FALSE))</f>
        <v>3640893.15</v>
      </c>
      <c r="LE2">
        <f>IF(ISBLANK(VLOOKUP(LE1,Stormwater!$B$6:$H$81,7,FALSE)),"",VLOOKUP(LE1,Stormwater!$B$6:$H$81,7,FALSE))</f>
        <v>131.53990931753316</v>
      </c>
      <c r="LF2">
        <f>IF(ISBLANK(VLOOKUP(LF1,Stormwater!$B$6:$H$81,7,FALSE)),0,VLOOKUP(LF1,Stormwater!$B$6:$H$81,7,FALSE))</f>
        <v>49771</v>
      </c>
      <c r="LG2">
        <f>IF(ISBLANK(VLOOKUP(LG1,Stormwater!$B$6:$H$81,7,FALSE)),"",VLOOKUP(LG1,Stormwater!$B$6:$H$81,7,FALSE))</f>
        <v>513591.98</v>
      </c>
      <c r="LH2">
        <f>IF(ISBLANK(VLOOKUP(LH1,Stormwater!$B$6:$H$81,7,FALSE)),"",VLOOKUP(LH1,Stormwater!$B$6:$H$81,7,FALSE))</f>
        <v>210544.4</v>
      </c>
      <c r="LI2">
        <f>IF(ISBLANK(VLOOKUP(LI1,Stormwater!$B$6:$H$81,7,FALSE)),"",VLOOKUP(LI1,Stormwater!$B$6:$H$81,7,FALSE))</f>
        <v>123868.17</v>
      </c>
      <c r="LJ2">
        <f>IF(ISBLANK(VLOOKUP(LJ1,Stormwater!$B$6:$H$81,7,FALSE)),"",VLOOKUP(LJ1,Stormwater!$B$6:$H$81,7,FALSE))</f>
        <v>0</v>
      </c>
      <c r="LK2">
        <f>IF(ISBLANK(VLOOKUP(LK1,Stormwater!$B$6:$H$81,7,FALSE)),"",VLOOKUP(LK1,Stormwater!$B$6:$H$81,7,FALSE))</f>
        <v>848004.55</v>
      </c>
      <c r="LL2">
        <f>IF(ISBLANK(VLOOKUP(LL1,Stormwater!$B$6:$H$81,7,FALSE)),"",VLOOKUP(LL1,Stormwater!$B$6:$H$81,7,FALSE))</f>
        <v>30.637109360887315</v>
      </c>
      <c r="LM2">
        <f>IF(ISBLANK(VLOOKUP(LM1,Stormwater!$B$6:$H$81,7,FALSE)),"",VLOOKUP(LM1,Stormwater!$B$6:$H$81,7,FALSE))</f>
        <v>4552947.6500000004</v>
      </c>
      <c r="LN2">
        <f>IF(ISBLANK(VLOOKUP(LN1,Stormwater!$B$6:$H$81,7,FALSE)),"",VLOOKUP(LN1,Stormwater!$B$6:$H$81,7,FALSE))</f>
        <v>391257.15</v>
      </c>
      <c r="LO2">
        <f>IF(ISBLANK(VLOOKUP(LO1,Stormwater!$B$6:$H$81,7,FALSE)),"",VLOOKUP(LO1,Stormwater!$B$6:$H$81,7,FALSE))</f>
        <v>0.10746186001091519</v>
      </c>
      <c r="LP2">
        <f>IF(ISBLANK(VLOOKUP(LP1,Stormwater!$B$6:$H$81,7,FALSE)),"",VLOOKUP(LP1,Stormwater!$B$6:$H$81,7,FALSE))</f>
        <v>0.52985145469578021</v>
      </c>
      <c r="LQ2">
        <f>IF(ISBLANK(VLOOKUP(LQ1,Stormwater!$B$6:$H$81,7,FALSE)),"",VLOOKUP(LQ1,Stormwater!$B$6:$H$81,7,FALSE))</f>
        <v>10363053.32</v>
      </c>
      <c r="LR2">
        <f>IF(ISBLANK(VLOOKUP(LR1,Stormwater!$B$6:$H$81,7,FALSE)),"",VLOOKUP(LR1,Stormwater!$B$6:$H$81,7,FALSE))</f>
        <v>374.40129050905017</v>
      </c>
      <c r="LS2">
        <f>IF(ISBLANK(VLOOKUP(LS1,Stormwater!$B$6:$H$81,7,FALSE)),"",VLOOKUP(LS1,Stormwater!$B$6:$H$81,7,FALSE))</f>
        <v>11016701.539999999</v>
      </c>
      <c r="LT2">
        <f>IF(ISBLANK(VLOOKUP(LT1,Stormwater!$B$6:$H$81,7,FALSE)),"",VLOOKUP(LT1,Stormwater!$B$6:$H$81,7,FALSE))</f>
        <v>5713617.0042369999</v>
      </c>
      <c r="LU2">
        <f>IF(ISBLANK(VLOOKUP(LU1,Stormwater!$B$6:$H$81,7,FALSE)),"",VLOOKUP(LU1,Stormwater!$B$6:$H$81,7,FALSE))</f>
        <v>4066849.4151630001</v>
      </c>
      <c r="LV2">
        <f>IF(ISBLANK(VLOOKUP(LV1,Stormwater!$B$6:$H$81,7,FALSE)),"",VLOOKUP(LV1,Stormwater!$B$6:$H$81,7,FALSE))</f>
        <v>1236235.1206</v>
      </c>
      <c r="LW2">
        <f>IF(ISBLANK(VLOOKUP(LW1,Stormwater!$B$6:$H$81,7,FALSE)),"",VLOOKUP(LW1,Stormwater!$B$6:$H$81,7,FALSE))</f>
        <v>4570843.97</v>
      </c>
      <c r="LX2">
        <f>IF(ISBLANK(VLOOKUP(LX1,Stormwater!$B$6:$H$81,7,FALSE)),"",VLOOKUP(LX1,Stormwater!$B$6:$H$81,7,FALSE))</f>
        <v>3537339.6872130004</v>
      </c>
      <c r="LY2">
        <f>IF(ISBLANK(VLOOKUP(LY1,Stormwater!$B$6:$H$81,7,FALSE)),"",VLOOKUP(LY1,Stormwater!$B$6:$H$81,7,FALSE))</f>
        <v>697836.26243799995</v>
      </c>
      <c r="LZ2">
        <f>IF(ISBLANK(VLOOKUP(LZ1,Stormwater!$B$6:$H$81,7,FALSE)),"",VLOOKUP(LZ1,Stormwater!$B$6:$H$81,7,FALSE))</f>
        <v>335668.020349</v>
      </c>
      <c r="MA2">
        <f>IF(ISBLANK(VLOOKUP(MA1,Stormwater!$B$6:$H$81,7,FALSE)),"",VLOOKUP(MA1,Stormwater!$B$6:$H$81,7,FALSE))</f>
        <v>165.13761226922938</v>
      </c>
      <c r="MB2">
        <f>IF(ISBLANK(VLOOKUP(MB1,Stormwater!$B$6:$H$81,7,FALSE)),"",VLOOKUP(MB1,Stormwater!$B$6:$H$81,7,FALSE))</f>
        <v>15366381.58</v>
      </c>
      <c r="MC2">
        <f>IF(ISBLANK(VLOOKUP(MC1,Stormwater!$B$6:$H$81,7,FALSE)),"",VLOOKUP(MC1,Stormwater!$B$6:$H$81,7,FALSE))</f>
        <v>294308380</v>
      </c>
      <c r="MD2">
        <f>IF(ISBLANK(VLOOKUP(MD1,Stormwater!$B$6:$H$81,7,FALSE)),"",VLOOKUP(MD1,Stormwater!$B$6:$H$81,7,FALSE))</f>
        <v>7.3725429359812647E-2</v>
      </c>
      <c r="ME2">
        <f>IF(ISBLANK(VLOOKUP(ME1,Stormwater!$B$6:$H$81,7,FALSE)),"",VLOOKUP(ME1,Stormwater!$B$6:$H$81,7,FALSE))</f>
        <v>0</v>
      </c>
      <c r="MF2">
        <f>IFERROR((Actual_Capital_Expenditure__Water_Supply__WSF20+Actual_Capital_Expenditure__Wastewater__WWF21+Actual_Capital_Expenditure__Stormwater__SWF17)/(Budgeted_Capital_Expenditure__Water_Supply__WSF19+Budgeted_Capital_Expenditure__Wastewater__WWF20+Budgeted_Capital_Expenditure__Stormwater__SWF16),"")</f>
        <v>0.28660018603044823</v>
      </c>
      <c r="MG2">
        <f>IFERROR((Revenue_from_Supply_of_Water_to_Other_Local_Authorities__WSF1+Operating_Revenue__Water_Supply__WSF2)/(Operating_Cost__Water_Supply__WSF12+Interest__Water_Supply__WSF15a),"")</f>
        <v>0.60861972740485315</v>
      </c>
      <c r="MH2">
        <f>IFERROR((Revenue_from_the_Provision_of_Wastewater_Treatment_Services_to_Another_Local_Authority__WWF1+Operating_Revenue__Wastewater__WWF2)/(Operating_Cost__Wastewater__WWF13+Interest__Wastewater__WWF16a),"")</f>
        <v>3.4248384856899944E-5</v>
      </c>
      <c r="MI2">
        <f>IFERROR(Operating_Revenue__Stormwater__SWF1/(Operating_Cost__Stormwater__SWF9+Interest__Stormwater__SWF12a),"")</f>
        <v>2.4764830140397298</v>
      </c>
      <c r="MJ2">
        <f>IFERROR(Contracted_staff__CB11/((Total_Water_Serviced_Properties__WSB4+Total_Wastewater_Serviced_Properties__WWB4)*1000),"")</f>
        <v>6.7266612126170349E-7</v>
      </c>
      <c r="MK2">
        <f>IFERROR(Water_Stored_in_Reservoirs__WSA7/(Water_Supplied_to_Own_System__WSB5/365),"")</f>
        <v>0.79916666591843011</v>
      </c>
      <c r="ML2">
        <f>IFERROR(Interest__Stormwater__SWF12a/Operating_Revenue__Stormwater__SWF1,"")</f>
        <v>0.12748641414738704</v>
      </c>
      <c r="MM2">
        <f>IFERROR(Interest__Water_Supply__WSF15a/(Operating_Revenue__Water_Supply__WSF2+Revenue_from_Supply_of_Water_to_Other_Local_Authorities__WSF1),"")</f>
        <v>1.5935632126881361</v>
      </c>
      <c r="MN2">
        <f>IFERROR(Interest__Wastewater__WWF16a/(Operating_Revenue__Wastewater__WWF2+Revenue_from_the_Provision_of_Wastewater_Treatment_Services_to_Another_Local_Authority__WWF1),"")</f>
        <v>29186.626140350876</v>
      </c>
      <c r="MO2">
        <f>IFERROR(Dry_Weather_Wastewater_Overflows__WWE1/Total_Wastewater_Serviced_Properties__WWB4*1000,"")</f>
        <v>0</v>
      </c>
      <c r="MP2">
        <f>IFERROR(Internal_staff__CB10/((Total_Water_Serviced_Properties__WSB4+Total_Wastewater_Serviced_Properties__WWB4)*1000),"")</f>
        <v>3.5451322607035722E-7</v>
      </c>
      <c r="MQ2" t="str">
        <f>IFERROR(Lost_time_injuries__CB13/(Internal_staff__CB10+Contracted_staff__CB11),"")</f>
        <v/>
      </c>
      <c r="MR2" t="str">
        <f>IFERROR(Near_miss_reports__CB12/(Internal_staff__CB10+Contracted_staff__CB11),"")</f>
        <v/>
      </c>
      <c r="MS2">
        <f>IFERROR(Properties_with_Water_Meters___Non_Residential___WSA9b/Water_Serviced_Properties__Non_Residential__WSB3,"")</f>
        <v>3.1541537094624608E-2</v>
      </c>
      <c r="MT2">
        <f>IFERROR(Properties_with_Water_Meters___Residential__WSA9a/Water_Serviced_Properties__Residential__WSB2,"")</f>
        <v>3.7526385739973418E-2</v>
      </c>
      <c r="MU2">
        <f>IFERROR(Water_Stored_in_Reservoirs__WSA7/Capacity_of_Water_Storage_Reservoirs__WSA8,"")</f>
        <v>0.89999999999999991</v>
      </c>
      <c r="MV2">
        <f>IFERROR(Total_Revenue__Stormwater__SWF3+Total_Revenue__Wastewater__WWF4+Total_Revenue__Water_Supply__WSF4,"")</f>
        <v>4601993.4333333336</v>
      </c>
      <c r="MW2">
        <f>IFERROR(Staff_vacancies__CB10a/(Total_Water_Serviced_Properties__WSB4+Total_Wastewater_Serviced_Properties__WWB4)*-1000,"")</f>
        <v>-3.6360330879010999E-2</v>
      </c>
      <c r="MX2" t="str">
        <f>IFERROR(Volumetric_Charge__Residential_water__WSS8c*200,"")</f>
        <v/>
      </c>
      <c r="MY2">
        <f>IFERROR(Total_Wastewater_Serviced_Properties__WWB4/Total_Length_of_Public_Wastewater_Network__WWA1a,"")</f>
        <v>44.260991946623577</v>
      </c>
      <c r="MZ2" t="str">
        <f>IFERROR(IF((Wastewater_Pump_Stations__WWA5-Wastewater_Pump_Stations_Standby_Generators__WWA5a)&gt;0,(Wastewater_Pump_Stations__WWA5-Wastewater_Pump_Stations_Standby_Generators__WWA5a),0),"")</f>
        <v/>
      </c>
      <c r="NA2">
        <f>IFERROR(IF((Number_of_wastewater_treatment_plants__WWA7-Treatment_Plant_backup_generators__WWA7l)&gt;0,(Number_of_wastewater_treatment_plants__WWA7-Treatment_Plant_backup_generators__WWA7l),0),"")</f>
        <v>3</v>
      </c>
      <c r="NB2">
        <f>IFERROR(IF((Water_Pump_Stations__WSA5-Water_Pump_Stations_Standby_Generators__WSA5a)&gt;0,(Water_Pump_Stations__WSA5-Water_Pump_Stations_Standby_Generators__WSA5a),0),"")</f>
        <v>22</v>
      </c>
      <c r="NC2">
        <f>IFERROR(Total_Water_Serviced_Properties__WSB4/Length_of_Water_Supply_Network__WSA1a,"")</f>
        <v>39.685572434403959</v>
      </c>
      <c r="ND2">
        <f>IFERROR(IF((Water_Treatment_Plants__WSA4-Water_Treatment_Plant_Standby_Generators__WSA4a)&gt;0,(Water_Treatment_Plants__WSA4-Water_Treatment_Plant_Standby_Generators__WSA4a),0),"")</f>
        <v>7</v>
      </c>
      <c r="NE2">
        <f>IFERROR(Wet_weather_overflows_from_the_wastewater_network__WWE2a/Total_Wastewater_Serviced_Properties__WWB4*1000,"")</f>
        <v>0</v>
      </c>
      <c r="NF2">
        <f>IFERROR(Actual_Capital_Expenditure__Water_Supply__WSF20/Annual_Depreciation__Water_Supply__WSF14,"")</f>
        <v>1556949.3329253169</v>
      </c>
      <c r="NG2">
        <f>IFERROR(Actual_Capital_Expenditure__Wastewater__WWF21/Annual_Depreciation__Wastewater__WWF15,"")</f>
        <v>8.9714454868268868E-8</v>
      </c>
      <c r="NH2">
        <f>IFERROR(Actual_Capital_Expenditure__Stormwater__SWF17/Annual_Depreciation__Stormwater__SWF11,"")</f>
        <v>1.0039307106902491</v>
      </c>
      <c r="NI2">
        <f>Total_Water_Serviced_Properties__WSB4+Total_Wastewater_Serviced_Properties__WWB4</f>
        <v>55005</v>
      </c>
      <c r="NJ2" s="137">
        <f>MAX(Water!H71,Water!M71:AF71)</f>
        <v>481.78551731985988</v>
      </c>
      <c r="NK2">
        <f>MIN(Water!H71,Water!M71:AF71)</f>
        <v>481.78551731985988</v>
      </c>
      <c r="NL2">
        <f>MAX(Water!H74,Water!M74:AF74)</f>
        <v>0</v>
      </c>
      <c r="NM2">
        <f>MIN(Water!H74,Water!M74:AF74)</f>
        <v>0</v>
      </c>
      <c r="NN2">
        <f>IF(MAX(Wastewater!H46,Wastewater!M46:AD46)=0,"",MAX(Wastewater!H46,Wastewater!M46:AD46))</f>
        <v>2.37</v>
      </c>
      <c r="NO2">
        <f>IF(MIN(Wastewater!H46,Wastewater!M46:AD46)=0,"",MIN(Wastewater!H46,Wastewater!M46:AD46))</f>
        <v>1.95</v>
      </c>
      <c r="NP2">
        <f>IFERROR(Routine_Maintenance__Wastewater__WWF9+Reactive_Maintenance__Wastewater__WWF10,"")</f>
        <v>13703952.459999999</v>
      </c>
      <c r="NQ2">
        <f>IFERROR(Actual_Capital_Expenditure__Stormwater__SWF17+Actual_Capital_Expenditure__Wastewater__WWF21+Actual_Capital_Expenditure__Water_Supply__WSF20,"")</f>
        <v>5911219.3879029751</v>
      </c>
      <c r="NR2" t="str">
        <f>IFERROR(Other_wastewater_asset_value__WWF24b+Other_water_supply_asset_value__WSF23b+Stormwater_asset_value_at_end_of_reporting_year__SWF20+Wastewater_facility_value_at_end_of_reporting_year__WWF24a+Water_treatment_facility_value_at_end_of_reporting_year__WSF23a,"")</f>
        <v/>
      </c>
      <c r="NS2">
        <f>IFERROR(Development_Contributions__Water_Supply_assets__WSF22+Development_Contributions__Wastewater_assets__WWF23+Development_Contributions__Stormwater_assets__SWF19,"")</f>
        <v>27773237.474279404</v>
      </c>
      <c r="NT2" t="str">
        <f>IFERROR(Reactive_maintenance__Water_Supply__WSF9b/Routine_maintenance__Water_Supply__WSF9a,"")</f>
        <v/>
      </c>
      <c r="NU2" t="str">
        <f>IFERROR(Reactive_Maintenance__Wastewater__WWF10/Routine_Maintenance__Wastewater__WWF9,"")</f>
        <v/>
      </c>
      <c r="NV2">
        <f>IFERROR(Reactive_maintenance__Stormwater___SWF6b/Routine_maintenance__Stormwater___SWF6a,"")</f>
        <v>0.40994487491802345</v>
      </c>
    </row>
    <row r="4" spans="1:387">
      <c r="A4" s="21" t="s">
        <v>2449</v>
      </c>
      <c r="B4" t="s">
        <v>2454</v>
      </c>
      <c r="C4" t="s">
        <v>2459</v>
      </c>
      <c r="D4" t="s">
        <v>2464</v>
      </c>
      <c r="E4" t="s">
        <v>2468</v>
      </c>
      <c r="F4" t="s">
        <v>2472</v>
      </c>
      <c r="G4" t="s">
        <v>2476</v>
      </c>
      <c r="H4" t="s">
        <v>2481</v>
      </c>
      <c r="I4" t="s">
        <v>2485</v>
      </c>
      <c r="J4" t="s">
        <v>2489</v>
      </c>
      <c r="K4" t="s">
        <v>2493</v>
      </c>
      <c r="L4" t="s">
        <v>2497</v>
      </c>
      <c r="M4" t="s">
        <v>2501</v>
      </c>
      <c r="N4" t="s">
        <v>2505</v>
      </c>
      <c r="O4" t="s">
        <v>2509</v>
      </c>
      <c r="P4" t="s">
        <v>2513</v>
      </c>
      <c r="Q4" t="s">
        <v>2517</v>
      </c>
      <c r="R4" t="s">
        <v>2522</v>
      </c>
      <c r="S4" t="s">
        <v>2526</v>
      </c>
      <c r="T4" t="s">
        <v>2530</v>
      </c>
      <c r="U4" t="s">
        <v>2534</v>
      </c>
      <c r="V4" t="s">
        <v>2538</v>
      </c>
      <c r="W4" t="s">
        <v>2542</v>
      </c>
      <c r="X4" t="s">
        <v>2546</v>
      </c>
      <c r="Y4" t="s">
        <v>2550</v>
      </c>
      <c r="Z4" t="s">
        <v>2554</v>
      </c>
      <c r="AA4" t="s">
        <v>2450</v>
      </c>
      <c r="AB4" t="s">
        <v>2455</v>
      </c>
      <c r="AC4" t="s">
        <v>2460</v>
      </c>
      <c r="AD4" t="s">
        <v>2798</v>
      </c>
      <c r="AE4" t="s">
        <v>2469</v>
      </c>
      <c r="AF4" t="s">
        <v>2473</v>
      </c>
      <c r="AG4" t="s">
        <v>2477</v>
      </c>
      <c r="AH4" t="s">
        <v>2482</v>
      </c>
      <c r="AI4" t="s">
        <v>2486</v>
      </c>
      <c r="AJ4" t="s">
        <v>2799</v>
      </c>
      <c r="AK4" t="s">
        <v>2494</v>
      </c>
      <c r="AL4" t="s">
        <v>2498</v>
      </c>
      <c r="AM4" t="s">
        <v>2502</v>
      </c>
      <c r="AN4" t="s">
        <v>2506</v>
      </c>
      <c r="AO4" t="s">
        <v>2510</v>
      </c>
      <c r="AP4" t="s">
        <v>2514</v>
      </c>
      <c r="AQ4" t="s">
        <v>2518</v>
      </c>
      <c r="AR4" t="s">
        <v>2523</v>
      </c>
      <c r="AS4" t="s">
        <v>2527</v>
      </c>
      <c r="AT4" t="s">
        <v>2531</v>
      </c>
      <c r="AU4" t="s">
        <v>2535</v>
      </c>
      <c r="AV4" t="s">
        <v>2539</v>
      </c>
      <c r="AW4" t="s">
        <v>2543</v>
      </c>
      <c r="AX4" t="s">
        <v>2547</v>
      </c>
      <c r="AY4" t="s">
        <v>2551</v>
      </c>
      <c r="AZ4" t="s">
        <v>2555</v>
      </c>
      <c r="BA4" t="s">
        <v>2558</v>
      </c>
      <c r="BB4" t="s">
        <v>2561</v>
      </c>
      <c r="BC4" t="s">
        <v>2564</v>
      </c>
      <c r="BD4" t="s">
        <v>2567</v>
      </c>
      <c r="BE4" t="s">
        <v>2800</v>
      </c>
      <c r="BF4" t="s">
        <v>2801</v>
      </c>
      <c r="BG4" t="s">
        <v>2576</v>
      </c>
      <c r="BH4" t="s">
        <v>2579</v>
      </c>
      <c r="BI4" t="s">
        <v>2582</v>
      </c>
      <c r="BJ4" t="s">
        <v>2585</v>
      </c>
      <c r="BK4" t="s">
        <v>2588</v>
      </c>
      <c r="BL4" t="s">
        <v>2591</v>
      </c>
      <c r="BM4" t="s">
        <v>2594</v>
      </c>
      <c r="BN4" t="s">
        <v>2597</v>
      </c>
      <c r="BO4" t="s">
        <v>2600</v>
      </c>
      <c r="BP4" t="s">
        <v>2603</v>
      </c>
      <c r="BQ4" t="s">
        <v>2606</v>
      </c>
      <c r="BR4" t="s">
        <v>2609</v>
      </c>
      <c r="BS4" t="s">
        <v>2612</v>
      </c>
      <c r="BT4" t="s">
        <v>2615</v>
      </c>
      <c r="BU4" t="s">
        <v>2618</v>
      </c>
      <c r="BV4" t="s">
        <v>2621</v>
      </c>
      <c r="BW4" t="s">
        <v>2624</v>
      </c>
      <c r="BX4" t="s">
        <v>2627</v>
      </c>
      <c r="BY4" t="s">
        <v>2630</v>
      </c>
      <c r="BZ4" t="s">
        <v>2633</v>
      </c>
      <c r="CA4" t="s">
        <v>2636</v>
      </c>
      <c r="CB4" t="s">
        <v>2639</v>
      </c>
      <c r="CC4" t="s">
        <v>2642</v>
      </c>
      <c r="CD4" t="s">
        <v>2645</v>
      </c>
      <c r="CE4" t="s">
        <v>2648</v>
      </c>
      <c r="CF4" t="s">
        <v>2651</v>
      </c>
      <c r="CG4" t="s">
        <v>2654</v>
      </c>
      <c r="CH4" t="s">
        <v>2657</v>
      </c>
      <c r="CI4" t="s">
        <v>2660</v>
      </c>
      <c r="CJ4" t="s">
        <v>2663</v>
      </c>
      <c r="CK4" t="s">
        <v>2802</v>
      </c>
      <c r="CL4" t="s">
        <v>2803</v>
      </c>
      <c r="CM4" t="s">
        <v>2804</v>
      </c>
      <c r="CN4" t="s">
        <v>2675</v>
      </c>
      <c r="CO4" t="s">
        <v>2678</v>
      </c>
      <c r="CP4" t="s">
        <v>2681</v>
      </c>
      <c r="CQ4" t="s">
        <v>2684</v>
      </c>
      <c r="CR4" t="s">
        <v>2805</v>
      </c>
      <c r="CS4" t="s">
        <v>2806</v>
      </c>
      <c r="CT4" t="s">
        <v>2807</v>
      </c>
      <c r="CU4" t="s">
        <v>2808</v>
      </c>
      <c r="CV4" t="s">
        <v>2699</v>
      </c>
      <c r="CW4" t="s">
        <v>2702</v>
      </c>
      <c r="CX4" t="s">
        <v>2809</v>
      </c>
      <c r="CY4" t="s">
        <v>2708</v>
      </c>
      <c r="CZ4" t="s">
        <v>2710</v>
      </c>
      <c r="DA4" t="s">
        <v>2712</v>
      </c>
      <c r="DB4" t="s">
        <v>2714</v>
      </c>
      <c r="DC4" t="s">
        <v>2716</v>
      </c>
      <c r="DD4" t="s">
        <v>2718</v>
      </c>
      <c r="DE4" t="s">
        <v>2720</v>
      </c>
      <c r="DF4" t="s">
        <v>2722</v>
      </c>
      <c r="DG4" t="s">
        <v>2724</v>
      </c>
      <c r="DH4" t="s">
        <v>2726</v>
      </c>
      <c r="DI4" t="s">
        <v>2728</v>
      </c>
      <c r="DJ4" t="s">
        <v>2810</v>
      </c>
      <c r="DK4" t="s">
        <v>2732</v>
      </c>
      <c r="DL4" t="s">
        <v>2734</v>
      </c>
      <c r="DM4" t="s">
        <v>2736</v>
      </c>
      <c r="DN4" t="s">
        <v>2738</v>
      </c>
      <c r="DO4" t="s">
        <v>2740</v>
      </c>
      <c r="DP4" t="s">
        <v>2742</v>
      </c>
      <c r="DQ4" t="s">
        <v>2744</v>
      </c>
      <c r="DR4" t="s">
        <v>2746</v>
      </c>
      <c r="DS4" t="s">
        <v>2748</v>
      </c>
      <c r="DT4" t="s">
        <v>2750</v>
      </c>
      <c r="DU4" t="s">
        <v>2752</v>
      </c>
      <c r="DV4" t="s">
        <v>2754</v>
      </c>
      <c r="DW4" t="s">
        <v>2756</v>
      </c>
      <c r="DX4" t="s">
        <v>2758</v>
      </c>
      <c r="DY4" t="s">
        <v>2760</v>
      </c>
      <c r="DZ4" t="s">
        <v>2762</v>
      </c>
      <c r="EA4" t="s">
        <v>2764</v>
      </c>
      <c r="EB4" t="s">
        <v>2766</v>
      </c>
      <c r="EC4" t="s">
        <v>2768</v>
      </c>
      <c r="ED4" t="s">
        <v>2770</v>
      </c>
      <c r="EE4" t="s">
        <v>2772</v>
      </c>
      <c r="EF4" t="s">
        <v>2774</v>
      </c>
      <c r="EG4" t="s">
        <v>2451</v>
      </c>
      <c r="EH4" t="s">
        <v>2456</v>
      </c>
      <c r="EI4" t="s">
        <v>2461</v>
      </c>
      <c r="EJ4" t="s">
        <v>2811</v>
      </c>
      <c r="EK4" t="s">
        <v>2470</v>
      </c>
      <c r="EL4" t="s">
        <v>2474</v>
      </c>
      <c r="EM4" t="s">
        <v>2478</v>
      </c>
      <c r="EN4" t="s">
        <v>2483</v>
      </c>
      <c r="EO4" t="s">
        <v>2487</v>
      </c>
      <c r="EP4" t="s">
        <v>2491</v>
      </c>
      <c r="EQ4" t="s">
        <v>2495</v>
      </c>
      <c r="ER4" t="s">
        <v>2499</v>
      </c>
      <c r="ES4" t="s">
        <v>2503</v>
      </c>
      <c r="ET4" t="s">
        <v>2507</v>
      </c>
      <c r="EU4" t="s">
        <v>2511</v>
      </c>
      <c r="EV4" t="s">
        <v>2515</v>
      </c>
      <c r="EW4" t="s">
        <v>2519</v>
      </c>
      <c r="EX4" t="s">
        <v>2524</v>
      </c>
      <c r="EY4" t="s">
        <v>2528</v>
      </c>
      <c r="EZ4" t="s">
        <v>2532</v>
      </c>
      <c r="FA4" t="s">
        <v>2536</v>
      </c>
      <c r="FB4" t="s">
        <v>2540</v>
      </c>
      <c r="FC4" t="s">
        <v>2544</v>
      </c>
      <c r="FD4" t="s">
        <v>2548</v>
      </c>
      <c r="FE4" t="s">
        <v>2552</v>
      </c>
      <c r="FF4" t="s">
        <v>2556</v>
      </c>
      <c r="FG4" t="s">
        <v>2559</v>
      </c>
      <c r="FH4" t="s">
        <v>2812</v>
      </c>
      <c r="FI4" t="s">
        <v>2813</v>
      </c>
      <c r="FJ4" t="s">
        <v>2568</v>
      </c>
      <c r="FK4" t="s">
        <v>2571</v>
      </c>
      <c r="FL4" t="s">
        <v>2574</v>
      </c>
      <c r="FM4" t="s">
        <v>2812</v>
      </c>
      <c r="FN4" t="s">
        <v>2813</v>
      </c>
      <c r="FO4" t="s">
        <v>2814</v>
      </c>
      <c r="FP4" t="s">
        <v>2815</v>
      </c>
      <c r="FQ4" t="s">
        <v>2816</v>
      </c>
      <c r="FR4" t="s">
        <v>2817</v>
      </c>
      <c r="FS4" t="s">
        <v>2818</v>
      </c>
      <c r="FT4" t="s">
        <v>2598</v>
      </c>
      <c r="FU4" t="s">
        <v>2601</v>
      </c>
      <c r="FV4" t="s">
        <v>2604</v>
      </c>
      <c r="FW4" t="s">
        <v>2607</v>
      </c>
      <c r="FX4" t="s">
        <v>2610</v>
      </c>
      <c r="FY4" t="s">
        <v>2613</v>
      </c>
      <c r="FZ4" t="s">
        <v>2616</v>
      </c>
      <c r="GA4" t="s">
        <v>2619</v>
      </c>
      <c r="GB4" t="s">
        <v>2622</v>
      </c>
      <c r="GC4" t="s">
        <v>2625</v>
      </c>
      <c r="GD4" t="s">
        <v>2628</v>
      </c>
      <c r="GE4" t="s">
        <v>2631</v>
      </c>
      <c r="GF4" t="s">
        <v>2634</v>
      </c>
      <c r="GG4" t="s">
        <v>2637</v>
      </c>
      <c r="GH4" t="s">
        <v>2640</v>
      </c>
      <c r="GI4" t="s">
        <v>2643</v>
      </c>
      <c r="GJ4" t="s">
        <v>2646</v>
      </c>
      <c r="GK4" t="s">
        <v>2649</v>
      </c>
      <c r="GL4" t="s">
        <v>2652</v>
      </c>
      <c r="GM4" t="s">
        <v>2655</v>
      </c>
      <c r="GN4" t="s">
        <v>2658</v>
      </c>
      <c r="GO4" t="s">
        <v>2661</v>
      </c>
      <c r="GP4" t="s">
        <v>2664</v>
      </c>
      <c r="GQ4" t="s">
        <v>2667</v>
      </c>
      <c r="GR4" t="s">
        <v>2670</v>
      </c>
      <c r="GS4" t="s">
        <v>2673</v>
      </c>
      <c r="GT4" t="s">
        <v>2676</v>
      </c>
      <c r="GU4" t="s">
        <v>2679</v>
      </c>
      <c r="GV4" t="s">
        <v>2682</v>
      </c>
      <c r="GW4" t="s">
        <v>2685</v>
      </c>
      <c r="GX4" t="s">
        <v>2685</v>
      </c>
      <c r="GY4" t="s">
        <v>2688</v>
      </c>
      <c r="GZ4" t="s">
        <v>2691</v>
      </c>
      <c r="HA4" t="s">
        <v>2694</v>
      </c>
      <c r="HB4" t="s">
        <v>2703</v>
      </c>
      <c r="HC4" t="s">
        <v>2706</v>
      </c>
      <c r="HD4" t="s">
        <v>2709</v>
      </c>
      <c r="HE4" t="s">
        <v>2711</v>
      </c>
      <c r="HF4" t="s">
        <v>2713</v>
      </c>
      <c r="HG4" t="s">
        <v>2715</v>
      </c>
      <c r="HH4" t="s">
        <v>2717</v>
      </c>
      <c r="HI4" t="s">
        <v>2719</v>
      </c>
      <c r="HJ4" t="s">
        <v>2721</v>
      </c>
      <c r="HK4" t="s">
        <v>2723</v>
      </c>
      <c r="HL4" t="s">
        <v>2725</v>
      </c>
      <c r="HM4" t="s">
        <v>2727</v>
      </c>
      <c r="HN4" t="s">
        <v>2729</v>
      </c>
      <c r="HO4" t="s">
        <v>2731</v>
      </c>
      <c r="HP4" t="s">
        <v>2733</v>
      </c>
      <c r="HQ4" t="s">
        <v>2735</v>
      </c>
      <c r="HR4" t="s">
        <v>2737</v>
      </c>
      <c r="HS4" t="s">
        <v>2739</v>
      </c>
      <c r="HT4" t="s">
        <v>2741</v>
      </c>
      <c r="HU4" t="s">
        <v>2743</v>
      </c>
      <c r="HV4" t="s">
        <v>2745</v>
      </c>
      <c r="HW4" t="s">
        <v>2747</v>
      </c>
      <c r="HX4" t="s">
        <v>2749</v>
      </c>
      <c r="HY4" t="s">
        <v>2751</v>
      </c>
      <c r="HZ4" t="s">
        <v>2753</v>
      </c>
      <c r="IA4" t="s">
        <v>2755</v>
      </c>
      <c r="IB4" t="s">
        <v>2757</v>
      </c>
      <c r="IC4" t="s">
        <v>2759</v>
      </c>
      <c r="ID4" t="s">
        <v>2761</v>
      </c>
      <c r="IE4" t="s">
        <v>2763</v>
      </c>
      <c r="IF4" t="s">
        <v>2765</v>
      </c>
      <c r="IG4" t="s">
        <v>2767</v>
      </c>
      <c r="IH4" t="s">
        <v>2769</v>
      </c>
      <c r="II4" t="s">
        <v>2771</v>
      </c>
      <c r="IJ4" t="s">
        <v>2773</v>
      </c>
      <c r="IK4" t="s">
        <v>2775</v>
      </c>
      <c r="IL4" t="s">
        <v>2776</v>
      </c>
      <c r="IM4" t="s">
        <v>2777</v>
      </c>
      <c r="IN4" t="s">
        <v>2778</v>
      </c>
      <c r="IO4" t="s">
        <v>2779</v>
      </c>
      <c r="IP4" t="s">
        <v>2780</v>
      </c>
      <c r="IQ4" t="s">
        <v>2781</v>
      </c>
      <c r="IR4" t="s">
        <v>2782</v>
      </c>
      <c r="IS4" t="s">
        <v>2783</v>
      </c>
      <c r="IT4" t="s">
        <v>2784</v>
      </c>
      <c r="IU4" t="s">
        <v>2785</v>
      </c>
      <c r="IV4" t="s">
        <v>2786</v>
      </c>
      <c r="IW4" t="s">
        <v>2787</v>
      </c>
      <c r="IX4" t="s">
        <v>2788</v>
      </c>
      <c r="IY4" t="s">
        <v>2789</v>
      </c>
      <c r="IZ4" t="s">
        <v>2790</v>
      </c>
      <c r="JA4" t="s">
        <v>2791</v>
      </c>
      <c r="JB4" t="s">
        <v>2792</v>
      </c>
      <c r="JC4" t="s">
        <v>2793</v>
      </c>
      <c r="JD4" t="s">
        <v>2794</v>
      </c>
      <c r="JE4" t="s">
        <v>2795</v>
      </c>
      <c r="JF4" t="s">
        <v>2796</v>
      </c>
      <c r="JG4" t="s">
        <v>2797</v>
      </c>
      <c r="JH4" t="s">
        <v>2452</v>
      </c>
      <c r="JI4" t="s">
        <v>2819</v>
      </c>
      <c r="JJ4" t="s">
        <v>2820</v>
      </c>
      <c r="JK4" t="s">
        <v>2467</v>
      </c>
      <c r="JL4" t="s">
        <v>2471</v>
      </c>
      <c r="JM4" t="s">
        <v>2475</v>
      </c>
      <c r="JN4" t="s">
        <v>2479</v>
      </c>
      <c r="JO4" t="s">
        <v>2484</v>
      </c>
      <c r="JP4" t="s">
        <v>2488</v>
      </c>
      <c r="JQ4" t="s">
        <v>2492</v>
      </c>
      <c r="JR4" t="s">
        <v>2496</v>
      </c>
      <c r="JS4" t="s">
        <v>2500</v>
      </c>
      <c r="JT4" t="s">
        <v>2504</v>
      </c>
      <c r="JU4" t="s">
        <v>2508</v>
      </c>
      <c r="JV4" t="s">
        <v>2512</v>
      </c>
      <c r="JW4" t="s">
        <v>2516</v>
      </c>
      <c r="JX4" t="s">
        <v>2520</v>
      </c>
      <c r="JY4" t="s">
        <v>2525</v>
      </c>
      <c r="JZ4" t="s">
        <v>2529</v>
      </c>
      <c r="KA4" t="s">
        <v>2533</v>
      </c>
      <c r="KB4" t="s">
        <v>2537</v>
      </c>
      <c r="KC4" t="s">
        <v>2541</v>
      </c>
      <c r="KD4" t="s">
        <v>2545</v>
      </c>
      <c r="KE4" t="s">
        <v>2549</v>
      </c>
      <c r="KF4" t="s">
        <v>2553</v>
      </c>
      <c r="KG4" t="s">
        <v>2557</v>
      </c>
      <c r="KH4" t="s">
        <v>2560</v>
      </c>
      <c r="KI4" t="s">
        <v>2563</v>
      </c>
      <c r="KJ4" t="s">
        <v>2566</v>
      </c>
      <c r="KK4" t="s">
        <v>2569</v>
      </c>
      <c r="KL4" t="s">
        <v>2572</v>
      </c>
      <c r="KM4" t="s">
        <v>2575</v>
      </c>
      <c r="KN4" t="s">
        <v>2578</v>
      </c>
      <c r="KO4" t="s">
        <v>2581</v>
      </c>
      <c r="KP4" t="s">
        <v>2584</v>
      </c>
      <c r="KQ4" t="s">
        <v>2587</v>
      </c>
      <c r="KR4" t="s">
        <v>2590</v>
      </c>
      <c r="KS4" t="s">
        <v>2593</v>
      </c>
      <c r="KT4" t="s">
        <v>2596</v>
      </c>
      <c r="KU4" t="s">
        <v>2599</v>
      </c>
      <c r="KV4" t="s">
        <v>2602</v>
      </c>
      <c r="KW4" t="s">
        <v>2605</v>
      </c>
      <c r="KX4" t="s">
        <v>2608</v>
      </c>
      <c r="KY4" t="s">
        <v>2611</v>
      </c>
      <c r="KZ4" t="s">
        <v>2614</v>
      </c>
      <c r="LA4" t="s">
        <v>2617</v>
      </c>
      <c r="LB4" t="s">
        <v>2620</v>
      </c>
      <c r="LC4" t="s">
        <v>2623</v>
      </c>
      <c r="LD4" t="s">
        <v>2626</v>
      </c>
      <c r="LE4" t="s">
        <v>2629</v>
      </c>
      <c r="LF4" t="s">
        <v>2632</v>
      </c>
      <c r="LG4" t="s">
        <v>2635</v>
      </c>
      <c r="LH4" t="s">
        <v>2638</v>
      </c>
      <c r="LI4" t="s">
        <v>2641</v>
      </c>
      <c r="LJ4" t="s">
        <v>2644</v>
      </c>
      <c r="LK4" t="s">
        <v>2647</v>
      </c>
      <c r="LL4" t="s">
        <v>2650</v>
      </c>
      <c r="LM4" t="s">
        <v>2653</v>
      </c>
      <c r="LN4" t="s">
        <v>2656</v>
      </c>
      <c r="LO4" t="s">
        <v>2659</v>
      </c>
      <c r="LP4" t="s">
        <v>2662</v>
      </c>
      <c r="LQ4" t="s">
        <v>2665</v>
      </c>
      <c r="LR4" t="s">
        <v>2668</v>
      </c>
      <c r="LS4" t="s">
        <v>2671</v>
      </c>
      <c r="LT4" t="s">
        <v>2674</v>
      </c>
      <c r="LU4" t="s">
        <v>2677</v>
      </c>
      <c r="LV4" t="s">
        <v>2680</v>
      </c>
      <c r="LW4" t="s">
        <v>2683</v>
      </c>
      <c r="LX4" t="s">
        <v>2686</v>
      </c>
      <c r="LY4" t="s">
        <v>2689</v>
      </c>
      <c r="LZ4" t="s">
        <v>2692</v>
      </c>
      <c r="MA4" t="s">
        <v>2695</v>
      </c>
      <c r="MB4" t="s">
        <v>2698</v>
      </c>
      <c r="MC4" t="s">
        <v>2701</v>
      </c>
      <c r="MD4" t="s">
        <v>2704</v>
      </c>
      <c r="ME4" t="s">
        <v>2707</v>
      </c>
      <c r="MF4" s="180" t="s">
        <v>2821</v>
      </c>
      <c r="MG4" s="180" t="s">
        <v>2822</v>
      </c>
      <c r="MH4" s="180" t="s">
        <v>2823</v>
      </c>
      <c r="MI4" s="180" t="s">
        <v>2824</v>
      </c>
      <c r="MJ4" s="180" t="s">
        <v>2825</v>
      </c>
      <c r="MK4" s="180" t="s">
        <v>2826</v>
      </c>
      <c r="ML4" s="180" t="s">
        <v>2827</v>
      </c>
      <c r="MM4" s="180" t="s">
        <v>2828</v>
      </c>
      <c r="MN4" s="180" t="s">
        <v>2829</v>
      </c>
      <c r="MO4" s="180" t="s">
        <v>2830</v>
      </c>
      <c r="MP4" s="180" t="s">
        <v>2831</v>
      </c>
      <c r="MQ4" s="180" t="s">
        <v>2832</v>
      </c>
      <c r="MR4" s="180" t="s">
        <v>2833</v>
      </c>
      <c r="MS4" s="180" t="s">
        <v>2834</v>
      </c>
      <c r="MT4" s="180" t="s">
        <v>2835</v>
      </c>
      <c r="MU4" s="180" t="s">
        <v>2836</v>
      </c>
      <c r="MV4" s="180" t="s">
        <v>2837</v>
      </c>
      <c r="MW4" s="180" t="s">
        <v>2838</v>
      </c>
      <c r="MX4" s="180" t="s">
        <v>2839</v>
      </c>
      <c r="MY4" s="180" t="s">
        <v>2840</v>
      </c>
      <c r="MZ4" s="180" t="s">
        <v>2841</v>
      </c>
      <c r="NA4" s="180" t="s">
        <v>2842</v>
      </c>
      <c r="NB4" s="180" t="s">
        <v>2843</v>
      </c>
      <c r="NC4" s="180" t="s">
        <v>2844</v>
      </c>
      <c r="ND4" s="180" t="s">
        <v>2845</v>
      </c>
      <c r="NE4" s="180" t="s">
        <v>2846</v>
      </c>
      <c r="NF4" s="180" t="s">
        <v>2847</v>
      </c>
      <c r="NG4" s="180" t="s">
        <v>2848</v>
      </c>
      <c r="NH4" s="180" t="s">
        <v>2849</v>
      </c>
      <c r="NI4" s="180" t="s">
        <v>2850</v>
      </c>
      <c r="NJ4" s="180" t="s">
        <v>2851</v>
      </c>
      <c r="NK4" s="180" t="s">
        <v>2852</v>
      </c>
      <c r="NL4" s="180" t="s">
        <v>2853</v>
      </c>
      <c r="NM4" s="180" t="s">
        <v>2854</v>
      </c>
      <c r="NN4" s="180" t="s">
        <v>2855</v>
      </c>
      <c r="NO4" s="180" t="s">
        <v>2856</v>
      </c>
      <c r="NP4" s="180" t="s">
        <v>2857</v>
      </c>
      <c r="NQ4" s="180" t="s">
        <v>2858</v>
      </c>
      <c r="NR4" s="180" t="s">
        <v>2859</v>
      </c>
      <c r="NS4" s="180" t="s">
        <v>2860</v>
      </c>
      <c r="NT4" s="180" t="s">
        <v>2861</v>
      </c>
      <c r="NU4" s="180" t="s">
        <v>2862</v>
      </c>
      <c r="NV4" s="180" t="s">
        <v>2863</v>
      </c>
      <c r="NW4" s="180" t="s">
        <v>2864</v>
      </c>
    </row>
    <row r="5" spans="1:387">
      <c r="A5" t="str">
        <f>IF(ISBLANK(VLOOKUP(A1,Common!$B$6:$I$31,8,FALSE)),"",VLOOKUP(A1,Common!$B$6:$I$31,8,FALSE))</f>
        <v/>
      </c>
      <c r="B5" t="str">
        <f>IF(ISBLANK(VLOOKUP(B1,Common!$B$6:$I$31,8,FALSE)),"",VLOOKUP(B1,Common!$B$6:$I$31,8,FALSE))</f>
        <v/>
      </c>
      <c r="C5" t="str">
        <f>IF(ISBLANK(VLOOKUP(C1,Common!$B$6:$I$31,8,FALSE)),"",VLOOKUP(C1,Common!$B$6:$I$31,8,FALSE))</f>
        <v>Reliable</v>
      </c>
      <c r="D5" t="str">
        <f>IF(ISBLANK(VLOOKUP(D1,Common!$B$6:$I$31,8,FALSE)),"",VLOOKUP(D1,Common!$B$6:$I$31,8,FALSE))</f>
        <v>Reliable</v>
      </c>
      <c r="E5" t="str">
        <f>IF(ISBLANK(VLOOKUP(E1,Common!$B$6:$I$31,8,FALSE)),"",VLOOKUP(E1,Common!$B$6:$I$31,8,FALSE))</f>
        <v/>
      </c>
      <c r="F5" t="str">
        <f>IF(ISBLANK(VLOOKUP(F1,Common!$B$6:$I$31,8,FALSE)),"",VLOOKUP(F1,Common!$B$6:$I$31,8,FALSE))</f>
        <v/>
      </c>
      <c r="G5" t="str">
        <f>IF(ISBLANK(VLOOKUP(G1,Common!$B$6:$I$31,8,FALSE)),"",VLOOKUP(G1,Common!$B$6:$I$31,8,FALSE))</f>
        <v/>
      </c>
      <c r="H5" t="str">
        <f>IF(ISBLANK(VLOOKUP(H1,Common!$B$6:$I$31,8,FALSE)),"",VLOOKUP(H1,Common!$B$6:$I$31,8,FALSE))</f>
        <v/>
      </c>
      <c r="I5" t="str">
        <f>IF(ISBLANK(VLOOKUP(I1,Common!$B$6:$I$31,8,FALSE)),"",VLOOKUP(I1,Common!$B$6:$I$31,8,FALSE))</f>
        <v/>
      </c>
      <c r="J5" t="str">
        <f>IF(ISBLANK(VLOOKUP(J1,Common!$B$6:$I$31,8,FALSE)),"",VLOOKUP(J1,Common!$B$6:$I$31,8,FALSE))</f>
        <v/>
      </c>
      <c r="K5" t="str">
        <f>IF(ISBLANK(VLOOKUP(K1,Common!$B$6:$I$31,8,FALSE)),"",VLOOKUP(K1,Common!$B$6:$I$31,8,FALSE))</f>
        <v/>
      </c>
      <c r="L5" t="str">
        <f>IF(ISBLANK(VLOOKUP(L1,Common!$B$6:$I$31,8,FALSE)),"",VLOOKUP(L1,Common!$B$6:$I$31,8,FALSE))</f>
        <v/>
      </c>
      <c r="M5" t="str">
        <f>IF(ISBLANK(VLOOKUP(M1,Common!$B$6:$I$31,8,FALSE)),"",VLOOKUP(M1,Common!$B$6:$I$31,8,FALSE))</f>
        <v/>
      </c>
      <c r="N5" t="str">
        <f>IF(ISBLANK(VLOOKUP(N1,Common!$B$6:$I$31,8,FALSE)),"",VLOOKUP(N1,Common!$B$6:$I$31,8,FALSE))</f>
        <v/>
      </c>
      <c r="O5" t="str">
        <f>IF(ISBLANK(VLOOKUP(O1,Common!$B$6:$I$31,8,FALSE)),"",VLOOKUP(O1,Common!$B$6:$I$31,8,FALSE))</f>
        <v/>
      </c>
      <c r="P5" t="str">
        <f>IF(ISBLANK(VLOOKUP(P1,Common!$B$6:$I$31,8,FALSE)),"",VLOOKUP(P1,Common!$B$6:$I$31,8,FALSE))</f>
        <v/>
      </c>
      <c r="Q5" t="str">
        <f>IF(ISBLANK(VLOOKUP(Q1,Common!$B$6:$I$31,8,FALSE)),"",VLOOKUP(Q1,Common!$B$6:$I$31,8,FALSE))</f>
        <v/>
      </c>
      <c r="R5" t="str">
        <f>IF(ISBLANK(VLOOKUP(R1,Common!$B$6:$I$31,8,FALSE)),"",VLOOKUP(R1,Common!$B$6:$I$31,8,FALSE))</f>
        <v/>
      </c>
      <c r="S5" t="str">
        <f>IF(ISBLANK(VLOOKUP(S1,Common!$B$6:$I$31,8,FALSE)),"",VLOOKUP(S1,Common!$B$6:$I$31,8,FALSE))</f>
        <v/>
      </c>
      <c r="T5" t="str">
        <f>IF(ISBLANK(VLOOKUP(T1,Common!$B$6:$I$31,8,FALSE)),"",VLOOKUP(T1,Common!$B$6:$I$31,8,FALSE))</f>
        <v/>
      </c>
      <c r="U5" t="str">
        <f>IF(ISBLANK(VLOOKUP(U1,Common!$B$6:$I$31,8,FALSE)),"",VLOOKUP(U1,Common!$B$6:$I$31,8,FALSE))</f>
        <v/>
      </c>
      <c r="V5" t="str">
        <f>IF(ISBLANK(VLOOKUP(V1,Common!$B$6:$I$31,8,FALSE)),"",VLOOKUP(V1,Common!$B$6:$I$31,8,FALSE))</f>
        <v/>
      </c>
      <c r="W5" t="str">
        <f>IF(ISBLANK(VLOOKUP(W1,Common!$B$6:$I$31,8,FALSE)),"",VLOOKUP(W1,Common!$B$6:$I$31,8,FALSE))</f>
        <v/>
      </c>
      <c r="X5" t="str">
        <f>IF(ISBLANK(VLOOKUP(X1,Common!$B$6:$I$31,8,FALSE)),"",VLOOKUP(X1,Common!$B$6:$I$31,8,FALSE))</f>
        <v/>
      </c>
      <c r="Y5" t="str">
        <f>IF(ISBLANK(VLOOKUP(Y1,Common!$B$6:$I$31,8,FALSE)),"",VLOOKUP(Y1,Common!$B$6:$I$31,8,FALSE))</f>
        <v/>
      </c>
      <c r="Z5" t="str">
        <f>IF(ISBLANK(VLOOKUP(Z1,Common!$B$6:$I$31,8,FALSE)),"",VLOOKUP(Z1,Common!$B$6:$I$31,8,FALSE))</f>
        <v>Reliable</v>
      </c>
      <c r="AA5" t="str">
        <f>IF(ISBLANK(VLOOKUP(AA4,Water!$B$6:$I$115,8,FALSE)),"",VLOOKUP(AA4,Water!$B$6:$I$115,8,FALSE))</f>
        <v>Calc</v>
      </c>
      <c r="AB5" t="str">
        <f>IF(ISBLANK(VLOOKUP(AB4,Water!$B$6:$I$115,8,FALSE)),"",VLOOKUP(AB4,Water!$B$6:$I$115,8,FALSE))</f>
        <v>Calc</v>
      </c>
      <c r="AC5" t="str">
        <f>IF(ISBLANK(VLOOKUP(AC4,Water!$B$6:$I$115,8,FALSE)),"",VLOOKUP(AC4,Water!$B$6:$I$115,8,FALSE))</f>
        <v>Reliable</v>
      </c>
      <c r="AD5" t="str">
        <f>IF(ISBLANK(VLOOKUP(AD4,Water!$B$6:$I$115,8,FALSE)),"",VLOOKUP(AD4,Water!$B$6:$I$115,8,FALSE))</f>
        <v>Reliable</v>
      </c>
      <c r="AE5" t="str">
        <f>IF(ISBLANK(VLOOKUP(AE4,Water!$B$6:$I$115,8,FALSE)),"",VLOOKUP(AE4,Water!$B$6:$I$115,8,FALSE))</f>
        <v>Calc</v>
      </c>
      <c r="AF5" t="str">
        <f>IF(ISBLANK(VLOOKUP(AF4,Water!$B$6:$I$115,8,FALSE)),"",VLOOKUP(AF4,Water!$B$6:$I$115,8,FALSE))</f>
        <v>Reliable</v>
      </c>
      <c r="AG5" t="str">
        <f>IF(ISBLANK(VLOOKUP(AG4,Water!$B$6:$I$115,8,FALSE)),"",VLOOKUP(AG4,Water!$B$6:$I$115,8,FALSE))</f>
        <v>Reliable</v>
      </c>
      <c r="AH5" t="str">
        <f>IF(ISBLANK(VLOOKUP(AH4,Water!$B$6:$I$115,8,FALSE)),"",VLOOKUP(AH4,Water!$B$6:$I$115,8,FALSE))</f>
        <v>Reliable</v>
      </c>
      <c r="AI5" t="str">
        <f>IF(ISBLANK(VLOOKUP(AI4,Water!$B$6:$I$115,8,FALSE)),"",VLOOKUP(AI4,Water!$B$6:$I$115,8,FALSE))</f>
        <v>Less Reliable</v>
      </c>
      <c r="AJ5" t="str">
        <f>IF(ISBLANK(VLOOKUP(AJ4,Water!$B$6:$I$115,8,FALSE)),"",VLOOKUP(AJ4,Water!$B$6:$I$115,8,FALSE))</f>
        <v>Less Reliable</v>
      </c>
      <c r="AK5" t="str">
        <f>IF(ISBLANK(VLOOKUP(AK4,Water!$B$6:$I$115,8,FALSE)),"",VLOOKUP(AK4,Water!$B$6:$I$115,8,FALSE))</f>
        <v>Calc</v>
      </c>
      <c r="AL5" t="str">
        <f>IF(ISBLANK(VLOOKUP(AL4,Water!$B$6:$I$115,8,FALSE)),"",VLOOKUP(AL4,Water!$B$6:$I$115,8,FALSE))</f>
        <v/>
      </c>
      <c r="AM5" t="str">
        <f>IF(ISBLANK(VLOOKUP(AM4,Water!$B$6:$I$115,8,FALSE)),"",VLOOKUP(AM4,Water!$B$6:$I$115,8,FALSE))</f>
        <v>Reliable</v>
      </c>
      <c r="AN5" t="str">
        <f>IF(ISBLANK(VLOOKUP(AN4,Water!$B$6:$I$115,8,FALSE)),"",VLOOKUP(AN4,Water!$B$6:$I$115,8,FALSE))</f>
        <v>Reliable</v>
      </c>
      <c r="AO5" t="str">
        <f>IF(ISBLANK(VLOOKUP(AO4,Water!$B$6:$I$115,8,FALSE)),"",VLOOKUP(AO4,Water!$B$6:$I$115,8,FALSE))</f>
        <v>Reliable</v>
      </c>
      <c r="AP5" t="str">
        <f>IF(ISBLANK(VLOOKUP(AP4,Water!$B$6:$I$115,8,FALSE)),"",VLOOKUP(AP4,Water!$B$6:$I$115,8,FALSE))</f>
        <v/>
      </c>
      <c r="AQ5" t="str">
        <f>IF(ISBLANK(VLOOKUP(AQ4,Water!$B$6:$I$115,8,FALSE)),"",VLOOKUP(AQ4,Water!$B$6:$I$115,8,FALSE))</f>
        <v/>
      </c>
      <c r="AR5" t="str">
        <f>IF(ISBLANK(VLOOKUP(AR4,Water!$B$6:$I$115,8,FALSE)),"",VLOOKUP(AR4,Water!$B$6:$I$115,8,FALSE))</f>
        <v/>
      </c>
      <c r="AS5" t="str">
        <f>IF(ISBLANK(VLOOKUP(AS4,Water!$B$6:$I$115,8,FALSE)),"",VLOOKUP(AS4,Water!$B$6:$I$115,8,FALSE))</f>
        <v/>
      </c>
      <c r="AT5" t="str">
        <f>IF(ISBLANK(VLOOKUP(AT4,Water!$B$6:$I$115,8,FALSE)),"",VLOOKUP(AT4,Water!$B$6:$I$115,8,FALSE))</f>
        <v/>
      </c>
      <c r="AU5" t="str">
        <f>IF(ISBLANK(VLOOKUP(AU4,Water!$B$6:$I$115,8,FALSE)),"",VLOOKUP(AU4,Water!$B$6:$I$115,8,FALSE))</f>
        <v/>
      </c>
      <c r="AV5" t="str">
        <f>IF(ISBLANK(VLOOKUP(AV4,Water!$B$6:$I$115,8,FALSE)),"",VLOOKUP(AV4,Water!$B$6:$I$115,8,FALSE))</f>
        <v/>
      </c>
      <c r="AW5" t="str">
        <f>IF(ISBLANK(VLOOKUP(AW4,Water!$B$6:$I$115,8,FALSE)),"",VLOOKUP(AW4,Water!$B$6:$I$115,8,FALSE))</f>
        <v>Reliable</v>
      </c>
      <c r="AX5" t="str">
        <f>IF(ISBLANK(VLOOKUP(AX4,Water!$B$6:$I$115,8,FALSE)),"",VLOOKUP(AX4,Water!$B$6:$I$115,8,FALSE))</f>
        <v>Reliable</v>
      </c>
      <c r="AY5" t="str">
        <f>IF(ISBLANK(VLOOKUP(AY4,Water!$B$6:$I$115,8,FALSE)),"",VLOOKUP(AY4,Water!$B$6:$I$115,8,FALSE))</f>
        <v>Reliable</v>
      </c>
      <c r="AZ5" t="str">
        <f>IF(ISBLANK(VLOOKUP(AZ4,Water!$B$6:$I$115,8,FALSE)),"",VLOOKUP(AZ4,Water!$B$6:$I$115,8,FALSE))</f>
        <v>Reliable</v>
      </c>
      <c r="BA5" t="str">
        <f>IF(ISBLANK(VLOOKUP(BA4,Water!$B$6:$I$115,8,FALSE)),"",VLOOKUP(BA4,Water!$B$6:$I$115,8,FALSE))</f>
        <v>Reliable</v>
      </c>
      <c r="BB5" t="str">
        <f>IF(ISBLANK(VLOOKUP(BB4,Water!$B$6:$I$115,8,FALSE)),"",VLOOKUP(BB4,Water!$B$6:$I$115,8,FALSE))</f>
        <v>Reliable</v>
      </c>
      <c r="BC5" t="str">
        <f>IF(ISBLANK(VLOOKUP(BC4,Water!$B$6:$I$115,8,FALSE)),"",VLOOKUP(BC4,Water!$B$6:$I$115,8,FALSE))</f>
        <v>Reliable</v>
      </c>
      <c r="BD5" t="str">
        <f>IF(ISBLANK(VLOOKUP(BD4,Water!$B$6:$I$115,8,FALSE)),"",VLOOKUP(BD4,Water!$B$6:$I$115,8,FALSE))</f>
        <v>Less Reliable</v>
      </c>
      <c r="BE5" t="str">
        <f>IF(ISBLANK(VLOOKUP(BE4,Water!$B$6:$I$115,8,FALSE)),"",VLOOKUP(BE4,Water!$B$6:$I$115,8,FALSE))</f>
        <v>Less Reliable</v>
      </c>
      <c r="BF5" t="str">
        <f>IF(ISBLANK(VLOOKUP(BF4,Water!$B$6:$I$115,8,FALSE)),"",VLOOKUP(BF4,Water!$B$6:$I$115,8,FALSE))</f>
        <v>Less Reliable</v>
      </c>
      <c r="BG5" t="str">
        <f>IF(ISBLANK(VLOOKUP(BG4,Water!$B$6:$I$115,8,FALSE)),"",VLOOKUP(BG4,Water!$B$6:$I$115,8,FALSE))</f>
        <v>Less Reliable</v>
      </c>
      <c r="BH5" t="str">
        <f>IF(ISBLANK(VLOOKUP(BH4,Water!$B$6:$I$115,8,FALSE)),"",VLOOKUP(BH4,Water!$B$6:$I$115,8,FALSE))</f>
        <v/>
      </c>
      <c r="BI5" t="str">
        <f>IF(ISBLANK(VLOOKUP(BI4,Water!$B$6:$I$115,8,FALSE)),"",VLOOKUP(BI4,Water!$B$6:$I$115,8,FALSE))</f>
        <v/>
      </c>
      <c r="BJ5" t="str">
        <f>IF(ISBLANK(VLOOKUP(BJ4,Water!$B$6:$I$115,8,FALSE)),"",VLOOKUP(BJ4,Water!$B$6:$I$115,8,FALSE))</f>
        <v/>
      </c>
      <c r="BK5" t="str">
        <f>IF(ISBLANK(VLOOKUP(BK4,Water!$B$6:$I$115,8,FALSE)),"",VLOOKUP(BK4,Water!$B$6:$I$115,8,FALSE))</f>
        <v/>
      </c>
      <c r="BL5" t="str">
        <f>IF(ISBLANK(VLOOKUP(BL4,Water!$B$6:$I$115,8,FALSE)),"",VLOOKUP(BL4,Water!$B$6:$I$115,8,FALSE))</f>
        <v>Less Reliable</v>
      </c>
      <c r="BM5" t="str">
        <f>IF(ISBLANK(VLOOKUP(BM4,Water!$B$6:$I$115,8,FALSE)),"",VLOOKUP(BM4,Water!$B$6:$I$115,8,FALSE))</f>
        <v>Calc</v>
      </c>
      <c r="BN5" t="str">
        <f>IF(ISBLANK(VLOOKUP(BN4,Water!$B$6:$I$115,8,FALSE)),"",VLOOKUP(BN4,Water!$B$6:$I$115,8,FALSE))</f>
        <v>Less Reliable</v>
      </c>
      <c r="BO5" t="str">
        <f>IF(ISBLANK(VLOOKUP(BO4,Water!$B$6:$I$115,8,FALSE)),"",VLOOKUP(BO4,Water!$B$6:$I$115,8,FALSE))</f>
        <v>Less Reliable</v>
      </c>
      <c r="BP5" t="str">
        <f>IF(ISBLANK(VLOOKUP(BP4,Water!$B$6:$I$115,8,FALSE)),"",VLOOKUP(BP4,Water!$B$6:$I$115,8,FALSE))</f>
        <v>Less Reliable</v>
      </c>
      <c r="BQ5" t="str">
        <f>IF(ISBLANK(VLOOKUP(BQ4,Water!$B$6:$I$115,8,FALSE)),"",VLOOKUP(BQ4,Water!$B$6:$I$115,8,FALSE))</f>
        <v>Less Reliable</v>
      </c>
      <c r="BR5" t="str">
        <f>IF(ISBLANK(VLOOKUP(BR4,Water!$B$6:$I$115,8,FALSE)),"",VLOOKUP(BR4,Water!$B$6:$I$115,8,FALSE))</f>
        <v>Less Reliable</v>
      </c>
      <c r="BS5" t="str">
        <f>IF(ISBLANK(VLOOKUP(BS4,Water!$B$6:$I$115,8,FALSE)),"",VLOOKUP(BS4,Water!$B$6:$I$115,8,FALSE))</f>
        <v>Less Reliable</v>
      </c>
      <c r="BT5" t="str">
        <f>IF(ISBLANK(VLOOKUP(BT4,Water!$B$6:$I$115,8,FALSE)),"",VLOOKUP(BT4,Water!$B$6:$I$115,8,FALSE))</f>
        <v>Less Reliable</v>
      </c>
      <c r="BU5" t="str">
        <f>IF(ISBLANK(VLOOKUP(BU4,Water!$B$6:$I$115,8,FALSE)),"",VLOOKUP(BU4,Water!$B$6:$I$115,8,FALSE))</f>
        <v/>
      </c>
      <c r="BV5" t="str">
        <f>IF(ISBLANK(VLOOKUP(BV4,Water!$B$6:$I$115,8,FALSE)),"",VLOOKUP(BV4,Water!$B$6:$I$115,8,FALSE))</f>
        <v>Calc</v>
      </c>
      <c r="BW5" t="str">
        <f>IF(ISBLANK(VLOOKUP(BW4,Water!$B$6:$I$115,8,FALSE)),"",VLOOKUP(BW4,Water!$B$6:$I$115,8,FALSE))</f>
        <v/>
      </c>
      <c r="BX5" t="str">
        <f>IF(ISBLANK(VLOOKUP(BX4,Water!$B$6:$I$115,8,FALSE)),"",VLOOKUP(BX4,Water!$B$6:$I$115,8,FALSE))</f>
        <v>Reliable</v>
      </c>
      <c r="BY5" t="str">
        <f>IF(ISBLANK(VLOOKUP(BY4,Water!$B$6:$I$115,8,FALSE)),"",VLOOKUP(BY4,Water!$B$6:$I$115,8,FALSE))</f>
        <v>Calc</v>
      </c>
      <c r="BZ5" t="str">
        <f>IF(ISBLANK(VLOOKUP(BZ4,Water!$B$6:$I$115,8,FALSE)),"",VLOOKUP(BZ4,Water!$B$6:$I$115,8,FALSE))</f>
        <v>Reliable</v>
      </c>
      <c r="CA5" t="str">
        <f>IF(ISBLANK(VLOOKUP(CA4,Water!$B$6:$I$115,8,FALSE)),"",VLOOKUP(CA4,Water!$B$6:$I$115,8,FALSE))</f>
        <v>Reliable</v>
      </c>
      <c r="CB5" t="str">
        <f>IF(ISBLANK(VLOOKUP(CB4,Water!$B$6:$I$115,8,FALSE)),"",VLOOKUP(CB4,Water!$B$6:$I$115,8,FALSE))</f>
        <v>Calc</v>
      </c>
      <c r="CC5" t="str">
        <f>IF(ISBLANK(VLOOKUP(CC4,Water!$B$6:$I$115,8,FALSE)),"",VLOOKUP(CC4,Water!$B$6:$I$115,8,FALSE))</f>
        <v>Reliable</v>
      </c>
      <c r="CD5" t="str">
        <f>IF(ISBLANK(VLOOKUP(CD4,Water!$B$6:$I$115,8,FALSE)),"",VLOOKUP(CD4,Water!$B$6:$I$115,8,FALSE))</f>
        <v>Reliable</v>
      </c>
      <c r="CE5" t="str">
        <f>IF(ISBLANK(VLOOKUP(CE4,Water!$B$6:$I$115,8,FALSE)),"",VLOOKUP(CE4,Water!$B$6:$I$115,8,FALSE))</f>
        <v>Reliable</v>
      </c>
      <c r="CF5" t="str">
        <f>IF(ISBLANK(VLOOKUP(CF4,Water!$B$6:$I$115,8,FALSE)),"",VLOOKUP(CF4,Water!$B$6:$I$115,8,FALSE))</f>
        <v>Reliable</v>
      </c>
      <c r="CG5" t="str">
        <f>IF(ISBLANK(VLOOKUP(CG4,Water!$B$6:$I$115,8,FALSE)),"",VLOOKUP(CG4,Water!$B$6:$I$115,8,FALSE))</f>
        <v>Reliable</v>
      </c>
      <c r="CH5" t="str">
        <f>IF(ISBLANK(VLOOKUP(CH4,Water!$B$6:$I$115,8,FALSE)),"",VLOOKUP(CH4,Water!$B$6:$I$115,8,FALSE))</f>
        <v>Reliable</v>
      </c>
      <c r="CI5" t="str">
        <f>IF(ISBLANK(VLOOKUP(CI4,Water!$B$6:$I$115,8,FALSE)),"",VLOOKUP(CI4,Water!$B$6:$I$115,8,FALSE))</f>
        <v>Calc</v>
      </c>
      <c r="CJ5" t="str">
        <f>IF(ISBLANK(VLOOKUP(CJ4,Water!$B$6:$I$115,8,FALSE)),"",VLOOKUP(CJ4,Water!$B$6:$I$115,8,FALSE))</f>
        <v/>
      </c>
      <c r="CK5" t="str">
        <f>IF(ISBLANK(VLOOKUP(CK4,Water!$B$6:$I$115,8,FALSE)),"",VLOOKUP(CK4,Water!$B$6:$I$115,8,FALSE))</f>
        <v/>
      </c>
      <c r="CL5" t="str">
        <f>IF(ISBLANK(VLOOKUP(CL4,Water!$B$6:$I$115,8,FALSE)),"",VLOOKUP(CL4,Water!$B$6:$I$115,8,FALSE))</f>
        <v/>
      </c>
      <c r="CM5" t="str">
        <f>IF(ISBLANK(VLOOKUP(CM4,Water!$B$6:$I$115,8,FALSE)),"",VLOOKUP(CM4,Water!$B$6:$I$115,8,FALSE))</f>
        <v/>
      </c>
      <c r="CN5" t="str">
        <f>IF(ISBLANK(VLOOKUP(CN4,Water!$B$6:$I$115,8,FALSE)),"",VLOOKUP(CN4,Water!$B$6:$I$115,8,FALSE))</f>
        <v/>
      </c>
      <c r="CO5" t="str">
        <f>IF(ISBLANK(VLOOKUP(CO4,Water!$B$6:$I$115,8,FALSE)),"",VLOOKUP(CO4,Water!$B$6:$I$115,8,FALSE))</f>
        <v/>
      </c>
      <c r="CP5" t="str">
        <f>IF(ISBLANK(VLOOKUP(CP4,Water!$B$6:$I$115,8,FALSE)),"",VLOOKUP(CP4,Water!$B$6:$I$115,8,FALSE))</f>
        <v/>
      </c>
      <c r="CQ5" t="str">
        <f>IF(ISBLANK(VLOOKUP(CQ4,Water!$B$6:$I$115,8,FALSE)),"",VLOOKUP(CQ4,Water!$B$6:$I$115,8,FALSE))</f>
        <v>Calc</v>
      </c>
      <c r="CR5" t="str">
        <f>IF(ISBLANK(VLOOKUP(CR4,Water!$B$6:$I$115,8,FALSE)),"",VLOOKUP(CR4,Water!$B$6:$I$115,8,FALSE))</f>
        <v/>
      </c>
      <c r="CS5" t="str">
        <f>IF(ISBLANK(VLOOKUP(CS4,Water!$B$6:$I$115,8,FALSE)),"",VLOOKUP(CS4,Water!$B$6:$I$115,8,FALSE))</f>
        <v/>
      </c>
      <c r="CT5" t="str">
        <f>IF(ISBLANK(VLOOKUP(CT4,Water!$B$6:$I$115,8,FALSE)),"",VLOOKUP(CT4,Water!$B$6:$I$115,8,FALSE))</f>
        <v/>
      </c>
      <c r="CU5" t="str">
        <f>IF(ISBLANK(VLOOKUP(CU4,Water!$B$6:$I$115,8,FALSE)),"",VLOOKUP(CU4,Water!$B$6:$I$115,8,FALSE))</f>
        <v/>
      </c>
      <c r="CV5" t="str">
        <f>IF(ISBLANK(VLOOKUP(CV4,Water!$B$6:$I$115,8,FALSE)),"",VLOOKUP(CV4,Water!$B$6:$I$115,8,FALSE))</f>
        <v/>
      </c>
      <c r="CW5" t="str">
        <f>IF(ISBLANK(VLOOKUP(CW4,Water!$B$6:$I$115,8,FALSE)),"",VLOOKUP(CW4,Water!$B$6:$I$115,8,FALSE))</f>
        <v>Uncertain</v>
      </c>
      <c r="CX5" t="str">
        <f>IF(ISBLANK(VLOOKUP(CX4,Water!$B$6:$I$115,8,FALSE)),"",VLOOKUP(CX4,Water!$B$6:$I$115,8,FALSE))</f>
        <v>Reliable</v>
      </c>
      <c r="CY5" t="str">
        <f>IF(ISBLANK(VLOOKUP(CY4,Water!$B$6:$I$115,8,FALSE)),"",VLOOKUP(CY4,Water!$B$6:$I$115,8,FALSE))</f>
        <v>Reliable</v>
      </c>
      <c r="CZ5" t="str">
        <f>IF(ISBLANK(VLOOKUP(CZ4,Water!$B$6:$I$115,8,FALSE)),"",VLOOKUP(CZ4,Water!$B$6:$I$115,8,FALSE))</f>
        <v>Reliable</v>
      </c>
      <c r="DA5" t="str">
        <f>IF(ISBLANK(VLOOKUP(DA4,Water!$B$6:$I$115,8,FALSE)),"",VLOOKUP(DA4,Water!$B$6:$I$115,8,FALSE))</f>
        <v>Reliable</v>
      </c>
      <c r="DB5" t="str">
        <f>IF(ISBLANK(VLOOKUP(DB4,Water!$B$6:$I$115,8,FALSE)),"",VLOOKUP(DB4,Water!$B$6:$I$115,8,FALSE))</f>
        <v>Calc</v>
      </c>
      <c r="DC5" t="str">
        <f>IF(ISBLANK(VLOOKUP(DC4,Water!$B$6:$I$115,8,FALSE)),"",VLOOKUP(DC4,Water!$B$6:$I$115,8,FALSE))</f>
        <v>Calc</v>
      </c>
      <c r="DD5" t="str">
        <f>IF(ISBLANK(VLOOKUP(DD4,Water!$B$6:$I$115,8,FALSE)),"",VLOOKUP(DD4,Water!$B$6:$I$115,8,FALSE))</f>
        <v>Reliable</v>
      </c>
      <c r="DE5" t="str">
        <f>IF(ISBLANK(VLOOKUP(DE4,Water!$B$6:$I$115,8,FALSE)),"",VLOOKUP(DE4,Water!$B$6:$I$115,8,FALSE))</f>
        <v>Reliable</v>
      </c>
      <c r="DF5" t="str">
        <f>IF(ISBLANK(VLOOKUP(DF4,Water!$B$6:$I$115,8,FALSE)),"",VLOOKUP(DF4,Water!$B$6:$I$115,8,FALSE))</f>
        <v/>
      </c>
      <c r="DG5" t="str">
        <f>IF(ISBLANK(VLOOKUP(DG4,Water!$B$6:$I$115,8,FALSE)),"",VLOOKUP(DG4,Water!$B$6:$I$115,8,FALSE))</f>
        <v/>
      </c>
      <c r="DH5" t="str">
        <f>IF(ISBLANK(VLOOKUP(DH4,Water!$B$6:$I$115,8,FALSE)),"",VLOOKUP(DH4,Water!$B$6:$I$115,8,FALSE))</f>
        <v/>
      </c>
      <c r="DI5" t="str">
        <f>IF(ISBLANK(VLOOKUP(DI4,Water!$B$6:$I$115,8,FALSE)),"",VLOOKUP(DI4,Water!$B$6:$I$115,8,FALSE))</f>
        <v/>
      </c>
      <c r="DJ5" t="str">
        <f>IF(ISBLANK(VLOOKUP(DJ4,Water!$B$6:$I$115,8,FALSE)),"",VLOOKUP(DJ4,Water!$B$6:$I$115,8,FALSE))</f>
        <v/>
      </c>
      <c r="DK5" t="str">
        <f>IF(ISBLANK(VLOOKUP(DK4,Water!$B$6:$I$115,8,FALSE)),"",VLOOKUP(DK4,Water!$B$6:$I$115,8,FALSE))</f>
        <v>Calc</v>
      </c>
      <c r="DL5" t="str">
        <f>IF(ISBLANK(VLOOKUP(DL4,Water!$B$6:$I$115,8,FALSE)),"",VLOOKUP(DL4,Water!$B$6:$I$115,8,FALSE))</f>
        <v>Calc</v>
      </c>
      <c r="DM5" t="str">
        <f>IF(ISBLANK(VLOOKUP(DM4,Water!$B$6:$I$115,8,FALSE)),"",VLOOKUP(DM4,Water!$B$6:$I$115,8,FALSE))</f>
        <v>Reliable</v>
      </c>
      <c r="DN5" t="str">
        <f>IF(ISBLANK(VLOOKUP(DN4,Water!$B$6:$I$115,8,FALSE)),"",VLOOKUP(DN4,Water!$B$6:$I$115,8,FALSE))</f>
        <v>Reliable</v>
      </c>
      <c r="DO5" t="str">
        <f>IF(ISBLANK(VLOOKUP(DO4,Water!$B$6:$I$115,8,FALSE)),"",VLOOKUP(DO4,Water!$B$6:$I$115,8,FALSE))</f>
        <v>Calc</v>
      </c>
      <c r="DP5" t="str">
        <f>IF(ISBLANK(VLOOKUP(DP4,Water!$B$6:$I$115,8,FALSE)),"",VLOOKUP(DP4,Water!$B$6:$I$115,8,FALSE))</f>
        <v>Calc</v>
      </c>
      <c r="DQ5" t="str">
        <f>IF(ISBLANK(VLOOKUP(DQ4,Water!$B$6:$I$115,8,FALSE)),"",VLOOKUP(DQ4,Water!$B$6:$I$115,8,FALSE))</f>
        <v>Calc</v>
      </c>
      <c r="DR5" t="str">
        <f>IF(ISBLANK(VLOOKUP(DR4,Water!$B$6:$I$115,8,FALSE)),"",VLOOKUP(DR4,Water!$B$6:$I$115,8,FALSE))</f>
        <v>Calc</v>
      </c>
      <c r="DS5" t="str">
        <f>IF(ISBLANK(VLOOKUP(DS4,Water!$B$6:$I$115,8,FALSE)),"",VLOOKUP(DS4,Water!$B$6:$I$115,8,FALSE))</f>
        <v>Calc</v>
      </c>
      <c r="DT5" t="str">
        <f>IF(ISBLANK(VLOOKUP(DT4,Water!$B$6:$I$115,8,FALSE)),"",VLOOKUP(DT4,Water!$B$6:$I$115,8,FALSE))</f>
        <v>Reliable</v>
      </c>
      <c r="DU5" t="str">
        <f>IF(ISBLANK(VLOOKUP(DU4,Water!$B$6:$I$115,8,FALSE)),"",VLOOKUP(DU4,Water!$B$6:$I$115,8,FALSE))</f>
        <v>Reliable</v>
      </c>
      <c r="DV5" t="str">
        <f>IF(ISBLANK(VLOOKUP(DV4,Water!$B$6:$I$115,8,FALSE)),"",VLOOKUP(DV4,Water!$B$6:$I$115,8,FALSE))</f>
        <v>Reliable</v>
      </c>
      <c r="DW5" t="str">
        <f>IF(ISBLANK(VLOOKUP(DW4,Water!$B$6:$I$115,8,FALSE)),"",VLOOKUP(DW4,Water!$B$6:$I$115,8,FALSE))</f>
        <v>Calc</v>
      </c>
      <c r="DX5" t="str">
        <f>IF(ISBLANK(VLOOKUP(DX4,Water!$B$6:$I$115,8,FALSE)),"",VLOOKUP(DX4,Water!$B$6:$I$115,8,FALSE))</f>
        <v>Reliable</v>
      </c>
      <c r="DY5" t="str">
        <f>IF(ISBLANK(VLOOKUP(DY4,Water!$B$6:$I$115,8,FALSE)),"",VLOOKUP(DY4,Water!$B$6:$I$115,8,FALSE))</f>
        <v>Reliable</v>
      </c>
      <c r="DZ5" t="str">
        <f>IF(ISBLANK(VLOOKUP(DZ4,Water!$B$6:$I$115,8,FALSE)),"",VLOOKUP(DZ4,Water!$B$6:$I$115,8,FALSE))</f>
        <v>Reliable</v>
      </c>
      <c r="EA5" t="str">
        <f>IF(ISBLANK(VLOOKUP(EA4,Water!$B$6:$I$115,8,FALSE)),"",VLOOKUP(EA4,Water!$B$6:$I$115,8,FALSE))</f>
        <v>Calc</v>
      </c>
      <c r="EB5" t="str">
        <f>IF(ISBLANK(VLOOKUP(EB4,Water!$B$6:$I$115,8,FALSE)),"",VLOOKUP(EB4,Water!$B$6:$I$115,8,FALSE))</f>
        <v>Reliable</v>
      </c>
      <c r="EC5" t="str">
        <f>IF(ISBLANK(VLOOKUP(EC4,Water!$B$6:$I$115,8,FALSE)),"",VLOOKUP(EC4,Water!$B$6:$I$115,8,FALSE))</f>
        <v>Reliable</v>
      </c>
      <c r="ED5" t="str">
        <f>IF(ISBLANK(VLOOKUP(ED4,Water!$B$6:$I$115,8,FALSE)),"",VLOOKUP(ED4,Water!$B$6:$I$115,8,FALSE))</f>
        <v>Reliable</v>
      </c>
      <c r="EE5" t="str">
        <f>IF(ISBLANK(VLOOKUP(EE4,Water!$B$6:$I$115,8,FALSE)),"",VLOOKUP(EE4,Water!$B$6:$I$115,8,FALSE))</f>
        <v>Calc</v>
      </c>
      <c r="EF5" t="str">
        <f>IF(ISBLANK(VLOOKUP(EF4,Water!$B$6:$I$115,8,FALSE)),"",VLOOKUP(EF4,Water!$B$6:$I$115,8,FALSE))</f>
        <v/>
      </c>
      <c r="EG5" t="str">
        <f>IF(ISBLANK(VLOOKUP(EG4,Wastewater!$B$6:$I$136,8,FALSE)),"",VLOOKUP(EG4,Wastewater!$B$6:$I$136,8,FALSE))</f>
        <v>Calc</v>
      </c>
      <c r="EH5" t="str">
        <f>IF(ISBLANK(VLOOKUP(EH4,Wastewater!$B$6:$I$136,8,FALSE)),"",VLOOKUP(EH4,Wastewater!$B$6:$I$136,8,FALSE))</f>
        <v>Calc</v>
      </c>
      <c r="EI5" t="str">
        <f>IF(ISBLANK(VLOOKUP(EI4,Wastewater!$B$6:$I$136,8,FALSE)),"",VLOOKUP(EI4,Wastewater!$B$6:$I$136,8,FALSE))</f>
        <v>Reliable</v>
      </c>
      <c r="EJ5" t="str">
        <f>IF(ISBLANK(VLOOKUP(EJ4,Wastewater!$B$6:$I$136,8,FALSE)),"",VLOOKUP(EJ4,Wastewater!$B$6:$I$136,8,FALSE))</f>
        <v>Reliable</v>
      </c>
      <c r="EK5" t="str">
        <f>IF(ISBLANK(VLOOKUP(EK4,Wastewater!$B$6:$I$136,8,FALSE)),"",VLOOKUP(EK4,Wastewater!$B$6:$I$136,8,FALSE))</f>
        <v>Calc</v>
      </c>
      <c r="EL5" t="str">
        <f>IF(ISBLANK(VLOOKUP(EL4,Wastewater!$B$6:$I$136,8,FALSE)),"",VLOOKUP(EL4,Wastewater!$B$6:$I$136,8,FALSE))</f>
        <v>Reliable</v>
      </c>
      <c r="EM5" t="str">
        <f>IF(ISBLANK(VLOOKUP(EM4,Wastewater!$B$6:$I$136,8,FALSE)),"",VLOOKUP(EM4,Wastewater!$B$6:$I$136,8,FALSE))</f>
        <v>Reliable</v>
      </c>
      <c r="EN5" t="str">
        <f>IF(ISBLANK(VLOOKUP(EN4,Wastewater!$B$6:$I$136,8,FALSE)),"",VLOOKUP(EN4,Wastewater!$B$6:$I$136,8,FALSE))</f>
        <v>Calc</v>
      </c>
      <c r="EO5" t="str">
        <f>IF(ISBLANK(VLOOKUP(EO4,Wastewater!$B$6:$I$136,8,FALSE)),"",VLOOKUP(EO4,Wastewater!$B$6:$I$136,8,FALSE))</f>
        <v>Highly reliable</v>
      </c>
      <c r="EP5" t="str">
        <f>IF(ISBLANK(VLOOKUP(EP4,Wastewater!$B$6:$I$136,8,FALSE)),"",VLOOKUP(EP4,Wastewater!$B$6:$I$136,8,FALSE))</f>
        <v>Reliable</v>
      </c>
      <c r="EQ5" t="str">
        <f>IF(ISBLANK(VLOOKUP(EQ4,Wastewater!$B$6:$I$136,8,FALSE)),"",VLOOKUP(EQ4,Wastewater!$B$6:$I$136,8,FALSE))</f>
        <v/>
      </c>
      <c r="ER5" t="str">
        <f>IF(ISBLANK(VLOOKUP(ER4,Wastewater!$B$6:$I$136,8,FALSE)),"",VLOOKUP(ER4,Wastewater!$B$6:$I$136,8,FALSE))</f>
        <v/>
      </c>
      <c r="ES5" t="str">
        <f>IF(ISBLANK(VLOOKUP(ES4,Wastewater!$B$6:$I$136,8,FALSE)),"",VLOOKUP(ES4,Wastewater!$B$6:$I$136,8,FALSE))</f>
        <v/>
      </c>
      <c r="ET5" t="str">
        <f>IF(ISBLANK(VLOOKUP(ET4,Wastewater!$B$6:$I$136,8,FALSE)),"",VLOOKUP(ET4,Wastewater!$B$6:$I$136,8,FALSE))</f>
        <v/>
      </c>
      <c r="EU5" t="str">
        <f>IF(ISBLANK(VLOOKUP(EU4,Wastewater!$B$6:$I$136,8,FALSE)),"",VLOOKUP(EU4,Wastewater!$B$6:$I$136,8,FALSE))</f>
        <v/>
      </c>
      <c r="EV5" t="str">
        <f>IF(ISBLANK(VLOOKUP(EV4,Wastewater!$B$6:$I$136,8,FALSE)),"",VLOOKUP(EV4,Wastewater!$B$6:$I$136,8,FALSE))</f>
        <v/>
      </c>
      <c r="EW5" t="str">
        <f>IF(ISBLANK(VLOOKUP(EW4,Wastewater!$B$6:$I$136,8,FALSE)),"",VLOOKUP(EW4,Wastewater!$B$6:$I$136,8,FALSE))</f>
        <v/>
      </c>
      <c r="EX5" t="str">
        <f>IF(ISBLANK(VLOOKUP(EX4,Wastewater!$B$6:$I$136,8,FALSE)),"",VLOOKUP(EX4,Wastewater!$B$6:$I$136,8,FALSE))</f>
        <v/>
      </c>
      <c r="EY5" t="str">
        <f>IF(ISBLANK(VLOOKUP(EY4,Wastewater!$B$6:$I$136,8,FALSE)),"",VLOOKUP(EY4,Wastewater!$B$6:$I$136,8,FALSE))</f>
        <v>Reliable</v>
      </c>
      <c r="EZ5" t="str">
        <f>IF(ISBLANK(VLOOKUP(EZ4,Wastewater!$B$6:$I$136,8,FALSE)),"",VLOOKUP(EZ4,Wastewater!$B$6:$I$136,8,FALSE))</f>
        <v/>
      </c>
      <c r="FA5" t="str">
        <f>IF(ISBLANK(VLOOKUP(FA4,Wastewater!$B$6:$I$136,8,FALSE)),"",VLOOKUP(FA4,Wastewater!$B$6:$I$136,8,FALSE))</f>
        <v/>
      </c>
      <c r="FB5" t="str">
        <f>IF(ISBLANK(VLOOKUP(FB4,Wastewater!$B$6:$I$136,8,FALSE)),"",VLOOKUP(FB4,Wastewater!$B$6:$I$136,8,FALSE))</f>
        <v/>
      </c>
      <c r="FC5" t="str">
        <f>IF(ISBLANK(VLOOKUP(FC4,Wastewater!$B$6:$I$136,8,FALSE)),"",VLOOKUP(FC4,Wastewater!$B$6:$I$136,8,FALSE))</f>
        <v/>
      </c>
      <c r="FD5" t="str">
        <f>IF(ISBLANK(VLOOKUP(FD4,Wastewater!$B$6:$I$136,8,FALSE)),"",VLOOKUP(FD4,Wastewater!$B$6:$I$136,8,FALSE))</f>
        <v/>
      </c>
      <c r="FE5" t="str">
        <f>IF(ISBLANK(VLOOKUP(FE4,Wastewater!$B$6:$I$136,8,FALSE)),"",VLOOKUP(FE4,Wastewater!$B$6:$I$136,8,FALSE))</f>
        <v/>
      </c>
      <c r="FF5" t="str">
        <f>IF(ISBLANK(VLOOKUP(FF4,Wastewater!$B$6:$I$136,8,FALSE)),"",VLOOKUP(FF4,Wastewater!$B$6:$I$136,8,FALSE))</f>
        <v/>
      </c>
      <c r="FG5" t="str">
        <f>IF(ISBLANK(VLOOKUP(FG4,Wastewater!$B$6:$I$136,8,FALSE)),"",VLOOKUP(FG4,Wastewater!$B$6:$I$136,8,FALSE))</f>
        <v/>
      </c>
      <c r="FH5" t="str">
        <f>IF(ISBLANK(VLOOKUP(FH4,Wastewater!$B$6:$I$136,8,FALSE)),"",VLOOKUP(FH4,Wastewater!$B$6:$I$136,8,FALSE))</f>
        <v>Reliable</v>
      </c>
      <c r="FI5" t="str">
        <f>IF(ISBLANK(VLOOKUP(FI4,Wastewater!$B$6:$I$136,8,FALSE)),"",VLOOKUP(FI4,Wastewater!$B$6:$I$136,8,FALSE))</f>
        <v/>
      </c>
      <c r="FJ5" t="str">
        <f>IF(ISBLANK(VLOOKUP(FJ4,Wastewater!$B$6:$I$136,8,FALSE)),"",VLOOKUP(FJ4,Wastewater!$B$6:$I$136,8,FALSE))</f>
        <v>Reliable</v>
      </c>
      <c r="FK5" t="str">
        <f>IF(ISBLANK(VLOOKUP(FK4,Wastewater!$B$6:$I$136,8,FALSE)),"",VLOOKUP(FK4,Wastewater!$B$6:$I$136,8,FALSE))</f>
        <v/>
      </c>
      <c r="FL5" t="str">
        <f>IF(ISBLANK(VLOOKUP(FL4,Wastewater!$B$6:$I$136,8,FALSE)),"",VLOOKUP(FL4,Wastewater!$B$6:$I$136,8,FALSE))</f>
        <v/>
      </c>
      <c r="FM5" t="str">
        <f>IF(ISBLANK(VLOOKUP(FM4,Wastewater!$B$6:$I$136,8,FALSE)),"",VLOOKUP(FM4,Wastewater!$B$6:$I$136,8,FALSE))</f>
        <v>Reliable</v>
      </c>
      <c r="FN5" t="str">
        <f>IF(ISBLANK(VLOOKUP(FN4,Wastewater!$B$6:$I$136,8,FALSE)),"",VLOOKUP(FN4,Wastewater!$B$6:$I$136,8,FALSE))</f>
        <v/>
      </c>
      <c r="FO5" t="str">
        <f>IF(ISBLANK(VLOOKUP(FO4,Wastewater!$B$6:$I$136,8,FALSE)),"",VLOOKUP(FO4,Wastewater!$B$6:$I$136,8,FALSE))</f>
        <v/>
      </c>
      <c r="FP5" t="str">
        <f>IF(ISBLANK(VLOOKUP(FP4,Wastewater!$B$6:$I$136,8,FALSE)),"",VLOOKUP(FP4,Wastewater!$B$6:$I$136,8,FALSE))</f>
        <v/>
      </c>
      <c r="FQ5" t="str">
        <f>IF(ISBLANK(VLOOKUP(FQ4,Wastewater!$B$6:$I$136,8,FALSE)),"",VLOOKUP(FQ4,Wastewater!$B$6:$I$136,8,FALSE))</f>
        <v/>
      </c>
      <c r="FR5" t="str">
        <f>IF(ISBLANK(VLOOKUP(FR4,Wastewater!$B$6:$I$136,8,FALSE)),"",VLOOKUP(FR4,Wastewater!$B$6:$I$136,8,FALSE))</f>
        <v/>
      </c>
      <c r="FS5" t="str">
        <f>IF(ISBLANK(VLOOKUP(FS4,Wastewater!$B$6:$I$136,8,FALSE)),"",VLOOKUP(FS4,Wastewater!$B$6:$I$136,8,FALSE))</f>
        <v/>
      </c>
      <c r="FT5" t="str">
        <f>IF(ISBLANK(VLOOKUP(FT4,Wastewater!$B$6:$I$136,8,FALSE)),"",VLOOKUP(FT4,Wastewater!$B$6:$I$136,8,FALSE))</f>
        <v/>
      </c>
      <c r="FU5" t="str">
        <f>IF(ISBLANK(VLOOKUP(FU4,Wastewater!$B$6:$I$136,8,FALSE)),"",VLOOKUP(FU4,Wastewater!$B$6:$I$136,8,FALSE))</f>
        <v/>
      </c>
      <c r="FV5" t="str">
        <f>IF(ISBLANK(VLOOKUP(FV4,Wastewater!$B$6:$I$136,8,FALSE)),"",VLOOKUP(FV4,Wastewater!$B$6:$I$136,8,FALSE))</f>
        <v>Reliable</v>
      </c>
      <c r="FW5" t="str">
        <f>IF(ISBLANK(VLOOKUP(FW4,Wastewater!$B$6:$I$136,8,FALSE)),"",VLOOKUP(FW4,Wastewater!$B$6:$I$136,8,FALSE))</f>
        <v/>
      </c>
      <c r="FX5" t="str">
        <f>IF(ISBLANK(VLOOKUP(FX4,Wastewater!$B$6:$I$136,8,FALSE)),"",VLOOKUP(FX4,Wastewater!$B$6:$I$136,8,FALSE))</f>
        <v/>
      </c>
      <c r="FY5" t="str">
        <f>IF(ISBLANK(VLOOKUP(FY4,Wastewater!$B$6:$I$136,8,FALSE)),"",VLOOKUP(FY4,Wastewater!$B$6:$I$136,8,FALSE))</f>
        <v/>
      </c>
      <c r="FZ5" t="str">
        <f>IF(ISBLANK(VLOOKUP(FZ4,Wastewater!$B$6:$I$136,8,FALSE)),"",VLOOKUP(FZ4,Wastewater!$B$6:$I$136,8,FALSE))</f>
        <v/>
      </c>
      <c r="GA5" t="str">
        <f>IF(ISBLANK(VLOOKUP(GA4,Wastewater!$B$6:$I$136,8,FALSE)),"",VLOOKUP(GA4,Wastewater!$B$6:$I$136,8,FALSE))</f>
        <v>Highly reliable</v>
      </c>
      <c r="GB5" t="str">
        <f>IF(ISBLANK(VLOOKUP(GB4,Wastewater!$B$6:$I$136,8,FALSE)),"",VLOOKUP(GB4,Wastewater!$B$6:$I$136,8,FALSE))</f>
        <v>Calc</v>
      </c>
      <c r="GC5" t="str">
        <f>IF(ISBLANK(VLOOKUP(GC4,Wastewater!$B$6:$I$136,8,FALSE)),"",VLOOKUP(GC4,Wastewater!$B$6:$I$136,8,FALSE))</f>
        <v>Reliable</v>
      </c>
      <c r="GD5" t="str">
        <f>IF(ISBLANK(VLOOKUP(GD4,Wastewater!$B$6:$I$136,8,FALSE)),"",VLOOKUP(GD4,Wastewater!$B$6:$I$136,8,FALSE))</f>
        <v/>
      </c>
      <c r="GE5" t="str">
        <f>IF(ISBLANK(VLOOKUP(GE4,Wastewater!$B$6:$I$136,8,FALSE)),"",VLOOKUP(GE4,Wastewater!$B$6:$I$136,8,FALSE))</f>
        <v/>
      </c>
      <c r="GF5" t="str">
        <f>IF(ISBLANK(VLOOKUP(GF4,Wastewater!$B$6:$I$136,8,FALSE)),"",VLOOKUP(GF4,Wastewater!$B$6:$I$136,8,FALSE))</f>
        <v/>
      </c>
      <c r="GG5" t="str">
        <f>IF(ISBLANK(VLOOKUP(GG4,Wastewater!$B$6:$I$136,8,FALSE)),"",VLOOKUP(GG4,Wastewater!$B$6:$I$136,8,FALSE))</f>
        <v>Calc</v>
      </c>
      <c r="GH5" t="str">
        <f>IF(ISBLANK(VLOOKUP(GH4,Wastewater!$B$6:$I$136,8,FALSE)),"",VLOOKUP(GH4,Wastewater!$B$6:$I$136,8,FALSE))</f>
        <v/>
      </c>
      <c r="GI5" t="str">
        <f>IF(ISBLANK(VLOOKUP(GI4,Wastewater!$B$6:$I$136,8,FALSE)),"",VLOOKUP(GI4,Wastewater!$B$6:$I$136,8,FALSE))</f>
        <v>Reliable</v>
      </c>
      <c r="GJ5" t="str">
        <f>IF(ISBLANK(VLOOKUP(GJ4,Wastewater!$B$6:$I$136,8,FALSE)),"",VLOOKUP(GJ4,Wastewater!$B$6:$I$136,8,FALSE))</f>
        <v/>
      </c>
      <c r="GK5" t="str">
        <f>IF(ISBLANK(VLOOKUP(GK4,Wastewater!$B$6:$I$136,8,FALSE)),"",VLOOKUP(GK4,Wastewater!$B$6:$I$136,8,FALSE))</f>
        <v/>
      </c>
      <c r="GL5" t="str">
        <f>IF(ISBLANK(VLOOKUP(GL4,Wastewater!$B$6:$I$136,8,FALSE)),"",VLOOKUP(GL4,Wastewater!$B$6:$I$136,8,FALSE))</f>
        <v/>
      </c>
      <c r="GM5" t="str">
        <f>IF(ISBLANK(VLOOKUP(GM4,Wastewater!$B$6:$I$136,8,FALSE)),"",VLOOKUP(GM4,Wastewater!$B$6:$I$136,8,FALSE))</f>
        <v/>
      </c>
      <c r="GN5" t="str">
        <f>IF(ISBLANK(VLOOKUP(GN4,Wastewater!$B$6:$I$136,8,FALSE)),"",VLOOKUP(GN4,Wastewater!$B$6:$I$136,8,FALSE))</f>
        <v/>
      </c>
      <c r="GO5" t="str">
        <f>IF(ISBLANK(VLOOKUP(GO4,Wastewater!$B$6:$I$136,8,FALSE)),"",VLOOKUP(GO4,Wastewater!$B$6:$I$136,8,FALSE))</f>
        <v>Highly reliable</v>
      </c>
      <c r="GP5" t="str">
        <f>IF(ISBLANK(VLOOKUP(GP4,Wastewater!$B$6:$I$136,8,FALSE)),"",VLOOKUP(GP4,Wastewater!$B$6:$I$136,8,FALSE))</f>
        <v>Highly reliable</v>
      </c>
      <c r="GQ5" t="str">
        <f>IF(ISBLANK(VLOOKUP(GQ4,Wastewater!$B$6:$I$136,8,FALSE)),"",VLOOKUP(GQ4,Wastewater!$B$6:$I$136,8,FALSE))</f>
        <v>Highly reliable</v>
      </c>
      <c r="GR5" t="str">
        <f>IF(ISBLANK(VLOOKUP(GR4,Wastewater!$B$6:$I$136,8,FALSE)),"",VLOOKUP(GR4,Wastewater!$B$6:$I$136,8,FALSE))</f>
        <v>Highly reliable</v>
      </c>
      <c r="GS5" t="str">
        <f>IF(ISBLANK(VLOOKUP(GS4,Wastewater!$B$6:$I$136,8,FALSE)),"",VLOOKUP(GS4,Wastewater!$B$6:$I$136,8,FALSE))</f>
        <v>Reliable</v>
      </c>
      <c r="GT5" t="str">
        <f>IF(ISBLANK(VLOOKUP(GT4,Wastewater!$B$6:$I$136,8,FALSE)),"",VLOOKUP(GT4,Wastewater!$B$6:$I$136,8,FALSE))</f>
        <v>Reliable</v>
      </c>
      <c r="GU5" t="str">
        <f>IF(ISBLANK(VLOOKUP(GU4,Wastewater!$B$6:$I$136,8,FALSE)),"",VLOOKUP(GU4,Wastewater!$B$6:$I$136,8,FALSE))</f>
        <v>Reliable</v>
      </c>
      <c r="GV5" t="str">
        <f>IF(ISBLANK(VLOOKUP(GV4,Wastewater!$B$6:$I$136,8,FALSE)),"",VLOOKUP(GV4,Wastewater!$B$6:$I$136,8,FALSE))</f>
        <v>Reliable</v>
      </c>
      <c r="GW5" t="str">
        <f>IF(ISBLANK(VLOOKUP(GW4,Wastewater!$B$6:$I$136,8,FALSE)),"",VLOOKUP(GW4,Wastewater!$B$6:$I$136,8,FALSE))</f>
        <v>Reliable</v>
      </c>
      <c r="GX5" t="str">
        <f>IF(ISBLANK(VLOOKUP(GX4,Wastewater!$B$6:$I$136,8,FALSE)),"",VLOOKUP(GX4,Wastewater!$B$6:$I$136,8,FALSE))</f>
        <v>Reliable</v>
      </c>
      <c r="GY5" t="str">
        <f>IF(ISBLANK(VLOOKUP(GY4,Wastewater!$B$6:$I$136,8,FALSE)),"",VLOOKUP(GY4,Wastewater!$B$6:$I$136,8,FALSE))</f>
        <v/>
      </c>
      <c r="GZ5" t="str">
        <f>IF(ISBLANK(VLOOKUP(GZ4,Wastewater!$B$6:$I$136,8,FALSE)),"",VLOOKUP(GZ4,Wastewater!$B$6:$I$136,8,FALSE))</f>
        <v>Calc</v>
      </c>
      <c r="HA5" t="str">
        <f>IF(ISBLANK(VLOOKUP(HA4,Wastewater!$B$6:$I$136,8,FALSE)),"",VLOOKUP(HA4,Wastewater!$B$6:$I$136,8,FALSE))</f>
        <v/>
      </c>
      <c r="HB5" t="str">
        <f>IF(ISBLANK(VLOOKUP(HB4,Wastewater!$B$6:$I$136,8,FALSE)),"",VLOOKUP(HB4,Wastewater!$B$6:$I$136,8,FALSE))</f>
        <v/>
      </c>
      <c r="HC5" t="str">
        <f>IF(ISBLANK(VLOOKUP(HC4,Wastewater!$B$6:$I$136,8,FALSE)),"",VLOOKUP(HC4,Wastewater!$B$6:$I$136,8,FALSE))</f>
        <v/>
      </c>
      <c r="HD5" t="str">
        <f>IF(ISBLANK(VLOOKUP(HD4,Wastewater!$B$6:$I$136,8,FALSE)),"",VLOOKUP(HD4,Wastewater!$B$6:$I$136,8,FALSE))</f>
        <v/>
      </c>
      <c r="HE5" t="str">
        <f>IF(ISBLANK(VLOOKUP(HE4,Wastewater!$B$6:$I$136,8,FALSE)),"",VLOOKUP(HE4,Wastewater!$B$6:$I$136,8,FALSE))</f>
        <v/>
      </c>
      <c r="HF5" t="str">
        <f>IF(ISBLANK(VLOOKUP(HF4,Wastewater!$B$6:$I$136,8,FALSE)),"",VLOOKUP(HF4,Wastewater!$B$6:$I$136,8,FALSE))</f>
        <v/>
      </c>
      <c r="HG5" t="str">
        <f>IF(ISBLANK(VLOOKUP(HG4,Wastewater!$B$6:$I$136,8,FALSE)),"",VLOOKUP(HG4,Wastewater!$B$6:$I$136,8,FALSE))</f>
        <v/>
      </c>
      <c r="HH5" t="str">
        <f>IF(ISBLANK(VLOOKUP(HH4,Wastewater!$B$6:$I$136,8,FALSE)),"",VLOOKUP(HH4,Wastewater!$B$6:$I$136,8,FALSE))</f>
        <v/>
      </c>
      <c r="HI5" t="str">
        <f>IF(ISBLANK(VLOOKUP(HI4,Wastewater!$B$6:$I$136,8,FALSE)),"",VLOOKUP(HI4,Wastewater!$B$6:$I$136,8,FALSE))</f>
        <v/>
      </c>
      <c r="HJ5" t="str">
        <f>IF(ISBLANK(VLOOKUP(HJ4,Wastewater!$B$6:$I$136,8,FALSE)),"",VLOOKUP(HJ4,Wastewater!$B$6:$I$136,8,FALSE))</f>
        <v/>
      </c>
      <c r="HK5" t="str">
        <f>IF(ISBLANK(VLOOKUP(HK4,Wastewater!$B$6:$I$136,8,FALSE)),"",VLOOKUP(HK4,Wastewater!$B$6:$I$136,8,FALSE))</f>
        <v/>
      </c>
      <c r="HL5" t="str">
        <f>IF(ISBLANK(VLOOKUP(HL4,Wastewater!$B$6:$I$136,8,FALSE)),"",VLOOKUP(HL4,Wastewater!$B$6:$I$136,8,FALSE))</f>
        <v/>
      </c>
      <c r="HM5" t="str">
        <f>IF(ISBLANK(VLOOKUP(HM4,Wastewater!$B$6:$I$136,8,FALSE)),"",VLOOKUP(HM4,Wastewater!$B$6:$I$136,8,FALSE))</f>
        <v/>
      </c>
      <c r="HN5" t="str">
        <f>IF(ISBLANK(VLOOKUP(HN4,Wastewater!$B$6:$I$136,8,FALSE)),"",VLOOKUP(HN4,Wastewater!$B$6:$I$136,8,FALSE))</f>
        <v>Calc</v>
      </c>
      <c r="HO5" t="str">
        <f>IF(ISBLANK(VLOOKUP(HO4,Wastewater!$B$6:$I$136,8,FALSE)),"",VLOOKUP(HO4,Wastewater!$B$6:$I$136,8,FALSE))</f>
        <v>Calc</v>
      </c>
      <c r="HP5" t="str">
        <f>IF(ISBLANK(VLOOKUP(HP4,Wastewater!$B$6:$I$136,8,FALSE)),"",VLOOKUP(HP4,Wastewater!$B$6:$I$136,8,FALSE))</f>
        <v/>
      </c>
      <c r="HQ5" t="str">
        <f>IF(ISBLANK(VLOOKUP(HQ4,Wastewater!$B$6:$I$136,8,FALSE)),"",VLOOKUP(HQ4,Wastewater!$B$6:$I$136,8,FALSE))</f>
        <v/>
      </c>
      <c r="HR5" t="str">
        <f>IF(ISBLANK(VLOOKUP(HR4,Wastewater!$B$6:$I$136,8,FALSE)),"",VLOOKUP(HR4,Wastewater!$B$6:$I$136,8,FALSE))</f>
        <v/>
      </c>
      <c r="HS5" t="str">
        <f>IF(ISBLANK(VLOOKUP(HS4,Wastewater!$B$6:$I$136,8,FALSE)),"",VLOOKUP(HS4,Wastewater!$B$6:$I$136,8,FALSE))</f>
        <v/>
      </c>
      <c r="HT5" t="str">
        <f>IF(ISBLANK(VLOOKUP(HT4,Wastewater!$B$6:$I$136,8,FALSE)),"",VLOOKUP(HT4,Wastewater!$B$6:$I$136,8,FALSE))</f>
        <v>Calc</v>
      </c>
      <c r="HU5" t="str">
        <f>IF(ISBLANK(VLOOKUP(HU4,Wastewater!$B$6:$I$136,8,FALSE)),"",VLOOKUP(HU4,Wastewater!$B$6:$I$136,8,FALSE))</f>
        <v/>
      </c>
      <c r="HV5" t="str">
        <f>IF(ISBLANK(VLOOKUP(HV4,Wastewater!$B$6:$I$136,8,FALSE)),"",VLOOKUP(HV4,Wastewater!$B$6:$I$136,8,FALSE))</f>
        <v/>
      </c>
      <c r="HW5" t="str">
        <f>IF(ISBLANK(VLOOKUP(HW4,Wastewater!$B$6:$I$136,8,FALSE)),"",VLOOKUP(HW4,Wastewater!$B$6:$I$136,8,FALSE))</f>
        <v/>
      </c>
      <c r="HX5" t="str">
        <f>IF(ISBLANK(VLOOKUP(HX4,Wastewater!$B$6:$I$136,8,FALSE)),"",VLOOKUP(HX4,Wastewater!$B$6:$I$136,8,FALSE))</f>
        <v/>
      </c>
      <c r="HY5" t="str">
        <f>IF(ISBLANK(VLOOKUP(HY4,Wastewater!$B$6:$I$136,8,FALSE)),"",VLOOKUP(HY4,Wastewater!$B$6:$I$136,8,FALSE))</f>
        <v>Calc</v>
      </c>
      <c r="HZ5" t="str">
        <f>IF(ISBLANK(VLOOKUP(HZ4,Wastewater!$B$6:$I$136,8,FALSE)),"",VLOOKUP(HZ4,Wastewater!$B$6:$I$136,8,FALSE))</f>
        <v/>
      </c>
      <c r="IA5" t="str">
        <f>IF(ISBLANK(VLOOKUP(IA4,Wastewater!$B$6:$I$136,8,FALSE)),"",VLOOKUP(IA4,Wastewater!$B$6:$I$136,8,FALSE))</f>
        <v>Reliable</v>
      </c>
      <c r="IB5" t="str">
        <f>IF(ISBLANK(VLOOKUP(IB4,Wastewater!$B$6:$I$136,8,FALSE)),"",VLOOKUP(IB4,Wastewater!$B$6:$I$136,8,FALSE))</f>
        <v>Reliable</v>
      </c>
      <c r="IC5" t="str">
        <f>IF(ISBLANK(VLOOKUP(IC4,Wastewater!$B$6:$I$136,8,FALSE)),"",VLOOKUP(IC4,Wastewater!$B$6:$I$136,8,FALSE))</f>
        <v>Calc</v>
      </c>
      <c r="ID5" t="str">
        <f>IF(ISBLANK(VLOOKUP(ID4,Wastewater!$B$6:$I$136,8,FALSE)),"",VLOOKUP(ID4,Wastewater!$B$6:$I$136,8,FALSE))</f>
        <v>Calc</v>
      </c>
      <c r="IE5" t="str">
        <f>IF(ISBLANK(VLOOKUP(IE4,Wastewater!$B$6:$I$136,8,FALSE)),"",VLOOKUP(IE4,Wastewater!$B$6:$I$136,8,FALSE))</f>
        <v/>
      </c>
      <c r="IF5" t="str">
        <f>IF(ISBLANK(VLOOKUP(IF4,Wastewater!$B$6:$I$136,8,FALSE)),"",VLOOKUP(IF4,Wastewater!$B$6:$I$136,8,FALSE))</f>
        <v>Reliable</v>
      </c>
      <c r="IG5" t="str">
        <f>IF(ISBLANK(VLOOKUP(IG4,Wastewater!$B$6:$I$136,8,FALSE)),"",VLOOKUP(IG4,Wastewater!$B$6:$I$136,8,FALSE))</f>
        <v>Reliable</v>
      </c>
      <c r="IH5" t="str">
        <f>IF(ISBLANK(VLOOKUP(IH4,Wastewater!$B$6:$I$136,8,FALSE)),"",VLOOKUP(IH4,Wastewater!$B$6:$I$136,8,FALSE))</f>
        <v>Reliable</v>
      </c>
      <c r="II5" t="str">
        <f>IF(ISBLANK(VLOOKUP(II4,Wastewater!$B$6:$I$136,8,FALSE)),"",VLOOKUP(II4,Wastewater!$B$6:$I$136,8,FALSE))</f>
        <v>Reliable</v>
      </c>
      <c r="IJ5" t="str">
        <f>IF(ISBLANK(VLOOKUP(IJ4,Wastewater!$B$6:$I$136,8,FALSE)),"",VLOOKUP(IJ4,Wastewater!$B$6:$I$136,8,FALSE))</f>
        <v>Reliable</v>
      </c>
      <c r="IK5" t="str">
        <f>IF(ISBLANK(VLOOKUP(IK4,Wastewater!$B$6:$I$136,8,FALSE)),"",VLOOKUP(IK4,Wastewater!$B$6:$I$136,8,FALSE))</f>
        <v/>
      </c>
      <c r="IL5" t="str">
        <f>IF(ISBLANK(VLOOKUP(IL4,Wastewater!$B$6:$I$136,8,FALSE)),"",VLOOKUP(IL4,Wastewater!$B$6:$I$136,8,FALSE))</f>
        <v>Calc</v>
      </c>
      <c r="IM5" t="str">
        <f>IF(ISBLANK(VLOOKUP(IM4,Wastewater!$B$6:$I$136,8,FALSE)),"",VLOOKUP(IM4,Wastewater!$B$6:$I$136,8,FALSE))</f>
        <v>Calc</v>
      </c>
      <c r="IN5" t="str">
        <f>IF(ISBLANK(VLOOKUP(IN4,Wastewater!$B$6:$I$136,8,FALSE)),"",VLOOKUP(IN4,Wastewater!$B$6:$I$136,8,FALSE))</f>
        <v>Reliable</v>
      </c>
      <c r="IO5" t="str">
        <f>IF(ISBLANK(VLOOKUP(IO4,Wastewater!$B$6:$I$136,8,FALSE)),"",VLOOKUP(IO4,Wastewater!$B$6:$I$136,8,FALSE))</f>
        <v>Reliable</v>
      </c>
      <c r="IP5" t="str">
        <f>IF(ISBLANK(VLOOKUP(IP4,Wastewater!$B$6:$I$136,8,FALSE)),"",VLOOKUP(IP4,Wastewater!$B$6:$I$136,8,FALSE))</f>
        <v>Calc</v>
      </c>
      <c r="IQ5" t="str">
        <f>IF(ISBLANK(VLOOKUP(IQ4,Wastewater!$B$6:$I$136,8,FALSE)),"",VLOOKUP(IQ4,Wastewater!$B$6:$I$136,8,FALSE))</f>
        <v>Calc</v>
      </c>
      <c r="IR5" t="str">
        <f>IF(ISBLANK(VLOOKUP(IR4,Wastewater!$B$6:$I$136,8,FALSE)),"",VLOOKUP(IR4,Wastewater!$B$6:$I$136,8,FALSE))</f>
        <v>Calc</v>
      </c>
      <c r="IS5" t="str">
        <f>IF(ISBLANK(VLOOKUP(IS4,Wastewater!$B$6:$I$136,8,FALSE)),"",VLOOKUP(IS4,Wastewater!$B$6:$I$136,8,FALSE))</f>
        <v>Calc</v>
      </c>
      <c r="IT5" t="str">
        <f>IF(ISBLANK(VLOOKUP(IT4,Wastewater!$B$6:$I$136,8,FALSE)),"",VLOOKUP(IT4,Wastewater!$B$6:$I$136,8,FALSE))</f>
        <v>Calc</v>
      </c>
      <c r="IU5" t="str">
        <f>IF(ISBLANK(VLOOKUP(IU4,Wastewater!$B$6:$I$136,8,FALSE)),"",VLOOKUP(IU4,Wastewater!$B$6:$I$136,8,FALSE))</f>
        <v>Reliable</v>
      </c>
      <c r="IV5" t="str">
        <f>IF(ISBLANK(VLOOKUP(IV4,Wastewater!$B$6:$I$136,8,FALSE)),"",VLOOKUP(IV4,Wastewater!$B$6:$I$136,8,FALSE))</f>
        <v>Reliable</v>
      </c>
      <c r="IW5" t="str">
        <f>IF(ISBLANK(VLOOKUP(IW4,Wastewater!$B$6:$I$136,8,FALSE)),"",VLOOKUP(IW4,Wastewater!$B$6:$I$136,8,FALSE))</f>
        <v>Reliable</v>
      </c>
      <c r="IX5" t="str">
        <f>IF(ISBLANK(VLOOKUP(IX4,Wastewater!$B$6:$I$136,8,FALSE)),"",VLOOKUP(IX4,Wastewater!$B$6:$I$136,8,FALSE))</f>
        <v>Calc</v>
      </c>
      <c r="IY5" t="str">
        <f>IF(ISBLANK(VLOOKUP(IY4,Wastewater!$B$6:$I$136,8,FALSE)),"",VLOOKUP(IY4,Wastewater!$B$6:$I$136,8,FALSE))</f>
        <v>Reliable</v>
      </c>
      <c r="IZ5" t="str">
        <f>IF(ISBLANK(VLOOKUP(IZ4,Wastewater!$B$6:$I$136,8,FALSE)),"",VLOOKUP(IZ4,Wastewater!$B$6:$I$136,8,FALSE))</f>
        <v>Reliable</v>
      </c>
      <c r="JA5" t="str">
        <f>IF(ISBLANK(VLOOKUP(JA4,Wastewater!$B$6:$I$136,8,FALSE)),"",VLOOKUP(JA4,Wastewater!$B$6:$I$136,8,FALSE))</f>
        <v>Reliable</v>
      </c>
      <c r="JB5" t="str">
        <f>IF(ISBLANK(VLOOKUP(JB4,Wastewater!$B$6:$I$136,8,FALSE)),"",VLOOKUP(JB4,Wastewater!$B$6:$I$136,8,FALSE))</f>
        <v>Calc</v>
      </c>
      <c r="JC5" t="str">
        <f>IF(ISBLANK(VLOOKUP(JC4,Wastewater!$B$6:$I$136,8,FALSE)),"",VLOOKUP(JC4,Wastewater!$B$6:$I$136,8,FALSE))</f>
        <v>Reliable</v>
      </c>
      <c r="JD5" t="str">
        <f>IF(ISBLANK(VLOOKUP(JD4,Wastewater!$B$6:$I$136,8,FALSE)),"",VLOOKUP(JD4,Wastewater!$B$6:$I$136,8,FALSE))</f>
        <v>Reliable</v>
      </c>
      <c r="JE5" t="str">
        <f>IF(ISBLANK(VLOOKUP(JE4,Wastewater!$B$6:$I$136,8,FALSE)),"",VLOOKUP(JE4,Wastewater!$B$6:$I$136,8,FALSE))</f>
        <v>Reliable</v>
      </c>
      <c r="JF5" t="str">
        <f>IF(ISBLANK(VLOOKUP(JF4,Wastewater!$B$6:$I$136,8,FALSE)),"",VLOOKUP(JF4,Wastewater!$B$6:$I$136,8,FALSE))</f>
        <v>Calc</v>
      </c>
      <c r="JG5" t="str">
        <f>IF(ISBLANK(VLOOKUP(JG4,Wastewater!$B$6:$I$136,8,FALSE)),"",VLOOKUP(JG4,Wastewater!$B$6:$I$136,8,FALSE))</f>
        <v/>
      </c>
      <c r="JH5" t="str">
        <f>IF(ISBLANK(VLOOKUP(JH4,Stormwater!$B$6:$I$81,8,FALSE)),"",VLOOKUP(JH4,Stormwater!$B$6:$I$81,8,FALSE))</f>
        <v>Calc</v>
      </c>
      <c r="JI5" t="str">
        <f>IF(ISBLANK(VLOOKUP(JI4,Stormwater!$B$6:$I$81,8,FALSE)),"",VLOOKUP(JI4,Stormwater!$B$6:$I$81,8,FALSE))</f>
        <v>Reliable</v>
      </c>
      <c r="JJ5" t="str">
        <f>IF(ISBLANK(VLOOKUP(JJ4,Stormwater!$B$6:$I$81,8,FALSE)),"",VLOOKUP(JJ4,Stormwater!$B$6:$I$81,8,FALSE))</f>
        <v>Reliable</v>
      </c>
      <c r="JK5" t="str">
        <f>IF(ISBLANK(VLOOKUP(JK4,Stormwater!$B$6:$I$81,8,FALSE)),"",VLOOKUP(JK4,Stormwater!$B$6:$I$81,8,FALSE))</f>
        <v>Calc</v>
      </c>
      <c r="JL5" t="str">
        <f>IF(ISBLANK(VLOOKUP(JL4,Stormwater!$B$6:$I$81,8,FALSE)),"",VLOOKUP(JL4,Stormwater!$B$6:$I$81,8,FALSE))</f>
        <v>Reliable</v>
      </c>
      <c r="JM5" t="str">
        <f>IF(ISBLANK(VLOOKUP(JM4,Stormwater!$B$6:$I$81,8,FALSE)),"",VLOOKUP(JM4,Stormwater!$B$6:$I$81,8,FALSE))</f>
        <v>Reliable</v>
      </c>
      <c r="JN5" t="str">
        <f>IF(ISBLANK(VLOOKUP(JN4,Stormwater!$B$6:$I$81,8,FALSE)),"",VLOOKUP(JN4,Stormwater!$B$6:$I$81,8,FALSE))</f>
        <v>Reliable</v>
      </c>
      <c r="JO5" t="str">
        <f>IF(ISBLANK(VLOOKUP(JO4,Stormwater!$B$6:$I$81,8,FALSE)),"",VLOOKUP(JO4,Stormwater!$B$6:$I$81,8,FALSE))</f>
        <v/>
      </c>
      <c r="JP5" t="str">
        <f>IF(ISBLANK(VLOOKUP(JP4,Stormwater!$B$6:$I$81,8,FALSE)),"",VLOOKUP(JP4,Stormwater!$B$6:$I$81,8,FALSE))</f>
        <v/>
      </c>
      <c r="JQ5" t="str">
        <f>IF(ISBLANK(VLOOKUP(JQ4,Stormwater!$B$6:$I$81,8,FALSE)),"",VLOOKUP(JQ4,Stormwater!$B$6:$I$81,8,FALSE))</f>
        <v/>
      </c>
      <c r="JR5" t="str">
        <f>IF(ISBLANK(VLOOKUP(JR4,Stormwater!$B$6:$I$81,8,FALSE)),"",VLOOKUP(JR4,Stormwater!$B$6:$I$81,8,FALSE))</f>
        <v/>
      </c>
      <c r="JS5" t="str">
        <f>IF(ISBLANK(VLOOKUP(JS4,Stormwater!$B$6:$I$81,8,FALSE)),"",VLOOKUP(JS4,Stormwater!$B$6:$I$81,8,FALSE))</f>
        <v/>
      </c>
      <c r="JT5" t="str">
        <f>IF(ISBLANK(VLOOKUP(JT4,Stormwater!$B$6:$I$81,8,FALSE)),"",VLOOKUP(JT4,Stormwater!$B$6:$I$81,8,FALSE))</f>
        <v/>
      </c>
      <c r="JU5" t="str">
        <f>IF(ISBLANK(VLOOKUP(JU4,Stormwater!$B$6:$I$81,8,FALSE)),"",VLOOKUP(JU4,Stormwater!$B$6:$I$81,8,FALSE))</f>
        <v/>
      </c>
      <c r="JV5" t="str">
        <f>IF(ISBLANK(VLOOKUP(JV4,Stormwater!$B$6:$I$81,8,FALSE)),"",VLOOKUP(JV4,Stormwater!$B$6:$I$81,8,FALSE))</f>
        <v>Less Reliable</v>
      </c>
      <c r="JW5" t="str">
        <f>IF(ISBLANK(VLOOKUP(JW4,Stormwater!$B$6:$I$81,8,FALSE)),"",VLOOKUP(JW4,Stormwater!$B$6:$I$81,8,FALSE))</f>
        <v/>
      </c>
      <c r="JX5" t="str">
        <f>IF(ISBLANK(VLOOKUP(JX4,Stormwater!$B$6:$I$81,8,FALSE)),"",VLOOKUP(JX4,Stormwater!$B$6:$I$81,8,FALSE))</f>
        <v/>
      </c>
      <c r="JY5" t="str">
        <f>IF(ISBLANK(VLOOKUP(JY4,Stormwater!$B$6:$I$81,8,FALSE)),"",VLOOKUP(JY4,Stormwater!$B$6:$I$81,8,FALSE))</f>
        <v/>
      </c>
      <c r="JZ5" t="str">
        <f>IF(ISBLANK(VLOOKUP(JZ4,Stormwater!$B$6:$I$81,8,FALSE)),"",VLOOKUP(JZ4,Stormwater!$B$6:$I$81,8,FALSE))</f>
        <v/>
      </c>
      <c r="KA5" t="str">
        <f>IF(ISBLANK(VLOOKUP(KA4,Stormwater!$B$6:$I$81,8,FALSE)),"",VLOOKUP(KA4,Stormwater!$B$6:$I$81,8,FALSE))</f>
        <v>Highly reliable</v>
      </c>
      <c r="KB5" t="str">
        <f>IF(ISBLANK(VLOOKUP(KB4,Stormwater!$B$6:$I$81,8,FALSE)),"",VLOOKUP(KB4,Stormwater!$B$6:$I$81,8,FALSE))</f>
        <v>Less Reliable</v>
      </c>
      <c r="KC5" t="str">
        <f>IF(ISBLANK(VLOOKUP(KC4,Stormwater!$B$6:$I$81,8,FALSE)),"",VLOOKUP(KC4,Stormwater!$B$6:$I$81,8,FALSE))</f>
        <v>Reliable</v>
      </c>
      <c r="KD5" t="str">
        <f>IF(ISBLANK(VLOOKUP(KD4,Stormwater!$B$6:$I$81,8,FALSE)),"",VLOOKUP(KD4,Stormwater!$B$6:$I$81,8,FALSE))</f>
        <v/>
      </c>
      <c r="KE5" t="str">
        <f>IF(ISBLANK(VLOOKUP(KE4,Stormwater!$B$6:$I$81,8,FALSE)),"",VLOOKUP(KE4,Stormwater!$B$6:$I$81,8,FALSE))</f>
        <v/>
      </c>
      <c r="KF5" t="str">
        <f>IF(ISBLANK(VLOOKUP(KF4,Stormwater!$B$6:$I$81,8,FALSE)),"",VLOOKUP(KF4,Stormwater!$B$6:$I$81,8,FALSE))</f>
        <v/>
      </c>
      <c r="KG5" t="str">
        <f>IF(ISBLANK(VLOOKUP(KG4,Stormwater!$B$6:$I$81,8,FALSE)),"",VLOOKUP(KG4,Stormwater!$B$6:$I$81,8,FALSE))</f>
        <v/>
      </c>
      <c r="KH5" t="str">
        <f>IF(ISBLANK(VLOOKUP(KH4,Stormwater!$B$6:$I$81,8,FALSE)),"",VLOOKUP(KH4,Stormwater!$B$6:$I$81,8,FALSE))</f>
        <v/>
      </c>
      <c r="KI5" t="str">
        <f>IF(ISBLANK(VLOOKUP(KI4,Stormwater!$B$6:$I$81,8,FALSE)),"",VLOOKUP(KI4,Stormwater!$B$6:$I$81,8,FALSE))</f>
        <v/>
      </c>
      <c r="KJ5" t="str">
        <f>IF(ISBLANK(VLOOKUP(KJ4,Stormwater!$B$6:$I$81,8,FALSE)),"",VLOOKUP(KJ4,Stormwater!$B$6:$I$81,8,FALSE))</f>
        <v/>
      </c>
      <c r="KK5" t="str">
        <f>IF(ISBLANK(VLOOKUP(KK4,Stormwater!$B$6:$I$81,8,FALSE)),"",VLOOKUP(KK4,Stormwater!$B$6:$I$81,8,FALSE))</f>
        <v>Reliable</v>
      </c>
      <c r="KL5" t="str">
        <f>IF(ISBLANK(VLOOKUP(KL4,Stormwater!$B$6:$I$81,8,FALSE)),"",VLOOKUP(KL4,Stormwater!$B$6:$I$81,8,FALSE))</f>
        <v>Reliable</v>
      </c>
      <c r="KM5" t="str">
        <f>IF(ISBLANK(VLOOKUP(KM4,Stormwater!$B$6:$I$81,8,FALSE)),"",VLOOKUP(KM4,Stormwater!$B$6:$I$81,8,FALSE))</f>
        <v>Highly reliable</v>
      </c>
      <c r="KN5" t="str">
        <f>IF(ISBLANK(VLOOKUP(KN4,Stormwater!$B$6:$I$81,8,FALSE)),"",VLOOKUP(KN4,Stormwater!$B$6:$I$81,8,FALSE))</f>
        <v>Reliable</v>
      </c>
      <c r="KO5" t="str">
        <f>IF(ISBLANK(VLOOKUP(KO4,Stormwater!$B$6:$I$81,8,FALSE)),"",VLOOKUP(KO4,Stormwater!$B$6:$I$81,8,FALSE))</f>
        <v/>
      </c>
      <c r="KP5" t="str">
        <f>IF(ISBLANK(VLOOKUP(KP4,Stormwater!$B$6:$I$81,8,FALSE)),"",VLOOKUP(KP4,Stormwater!$B$6:$I$81,8,FALSE))</f>
        <v>Calc</v>
      </c>
      <c r="KQ5" t="str">
        <f>IF(ISBLANK(VLOOKUP(KQ4,Stormwater!$B$6:$I$81,8,FALSE)),"",VLOOKUP(KQ4,Stormwater!$B$6:$I$81,8,FALSE))</f>
        <v/>
      </c>
      <c r="KR5" t="str">
        <f>IF(ISBLANK(VLOOKUP(KR4,Stormwater!$B$6:$I$81,8,FALSE)),"",VLOOKUP(KR4,Stormwater!$B$6:$I$81,8,FALSE))</f>
        <v/>
      </c>
      <c r="KS5" t="str">
        <f>IF(ISBLANK(VLOOKUP(KS4,Stormwater!$B$6:$I$81,8,FALSE)),"",VLOOKUP(KS4,Stormwater!$B$6:$I$81,8,FALSE))</f>
        <v>Calc</v>
      </c>
      <c r="KT5" t="str">
        <f>IF(ISBLANK(VLOOKUP(KT4,Stormwater!$B$6:$I$81,8,FALSE)),"",VLOOKUP(KT4,Stormwater!$B$6:$I$81,8,FALSE))</f>
        <v/>
      </c>
      <c r="KU5" t="str">
        <f>IF(ISBLANK(VLOOKUP(KU4,Stormwater!$B$6:$I$81,8,FALSE)),"",VLOOKUP(KU4,Stormwater!$B$6:$I$81,8,FALSE))</f>
        <v/>
      </c>
      <c r="KV5" t="str">
        <f>IF(ISBLANK(VLOOKUP(KV4,Stormwater!$B$6:$I$81,8,FALSE)),"",VLOOKUP(KV4,Stormwater!$B$6:$I$81,8,FALSE))</f>
        <v>Calc</v>
      </c>
      <c r="KW5" t="str">
        <f>IF(ISBLANK(VLOOKUP(KW4,Stormwater!$B$6:$I$81,8,FALSE)),"",VLOOKUP(KW4,Stormwater!$B$6:$I$81,8,FALSE))</f>
        <v/>
      </c>
      <c r="KX5" t="str">
        <f>IF(ISBLANK(VLOOKUP(KX4,Stormwater!$B$6:$I$81,8,FALSE)),"",VLOOKUP(KX4,Stormwater!$B$6:$I$81,8,FALSE))</f>
        <v/>
      </c>
      <c r="KY5" t="str">
        <f>IF(ISBLANK(VLOOKUP(KY4,Stormwater!$B$6:$I$81,8,FALSE)),"",VLOOKUP(KY4,Stormwater!$B$6:$I$81,8,FALSE))</f>
        <v/>
      </c>
      <c r="KZ5" t="str">
        <f>IF(ISBLANK(VLOOKUP(KZ4,Stormwater!$B$6:$I$81,8,FALSE)),"",VLOOKUP(KZ4,Stormwater!$B$6:$I$81,8,FALSE))</f>
        <v>Uncertain</v>
      </c>
      <c r="LA5" t="str">
        <f>IF(ISBLANK(VLOOKUP(LA4,Stormwater!$B$6:$I$81,8,FALSE)),"",VLOOKUP(LA4,Stormwater!$B$6:$I$81,8,FALSE))</f>
        <v>Uncertain</v>
      </c>
      <c r="LB5" t="str">
        <f>IF(ISBLANK(VLOOKUP(LB4,Stormwater!$B$6:$I$81,8,FALSE)),"",VLOOKUP(LB4,Stormwater!$B$6:$I$81,8,FALSE))</f>
        <v>Reliable</v>
      </c>
      <c r="LC5" t="str">
        <f>IF(ISBLANK(VLOOKUP(LC4,Stormwater!$B$6:$I$81,8,FALSE)),"",VLOOKUP(LC4,Stormwater!$B$6:$I$81,8,FALSE))</f>
        <v>Reliable</v>
      </c>
      <c r="LD5" t="str">
        <f>IF(ISBLANK(VLOOKUP(LD4,Stormwater!$B$6:$I$81,8,FALSE)),"",VLOOKUP(LD4,Stormwater!$B$6:$I$81,8,FALSE))</f>
        <v>Calc</v>
      </c>
      <c r="LE5" t="str">
        <f>IF(ISBLANK(VLOOKUP(LE4,Stormwater!$B$6:$I$81,8,FALSE)),"",VLOOKUP(LE4,Stormwater!$B$6:$I$81,8,FALSE))</f>
        <v>Calc</v>
      </c>
      <c r="LF5" t="str">
        <f>IF(ISBLANK(VLOOKUP(LF4,Stormwater!$B$6:$I$81,8,FALSE)),"",VLOOKUP(LF4,Stormwater!$B$6:$I$81,8,FALSE))</f>
        <v>Reliable</v>
      </c>
      <c r="LG5" t="str">
        <f>IF(ISBLANK(VLOOKUP(LG4,Stormwater!$B$6:$I$81,8,FALSE)),"",VLOOKUP(LG4,Stormwater!$B$6:$I$81,8,FALSE))</f>
        <v>Reliable</v>
      </c>
      <c r="LH5" t="str">
        <f>IF(ISBLANK(VLOOKUP(LH4,Stormwater!$B$6:$I$81,8,FALSE)),"",VLOOKUP(LH4,Stormwater!$B$6:$I$81,8,FALSE))</f>
        <v>Reliable</v>
      </c>
      <c r="LI5" t="str">
        <f>IF(ISBLANK(VLOOKUP(LI4,Stormwater!$B$6:$I$81,8,FALSE)),"",VLOOKUP(LI4,Stormwater!$B$6:$I$81,8,FALSE))</f>
        <v>Reliable</v>
      </c>
      <c r="LJ5" t="str">
        <f>IF(ISBLANK(VLOOKUP(LJ4,Stormwater!$B$6:$I$81,8,FALSE)),"",VLOOKUP(LJ4,Stormwater!$B$6:$I$81,8,FALSE))</f>
        <v>Reliable</v>
      </c>
      <c r="LK5" t="str">
        <f>IF(ISBLANK(VLOOKUP(LK4,Stormwater!$B$6:$I$81,8,FALSE)),"",VLOOKUP(LK4,Stormwater!$B$6:$I$81,8,FALSE))</f>
        <v>Calc</v>
      </c>
      <c r="LL5" t="str">
        <f>IF(ISBLANK(VLOOKUP(LL4,Stormwater!$B$6:$I$81,8,FALSE)),"",VLOOKUP(LL4,Stormwater!$B$6:$I$81,8,FALSE))</f>
        <v>Calc</v>
      </c>
      <c r="LM5" t="str">
        <f>IF(ISBLANK(VLOOKUP(LM4,Stormwater!$B$6:$I$81,8,FALSE)),"",VLOOKUP(LM4,Stormwater!$B$6:$I$81,8,FALSE))</f>
        <v>Reliable</v>
      </c>
      <c r="LN5" t="str">
        <f>IF(ISBLANK(VLOOKUP(LN4,Stormwater!$B$6:$I$81,8,FALSE)),"",VLOOKUP(LN4,Stormwater!$B$6:$I$81,8,FALSE))</f>
        <v>Reliable</v>
      </c>
      <c r="LO5" t="str">
        <f>IF(ISBLANK(VLOOKUP(LO4,Stormwater!$B$6:$I$81,8,FALSE)),"",VLOOKUP(LO4,Stormwater!$B$6:$I$81,8,FALSE))</f>
        <v>Calc</v>
      </c>
      <c r="LP5" t="str">
        <f>IF(ISBLANK(VLOOKUP(LP4,Stormwater!$B$6:$I$81,8,FALSE)),"",VLOOKUP(LP4,Stormwater!$B$6:$I$81,8,FALSE))</f>
        <v>Calc</v>
      </c>
      <c r="LQ5" t="str">
        <f>IF(ISBLANK(VLOOKUP(LQ4,Stormwater!$B$6:$I$81,8,FALSE)),"",VLOOKUP(LQ4,Stormwater!$B$6:$I$81,8,FALSE))</f>
        <v>Calc</v>
      </c>
      <c r="LR5" t="str">
        <f>IF(ISBLANK(VLOOKUP(LR4,Stormwater!$B$6:$I$81,8,FALSE)),"",VLOOKUP(LR4,Stormwater!$B$6:$I$81,8,FALSE))</f>
        <v>Calc</v>
      </c>
      <c r="LS5" t="str">
        <f>IF(ISBLANK(VLOOKUP(LS4,Stormwater!$B$6:$I$81,8,FALSE)),"",VLOOKUP(LS4,Stormwater!$B$6:$I$81,8,FALSE))</f>
        <v>Calc</v>
      </c>
      <c r="LT5" t="str">
        <f>IF(ISBLANK(VLOOKUP(LT4,Stormwater!$B$6:$I$81,8,FALSE)),"",VLOOKUP(LT4,Stormwater!$B$6:$I$81,8,FALSE))</f>
        <v>Reliable</v>
      </c>
      <c r="LU5" t="str">
        <f>IF(ISBLANK(VLOOKUP(LU4,Stormwater!$B$6:$I$81,8,FALSE)),"",VLOOKUP(LU4,Stormwater!$B$6:$I$81,8,FALSE))</f>
        <v>Reliable</v>
      </c>
      <c r="LV5" t="str">
        <f>IF(ISBLANK(VLOOKUP(LV4,Stormwater!$B$6:$I$81,8,FALSE)),"",VLOOKUP(LV4,Stormwater!$B$6:$I$81,8,FALSE))</f>
        <v>Reliable</v>
      </c>
      <c r="LW5" t="str">
        <f>IF(ISBLANK(VLOOKUP(LW4,Stormwater!$B$6:$I$81,8,FALSE)),"",VLOOKUP(LW4,Stormwater!$B$6:$I$81,8,FALSE))</f>
        <v>Calc</v>
      </c>
      <c r="LX5" t="str">
        <f>IF(ISBLANK(VLOOKUP(LX4,Stormwater!$B$6:$I$81,8,FALSE)),"",VLOOKUP(LX4,Stormwater!$B$6:$I$81,8,FALSE))</f>
        <v>Reliable</v>
      </c>
      <c r="LY5" t="str">
        <f>IF(ISBLANK(VLOOKUP(LY4,Stormwater!$B$6:$I$81,8,FALSE)),"",VLOOKUP(LY4,Stormwater!$B$6:$I$81,8,FALSE))</f>
        <v>Reliable</v>
      </c>
      <c r="LZ5" t="str">
        <f>IF(ISBLANK(VLOOKUP(LZ4,Stormwater!$B$6:$I$81,8,FALSE)),"",VLOOKUP(LZ4,Stormwater!$B$6:$I$81,8,FALSE))</f>
        <v>Reliable</v>
      </c>
      <c r="MA5" t="str">
        <f>IF(ISBLANK(VLOOKUP(MA4,Stormwater!$B$6:$I$81,8,FALSE)),"",VLOOKUP(MA4,Stormwater!$B$6:$I$81,8,FALSE))</f>
        <v>Calc</v>
      </c>
      <c r="MB5" t="str">
        <f>IF(ISBLANK(VLOOKUP(MB4,Stormwater!$B$6:$I$81,8,FALSE)),"",VLOOKUP(MB4,Stormwater!$B$6:$I$81,8,FALSE))</f>
        <v>Reliable</v>
      </c>
      <c r="MC5" t="str">
        <f>IF(ISBLANK(VLOOKUP(MC4,Stormwater!$B$6:$I$81,8,FALSE)),"",VLOOKUP(MC4,Stormwater!$B$6:$I$81,8,FALSE))</f>
        <v>Reliable</v>
      </c>
      <c r="MD5" t="str">
        <f>IF(ISBLANK(VLOOKUP(MD4,Stormwater!$B$6:$I$81,8,FALSE)),"",VLOOKUP(MD4,Stormwater!$B$6:$I$81,8,FALSE))</f>
        <v>Calc</v>
      </c>
      <c r="ME5" t="str">
        <f>IF(ISBLANK(VLOOKUP(ME4,Stormwater!$B$6:$I$81,8,FALSE)),"",VLOOKUP(ME4,Stormwater!$B$6:$I$81,8,FALSE))</f>
        <v/>
      </c>
    </row>
    <row r="6" spans="1:387">
      <c r="A6" s="179"/>
    </row>
  </sheetData>
  <conditionalFormatting sqref="MJ2">
    <cfRule type="cellIs" dxfId="0" priority="1" operator="equal">
      <formula>999999999</formula>
    </cfRule>
  </conditionalFormatting>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E51DAACCCE2CF4EB98C1FA1234C9435" ma:contentTypeVersion="14" ma:contentTypeDescription="Create a new document." ma:contentTypeScope="" ma:versionID="17cfe3e9e2a3b9f6a40cd59f6ff5e6e5">
  <xsd:schema xmlns:xsd="http://www.w3.org/2001/XMLSchema" xmlns:xs="http://www.w3.org/2001/XMLSchema" xmlns:p="http://schemas.microsoft.com/office/2006/metadata/properties" xmlns:ns2="01f4603a-42fe-4985-8cca-739ca1084ef3" xmlns:ns3="a0198d35-6e79-412e-af07-385c610b0dbf" targetNamespace="http://schemas.microsoft.com/office/2006/metadata/properties" ma:root="true" ma:fieldsID="4cf18fccbebb29ab7937b2bcdeb07a37" ns2:_="" ns3:_="">
    <xsd:import namespace="01f4603a-42fe-4985-8cca-739ca1084ef3"/>
    <xsd:import namespace="a0198d35-6e79-412e-af07-385c610b0dbf"/>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SearchPropertie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Commen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f4603a-42fe-4985-8cca-739ca1084ef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d9239441-07b5-4d94-bfb0-12e00d9df285"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Comment" ma:index="21" nillable="true" ma:displayName="Comment" ma:format="Dropdown" ma:internalName="Comment">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0198d35-6e79-412e-af07-385c610b0dbf"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10eb9bec-99cc-4ad4-88dd-529ce187b41f}" ma:internalName="TaxCatchAll" ma:showField="CatchAllData" ma:web="a0198d35-6e79-412e-af07-385c610b0db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a0198d35-6e79-412e-af07-385c610b0dbf" xsi:nil="true"/>
    <lcf76f155ced4ddcb4097134ff3c332f xmlns="01f4603a-42fe-4985-8cca-739ca1084ef3">
      <Terms xmlns="http://schemas.microsoft.com/office/infopath/2007/PartnerControls"/>
    </lcf76f155ced4ddcb4097134ff3c332f>
    <Comment xmlns="01f4603a-42fe-4985-8cca-739ca1084ef3" xsi:nil="true"/>
  </documentManagement>
</p:properties>
</file>

<file path=customXml/itemProps1.xml><?xml version="1.0" encoding="utf-8"?>
<ds:datastoreItem xmlns:ds="http://schemas.openxmlformats.org/officeDocument/2006/customXml" ds:itemID="{34160056-2259-4000-B7E9-D14B38697A47}"/>
</file>

<file path=customXml/itemProps2.xml><?xml version="1.0" encoding="utf-8"?>
<ds:datastoreItem xmlns:ds="http://schemas.openxmlformats.org/officeDocument/2006/customXml" ds:itemID="{14F8D1F9-1EB6-4A98-8A2F-AD094B876A9E}"/>
</file>

<file path=customXml/itemProps3.xml><?xml version="1.0" encoding="utf-8"?>
<ds:datastoreItem xmlns:ds="http://schemas.openxmlformats.org/officeDocument/2006/customXml" ds:itemID="{ED016876-EED7-4C3C-9EEF-9A33097CBCDF}"/>
</file>

<file path=docProps/app.xml><?xml version="1.0" encoding="utf-8"?>
<Properties xmlns="http://schemas.openxmlformats.org/officeDocument/2006/extended-properties" xmlns:vt="http://schemas.openxmlformats.org/officeDocument/2006/docPropsVTypes">
  <Application>Microsoft Excel Online</Application>
  <Manager/>
  <Company>Hewlett-Packard Company</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Lesley Smith</dc:creator>
  <cp:keywords/>
  <dc:description/>
  <cp:lastModifiedBy>Nichola Greaves - External</cp:lastModifiedBy>
  <cp:revision/>
  <dcterms:created xsi:type="dcterms:W3CDTF">2018-07-03T08:50:08Z</dcterms:created>
  <dcterms:modified xsi:type="dcterms:W3CDTF">2024-04-09T01:53:01Z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0x010100AE51DAACCCE2CF4EB98C1FA1234C9435</vt:lpwstr>
  </property>
  <property fmtid="{D5CDD505-2E9C-101B-9397-08002B2CF9AE}" pid="3" name="Order">
    <vt:r8>4054500</vt:r8>
  </property>
  <property fmtid="{D5CDD505-2E9C-101B-9397-08002B2CF9AE}" pid="4" name="MediaServiceImageTags">
    <vt:lpwstr/>
  </property>
</Properties>
</file>