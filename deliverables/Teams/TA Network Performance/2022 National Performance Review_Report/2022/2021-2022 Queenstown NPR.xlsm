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sqldcfile01\Engineering\Asset Planning\4_Management\Benchmarking\Water NZ\2022\"/>
    </mc:Choice>
  </mc:AlternateContent>
  <xr:revisionPtr revIDLastSave="0" documentId="13_ncr:1_{87F70018-0BBC-4A1B-BACF-B1AA6E17C45E}" xr6:coauthVersionLast="47" xr6:coauthVersionMax="47" xr10:uidLastSave="{00000000-0000-0000-0000-000000000000}"/>
  <bookViews>
    <workbookView xWindow="28680" yWindow="-120" windowWidth="29040" windowHeight="15225" activeTab="4" xr2:uid="{00000000-000D-0000-FFFF-FFFF00000000}"/>
  </bookViews>
  <sheets>
    <sheet name="INSTRUCTIONS" sheetId="10" r:id="rId1"/>
    <sheet name="Common" sheetId="4" r:id="rId2"/>
    <sheet name="Water" sheetId="1" r:id="rId3"/>
    <sheet name="Wastewater" sheetId="12" r:id="rId4"/>
    <sheet name="Stormwater" sheetId="3" r:id="rId5"/>
    <sheet name="Data lists" sheetId="5" state="hidden" r:id="rId6"/>
    <sheet name="Previous years" sheetId="6" state="hidden" r:id="rId7"/>
    <sheet name="Export format" sheetId="7" state="hidden" r:id="rId8"/>
    <sheet name="WWTP Export" sheetId="13" state="hidden" r:id="rId9"/>
    <sheet name="Network export" sheetId="14" state="hidden" r:id="rId10"/>
    <sheet name="WS Alignment with TA Rules" sheetId="11" state="hidden" r:id="rId11"/>
  </sheets>
  <definedNames>
    <definedName name="_3_waters_affordability___WSS9_WWS3_SWS1__CB7">'Export format'!#REF!</definedName>
    <definedName name="_xlnm._FilterDatabase" localSheetId="1" hidden="1">Common!$C$5:$L$23</definedName>
    <definedName name="_xlnm._FilterDatabase" localSheetId="4" hidden="1">Stormwater!$A$5:$AF$80</definedName>
    <definedName name="_xlnm._FilterDatabase" localSheetId="3" hidden="1">Wastewater!$B$5:$AF$127</definedName>
    <definedName name="_xlnm._FilterDatabase" localSheetId="2" hidden="1">Water!$A$5:$AJ$109</definedName>
    <definedName name="Above_ground_asset_condition_assessment_programme__WSA13a">'Export format'!$BE$3</definedName>
    <definedName name="Above_ground_asset_condition_assessment_programme__WWA6">'Export format'!$FB$3</definedName>
    <definedName name="Above_ground_condition_assessment">'Data lists'!$D$2:$D$8</definedName>
    <definedName name="Above_ground_stormwater_asset_assessment_program__SWA5a">'Export format'!$JN$3</definedName>
    <definedName name="Actual_Capital_Expenditure__Stormwater__SWF17">'Export format'!$LN$3</definedName>
    <definedName name="Actual_Capital_Expenditure__Wastewater__WWF21">'Export format'!$IO$3</definedName>
    <definedName name="Actual_Capital_Expenditure__Water_Supply__WSF20">'Export format'!$DV$3</definedName>
    <definedName name="Actual_Capital_Expenditure_per_Property__Stormwater__SWF18">'Export format'!$LR$3</definedName>
    <definedName name="Actual_Capital_Expenditure_per_Property__Wastewater__WWF22">'Export format'!$IS$3</definedName>
    <definedName name="Actual_Capital_Expenditure_per_Property__Water_Supply__WSF21">'Export format'!$DZ$3</definedName>
    <definedName name="Actual_capital_to_improve_the_level_of_service__SWF17b">'Export format'!$LP$3</definedName>
    <definedName name="Actual_capital_to_improve_the_level_of_service__WSF20b">'Export format'!$DX$3</definedName>
    <definedName name="Actual_capital_to_improve_the_level_of_service__WWF21b">'Export format'!$IQ$3</definedName>
    <definedName name="Actual_capital_to_meet_additional_demand__SWF17a">'Export format'!$LO$3</definedName>
    <definedName name="Actual_capital_to_meet_additional_demand__WSF20a">'Export format'!$DW$3</definedName>
    <definedName name="Actual_capital_to_meet_additional_demand__WWF21a">'Export format'!$IP$3</definedName>
    <definedName name="Actual_capital_to_replace_existing_assets__SWF17c">'Export format'!$LQ$3</definedName>
    <definedName name="Actual_capital_to_replace_existing_assets__WSF20c">'Export format'!$DY$3</definedName>
    <definedName name="Actual_capital_to_replace_existing_assets__WWF21c">'Export format'!$IR$3</definedName>
    <definedName name="Actual_Versus_Budgeted_Expenditure___WSF20_WWF21_SWF17__WSF19_WWF20_SWF16">'Export format'!$LW$3</definedName>
    <definedName name="Analogue_SCADA__CB19a">'Export format'!$S$3</definedName>
    <definedName name="Analogue_SCADA_telemetry__CB19a">'Export format'!$S$3</definedName>
    <definedName name="Annual_Depreciation__Stormwater__SWF11">'Export format'!$LD$3</definedName>
    <definedName name="Annual_Depreciation__Wastewater__WWF15">'Export format'!$IE$3</definedName>
    <definedName name="Annual_Depreciation__Water_Supply__WSF14">'Export format'!$DL$3</definedName>
    <definedName name="Attendance_for_non_urgent_water_supply_fault_call_outs__WSS10c">'Export format'!$CP$3</definedName>
    <definedName name="Attendance_for_urgent_water_supply_fault_call_outs__WSS10a">'Export format'!$CN$3</definedName>
    <definedName name="Authorised_Consumption__WSB6">'Export format'!$AE$3</definedName>
    <definedName name="Average_Age_of_Stormwater_Pipelines__SWA3">'Export format'!$JM$3</definedName>
    <definedName name="Average_Age_of_Wastewater_Pipelines__WWA3">'Export format'!$EX$3</definedName>
    <definedName name="Average_Age_of_Water_Pipelines__WSA3">'Export format'!$AS$3</definedName>
    <definedName name="Average_Annual_Residential_Wastewater_Charge_Based_on_200_m3_yr___WWS3">'Export format'!$HE$3</definedName>
    <definedName name="Average_calculated_wet_weather_overflow_frequency__WWE8b">'Export format'!$GA$3</definedName>
    <definedName name="Average_Daily_Residential_Wastewater_Production__WWB8">'Export format'!$EE$6</definedName>
    <definedName name="Average_Daily_Residential_Water_Consumption__WSB8">'Export format'!$AG$3</definedName>
    <definedName name="Average_Residential_Water_Charge_Based_on_200_m3_yr___WSS9">'Export format'!$CM$3</definedName>
    <definedName name="Average_Residential_Water_Charge_Based_on_200_m3_yr__WSS9_MAX">'Export format'!$NC$3</definedName>
    <definedName name="Average_Residential_Water_Charge_Based_on_200_m3_yr__WSS9a_MIN">'Export format'!$ND$3</definedName>
    <definedName name="Average_system_pressure__WSE2">'Export format'!$BP$3</definedName>
    <definedName name="Balanced_Budget___WSF1_WSF2___WSF12_WSF15a">'Export format'!$LX$3</definedName>
    <definedName name="Balanced_Budget___WWF1_WWF2___WWF13_WWF16a">'Export format'!$LY$3</definedName>
    <definedName name="Balanced_Budget__SWF1__SWF9_SWF12a">'Export format'!$LZ$3</definedName>
    <definedName name="Boiled_water_notices__WSS12">'Export format'!$CU$3</definedName>
    <definedName name="Budgeted_Capital_Expenditure__Stormwater__SWF16">'Export format'!$LJ$3</definedName>
    <definedName name="Budgeted_Capital_Expenditure__Wastewater__WWF20">'Export format'!$IK$3</definedName>
    <definedName name="Budgeted_Capital_Expenditure__Water_Supply__WSF19">'Export format'!$DR$3</definedName>
    <definedName name="Budgeted_capital_to_improve_the_level_of_service__SWF16b">'Export format'!$LL$3</definedName>
    <definedName name="Budgeted_capital_to_improve_the_level_of_service__WSF19b">'Export format'!$DT$3</definedName>
    <definedName name="Budgeted_capital_to_improve_the_level_of_service__WWF20b">'Export format'!$IM$3</definedName>
    <definedName name="Budgeted_capital_to_meet_additional_demand__SWF16a">'Export format'!$LK$3</definedName>
    <definedName name="Budgeted_capital_to_meet_additional_demand__WSF19a">'Export format'!$DS$3</definedName>
    <definedName name="Budgeted_capital_to_meet_additional_demand__WWF20a">'Export format'!$IL$3</definedName>
    <definedName name="Budgeted_capital_to_replace_existing_assets__SWF16c">'Export format'!$LM$3</definedName>
    <definedName name="Budgeted_capital_to_replace_existing_assets__WSF19c">'Export format'!$DU$3</definedName>
    <definedName name="Budgeted_capital_to_replace_existing_assets__WWF20c">'Export format'!$IN$3</definedName>
    <definedName name="Capacity_of_Water_Storage_Reservoirs__WSA8">'Export format'!$AZ$3</definedName>
    <definedName name="CARL__current_annual_real_loss___WSE1c">'Export format'!$BJ$3</definedName>
    <definedName name="CARL__current_annual_real_loss___WSE1d">'Export format'!$BK$3</definedName>
    <definedName name="CARL__current_annual_real_loss___WSE1e">'Export format'!$BL$3</definedName>
    <definedName name="Charge_type">'Data lists'!$E$2:$E$5</definedName>
    <definedName name="Chemicals_and_Consumables__Water_Supply__WSF8">'Export format'!$DE$3</definedName>
    <definedName name="Common_Data">Common!$H$6:$H$27</definedName>
    <definedName name="Common_Data_Confidence">Common!$I$6:$I$27</definedName>
    <definedName name="Common_Headings">Common!$C$6:$C$27</definedName>
    <definedName name="Common_Name">Common!$B$6:$B$27</definedName>
    <definedName name="Common_Units">Common!$F$6:$F$27</definedName>
    <definedName name="Condition_Grade_1__Stormwater_pipelines__SWA2a">'Export format'!$JF$3</definedName>
    <definedName name="Condition_Grade_1__Wastewater_pipelines__WWA2a">'Export format'!$EQ$3</definedName>
    <definedName name="Condition_grade_1__Water_pipelines__WSA2a">'Export format'!$AL$3</definedName>
    <definedName name="Condition_Grade_2__Stormwater_pipelines__SWA2b">'Export format'!$JG$3</definedName>
    <definedName name="Condition_Grade_2__Wastewater_pipelines__WWA2b">'Export format'!$ER$3</definedName>
    <definedName name="Condition_grade_2__Water_pipelines__WSA2b">'Export format'!$AM$3</definedName>
    <definedName name="Condition_Grade_3__Stormwater_pipelines__SWA2c">'Export format'!$JH$3</definedName>
    <definedName name="Condition_Grade_3__Wastewater_pipelines__WWA2c">'Export format'!$ES$3</definedName>
    <definedName name="Condition_grade_3__Water_pipelines__WSA2c">'Export format'!$AN$3</definedName>
    <definedName name="Condition_Grade_4__Stormwater_pipelines__SWA2d">'Export format'!$JI$3</definedName>
    <definedName name="Condition_Grade_4__Stormwater_pipelines__SWA2d__CONF">'Export format'!$MB$6</definedName>
    <definedName name="Condition_Grade_4__Wastewater_pipelines__WWA2d">'Export format'!$ET$3</definedName>
    <definedName name="Condition_Grade_4__Wastewater_pipelines__WWA2d__CONF">'Export format'!$MC$6</definedName>
    <definedName name="Condition_grade_4__Water_pipelines__WSA2d">'Export format'!$AO$3</definedName>
    <definedName name="Condition_Grade_4__WSA2d__CONF">'Export format'!$MA$6</definedName>
    <definedName name="Condition_Grade_5__Stormwater_pipelines__SWA2e">'Export format'!$JJ$3</definedName>
    <definedName name="Condition_Grade_5__Wastewater_pipelines__WWA2e">'Export format'!$EU$3</definedName>
    <definedName name="Condition_grade_5__Water_pipelines__WSA2e">'Export format'!$AP$3</definedName>
    <definedName name="Consent_status">'Data lists'!$F$2:$F$5</definedName>
    <definedName name="Contaminant_Based_Charging__WWS1d">'Export format'!$HA$3</definedName>
    <definedName name="Continuing_professional_development_enrolments__CB16">'Export format'!$R$3</definedName>
    <definedName name="Continuing_proffessional_development_enrolments__CB16">'Export format'!$R$3</definedName>
    <definedName name="Continuity_of_water_supply_complaints__WSS5e">'Export format'!$CC$3</definedName>
    <definedName name="Contracted_staff__CB11">'Export format'!$I$3</definedName>
    <definedName name="Contracted_staff_per_1000_serviced_properties__CB11__WSB4_WWB4">'Export format'!$MA$3</definedName>
    <definedName name="Council_Contract_Management_Costs___Water_Supply__WSF11">'Export format'!$DI$3</definedName>
    <definedName name="Council_Contract_Management_Costs__Stormwater__SWF8">'Export format'!$LA$3</definedName>
    <definedName name="Council_Overview_Costs___Water_Supply__WSF11">'Export format'!$DA$6</definedName>
    <definedName name="Council_Overview_Costs__Stormwater__SWF8">'Export format'!$JY$6</definedName>
    <definedName name="Council_s_Overview_Costs__Wastewater___WWF12">'Export format'!$HG$6</definedName>
    <definedName name="Councils_Contract_Management_Costs__Wastewater___WWF12">'Export format'!$IB$3</definedName>
    <definedName name="Data_confidence">'Data lists'!$A$2:$A$6</definedName>
    <definedName name="Days_of_treated_water_stored_in_resevoirs_on_average__WSA7__WSB5_365">'Export format'!$MB$3</definedName>
    <definedName name="Debt_Affordability__Stormwater__SWF12b">'Export format'!$LF$3</definedName>
    <definedName name="Debt_affordability__Wastewater__WWF16b">'Export format'!$IG$3</definedName>
    <definedName name="Debt_affordability__Water_Supply__WSF15b">'Export format'!$DN$3</definedName>
    <definedName name="Debt_funding__Stormwater__SWF5">'Export format'!$KW$3</definedName>
    <definedName name="Debt_funding__Wastewater__WWF6">'Export format'!$HV$3</definedName>
    <definedName name="Debt_funding__Water_Supply__WSF6">'Export format'!$DC$3</definedName>
    <definedName name="Debt_servicing__SWF12a_SWF1">'Export format'!$MC$3</definedName>
    <definedName name="Debt_servicing__WSF15a__WSF1___WSF2">'Export format'!$MD$3</definedName>
    <definedName name="Debt_servicing__WWF16a__WWF1___WWF2">'Export format'!$ME$3</definedName>
    <definedName name="Decline_in_Service_Potential__Stormwater__SWF21">'Export format'!$LU$3</definedName>
    <definedName name="Decline_in_Service_Potential__Wastewater__WWF25">'Export format'!$IW$3</definedName>
    <definedName name="Decline_in_Service_Potential__Water_Supply__WSF24">'Export format'!$ED$3</definedName>
    <definedName name="Developer_Contributions__WSS22_WWF23_SWF19">'Export format'!$NJ$3</definedName>
    <definedName name="Development_Contribution_Revenue__Stormwater__SWF2">'Export format'!$KT$3</definedName>
    <definedName name="Development_Contribution_Revenue__Wastewater__WWF3">'Export format'!$HS$3</definedName>
    <definedName name="Development_Contribution_Revenue__Water_Supply__WSF3">'Export format'!$CZ$3</definedName>
    <definedName name="Development_Contributions__Stormwater_assets__SWF19">'Export format'!$LS$3</definedName>
    <definedName name="Development_Contributions__Wastewater_assets__WWF23">'Export format'!$IT$3</definedName>
    <definedName name="Development_Contributions__Water_Supply_assets__WSF22">'Export format'!$EA$3</definedName>
    <definedName name="Digital_SCADA__CB19b">'Export format'!$T$3</definedName>
    <definedName name="Digital_SCADA_telemetry__CB19b">'Export format'!$T$3</definedName>
    <definedName name="Disposal_of_wastewater_sludge_in_year_to_composting_and_reuse__WWA7k_3">'Export format'!$FP$3</definedName>
    <definedName name="Disposal_of_wastewater_sludge_in_year_to_landfill__WWA7k_2">'Export format'!$FO$3</definedName>
    <definedName name="Disposal_of_wastewater_sludge_in_year_to_on_site_stockpile__WWA7k_1">'Export format'!$FN$3</definedName>
    <definedName name="Disposal_of_wastewater_sludge_in_year_to_other_routes__WWA7k_4">'Export format'!$FQ$3</definedName>
    <definedName name="Drinking_water_clarity_complaints__WSS5a">'Export format'!$BY$3</definedName>
    <definedName name="Drinking_water_odour_complaints__WSS5c">'Export format'!$CA$3</definedName>
    <definedName name="Drinking_water_pressure_or_flow_complaints__WSS5d">'Export format'!$CB$3</definedName>
    <definedName name="Drinking_water_taste_complaints__WSS5b">'Export format'!$BZ$3</definedName>
    <definedName name="Dry_Weather_Wastewater_Overflows__WWE1">'Export format'!$FV$3</definedName>
    <definedName name="Dry_Weather_Wastewater_Overflows_per_1000_connections__WWE1_WWB4">'Export format'!$MF$3</definedName>
    <definedName name="Energy_consumption__Stormwater__SWE5">'Export format'!$KD$3</definedName>
    <definedName name="Energy_Consumption__Wastewater__WWE5a">'Export format'!$GR$3</definedName>
    <definedName name="Energy_Consumption__Water_Supply__WSE3">'Export format'!$BQ$3</definedName>
    <definedName name="Energy_Costs__Wastewater__WWF7">'Export format'!$HW$3</definedName>
    <definedName name="Energy_Costs__Water_Supply__WSF7">'Export format'!$DD$3</definedName>
    <definedName name="Energy_Generation__Wastewater__WWE5c">'Export format'!$GT$3</definedName>
    <definedName name="Energy_Generation__Water_Supply__WSE4">'Export format'!$BS$3</definedName>
    <definedName name="Energy_Intensity__Wastewater__WWE5b">'Export format'!$GS$3</definedName>
    <definedName name="Energy_Intensity__Water_Supply__WSE3a">'Export format'!$BR$3</definedName>
    <definedName name="Estimated_total_network_water_loss__WSE1a">'Export format'!$BH$3</definedName>
    <definedName name="External_Grants__Stormwater__SWF22">'Export format'!$LV$3</definedName>
    <definedName name="External_Grants__Wastewater__WWF26">'Export format'!$IX$3</definedName>
    <definedName name="External_Grants__Water_Supply__WSF25">'Export format'!$EE$3</definedName>
    <definedName name="External_Opex__SWF6">'Export format'!$JW$6</definedName>
    <definedName name="Failure_of_wastewater_pipes__WWS7a">'Export format'!$GT$6</definedName>
    <definedName name="Fire_hydrants_tested_in_the_previous_five_years__WSS12a">'Export format'!$CS$3</definedName>
    <definedName name="Fixed__Charge_Type__Non_residential_wastewater__WWS1b">'Export format'!$GY$3</definedName>
    <definedName name="Fixed_Charge__Non_residential_wastewater__WWS1a">'Export format'!$GX$3</definedName>
    <definedName name="Fixed_Charge__Non_residential_water__WSS7a">'Export format'!$CG$3</definedName>
    <definedName name="Fixed_Charge__Residential_wastewater__WWS2a">'Export format'!$HB$3</definedName>
    <definedName name="Fixed_Charge__Residential_water__WSS8a">'Export format'!$CJ$3</definedName>
    <definedName name="Fixed_Charge__Residential_water__WSS8a_MAX">'Export format'!$NA$3</definedName>
    <definedName name="Fixed_Charge__Residential_water__WSS8a_MIN">'Export format'!$NB$3</definedName>
    <definedName name="Fixed_Charge_Type__Non_residential_water__WSS7b">'Export format'!$CH$3</definedName>
    <definedName name="Fixed_Charge_Type__Residential_wastewater__WWS2b">'Export format'!$HC$3</definedName>
    <definedName name="Fixed_Charge_Type__Residential_water__WSS8b">'Export format'!$CK$3</definedName>
    <definedName name="Flooding_Events__SWS5">'Export format'!$JJ$6</definedName>
    <definedName name="Flooding_events_resulting_from_other_causes__SWS5c">'Export format'!$KN$3</definedName>
    <definedName name="Flooding_events_resulting_from_storms_exceeding_stormwater_capacity__SWS5">'Export format'!$KK$3</definedName>
    <definedName name="Flooding_Response_Time__SWS6">'Export format'!$KP$3</definedName>
    <definedName name="Guest_Nights__Annual__CB8">'Export format'!$G$6</definedName>
    <definedName name="Guest_Nights__Peak_month__CB9">'Export format'!$H$6</definedName>
    <definedName name="Household_Income__CB7">'Export format'!#REF!</definedName>
    <definedName name="Household_Occupancy___CB6">'Export format'!$F$3</definedName>
    <definedName name="ILI___infrastructure_leakage_index___CARL_UARL___WSE1h">'Export format'!$BO$3</definedName>
    <definedName name="Inflow_and_Infiltration___WWE7">'Export format'!$GD$6</definedName>
    <definedName name="Interest__Stormwater__SWF12a">'Export format'!$LE$3</definedName>
    <definedName name="Interest__Wastewater__WWF16a">'Export format'!$IF$3</definedName>
    <definedName name="Interest__Water_Supply__WSF15a">'Export format'!$DM$3</definedName>
    <definedName name="Internal_staff__CB10">'Export format'!$G$3</definedName>
    <definedName name="Internal_staff_per_1000_serviced_properties__CB10__WSB4_WWB4">'Export format'!$MG$3</definedName>
    <definedName name="landfill__WSA12a">'Export format'!$AX$6</definedName>
    <definedName name="Last_year_desludged__WWA7k_5">'Export format'!$FR$3</definedName>
    <definedName name="Length_of_new_stormwater_mains_constructed_using_internal_CAPEX__SWA1c">'Export format'!$JE$3</definedName>
    <definedName name="Length_of_new_wastewater_mains_constructed_using_internal_CAPEX__WWA1c">'Export format'!$EP$3</definedName>
    <definedName name="Length_of_new_water_mains_constructed_using_internal_CAPEX__WSA1c">'Export format'!$AK$3</definedName>
    <definedName name="Length_of_stormwater_mains_renewed_using_internal_CAPEX__SWA1b">'Export format'!$JD$3</definedName>
    <definedName name="Length_of_wastewater_mains_renewed_using_internal_CAPEX__WWA1b">'Export format'!$EO$3</definedName>
    <definedName name="Length_of_water_mains_renewed_using_internal_CAPEX__WSA1b">'Export format'!$AJ$3</definedName>
    <definedName name="Length_of_Water_Supply_Network__WSA1a">'Export format'!$AI$3</definedName>
    <definedName name="Lost_time_injuries__CB13">'Export format'!$K$3</definedName>
    <definedName name="Lost_time_injuries_per_staff_member__internal_and_contracted___CB13__CB10_CB11">'Export format'!$MH$3</definedName>
    <definedName name="Management_Costs__Stormwater__SWF7">'Export format'!$KZ$3</definedName>
    <definedName name="Management_Costs__Wastewater__WWF11">'Export format'!$IA$3</definedName>
    <definedName name="Management_Costs__Water_Supply__WSF10">'Export format'!$DH$3</definedName>
    <definedName name="Near_miss_reports__CB12">'Export format'!$J$3</definedName>
    <definedName name="Near_miss_reports_per_staff_member__internal_and_contracted___CB12__CB10_CB11">'Export format'!$MI$3</definedName>
    <definedName name="Non_compliant_fire_hydrants__WSS12b">'Export format'!$CT$3</definedName>
    <definedName name="Non_residential_properties__CB4">'Export format'!$D$3</definedName>
    <definedName name="Non_residential_Water_Consumption__WSB7">'Export format'!$AF$3</definedName>
    <definedName name="Not_assessed__Stormwater_pipelines__SWA2f">'Export format'!$JK$3</definedName>
    <definedName name="Not_assessed__Wastewater_pipelines__WWA2f">'Export format'!$EV$3</definedName>
    <definedName name="Not_assessed__Water_pipelines__WSA2f">'Export format'!$AQ$3</definedName>
    <definedName name="Not_yet_assessed__SWA2f_CONF">'Export format'!$MD$6</definedName>
    <definedName name="Not_yet_assessed__WSA2f_CONF">'Export format'!$ME$6</definedName>
    <definedName name="Not_yet_assessed__WWA2f_CONF">'Export format'!#REF!</definedName>
    <definedName name="Number_of_consents_at_each_treatment_plant__WWA7g">'Export format'!$FI$3</definedName>
    <definedName name="Number_of_different_water_charging_regimes__WSS7">'Export format'!$CF$3</definedName>
    <definedName name="Number_of_habitable_floors_affected__SWS5a">'Export format'!$JK$6</definedName>
    <definedName name="Number_of_habitable_floors_affected_by_flooding_from_other_causes__SWS5d">'Export format'!$KO$3</definedName>
    <definedName name="Number_of_habitable_floors_affected_by_storms_exceeding_stormwater_capacity__SWS5a">'Export format'!$KL$3</definedName>
    <definedName name="Number_of_habitable_floors_affected_per_1000_stormwater_serviced_properties__SWS5b">'Export format'!$KM$3</definedName>
    <definedName name="Number_of_residential_wastewater_scheme_charges">'Export format'!#REF!</definedName>
    <definedName name="Number_of_residential_water_scheme_charges">'Export format'!#REF!</definedName>
    <definedName name="Number_of_stormwater_discharges_from_the_piped_network__SWE1a">'Export format'!$JS$3</definedName>
    <definedName name="Number_of_stormwater_discharges_with_resource_consents__SWE1b">'Export format'!$JT$3</definedName>
    <definedName name="Number_of_wastewater_treatment_plants__WWA7">'Export format'!$FE$3</definedName>
    <definedName name="Operating_Cost__Stormwater__SWF9">'Export format'!$LB$3</definedName>
    <definedName name="Operating_Cost__Wastewater__WWF13">'Export format'!$IC$3</definedName>
    <definedName name="Operating_Cost__Water_Supply__WSF12">'Export format'!$DJ$3</definedName>
    <definedName name="Operating_Cost_per_Property__Stormwater__SWF10">'Export format'!$LC$3</definedName>
    <definedName name="Operating_Cost_per_Property__Wastewater__WWF14">'Export format'!$ID$3</definedName>
    <definedName name="Operating_Cost_per_Property__Water_Supply__WSF13">'Export format'!$DK$3</definedName>
    <definedName name="Operating_Revenue__Stormwater__SWF1">'Export format'!$KS$3</definedName>
    <definedName name="Operating_Revenue__Wastewater__WWF2">'Export format'!$HR$3</definedName>
    <definedName name="Operating_Revenue__Water_Supply__WSF2">'Export format'!$CY$3</definedName>
    <definedName name="Operational_Cost_Coverage__Stormwater__SWF13">'Export format'!$LG$3</definedName>
    <definedName name="Operational_Cost_Coverage__Wastewater__WWF17">'Export format'!$IH$3</definedName>
    <definedName name="Operational_Cost_Coverage__Water_Supply__WSF16">'Export format'!$DO$3</definedName>
    <definedName name="other__specify___WSA12c">'Export format'!$AZ$6</definedName>
    <definedName name="Other_External_Opex___WSF9">'Export format'!$CW$6</definedName>
    <definedName name="Other_wastewater_asset_value__WWF24b">'Export format'!$IV$3</definedName>
    <definedName name="Other_water_supply_asset_value__WSF23b">'Export format'!$EC$3</definedName>
    <definedName name="Overflows_calculated_through_calibrated_hydraulic_models__WWE9d">'Export format'!$GH$3</definedName>
    <definedName name="Overflows_calculated_through_hydraulic_models__WWE9c">'Export format'!$GG$3</definedName>
    <definedName name="Overflows_caused_by_blockages__WWE1a">'Export format'!$FW$3</definedName>
    <definedName name="Overflows_caused_by_mechanical_failures__WWE1b">'Export format'!$FM$6</definedName>
    <definedName name="Overflows_caused_by_plant_failures__WWE1b">'Export format'!$FX$3</definedName>
    <definedName name="Overflows_recorded_through_SCADA_monitoring__WWE9b">'Export format'!$GF$3</definedName>
    <definedName name="Overflows_recorded_through_verbal_reports__WWE9a">'Export format'!$GE$3</definedName>
    <definedName name="Peak_wet_to_average_dry_weather_ratio__WWA7m_MAX">'Export format'!$NE$3</definedName>
    <definedName name="Peak_wet_to_average_dry_weather_ratio__WWA7m_MIN">'Export format'!$NF$3</definedName>
    <definedName name="Percent_of_above_ground_assets_assessed_within_3_years__WSA13c">'Export format'!$BG$3</definedName>
    <definedName name="Percent_of_above_ground_assets_assessed_within_3_years__WWA6b">'Export format'!$FD$3</definedName>
    <definedName name="Percentage_Estimated_Total_Network_Water_Loss__WSE1b">'Export format'!$BI$3</definedName>
    <definedName name="Percentage_of_above_ground_stormwater_assets_assessed_in_3_years__SWA5c">'Export format'!$JP$3</definedName>
    <definedName name="Percentage_of_dry_solids_in_wastewater_sludge_biosolids__WWA7j_2">'Export format'!$FM$3</definedName>
    <definedName name="Percentage_of_non_residential_connections_with_meters__WSA10_WSB3">'Export format'!$LJ$6</definedName>
    <definedName name="Percentage_of_nonresidential_connections_with_meters__WSA9b_WSB3">'Export format'!$MJ$3</definedName>
    <definedName name="Percentage_of_residential_connections_with_meters__WSA9_WSB2">'Export format'!$LK$6</definedName>
    <definedName name="Percentage_of_residential_connections_with_meters__WSA9a_WSB2">'Export format'!$MK$3</definedName>
    <definedName name="Pipeline_Condition_Assessment_Approach__WSA2g">'Export format'!$AR$3</definedName>
    <definedName name="Pipeline_Condition_Assessment_Approach__WWA2g">'Export format'!$EW$3</definedName>
    <definedName name="Pipeline_condition_grading_approaches">'Data lists'!$B$2:$B$9</definedName>
    <definedName name="Planned_Interruptions__Wastewater__WWS7c">'Export format'!$HG$3</definedName>
    <definedName name="Planned_Interruptions__Water_Supply__WSS3">'Export format'!$BV$3</definedName>
    <definedName name="Primary_stormwater_network_capacity__SWS7a">'Export format'!$KQ$3</definedName>
    <definedName name="Properties_with_Water_Meters___Non_Residential___WSA9b">'Export format'!$BB$3</definedName>
    <definedName name="Properties_with_Water_Meters___Residential__WSA9a">'Export format'!$BA$3</definedName>
    <definedName name="Properties_with_Water_Restrictors__WSA10">'Export format'!$BC$3</definedName>
    <definedName name="Proportion_of_trade_waste_at_treatment_plant__WWA7f">'Export format'!$FH$3</definedName>
    <definedName name="Protocol_used_for_above_ground_condition_assessments__WSA13b">'Export format'!$BF$3</definedName>
    <definedName name="Protocol_used_for_above_ground_condition_assessments__WWA6a">'Export format'!$FC$3</definedName>
    <definedName name="Protocol_used_for_above_ground_stormwater_asset_assessments__SWA5b">'Export format'!$JO$3</definedName>
    <definedName name="Reactive_maintenance__Stormwater___SWF6b">'Export format'!$KY$3</definedName>
    <definedName name="Reactive_Maintenance__Wastewater__WWF10">'Export format'!$HZ$3</definedName>
    <definedName name="Reactive_maintenance__Water_Supply__WSF9b">'Export format'!$DG$3</definedName>
    <definedName name="Reactive_vs_Routine_Stormwater_OPEX__WWF10_WWF9">'Export format'!$NM$3</definedName>
    <definedName name="Reactive_vs_Routine_Wastewater_OPEX__WWF10_WWF9">'Export format'!$NL$3</definedName>
    <definedName name="Reactive_vs_Routine_Water_Supply_OPEX__WSF9b_WSF9a">'Export format'!$NK$3</definedName>
    <definedName name="Resevoir_average_level__WSA7_WSA8">'Export format'!$ML$3</definedName>
    <definedName name="Residential_properties__CB3">'Export format'!$C$3</definedName>
    <definedName name="Residential_water_consumption__WSB5_WSB7">'Export format'!$LM$6</definedName>
    <definedName name="Residential_water_metering_coverage">'Export format'!$LN$6</definedName>
    <definedName name="Resolution_for_non_urgent_water_supply_fault_call_outs__WSS10d">'Export format'!$CQ$3</definedName>
    <definedName name="Resolution_for_urgent_water_supply_fault_call_outs__WSS10b">'Export format'!$CO$3</definedName>
    <definedName name="Reticulation_External_OPEX__WWF10">'Export format'!#REF!</definedName>
    <definedName name="Retiring_staff__CB10b">'Export format'!$I$3</definedName>
    <definedName name="Revenue_from_Supply_of_Water_to_Other_Local_Authorities__WSF1">'Export format'!$CX$3</definedName>
    <definedName name="Revenue_from_the_Provision_of_Wastewater_Treatment_Services_to_Another_Local_Authority__WWF1">'Export format'!$HQ$3</definedName>
    <definedName name="Revenue_per_Property__Wastewater__WWF5">'Export format'!$HU$3</definedName>
    <definedName name="Revenue_per_Property__Water_Supply__WSF5">'Export format'!$DB$3</definedName>
    <definedName name="Routine_maintenance__Stormwater___SWF6a">'Export format'!$KX$3</definedName>
    <definedName name="Routine_Maintenance__Wastewater__WWF9">'Export format'!$HY$3</definedName>
    <definedName name="Routine_maintenance__Water_Supply__WSF9a">'Export format'!$DF$3</definedName>
    <definedName name="SCADA_Controls__CB19c">'Export format'!$U$3</definedName>
    <definedName name="SCADA_Monitoring__CB19d">'Export format'!$V$3</definedName>
    <definedName name="SCADA_telemetry_controls__CB19c">'Export format'!$U$3</definedName>
    <definedName name="SCADA_telemetry_monitoring__CB19d">'Export format'!$V$3</definedName>
    <definedName name="Secondary_stormwater_network_capacity__SWS7b">'Export format'!$KR$3</definedName>
    <definedName name="Sewage_containment_design_standards__WWE8a">'Export format'!$FQ$6</definedName>
    <definedName name="Sewage_containment_of_the_existing_network__WWE8">'Export format'!$GD$3</definedName>
    <definedName name="Sewage_design_standards__WWE8a">'Export format'!$FZ$3</definedName>
    <definedName name="Sewage_design_standards_for_network_capacity__WWE7">'Export format'!$GC$3</definedName>
    <definedName name="Sewage_odour_complaints__WWS4a">'Export format'!$HG$3</definedName>
    <definedName name="sewer__WSA12b">'Export format'!$AY$6</definedName>
    <definedName name="Sewerage_system_blockage_complaints__WWS4c">'Export format'!$HI$3</definedName>
    <definedName name="Sewerage_system_fault_complaints__WWS4b">'Export format'!$HH$3</definedName>
    <definedName name="Sludge_Disposal_Costs__Wastewater__WWF8">'Export format'!$HX$3</definedName>
    <definedName name="Source_water_monitoring__WSS15">'Export format'!$CW$3</definedName>
    <definedName name="Source_water_zone_management__WSS14">'Export format'!$CV$3</definedName>
    <definedName name="Staff_completed_apprentiships__CB15d">'Export format'!$Q$3</definedName>
    <definedName name="Staff_training__CB14">'Export format'!$M$3</definedName>
    <definedName name="Staff_training_enrolments__CB14b">'Export format'!$M$3</definedName>
    <definedName name="Staff_training_hours__CB14a">'Export format'!$L$3</definedName>
    <definedName name="Staff_vacancies__CB10a">'Export format'!$H$3</definedName>
    <definedName name="Staff_with_a_Bachelor_of_Engineering__CB15a">'Export format'!$N$3</definedName>
    <definedName name="Staff_with_a_NZ_Certificate__CB15b">'Export format'!$P$3</definedName>
    <definedName name="Staff_with_a_NZ_Diploma__CB15c">'Export format'!$O$3</definedName>
    <definedName name="Staff_with_a_relevant_Bachelors_degree__CB15a">'Export format'!$N$3</definedName>
    <definedName name="Staff_with_completed_apprenticeships__CB15d">'Export format'!$Q$3</definedName>
    <definedName name="Stormwater_asset_value_at_end_of_reporting_year__SWF20">'Export format'!$LT$3</definedName>
    <definedName name="Stormwater_blockage_complaints__SWS3a">'Export format'!$KH$3</definedName>
    <definedName name="Stormwater_capital_expenditure_versus_depreciation__SWF17_SWF11">'Export format'!$MY$3</definedName>
    <definedName name="Stormwater_catchment_management_plans__SWE4">'Export format'!$KC$3</definedName>
    <definedName name="Stormwater_Charge__SWS1">'Export format'!$KE$3</definedName>
    <definedName name="Stormwater_Charge_type__SWS2">'Export format'!$KF$3</definedName>
    <definedName name="Stormwater_Complaints__SWS3">'Export format'!$KG$3</definedName>
    <definedName name="Stormwater_Complaints_Frequency__SWS4">'Export format'!$KJ$3</definedName>
    <definedName name="Stormwater_consent_abatement_notices__SWE2a">'Export format'!$JU$3</definedName>
    <definedName name="Stormwater_consent_enforcement_orders__SWE2c">'Export format'!$JW$3</definedName>
    <definedName name="Stormwater_consent_formal_warning__SWE2g">'Export format'!$KA$3</definedName>
    <definedName name="Stormwater_consent_infringement_notices__SWE2b">'Export format'!$JV$3</definedName>
    <definedName name="Stormwater_consent_letters_of_direction__SWE2f">'Export format'!$JZ$3</definedName>
    <definedName name="Stormwater_consent_non_conformance__SWE2e">'Export format'!$JY$3</definedName>
    <definedName name="Stormwater_Data">Stormwater!$H$6:$H$80</definedName>
    <definedName name="Stormwater_Data_Confidence">Stormwater!$I$6:$I$80</definedName>
    <definedName name="Stormwater_fault_complaints__SWS3b">'Export format'!$KI$3</definedName>
    <definedName name="Stormwater_Headings">Stormwater!$C$6:$C$80</definedName>
    <definedName name="Stormwater_Name">Stormwater!$B$6:$B$80</definedName>
    <definedName name="Stormwater_network_CCTV_inspection__SWA6">'Export format'!$JQ$3</definedName>
    <definedName name="Stormwater_Pipeline_Condition_Assessment_Approach__SWA2g">'Export format'!$JL$3</definedName>
    <definedName name="Stormwater_Pump_Stations__SWA7">'Export format'!$JR$3</definedName>
    <definedName name="Stormwater_quality_monitoring__SWE3">'Export format'!$KB$3</definedName>
    <definedName name="Stormwater_Serviced_Population__SWB1">'Export format'!$IY$3</definedName>
    <definedName name="Stormwater_Serviced_Properties___Non_residential__SWB3">'Export format'!$JA$3</definedName>
    <definedName name="Stormwater_Serviced_Properties___Residential__SWB2">'Export format'!$IZ$3</definedName>
    <definedName name="Stormwater_successful_prosecutions__SWE2d">'Export format'!$JX$3</definedName>
    <definedName name="Stormwater_Units">Stormwater!$F$6:$F$80</definedName>
    <definedName name="The_authorities_response_to_any_of_these_issues__WSS5f">'Export format'!$CD$3</definedName>
    <definedName name="The_authority’s_response_to_issues_with_its_sewerage_system__WWS4d">'Export format'!$HJ$3</definedName>
    <definedName name="Third_party_disruptions_to_the_wastewater_system__WWS7b">'Export format'!$GU$6</definedName>
    <definedName name="Third_party_Incidents__Wastewater__WWS7b">'Export format'!$HO$3</definedName>
    <definedName name="Third_Party_Incidents__Water_Supply__WSS4">'Export format'!$BW$3</definedName>
    <definedName name="Total__Properties__CB5">'Export format'!$E$3</definedName>
    <definedName name="Total_Area__CB1">'Export format'!$A$3</definedName>
    <definedName name="Total_asset_value__WWF24b__WSF23b__SWF20__WWF24a__WSF23a">'Export format'!$NI$3</definedName>
    <definedName name="Total_CAPEX__SWF17__WWF21__WSF20">'Export format'!$NH$3</definedName>
    <definedName name="Total_Cost__Stormwater__SWF14">'Export format'!$LH$3</definedName>
    <definedName name="Total_Cost__Wastewater__WWF18">'Export format'!$II$3</definedName>
    <definedName name="Total_Cost__Water_Supply__WSF17">'Export format'!$DP$3</definedName>
    <definedName name="Total_Cost_per_Property__Stormwater__SWF15">'Export format'!$LI$3</definedName>
    <definedName name="Total_Cost_per_Property__Wastewater__WWF19">'Export format'!$IJ$3</definedName>
    <definedName name="Total_Cost_per_Property__Water_Supply__WSF18">'Export format'!$DQ$3</definedName>
    <definedName name="Total_Length_of_Combined_Wastewater_and_Stormwater_Pipelines__WWA8">'Export format'!$FU$3</definedName>
    <definedName name="Total_Length_of_Public_Stormwater_Network__SWA1a">'Export format'!$JC$3</definedName>
    <definedName name="Total_Length_of_Public_Wastewater_Network__WWA1a">'Export format'!$EN$3</definedName>
    <definedName name="Total_occupied_and_unoccupied_dwellings">'Export format'!#REF!</definedName>
    <definedName name="Total_Population__CB2">'Export format'!$B$3</definedName>
    <definedName name="Total_Revenue__Stormwater__SWF3">'Export format'!$KU$3</definedName>
    <definedName name="Total_Revenue__Wastewater__WWF4">'Export format'!$HT$3</definedName>
    <definedName name="Total_Revenue__Water_Supply__WSF4">'Export format'!$DA$3</definedName>
    <definedName name="Total_Revenue__WSF4_WWF4_SWF3">'Export format'!$MM$3</definedName>
    <definedName name="Total_Revenue_per_Property__Stormwater__SWF4">'Export format'!$KV$3</definedName>
    <definedName name="Total_Stormwater_Serviced_Properties__SWB4">'Export format'!$JB$3</definedName>
    <definedName name="Total_Wastewater_Overflows___WWE3">'Export format'!$GA$3</definedName>
    <definedName name="Total_Wastewater_Produced__WWB7">'Export format'!$EM$3</definedName>
    <definedName name="Total_Wastewater_Serviced_Properties__WWB4">'Export format'!$EJ$3</definedName>
    <definedName name="Total_Water_Serviced_Properties__WSB4">'Export format'!$AA$3</definedName>
    <definedName name="Trade_Waste_Management__WWE6">'Export format'!$GW$3</definedName>
    <definedName name="Tradewaste_approach">'Data lists'!$G$2:$G$5</definedName>
    <definedName name="Treatment_Plant_backup_generators__WWA7l">'Export format'!$FS$3</definedName>
    <definedName name="Treatment_plant_effluent_consent_status__WWA7i">'Export format'!$FK$3</definedName>
    <definedName name="Treatment_Plant_effluent_resource_consent_expiry_date__WWA7h">'Export format'!$FJ$3</definedName>
    <definedName name="Treatment_plant_peak_wet_to_average_dry_weather_flow_ratio__WWA7m">'Export format'!$FT$3</definedName>
    <definedName name="Treatment_Plant_sludge_production__WWA7j">'Export format'!$FJ$3</definedName>
    <definedName name="Treatment_Plant_sludge_production_of_wet_sludge_biosolids__WWA7j_1">'Export format'!$FL$3</definedName>
    <definedName name="UARL__unavoidable_annual_real_loss___WSE1f">'Export format'!$BM$3</definedName>
    <definedName name="UARL__unavoidable_annual_real_loss___WSE1g">'Export format'!$BN$3</definedName>
    <definedName name="Unplanned_Interruption_Frequency__Wastewater__WWS7c">'Export format'!$HP$3</definedName>
    <definedName name="Unplanned_Interruption_Frequency__Wastewater__WWS7d">'Export format'!$HH$3</definedName>
    <definedName name="Unplanned_Interruption_Frequency__Water_Supply__WSS2">'Export format'!$BU$3</definedName>
    <definedName name="Unplanned_Total_Interruptions__Wastewater__WWS7a">'Export format'!$HN$3</definedName>
    <definedName name="Unplanned_Total_Interruptions__Water_Supply__WSS1">'Export format'!$BT$3</definedName>
    <definedName name="Vacancies_per_1000_serviced_properties__CB10a__WSB4_WWB4">'Export format'!$MN$3</definedName>
    <definedName name="Volume_of_wastewater_treated_at_treatment_plant__WWA7d">'Export format'!$FG$3</definedName>
    <definedName name="Volumetric_Charge__Non_residential_wastewater__WWS1c">'Export format'!$GZ$3</definedName>
    <definedName name="Volumetric_Charge__Non_residential_water__WSS7c">'Export format'!$CI$3</definedName>
    <definedName name="Volumetric_Charge__Residential_wastewater__WWS2c">'Export format'!$HD$3</definedName>
    <definedName name="Volumetric_Charge__Residential_water__WSS8c">'Export format'!$CL$3</definedName>
    <definedName name="Volumetric_Charge_for_200m3">'Export format'!$MO$3</definedName>
    <definedName name="Wastewater_capital_expenditure_versus_depreciation__SWF17_SWF11">'Export format'!#REF!</definedName>
    <definedName name="Wastewater_capital_expenditure_versus_depreciation__WWF21_WWF15">'Export format'!$MX$3</definedName>
    <definedName name="Wastewater_CCTV_inspection__WWA4">'Export format'!$EY$3</definedName>
    <definedName name="Wastewater_complaints__WWS4">'Export format'!$HF$3</definedName>
    <definedName name="Wastewater_complaints_frequency__WWS5">'Export format'!$HK$3</definedName>
    <definedName name="Wastewater_connection_density__WWB4_WWA1a">'Export format'!$MP$3</definedName>
    <definedName name="Wastewater_consent_abatement_notices__WWE4a">'Export format'!$GI$3</definedName>
    <definedName name="Wastewater_consent_enforcement_orders__WWE4c">'Export format'!$GK$3</definedName>
    <definedName name="Wastewater_consent_formal_warming__WWE4i">'Export format'!$GQ$3</definedName>
    <definedName name="Wastewater_consent_infringement_notices__WWE4b">'Export format'!$GJ$3</definedName>
    <definedName name="Wastewater_consent_letter_of_direction__WWE4h">'Export format'!$GP$3</definedName>
    <definedName name="Wastewater_consent_successful_prosecutions__WWE4d">'Export format'!$GL$3</definedName>
    <definedName name="Wastewater_Data" localSheetId="3">Wastewater!$H$32:$H$127</definedName>
    <definedName name="Wastewater_Data">#REF!</definedName>
    <definedName name="Wastewater_Data_Confidence" localSheetId="3">Wastewater!$I$32:$I$127</definedName>
    <definedName name="Wastewater_Data_Confidence">#REF!</definedName>
    <definedName name="Wastewater_Exported_for_Treatment__WWB5">'Export format'!$EK$3</definedName>
    <definedName name="Wastewater_facility_value_at_end_of_reporting_year__WWF24a">'Export format'!$IU$3</definedName>
    <definedName name="Wastewater_fault_attendance_time__WWS6a">'Export format'!$HL$3</definedName>
    <definedName name="Wastewater_fault_resolution_time__WWS6b">'Export format'!$HM$3</definedName>
    <definedName name="Wastewater_Headings" localSheetId="3">Wastewater!$C$32:$C$127</definedName>
    <definedName name="Wastewater_Headings">#REF!</definedName>
    <definedName name="Wastewater_Imported_for_Treatment__WWB6">'Export format'!$EL$3</definedName>
    <definedName name="Wastewater_maintenance__WWF9_WWF10">'Export format'!$NG$3</definedName>
    <definedName name="Wastewater_Name" localSheetId="3">Wastewater!$B$18:$B$148</definedName>
    <definedName name="Wastewater_Name">#REF!</definedName>
    <definedName name="Wastewater_network_discharge_consents__WWE4g">'Export format'!$GL$3</definedName>
    <definedName name="Wastewater_network_discharge_non_conformance__WWE4f">'Export format'!$GN$3</definedName>
    <definedName name="Wastewater_overflows_on_private_properties__WWE3a">'Export format'!$GB$3</definedName>
    <definedName name="Wastewater_Pump_Stations__WWA5">'Export format'!$EZ$3</definedName>
    <definedName name="Wastewater_Pump_Stations_Standby_Generators__WWA5a">'Export format'!$FA$3</definedName>
    <definedName name="Wastewater_Pump_Stations_without_backup_generators__WWA5_WWA5a">'Export format'!$MQ$3</definedName>
    <definedName name="Wastewater_Service_Coverage__WWB1b">'Export format'!$EG$3</definedName>
    <definedName name="Wastewater_Serviced_Population__WWB1a">'Export format'!$EF$3</definedName>
    <definedName name="Wastewater_Serviced_Properties__Non_residential__WWB3">'Export format'!$EI$3</definedName>
    <definedName name="Wastewater_Serviced_Properties__Residential__WWB2">'Export format'!$EH$3</definedName>
    <definedName name="Wastewater_treatment_plant_consent_non_conformance__WWE4e">'Export format'!$GM$3</definedName>
    <definedName name="Wastewater_treatment_plant_effluent_environmental_discharge_emissions_assessment__WWE5e">'Export format'!$GV$3</definedName>
    <definedName name="Wastewater_treatment_plant_name__WWA7a">'Export format'!$FF$3</definedName>
    <definedName name="Wastewater_treatment_plant_process_emissions_assessment__WWE5d">'Export format'!$GU$3</definedName>
    <definedName name="Wastewater_Treatment_Plants__without_backup_generators__WWA7a___WWA7l">'Export format'!$LU$6</definedName>
    <definedName name="Wastewater_Treatment_Plants__without_backup_generators__WWA7a__WWA7l">'Export format'!$MR$3</definedName>
    <definedName name="Wastewater_Units" localSheetId="3">Wastewater!$F$32:$F$127</definedName>
    <definedName name="Wastewater_Units">#REF!</definedName>
    <definedName name="Water_and_wastewater_affordability___WSS9_WWS3__CB7">'Export format'!#REF!</definedName>
    <definedName name="Water_and_wastewater_properties_serviced__WSB4_WWB4">'Export format'!$MZ$3</definedName>
    <definedName name="Water_capital_expenditure_versus_depreciation__SWF17_SWF11">'Export format'!$LY$6</definedName>
    <definedName name="Water_capital_expenditure_versus_depreciation__WSF20_WSF14">'Export format'!$MW$3</definedName>
    <definedName name="Water_Data">Water!$J$16:$J$109</definedName>
    <definedName name="Water_Data_Confidence">Water!$K$16:$K$109</definedName>
    <definedName name="Water_Demand_Forecasting__WSB9">'Export format'!$AH$3</definedName>
    <definedName name="Water_exported_to_other_authorities__WSB5b">'Export format'!$AD$3</definedName>
    <definedName name="Water_Headings">Water!$C$16:$C$109</definedName>
    <definedName name="Water_imported_from_other_authorities__WSB5a">'Export format'!$AC$3</definedName>
    <definedName name="Water_Name">Water!$B$16:$B$109</definedName>
    <definedName name="Water_Pump_Stations__WSA5">'Export format'!$AV$3</definedName>
    <definedName name="Water_Pump_Stations_Standby_Generators__WSA5a">'Export format'!$AW$3</definedName>
    <definedName name="Water_Pump_Stations_without_backup_generators__WSA5_WSA5a">'Export format'!$MS$3</definedName>
    <definedName name="Water_Pump_Stations_without_backup_generators__WSA5WSA5a">'Export format'!$MS$3</definedName>
    <definedName name="Water_restriction_days__WSS11">'Export format'!$CR$3</definedName>
    <definedName name="Water_safety_plan_actions__WSS13a">'Export format'!$CT$3</definedName>
    <definedName name="Water_safety_plan_imlpementation__WSS13b">'Export format'!$CU$3</definedName>
    <definedName name="Water_Serviced_Population__WSB1a">'Export format'!$W$3</definedName>
    <definedName name="Water_Serviced_Properties__Non_Residential__WSB3">'Export format'!$Z$3</definedName>
    <definedName name="Water_Serviced_Properties__Residential__WSB2">'Export format'!$Y$3</definedName>
    <definedName name="Water_Stored_in_Reservoirs__WSA7">'Export format'!$AY$3</definedName>
    <definedName name="Water_Supplied_to_Own_System__WSB5">'Export format'!$AB$3</definedName>
    <definedName name="Water_Supply_Complaints__WSS5">'Export format'!$BX$3</definedName>
    <definedName name="Water_Supply_Complaints_Frequency__WSS6">'Export format'!$CE$3</definedName>
    <definedName name="Water_Supply_Connection_Density__WSB4_WSA1a">'Export format'!$MT$3</definedName>
    <definedName name="Water_Supply_Reservoirs__WSA6">'Export format'!$AX$3</definedName>
    <definedName name="Water_Supply_Service_Coverage__WSB1b">'Export format'!$X$3</definedName>
    <definedName name="Water_treatment_facility_value_at_end_of_reporting_year__WSF23a">'Export format'!$EB$3</definedName>
    <definedName name="Water_Treatment_Plant_Standby_Generators__WSA4a">'Export format'!$AU$3</definedName>
    <definedName name="Water_Treatment_Plants__WSA4">'Export format'!$AT$3</definedName>
    <definedName name="Water_Treatment_Plants_without_backup_generators__WSA4_WSA4a">'Export format'!$MU$3</definedName>
    <definedName name="Water_Treatment_Sludge_Production__WSA11">'Export format'!$BD$3</definedName>
    <definedName name="Water_Units">Water!$G$16:$G$109</definedName>
    <definedName name="Weighted_inflow_infiltration">'Export format'!$NN$3</definedName>
    <definedName name="Wet_weather_overflow_regulation_approach__WWE4g">'Export format'!$GO$3</definedName>
    <definedName name="Wet_weather_overflows_from_combined_stormwater_and_wastewater_networks__WWE2b">'Export format'!$FZ$3</definedName>
    <definedName name="Wet_weather_overflows_from_the_wastewater_network__WWE2a">'Export format'!$FY$3</definedName>
    <definedName name="Wet_Weather_Wastewater_Overflows_per_1000_connections__WWE2_WWB4">'Export format'!$LX$6</definedName>
    <definedName name="Wet_Weather_Wastewater_Overflows_per_1000_connections__WWE2a_WWB4">'Export format'!$MV$3</definedName>
    <definedName name="WWTP_External_OPEX__WWF9">'Export format'!#REF!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 i="12" l="1"/>
  <c r="D3" i="3" l="1"/>
  <c r="H36" i="12"/>
  <c r="H35" i="12"/>
  <c r="T1" i="14"/>
  <c r="T2" i="14"/>
  <c r="T3" i="14"/>
  <c r="T4" i="14"/>
  <c r="T5" i="14"/>
  <c r="T6" i="14"/>
  <c r="T7" i="14"/>
  <c r="T8" i="14"/>
  <c r="T9" i="14"/>
  <c r="T10" i="14"/>
  <c r="T11" i="14"/>
  <c r="T12" i="14"/>
  <c r="T13" i="14"/>
  <c r="T14" i="14"/>
  <c r="T15" i="14"/>
  <c r="T16" i="14"/>
  <c r="T17" i="14"/>
  <c r="T18" i="14"/>
  <c r="B1" i="14"/>
  <c r="C1" i="14"/>
  <c r="D1" i="14"/>
  <c r="E1" i="14"/>
  <c r="F1" i="14"/>
  <c r="G1" i="14"/>
  <c r="H1" i="14"/>
  <c r="I1" i="14"/>
  <c r="J1" i="14"/>
  <c r="K1" i="14"/>
  <c r="L1" i="14"/>
  <c r="M1" i="14"/>
  <c r="N1" i="14"/>
  <c r="O1" i="14"/>
  <c r="P1" i="14"/>
  <c r="Q1" i="14"/>
  <c r="R1" i="14"/>
  <c r="S1" i="14"/>
  <c r="B2" i="14"/>
  <c r="C2" i="14"/>
  <c r="D2" i="14"/>
  <c r="E2" i="14"/>
  <c r="F2" i="14"/>
  <c r="G2" i="14"/>
  <c r="H2" i="14"/>
  <c r="I2" i="14"/>
  <c r="J2" i="14"/>
  <c r="K2" i="14"/>
  <c r="L2" i="14"/>
  <c r="M2" i="14"/>
  <c r="N2" i="14"/>
  <c r="O2" i="14"/>
  <c r="P2" i="14"/>
  <c r="Q2" i="14"/>
  <c r="R2" i="14"/>
  <c r="S2" i="14"/>
  <c r="B3" i="14"/>
  <c r="C3" i="14"/>
  <c r="D3" i="14"/>
  <c r="E3" i="14"/>
  <c r="F3" i="14"/>
  <c r="G3" i="14"/>
  <c r="H3" i="14"/>
  <c r="I3" i="14"/>
  <c r="J3" i="14"/>
  <c r="K3" i="14"/>
  <c r="L3" i="14"/>
  <c r="M3" i="14"/>
  <c r="N3" i="14"/>
  <c r="O3" i="14"/>
  <c r="P3" i="14"/>
  <c r="Q3" i="14"/>
  <c r="R3" i="14"/>
  <c r="S3" i="14"/>
  <c r="B4" i="14"/>
  <c r="C4" i="14"/>
  <c r="D4" i="14"/>
  <c r="E4" i="14"/>
  <c r="F4" i="14"/>
  <c r="G4" i="14"/>
  <c r="H4" i="14"/>
  <c r="I4" i="14"/>
  <c r="J4" i="14"/>
  <c r="K4" i="14"/>
  <c r="L4" i="14"/>
  <c r="M4" i="14"/>
  <c r="N4" i="14"/>
  <c r="O4" i="14"/>
  <c r="P4" i="14"/>
  <c r="Q4" i="14"/>
  <c r="R4" i="14"/>
  <c r="S4" i="14"/>
  <c r="B5" i="14"/>
  <c r="C5" i="14"/>
  <c r="D5" i="14"/>
  <c r="E5" i="14"/>
  <c r="F5" i="14"/>
  <c r="G5" i="14"/>
  <c r="H5" i="14"/>
  <c r="I5" i="14"/>
  <c r="J5" i="14"/>
  <c r="K5" i="14"/>
  <c r="L5" i="14"/>
  <c r="M5" i="14"/>
  <c r="N5" i="14"/>
  <c r="O5" i="14"/>
  <c r="P5" i="14"/>
  <c r="Q5" i="14"/>
  <c r="R5" i="14"/>
  <c r="S5" i="14"/>
  <c r="B6" i="14"/>
  <c r="C6" i="14"/>
  <c r="D6" i="14"/>
  <c r="E6" i="14"/>
  <c r="F6" i="14"/>
  <c r="G6" i="14"/>
  <c r="H6" i="14"/>
  <c r="I6" i="14"/>
  <c r="J6" i="14"/>
  <c r="K6" i="14"/>
  <c r="L6" i="14"/>
  <c r="M6" i="14"/>
  <c r="N6" i="14"/>
  <c r="O6" i="14"/>
  <c r="P6" i="14"/>
  <c r="Q6" i="14"/>
  <c r="R6" i="14"/>
  <c r="S6" i="14"/>
  <c r="B7" i="14"/>
  <c r="C7" i="14"/>
  <c r="D7" i="14"/>
  <c r="E7" i="14"/>
  <c r="F7" i="14"/>
  <c r="G7" i="14"/>
  <c r="H7" i="14"/>
  <c r="I7" i="14"/>
  <c r="J7" i="14"/>
  <c r="K7" i="14"/>
  <c r="L7" i="14"/>
  <c r="M7" i="14"/>
  <c r="N7" i="14"/>
  <c r="O7" i="14"/>
  <c r="P7" i="14"/>
  <c r="Q7" i="14"/>
  <c r="R7" i="14"/>
  <c r="S7" i="14"/>
  <c r="B8" i="14"/>
  <c r="C8" i="14"/>
  <c r="D8" i="14"/>
  <c r="E8" i="14"/>
  <c r="F8" i="14"/>
  <c r="G8" i="14"/>
  <c r="H8" i="14"/>
  <c r="I8" i="14"/>
  <c r="J8" i="14"/>
  <c r="K8" i="14"/>
  <c r="L8" i="14"/>
  <c r="M8" i="14"/>
  <c r="N8" i="14"/>
  <c r="O8" i="14"/>
  <c r="P8" i="14"/>
  <c r="Q8" i="14"/>
  <c r="R8" i="14"/>
  <c r="S8" i="14"/>
  <c r="B9" i="14"/>
  <c r="C9" i="14"/>
  <c r="D9" i="14"/>
  <c r="E9" i="14"/>
  <c r="F9" i="14"/>
  <c r="G9" i="14"/>
  <c r="H9" i="14"/>
  <c r="I9" i="14"/>
  <c r="J9" i="14"/>
  <c r="K9" i="14"/>
  <c r="L9" i="14"/>
  <c r="M9" i="14"/>
  <c r="N9" i="14"/>
  <c r="O9" i="14"/>
  <c r="P9" i="14"/>
  <c r="Q9" i="14"/>
  <c r="R9" i="14"/>
  <c r="S9" i="14"/>
  <c r="B10" i="14"/>
  <c r="C10" i="14"/>
  <c r="D10" i="14"/>
  <c r="E10" i="14"/>
  <c r="F10" i="14"/>
  <c r="G10" i="14"/>
  <c r="H10" i="14"/>
  <c r="I10" i="14"/>
  <c r="J10" i="14"/>
  <c r="K10" i="14"/>
  <c r="L10" i="14"/>
  <c r="M10" i="14"/>
  <c r="N10" i="14"/>
  <c r="O10" i="14"/>
  <c r="P10" i="14"/>
  <c r="Q10" i="14"/>
  <c r="R10" i="14"/>
  <c r="S10" i="14"/>
  <c r="B11" i="14"/>
  <c r="C11" i="14"/>
  <c r="D11" i="14"/>
  <c r="E11" i="14"/>
  <c r="F11" i="14"/>
  <c r="G11" i="14"/>
  <c r="H11" i="14"/>
  <c r="I11" i="14"/>
  <c r="J11" i="14"/>
  <c r="K11" i="14"/>
  <c r="L11" i="14"/>
  <c r="M11" i="14"/>
  <c r="N11" i="14"/>
  <c r="O11" i="14"/>
  <c r="P11" i="14"/>
  <c r="Q11" i="14"/>
  <c r="R11" i="14"/>
  <c r="S11" i="14"/>
  <c r="B12" i="14"/>
  <c r="C12" i="14"/>
  <c r="D12" i="14"/>
  <c r="E12" i="14"/>
  <c r="F12" i="14"/>
  <c r="G12" i="14"/>
  <c r="H12" i="14"/>
  <c r="I12" i="14"/>
  <c r="J12" i="14"/>
  <c r="K12" i="14"/>
  <c r="L12" i="14"/>
  <c r="M12" i="14"/>
  <c r="N12" i="14"/>
  <c r="O12" i="14"/>
  <c r="P12" i="14"/>
  <c r="Q12" i="14"/>
  <c r="R12" i="14"/>
  <c r="S12" i="14"/>
  <c r="B13" i="14"/>
  <c r="C13" i="14"/>
  <c r="D13" i="14"/>
  <c r="E13" i="14"/>
  <c r="F13" i="14"/>
  <c r="G13" i="14"/>
  <c r="H13" i="14"/>
  <c r="I13" i="14"/>
  <c r="J13" i="14"/>
  <c r="K13" i="14"/>
  <c r="L13" i="14"/>
  <c r="M13" i="14"/>
  <c r="N13" i="14"/>
  <c r="O13" i="14"/>
  <c r="P13" i="14"/>
  <c r="Q13" i="14"/>
  <c r="R13" i="14"/>
  <c r="S13" i="14"/>
  <c r="B14" i="14"/>
  <c r="C14" i="14"/>
  <c r="D14" i="14"/>
  <c r="E14" i="14"/>
  <c r="F14" i="14"/>
  <c r="G14" i="14"/>
  <c r="H14" i="14"/>
  <c r="I14" i="14"/>
  <c r="J14" i="14"/>
  <c r="K14" i="14"/>
  <c r="L14" i="14"/>
  <c r="M14" i="14"/>
  <c r="N14" i="14"/>
  <c r="O14" i="14"/>
  <c r="P14" i="14"/>
  <c r="Q14" i="14"/>
  <c r="R14" i="14"/>
  <c r="S14" i="14"/>
  <c r="B15" i="14"/>
  <c r="C15" i="14"/>
  <c r="D15" i="14"/>
  <c r="E15" i="14"/>
  <c r="F15" i="14"/>
  <c r="G15" i="14"/>
  <c r="H15" i="14"/>
  <c r="I15" i="14"/>
  <c r="J15" i="14"/>
  <c r="K15" i="14"/>
  <c r="L15" i="14"/>
  <c r="M15" i="14"/>
  <c r="N15" i="14"/>
  <c r="O15" i="14"/>
  <c r="P15" i="14"/>
  <c r="Q15" i="14"/>
  <c r="R15" i="14"/>
  <c r="S15" i="14"/>
  <c r="B16" i="14"/>
  <c r="C16" i="14"/>
  <c r="D16" i="14"/>
  <c r="E16" i="14"/>
  <c r="F16" i="14"/>
  <c r="G16" i="14"/>
  <c r="H16" i="14"/>
  <c r="I16" i="14"/>
  <c r="J16" i="14"/>
  <c r="K16" i="14"/>
  <c r="L16" i="14"/>
  <c r="M16" i="14"/>
  <c r="N16" i="14"/>
  <c r="O16" i="14"/>
  <c r="P16" i="14"/>
  <c r="Q16" i="14"/>
  <c r="R16" i="14"/>
  <c r="S16" i="14"/>
  <c r="B17" i="14"/>
  <c r="C17" i="14"/>
  <c r="D17" i="14"/>
  <c r="E17" i="14"/>
  <c r="F17" i="14"/>
  <c r="G17" i="14"/>
  <c r="H17" i="14"/>
  <c r="I17" i="14"/>
  <c r="J17" i="14"/>
  <c r="K17" i="14"/>
  <c r="L17" i="14"/>
  <c r="M17" i="14"/>
  <c r="N17" i="14"/>
  <c r="O17" i="14"/>
  <c r="P17" i="14"/>
  <c r="Q17" i="14"/>
  <c r="R17" i="14"/>
  <c r="S17" i="14"/>
  <c r="B18" i="14"/>
  <c r="C18" i="14"/>
  <c r="D18" i="14"/>
  <c r="E18" i="14"/>
  <c r="F18" i="14"/>
  <c r="G18" i="14"/>
  <c r="H18" i="14"/>
  <c r="I18" i="14"/>
  <c r="J18" i="14"/>
  <c r="K18" i="14"/>
  <c r="L18" i="14"/>
  <c r="M18" i="14"/>
  <c r="N18" i="14"/>
  <c r="O18" i="14"/>
  <c r="P18" i="14"/>
  <c r="Q18" i="14"/>
  <c r="R18" i="14"/>
  <c r="S18" i="14"/>
  <c r="A14" i="14"/>
  <c r="A15" i="14"/>
  <c r="A16" i="14"/>
  <c r="A17" i="14"/>
  <c r="A18" i="14"/>
  <c r="A13" i="14"/>
  <c r="A2" i="14"/>
  <c r="A3" i="14"/>
  <c r="A4" i="14"/>
  <c r="A5" i="14"/>
  <c r="A6" i="14"/>
  <c r="A7" i="14"/>
  <c r="A8" i="14"/>
  <c r="A9" i="14"/>
  <c r="A10" i="14"/>
  <c r="A11" i="14"/>
  <c r="A12" i="14"/>
  <c r="A1" i="14"/>
  <c r="U19" i="13"/>
  <c r="U18" i="13"/>
  <c r="U17" i="13"/>
  <c r="U16" i="13"/>
  <c r="U15" i="13"/>
  <c r="U14" i="13"/>
  <c r="U13" i="13"/>
  <c r="U12" i="13"/>
  <c r="U11" i="13"/>
  <c r="U10" i="13"/>
  <c r="U9" i="13"/>
  <c r="U8" i="13"/>
  <c r="U7" i="13"/>
  <c r="U6" i="13"/>
  <c r="U5" i="13"/>
  <c r="U4" i="13"/>
  <c r="U3" i="13"/>
  <c r="U2" i="13"/>
  <c r="U1" i="13"/>
  <c r="T19" i="13"/>
  <c r="S19" i="13"/>
  <c r="R19" i="13"/>
  <c r="Q19" i="13"/>
  <c r="P19" i="13"/>
  <c r="O19" i="13"/>
  <c r="N19" i="13"/>
  <c r="M19" i="13"/>
  <c r="L19" i="13"/>
  <c r="K19" i="13"/>
  <c r="J19" i="13"/>
  <c r="I19" i="13"/>
  <c r="H19" i="13"/>
  <c r="G19" i="13"/>
  <c r="F19" i="13"/>
  <c r="E19" i="13"/>
  <c r="D19" i="13"/>
  <c r="C19" i="13"/>
  <c r="B19" i="13"/>
  <c r="T18" i="13"/>
  <c r="S18" i="13"/>
  <c r="R18" i="13"/>
  <c r="Q18" i="13"/>
  <c r="P18" i="13"/>
  <c r="O18" i="13"/>
  <c r="N18" i="13"/>
  <c r="M18" i="13"/>
  <c r="L18" i="13"/>
  <c r="K18" i="13"/>
  <c r="J18" i="13"/>
  <c r="I18" i="13"/>
  <c r="H18" i="13"/>
  <c r="G18" i="13"/>
  <c r="F18" i="13"/>
  <c r="E18" i="13"/>
  <c r="D18" i="13"/>
  <c r="C18" i="13"/>
  <c r="B18" i="13"/>
  <c r="T17" i="13"/>
  <c r="S17" i="13"/>
  <c r="R17" i="13"/>
  <c r="Q17" i="13"/>
  <c r="P17" i="13"/>
  <c r="O17" i="13"/>
  <c r="N17" i="13"/>
  <c r="M17" i="13"/>
  <c r="L17" i="13"/>
  <c r="K17" i="13"/>
  <c r="J17" i="13"/>
  <c r="I17" i="13"/>
  <c r="H17" i="13"/>
  <c r="G17" i="13"/>
  <c r="F17" i="13"/>
  <c r="E17" i="13"/>
  <c r="D17" i="13"/>
  <c r="C17" i="13"/>
  <c r="B17" i="13"/>
  <c r="T16" i="13"/>
  <c r="S16" i="13"/>
  <c r="R16" i="13"/>
  <c r="Q16" i="13"/>
  <c r="P16" i="13"/>
  <c r="O16" i="13"/>
  <c r="N16" i="13"/>
  <c r="M16" i="13"/>
  <c r="L16" i="13"/>
  <c r="K16" i="13"/>
  <c r="J16" i="13"/>
  <c r="I16" i="13"/>
  <c r="H16" i="13"/>
  <c r="G16" i="13"/>
  <c r="F16" i="13"/>
  <c r="E16" i="13"/>
  <c r="D16" i="13"/>
  <c r="C16" i="13"/>
  <c r="B16" i="13"/>
  <c r="T15" i="13"/>
  <c r="S15" i="13"/>
  <c r="R15" i="13"/>
  <c r="Q15" i="13"/>
  <c r="P15" i="13"/>
  <c r="O15" i="13"/>
  <c r="N15" i="13"/>
  <c r="M15" i="13"/>
  <c r="L15" i="13"/>
  <c r="K15" i="13"/>
  <c r="J15" i="13"/>
  <c r="I15" i="13"/>
  <c r="H15" i="13"/>
  <c r="G15" i="13"/>
  <c r="F15" i="13"/>
  <c r="E15" i="13"/>
  <c r="D15" i="13"/>
  <c r="C15" i="13"/>
  <c r="B15" i="13"/>
  <c r="T14" i="13"/>
  <c r="S14" i="13"/>
  <c r="R14" i="13"/>
  <c r="Q14" i="13"/>
  <c r="P14" i="13"/>
  <c r="O14" i="13"/>
  <c r="N14" i="13"/>
  <c r="M14" i="13"/>
  <c r="L14" i="13"/>
  <c r="K14" i="13"/>
  <c r="J14" i="13"/>
  <c r="I14" i="13"/>
  <c r="H14" i="13"/>
  <c r="G14" i="13"/>
  <c r="F14" i="13"/>
  <c r="E14" i="13"/>
  <c r="D14" i="13"/>
  <c r="C14" i="13"/>
  <c r="B14" i="13"/>
  <c r="T13" i="13"/>
  <c r="S13" i="13"/>
  <c r="R13" i="13"/>
  <c r="Q13" i="13"/>
  <c r="P13" i="13"/>
  <c r="O13" i="13"/>
  <c r="N13" i="13"/>
  <c r="M13" i="13"/>
  <c r="L13" i="13"/>
  <c r="K13" i="13"/>
  <c r="J13" i="13"/>
  <c r="I13" i="13"/>
  <c r="H13" i="13"/>
  <c r="G13" i="13"/>
  <c r="F13" i="13"/>
  <c r="E13" i="13"/>
  <c r="D13" i="13"/>
  <c r="C13" i="13"/>
  <c r="B13" i="13"/>
  <c r="T12" i="13"/>
  <c r="S12" i="13"/>
  <c r="R12" i="13"/>
  <c r="Q12" i="13"/>
  <c r="P12" i="13"/>
  <c r="O12" i="13"/>
  <c r="N12" i="13"/>
  <c r="M12" i="13"/>
  <c r="L12" i="13"/>
  <c r="K12" i="13"/>
  <c r="J12" i="13"/>
  <c r="I12" i="13"/>
  <c r="H12" i="13"/>
  <c r="G12" i="13"/>
  <c r="F12" i="13"/>
  <c r="E12" i="13"/>
  <c r="D12" i="13"/>
  <c r="C12" i="13"/>
  <c r="B12" i="13"/>
  <c r="T11" i="13"/>
  <c r="S11" i="13"/>
  <c r="R11" i="13"/>
  <c r="Q11" i="13"/>
  <c r="P11" i="13"/>
  <c r="O11" i="13"/>
  <c r="N11" i="13"/>
  <c r="M11" i="13"/>
  <c r="L11" i="13"/>
  <c r="K11" i="13"/>
  <c r="J11" i="13"/>
  <c r="I11" i="13"/>
  <c r="H11" i="13"/>
  <c r="G11" i="13"/>
  <c r="F11" i="13"/>
  <c r="E11" i="13"/>
  <c r="D11" i="13"/>
  <c r="C11" i="13"/>
  <c r="B11" i="13"/>
  <c r="T10" i="13"/>
  <c r="S10" i="13"/>
  <c r="R10" i="13"/>
  <c r="Q10" i="13"/>
  <c r="P10" i="13"/>
  <c r="O10" i="13"/>
  <c r="N10" i="13"/>
  <c r="M10" i="13"/>
  <c r="L10" i="13"/>
  <c r="K10" i="13"/>
  <c r="J10" i="13"/>
  <c r="I10" i="13"/>
  <c r="H10" i="13"/>
  <c r="G10" i="13"/>
  <c r="F10" i="13"/>
  <c r="E10" i="13"/>
  <c r="D10" i="13"/>
  <c r="C10" i="13"/>
  <c r="B10" i="13"/>
  <c r="T9" i="13"/>
  <c r="S9" i="13"/>
  <c r="R9" i="13"/>
  <c r="Q9" i="13"/>
  <c r="P9" i="13"/>
  <c r="O9" i="13"/>
  <c r="N9" i="13"/>
  <c r="M9" i="13"/>
  <c r="L9" i="13"/>
  <c r="K9" i="13"/>
  <c r="J9" i="13"/>
  <c r="I9" i="13"/>
  <c r="H9" i="13"/>
  <c r="G9" i="13"/>
  <c r="F9" i="13"/>
  <c r="E9" i="13"/>
  <c r="D9" i="13"/>
  <c r="C9" i="13"/>
  <c r="B9" i="13"/>
  <c r="T8" i="13"/>
  <c r="S8" i="13"/>
  <c r="R8" i="13"/>
  <c r="Q8" i="13"/>
  <c r="P8" i="13"/>
  <c r="O8" i="13"/>
  <c r="N8" i="13"/>
  <c r="M8" i="13"/>
  <c r="L8" i="13"/>
  <c r="K8" i="13"/>
  <c r="J8" i="13"/>
  <c r="I8" i="13"/>
  <c r="H8" i="13"/>
  <c r="G8" i="13"/>
  <c r="F8" i="13"/>
  <c r="E8" i="13"/>
  <c r="D8" i="13"/>
  <c r="C8" i="13"/>
  <c r="B8" i="13"/>
  <c r="T7" i="13"/>
  <c r="S7" i="13"/>
  <c r="R7" i="13"/>
  <c r="Q7" i="13"/>
  <c r="P7" i="13"/>
  <c r="O7" i="13"/>
  <c r="N7" i="13"/>
  <c r="M7" i="13"/>
  <c r="L7" i="13"/>
  <c r="K7" i="13"/>
  <c r="J7" i="13"/>
  <c r="I7" i="13"/>
  <c r="H7" i="13"/>
  <c r="G7" i="13"/>
  <c r="F7" i="13"/>
  <c r="E7" i="13"/>
  <c r="D7" i="13"/>
  <c r="C7" i="13"/>
  <c r="B7" i="13"/>
  <c r="T6" i="13"/>
  <c r="S6" i="13"/>
  <c r="R6" i="13"/>
  <c r="Q6" i="13"/>
  <c r="P6" i="13"/>
  <c r="O6" i="13"/>
  <c r="N6" i="13"/>
  <c r="M6" i="13"/>
  <c r="L6" i="13"/>
  <c r="K6" i="13"/>
  <c r="J6" i="13"/>
  <c r="I6" i="13"/>
  <c r="H6" i="13"/>
  <c r="G6" i="13"/>
  <c r="F6" i="13"/>
  <c r="E6" i="13"/>
  <c r="D6" i="13"/>
  <c r="C6" i="13"/>
  <c r="B6" i="13"/>
  <c r="T5" i="13"/>
  <c r="S5" i="13"/>
  <c r="R5" i="13"/>
  <c r="Q5" i="13"/>
  <c r="P5" i="13"/>
  <c r="O5" i="13"/>
  <c r="N5" i="13"/>
  <c r="M5" i="13"/>
  <c r="L5" i="13"/>
  <c r="K5" i="13"/>
  <c r="J5" i="13"/>
  <c r="I5" i="13"/>
  <c r="H5" i="13"/>
  <c r="G5" i="13"/>
  <c r="F5" i="13"/>
  <c r="E5" i="13"/>
  <c r="D5" i="13"/>
  <c r="C5" i="13"/>
  <c r="B5" i="13"/>
  <c r="T4" i="13"/>
  <c r="S4" i="13"/>
  <c r="R4" i="13"/>
  <c r="Q4" i="13"/>
  <c r="P4" i="13"/>
  <c r="O4" i="13"/>
  <c r="N4" i="13"/>
  <c r="M4" i="13"/>
  <c r="L4" i="13"/>
  <c r="K4" i="13"/>
  <c r="J4" i="13"/>
  <c r="I4" i="13"/>
  <c r="H4" i="13"/>
  <c r="G4" i="13"/>
  <c r="F4" i="13"/>
  <c r="E4" i="13"/>
  <c r="D4" i="13"/>
  <c r="C4" i="13"/>
  <c r="B4" i="13"/>
  <c r="T3" i="13"/>
  <c r="S3" i="13"/>
  <c r="R3" i="13"/>
  <c r="Q3" i="13"/>
  <c r="P3" i="13"/>
  <c r="O3" i="13"/>
  <c r="N3" i="13"/>
  <c r="M3" i="13"/>
  <c r="L3" i="13"/>
  <c r="K3" i="13"/>
  <c r="J3" i="13"/>
  <c r="I3" i="13"/>
  <c r="H3" i="13"/>
  <c r="G3" i="13"/>
  <c r="F3" i="13"/>
  <c r="E3" i="13"/>
  <c r="D3" i="13"/>
  <c r="C3" i="13"/>
  <c r="B3" i="13"/>
  <c r="H2" i="13"/>
  <c r="I2" i="13"/>
  <c r="J2" i="13"/>
  <c r="K2" i="13"/>
  <c r="L2" i="13"/>
  <c r="M2" i="13"/>
  <c r="N2" i="13"/>
  <c r="O2" i="13"/>
  <c r="P2" i="13"/>
  <c r="Q2" i="13"/>
  <c r="R2" i="13"/>
  <c r="S2" i="13"/>
  <c r="T2" i="13"/>
  <c r="A2" i="13"/>
  <c r="G2" i="13"/>
  <c r="E2" i="13"/>
  <c r="F2" i="13"/>
  <c r="D2" i="13"/>
  <c r="A3" i="13"/>
  <c r="T1" i="13"/>
  <c r="S1" i="13"/>
  <c r="R1" i="13"/>
  <c r="Q1" i="13"/>
  <c r="P1" i="13"/>
  <c r="O1" i="13"/>
  <c r="N1" i="13"/>
  <c r="M1" i="13"/>
  <c r="L1" i="13"/>
  <c r="K1" i="13"/>
  <c r="J1" i="13"/>
  <c r="I1" i="13"/>
  <c r="H1" i="13"/>
  <c r="G1" i="13"/>
  <c r="F1" i="13"/>
  <c r="E1" i="13"/>
  <c r="D1" i="13"/>
  <c r="C1" i="13"/>
  <c r="B1" i="13"/>
  <c r="A1" i="13"/>
  <c r="C2" i="13"/>
  <c r="A4" i="13"/>
  <c r="A5" i="13"/>
  <c r="A6" i="13"/>
  <c r="A7" i="13"/>
  <c r="A8" i="13"/>
  <c r="A9" i="13"/>
  <c r="A10" i="13"/>
  <c r="A11" i="13"/>
  <c r="A12" i="13"/>
  <c r="A13" i="13"/>
  <c r="A14" i="13"/>
  <c r="A15" i="13"/>
  <c r="A16" i="13"/>
  <c r="A17" i="13"/>
  <c r="A18" i="13"/>
  <c r="A19" i="13"/>
  <c r="B2" i="13"/>
  <c r="H25" i="12"/>
  <c r="IZ9" i="7"/>
  <c r="JA9" i="7"/>
  <c r="JB9" i="7"/>
  <c r="JC9" i="7"/>
  <c r="JD9" i="7"/>
  <c r="JE9" i="7"/>
  <c r="JF9" i="7"/>
  <c r="JG9" i="7"/>
  <c r="JH9" i="7"/>
  <c r="JI9" i="7"/>
  <c r="JJ9" i="7"/>
  <c r="JK9" i="7"/>
  <c r="JL9" i="7"/>
  <c r="JM9" i="7"/>
  <c r="JN9" i="7"/>
  <c r="JO9" i="7"/>
  <c r="JP9" i="7"/>
  <c r="JQ9" i="7"/>
  <c r="JR9" i="7"/>
  <c r="JS9" i="7"/>
  <c r="JT9" i="7"/>
  <c r="JU9" i="7"/>
  <c r="JV9" i="7"/>
  <c r="JW9" i="7"/>
  <c r="JX9" i="7"/>
  <c r="JY9" i="7"/>
  <c r="JZ9" i="7"/>
  <c r="KA9" i="7"/>
  <c r="KB9" i="7"/>
  <c r="KC9" i="7"/>
  <c r="KD9" i="7"/>
  <c r="KE9" i="7"/>
  <c r="KF9" i="7"/>
  <c r="KG9" i="7"/>
  <c r="KH9" i="7"/>
  <c r="KI9" i="7"/>
  <c r="KJ9" i="7"/>
  <c r="KK9" i="7"/>
  <c r="KL9" i="7"/>
  <c r="KM9" i="7"/>
  <c r="KN9" i="7"/>
  <c r="KO9" i="7"/>
  <c r="KP9" i="7"/>
  <c r="KQ9" i="7"/>
  <c r="KR9" i="7"/>
  <c r="KS9" i="7"/>
  <c r="KT9" i="7"/>
  <c r="KU9" i="7"/>
  <c r="KV9" i="7"/>
  <c r="KW9" i="7"/>
  <c r="KX9" i="7"/>
  <c r="KY9" i="7"/>
  <c r="KZ9" i="7"/>
  <c r="LA9" i="7"/>
  <c r="LB9" i="7"/>
  <c r="LC9" i="7"/>
  <c r="LD9" i="7"/>
  <c r="LE9" i="7"/>
  <c r="LF9" i="7"/>
  <c r="LG9" i="7"/>
  <c r="LH9" i="7"/>
  <c r="LI9" i="7"/>
  <c r="LJ9" i="7"/>
  <c r="LK9" i="7"/>
  <c r="LL9" i="7"/>
  <c r="LM9" i="7"/>
  <c r="LN9" i="7"/>
  <c r="LO9" i="7"/>
  <c r="LP9" i="7"/>
  <c r="LQ9" i="7"/>
  <c r="LR9" i="7"/>
  <c r="LS9" i="7"/>
  <c r="LT9" i="7"/>
  <c r="LU9" i="7"/>
  <c r="LV9" i="7"/>
  <c r="IY9" i="7"/>
  <c r="IW9" i="7"/>
  <c r="IV9" i="7"/>
  <c r="IU9" i="7"/>
  <c r="IT9" i="7"/>
  <c r="IS9" i="7"/>
  <c r="IR9" i="7"/>
  <c r="IQ9" i="7"/>
  <c r="IP9" i="7"/>
  <c r="IO9" i="7"/>
  <c r="IN9" i="7"/>
  <c r="IM9" i="7"/>
  <c r="IL9" i="7"/>
  <c r="IK9" i="7"/>
  <c r="IJ9" i="7"/>
  <c r="II9" i="7"/>
  <c r="IH9" i="7"/>
  <c r="IG9" i="7"/>
  <c r="IF9" i="7"/>
  <c r="IE9" i="7"/>
  <c r="ID9" i="7"/>
  <c r="IC9" i="7"/>
  <c r="IB9" i="7"/>
  <c r="IA9" i="7"/>
  <c r="HZ9" i="7"/>
  <c r="HY9" i="7"/>
  <c r="HX9" i="7"/>
  <c r="HW9" i="7"/>
  <c r="HV9" i="7"/>
  <c r="HU9" i="7"/>
  <c r="HT9" i="7"/>
  <c r="HS9" i="7"/>
  <c r="HR9" i="7"/>
  <c r="HQ9" i="7"/>
  <c r="HP9" i="7"/>
  <c r="HO9" i="7"/>
  <c r="HN9" i="7"/>
  <c r="HM9" i="7"/>
  <c r="HL9" i="7"/>
  <c r="HK9" i="7"/>
  <c r="HJ9" i="7"/>
  <c r="HI9" i="7"/>
  <c r="HH9" i="7"/>
  <c r="HG9" i="7"/>
  <c r="HF9" i="7"/>
  <c r="HE9" i="7"/>
  <c r="HD9" i="7"/>
  <c r="HC9" i="7"/>
  <c r="HB9" i="7"/>
  <c r="HA9" i="7"/>
  <c r="GZ9" i="7"/>
  <c r="GY9" i="7"/>
  <c r="GX9" i="7"/>
  <c r="GW9" i="7"/>
  <c r="GV9" i="7"/>
  <c r="GU9" i="7"/>
  <c r="GT9" i="7"/>
  <c r="GS9" i="7"/>
  <c r="GR9" i="7"/>
  <c r="GQ9" i="7"/>
  <c r="GP9" i="7"/>
  <c r="GO9" i="7"/>
  <c r="GN9" i="7"/>
  <c r="GM9" i="7"/>
  <c r="GL9" i="7"/>
  <c r="GK9" i="7"/>
  <c r="GJ9" i="7"/>
  <c r="GI9" i="7"/>
  <c r="GH9" i="7"/>
  <c r="GG9" i="7"/>
  <c r="GF9" i="7"/>
  <c r="GE9" i="7"/>
  <c r="GD9" i="7"/>
  <c r="GC9" i="7"/>
  <c r="GB9" i="7"/>
  <c r="GA9" i="7"/>
  <c r="FZ9" i="7"/>
  <c r="FY9" i="7"/>
  <c r="FX9" i="7"/>
  <c r="FW9" i="7"/>
  <c r="FV9" i="7"/>
  <c r="FU9" i="7"/>
  <c r="FT9" i="7"/>
  <c r="FS9" i="7"/>
  <c r="FR9" i="7"/>
  <c r="FQ9" i="7"/>
  <c r="FP9" i="7"/>
  <c r="FO9" i="7"/>
  <c r="FN9" i="7"/>
  <c r="FM9" i="7"/>
  <c r="FL9" i="7"/>
  <c r="FK9" i="7"/>
  <c r="FJ9" i="7"/>
  <c r="FI9" i="7"/>
  <c r="FH9" i="7"/>
  <c r="FG9" i="7"/>
  <c r="FF9" i="7"/>
  <c r="FE9" i="7"/>
  <c r="FD9" i="7"/>
  <c r="FC9" i="7"/>
  <c r="FB9" i="7"/>
  <c r="FA9" i="7"/>
  <c r="EZ9" i="7"/>
  <c r="EY9" i="7"/>
  <c r="EX9" i="7"/>
  <c r="EW9" i="7"/>
  <c r="EV9" i="7"/>
  <c r="EU9" i="7"/>
  <c r="ET9" i="7"/>
  <c r="ES9" i="7"/>
  <c r="ER9" i="7"/>
  <c r="EQ9" i="7"/>
  <c r="EP9" i="7"/>
  <c r="EO9" i="7"/>
  <c r="EN9" i="7"/>
  <c r="EM9" i="7"/>
  <c r="EL9" i="7"/>
  <c r="EK9" i="7"/>
  <c r="EJ9" i="7"/>
  <c r="EI9" i="7"/>
  <c r="EH9" i="7"/>
  <c r="EG9" i="7"/>
  <c r="EF9" i="7"/>
  <c r="IX9" i="7"/>
  <c r="X9" i="7"/>
  <c r="Y9" i="7"/>
  <c r="Z9" i="7"/>
  <c r="AA9" i="7"/>
  <c r="AB9" i="7"/>
  <c r="AC9" i="7"/>
  <c r="AD9" i="7"/>
  <c r="AE9" i="7"/>
  <c r="AF9" i="7"/>
  <c r="AG9" i="7"/>
  <c r="AH9" i="7"/>
  <c r="AI9" i="7"/>
  <c r="AJ9" i="7"/>
  <c r="AK9" i="7"/>
  <c r="AL9" i="7"/>
  <c r="AM9" i="7"/>
  <c r="AN9" i="7"/>
  <c r="AO9" i="7"/>
  <c r="AP9" i="7"/>
  <c r="AQ9" i="7"/>
  <c r="AR9" i="7"/>
  <c r="AS9" i="7"/>
  <c r="AT9" i="7"/>
  <c r="AU9" i="7"/>
  <c r="AV9" i="7"/>
  <c r="AW9" i="7"/>
  <c r="AX9" i="7"/>
  <c r="AY9" i="7"/>
  <c r="AZ9" i="7"/>
  <c r="BA9" i="7"/>
  <c r="BB9" i="7"/>
  <c r="BC9" i="7"/>
  <c r="BD9" i="7"/>
  <c r="BE9" i="7"/>
  <c r="BF9" i="7"/>
  <c r="BG9" i="7"/>
  <c r="BH9" i="7"/>
  <c r="BI9" i="7"/>
  <c r="BJ9" i="7"/>
  <c r="BK9" i="7"/>
  <c r="BL9" i="7"/>
  <c r="BM9" i="7"/>
  <c r="BN9" i="7"/>
  <c r="BO9" i="7"/>
  <c r="BP9" i="7"/>
  <c r="BQ9" i="7"/>
  <c r="BR9" i="7"/>
  <c r="BS9" i="7"/>
  <c r="BT9" i="7"/>
  <c r="BU9" i="7"/>
  <c r="BV9" i="7"/>
  <c r="BW9" i="7"/>
  <c r="BX9" i="7"/>
  <c r="BY9" i="7"/>
  <c r="BZ9" i="7"/>
  <c r="CA9" i="7"/>
  <c r="CB9" i="7"/>
  <c r="CC9" i="7"/>
  <c r="CD9" i="7"/>
  <c r="CE9" i="7"/>
  <c r="CF9" i="7"/>
  <c r="CG9" i="7"/>
  <c r="CH9" i="7"/>
  <c r="CI9" i="7"/>
  <c r="CJ9" i="7"/>
  <c r="CK9" i="7"/>
  <c r="CL9" i="7"/>
  <c r="CM9" i="7"/>
  <c r="CN9" i="7"/>
  <c r="CO9" i="7"/>
  <c r="CP9" i="7"/>
  <c r="CQ9" i="7"/>
  <c r="CR9" i="7"/>
  <c r="CS9" i="7"/>
  <c r="CT9" i="7"/>
  <c r="CU9" i="7"/>
  <c r="CV9" i="7"/>
  <c r="CW9" i="7"/>
  <c r="CX9" i="7"/>
  <c r="CY9" i="7"/>
  <c r="CZ9" i="7"/>
  <c r="DA9" i="7"/>
  <c r="DB9" i="7"/>
  <c r="DC9" i="7"/>
  <c r="DD9" i="7"/>
  <c r="DE9" i="7"/>
  <c r="DF9" i="7"/>
  <c r="DG9" i="7"/>
  <c r="DH9" i="7"/>
  <c r="DI9" i="7"/>
  <c r="DJ9" i="7"/>
  <c r="DK9" i="7"/>
  <c r="DL9" i="7"/>
  <c r="DM9" i="7"/>
  <c r="DN9" i="7"/>
  <c r="DO9" i="7"/>
  <c r="DP9" i="7"/>
  <c r="DQ9" i="7"/>
  <c r="DR9" i="7"/>
  <c r="DS9" i="7"/>
  <c r="DT9" i="7"/>
  <c r="DU9" i="7"/>
  <c r="DV9" i="7"/>
  <c r="DW9" i="7"/>
  <c r="DX9" i="7"/>
  <c r="DY9" i="7"/>
  <c r="DZ9" i="7"/>
  <c r="EA9" i="7"/>
  <c r="EB9" i="7"/>
  <c r="EC9" i="7"/>
  <c r="ED9" i="7"/>
  <c r="EE9" i="7"/>
  <c r="W9" i="7"/>
  <c r="B9" i="7"/>
  <c r="C9" i="7"/>
  <c r="D9" i="7"/>
  <c r="E9" i="7"/>
  <c r="F9" i="7"/>
  <c r="G9" i="7"/>
  <c r="H9" i="7"/>
  <c r="I9" i="7"/>
  <c r="J9" i="7"/>
  <c r="K9" i="7"/>
  <c r="L9" i="7"/>
  <c r="M9" i="7"/>
  <c r="N9" i="7"/>
  <c r="O9" i="7"/>
  <c r="P9" i="7"/>
  <c r="Q9" i="7"/>
  <c r="R9" i="7"/>
  <c r="S9" i="7"/>
  <c r="T9" i="7"/>
  <c r="U9" i="7"/>
  <c r="V9" i="7"/>
  <c r="A9" i="7"/>
  <c r="PJ3" i="7"/>
  <c r="PI3" i="7"/>
  <c r="PH3" i="7"/>
  <c r="PG3" i="7"/>
  <c r="PF3" i="7"/>
  <c r="PE3" i="7"/>
  <c r="PD3" i="7"/>
  <c r="PC3" i="7"/>
  <c r="PB3" i="7"/>
  <c r="PA3" i="7"/>
  <c r="NF3" i="7"/>
  <c r="NE3" i="7"/>
  <c r="OR6" i="7"/>
  <c r="OS6" i="7"/>
  <c r="OT6" i="7"/>
  <c r="OU6" i="7"/>
  <c r="OV6" i="7"/>
  <c r="OW6" i="7"/>
  <c r="OX6" i="7"/>
  <c r="OY6" i="7"/>
  <c r="OZ6" i="7"/>
  <c r="OQ6" i="7"/>
  <c r="OP6" i="7"/>
  <c r="OJ6" i="7"/>
  <c r="OK6" i="7"/>
  <c r="OL6" i="7"/>
  <c r="OM6" i="7"/>
  <c r="ON6" i="7"/>
  <c r="OO6" i="7"/>
  <c r="OI6" i="7"/>
  <c r="NP6" i="7"/>
  <c r="NQ6" i="7"/>
  <c r="NR6" i="7"/>
  <c r="NS6" i="7"/>
  <c r="NT6" i="7"/>
  <c r="NU6" i="7"/>
  <c r="NV6" i="7"/>
  <c r="NW6" i="7"/>
  <c r="NX6" i="7"/>
  <c r="NY6" i="7"/>
  <c r="NZ6" i="7"/>
  <c r="OA6" i="7"/>
  <c r="OB6" i="7"/>
  <c r="OC6" i="7"/>
  <c r="OD6" i="7"/>
  <c r="OE6" i="7"/>
  <c r="OF6" i="7"/>
  <c r="OG6" i="7"/>
  <c r="OH6" i="7"/>
  <c r="NO6" i="7"/>
  <c r="OZ3" i="7"/>
  <c r="OR3" i="7"/>
  <c r="OS3" i="7"/>
  <c r="OT3" i="7"/>
  <c r="OU3" i="7"/>
  <c r="OV3" i="7"/>
  <c r="OW3" i="7"/>
  <c r="OX3" i="7"/>
  <c r="OY3" i="7"/>
  <c r="OQ3" i="7"/>
  <c r="OP3" i="7"/>
  <c r="OJ3" i="7"/>
  <c r="OK3" i="7"/>
  <c r="OL3" i="7"/>
  <c r="OM3" i="7"/>
  <c r="ON3" i="7"/>
  <c r="OO3" i="7"/>
  <c r="OI3" i="7"/>
  <c r="NP3" i="7"/>
  <c r="NR3" i="7"/>
  <c r="NS3" i="7"/>
  <c r="NT3" i="7"/>
  <c r="NU3" i="7"/>
  <c r="NV3" i="7"/>
  <c r="NW3" i="7"/>
  <c r="NX3" i="7"/>
  <c r="NY3" i="7"/>
  <c r="NZ3" i="7"/>
  <c r="OA3" i="7"/>
  <c r="OB3" i="7"/>
  <c r="OC3" i="7"/>
  <c r="OD3" i="7"/>
  <c r="NO3" i="7"/>
  <c r="HM3" i="7"/>
  <c r="OE3" i="7"/>
  <c r="OF3" i="7"/>
  <c r="OG3" i="7"/>
  <c r="OH3" i="7"/>
  <c r="IZ6" i="7"/>
  <c r="JA6" i="7"/>
  <c r="JB6" i="7"/>
  <c r="JC6" i="7"/>
  <c r="JI6" i="7"/>
  <c r="JK6" i="7"/>
  <c r="JM6" i="7"/>
  <c r="JP6" i="7"/>
  <c r="JQ6" i="7"/>
  <c r="JR6" i="7"/>
  <c r="JS6" i="7"/>
  <c r="JT6" i="7"/>
  <c r="JU6" i="7"/>
  <c r="JV6" i="7"/>
  <c r="JW6" i="7"/>
  <c r="JX6" i="7"/>
  <c r="JY6" i="7"/>
  <c r="JZ6" i="7"/>
  <c r="KA6" i="7"/>
  <c r="KB6" i="7"/>
  <c r="KC6" i="7"/>
  <c r="KD6" i="7"/>
  <c r="KE6" i="7"/>
  <c r="KF6" i="7"/>
  <c r="KG6" i="7"/>
  <c r="KH6" i="7"/>
  <c r="KI6" i="7"/>
  <c r="KJ6" i="7"/>
  <c r="KK6" i="7"/>
  <c r="KL6" i="7"/>
  <c r="KM6" i="7"/>
  <c r="KN6" i="7"/>
  <c r="KO6" i="7"/>
  <c r="KP6" i="7"/>
  <c r="KQ6" i="7"/>
  <c r="KR6" i="7"/>
  <c r="KS6" i="7"/>
  <c r="KT6" i="7"/>
  <c r="KU6" i="7"/>
  <c r="KV6" i="7"/>
  <c r="KW6" i="7"/>
  <c r="KX6" i="7"/>
  <c r="KY6" i="7"/>
  <c r="KZ6" i="7"/>
  <c r="LA6" i="7"/>
  <c r="LB6" i="7"/>
  <c r="LC6" i="7"/>
  <c r="LD6" i="7"/>
  <c r="LE6" i="7"/>
  <c r="LF6" i="7"/>
  <c r="LG6" i="7"/>
  <c r="LH6" i="7"/>
  <c r="LI6" i="7"/>
  <c r="LJ6" i="7"/>
  <c r="LK6" i="7"/>
  <c r="LL6" i="7"/>
  <c r="LM6" i="7"/>
  <c r="LN6" i="7"/>
  <c r="LO6" i="7"/>
  <c r="LP6" i="7"/>
  <c r="LQ6" i="7"/>
  <c r="LR6" i="7"/>
  <c r="LS6" i="7"/>
  <c r="LT6" i="7"/>
  <c r="LU6" i="7"/>
  <c r="LV6" i="7"/>
  <c r="IY6" i="7"/>
  <c r="EG6" i="7"/>
  <c r="EH6" i="7"/>
  <c r="EI6" i="7"/>
  <c r="EJ6" i="7"/>
  <c r="EK6" i="7"/>
  <c r="EL6" i="7"/>
  <c r="EN6" i="7"/>
  <c r="ET6" i="7"/>
  <c r="EV6" i="7"/>
  <c r="EX6" i="7"/>
  <c r="EY6" i="7"/>
  <c r="EZ6" i="7"/>
  <c r="FB6" i="7"/>
  <c r="FE6" i="7"/>
  <c r="FF6" i="7"/>
  <c r="FG6" i="7"/>
  <c r="FH6" i="7"/>
  <c r="FI6" i="7"/>
  <c r="FJ6" i="7"/>
  <c r="FK6" i="7"/>
  <c r="FL6" i="7"/>
  <c r="FM6" i="7"/>
  <c r="FN6" i="7"/>
  <c r="FO6" i="7"/>
  <c r="FP6" i="7"/>
  <c r="FQ6" i="7"/>
  <c r="FR6" i="7"/>
  <c r="FT6" i="7"/>
  <c r="FU6" i="7"/>
  <c r="FV6" i="7"/>
  <c r="FW6" i="7"/>
  <c r="FX6" i="7"/>
  <c r="FY6" i="7"/>
  <c r="FZ6" i="7"/>
  <c r="GA6" i="7"/>
  <c r="GB6" i="7"/>
  <c r="GC6" i="7"/>
  <c r="GD6" i="7"/>
  <c r="GE6" i="7"/>
  <c r="GF6" i="7"/>
  <c r="GG6" i="7"/>
  <c r="GH6" i="7"/>
  <c r="GI6" i="7"/>
  <c r="GJ6" i="7"/>
  <c r="GK6" i="7"/>
  <c r="GL6" i="7"/>
  <c r="GM6" i="7"/>
  <c r="GN6" i="7"/>
  <c r="GO6" i="7"/>
  <c r="GP6" i="7"/>
  <c r="GQ6" i="7"/>
  <c r="GT6" i="7"/>
  <c r="GX6" i="7"/>
  <c r="GY6" i="7"/>
  <c r="GZ6" i="7"/>
  <c r="HA6" i="7"/>
  <c r="HB6" i="7"/>
  <c r="HC6" i="7"/>
  <c r="HD6" i="7"/>
  <c r="HE6" i="7"/>
  <c r="HF6" i="7"/>
  <c r="HG6" i="7"/>
  <c r="HH6" i="7"/>
  <c r="HI6" i="7"/>
  <c r="HJ6" i="7"/>
  <c r="HK6" i="7"/>
  <c r="HL6" i="7"/>
  <c r="HM6" i="7"/>
  <c r="HN6" i="7"/>
  <c r="HO6" i="7"/>
  <c r="HP6" i="7"/>
  <c r="HQ6" i="7"/>
  <c r="HR6" i="7"/>
  <c r="HS6" i="7"/>
  <c r="HT6" i="7"/>
  <c r="HU6" i="7"/>
  <c r="HV6" i="7"/>
  <c r="HW6" i="7"/>
  <c r="HX6" i="7"/>
  <c r="HY6" i="7"/>
  <c r="HZ6" i="7"/>
  <c r="IA6" i="7"/>
  <c r="IB6" i="7"/>
  <c r="IC6" i="7"/>
  <c r="ID6" i="7"/>
  <c r="IE6" i="7"/>
  <c r="IF6" i="7"/>
  <c r="IG6" i="7"/>
  <c r="IH6" i="7"/>
  <c r="II6" i="7"/>
  <c r="IJ6" i="7"/>
  <c r="IK6" i="7"/>
  <c r="IL6" i="7"/>
  <c r="IM6" i="7"/>
  <c r="IN6" i="7"/>
  <c r="IO6" i="7"/>
  <c r="IP6" i="7"/>
  <c r="IQ6" i="7"/>
  <c r="IR6" i="7"/>
  <c r="IS6" i="7"/>
  <c r="IT6" i="7"/>
  <c r="IU6" i="7"/>
  <c r="IV6" i="7"/>
  <c r="IW6" i="7"/>
  <c r="IX6" i="7"/>
  <c r="EF6" i="7"/>
  <c r="X6" i="7"/>
  <c r="Y6" i="7"/>
  <c r="Z6" i="7"/>
  <c r="AA6" i="7"/>
  <c r="AB6" i="7"/>
  <c r="AC6" i="7"/>
  <c r="AD6" i="7"/>
  <c r="AF6" i="7"/>
  <c r="AG6" i="7"/>
  <c r="AI6" i="7"/>
  <c r="AO6" i="7"/>
  <c r="AQ6" i="7"/>
  <c r="AS6" i="7"/>
  <c r="AT6" i="7"/>
  <c r="AV6" i="7"/>
  <c r="AX6" i="7"/>
  <c r="BA6" i="7"/>
  <c r="BB6" i="7"/>
  <c r="BG6" i="7"/>
  <c r="BH6" i="7"/>
  <c r="BK6" i="7"/>
  <c r="BL6" i="7"/>
  <c r="BO6" i="7"/>
  <c r="BP6" i="7"/>
  <c r="BQ6" i="7"/>
  <c r="BR6" i="7"/>
  <c r="BS6" i="7"/>
  <c r="BT6" i="7"/>
  <c r="BU6" i="7"/>
  <c r="BV6" i="7"/>
  <c r="BW6" i="7"/>
  <c r="BX6" i="7"/>
  <c r="BY6" i="7"/>
  <c r="BZ6" i="7"/>
  <c r="CA6" i="7"/>
  <c r="CB6" i="7"/>
  <c r="CC6" i="7"/>
  <c r="CD6" i="7"/>
  <c r="CE6" i="7"/>
  <c r="CG6" i="7"/>
  <c r="CH6" i="7"/>
  <c r="CI6" i="7"/>
  <c r="CJ6" i="7"/>
  <c r="CK6" i="7"/>
  <c r="CL6" i="7"/>
  <c r="CM6" i="7"/>
  <c r="CN6" i="7"/>
  <c r="CO6" i="7"/>
  <c r="CP6" i="7"/>
  <c r="CQ6" i="7"/>
  <c r="CR6" i="7"/>
  <c r="CS6" i="7"/>
  <c r="CX6" i="7"/>
  <c r="CY6" i="7"/>
  <c r="CZ6" i="7"/>
  <c r="DA6" i="7"/>
  <c r="DB6" i="7"/>
  <c r="DC6" i="7"/>
  <c r="DD6" i="7"/>
  <c r="DE6" i="7"/>
  <c r="DF6" i="7"/>
  <c r="DG6" i="7"/>
  <c r="DH6" i="7"/>
  <c r="DI6" i="7"/>
  <c r="DJ6" i="7"/>
  <c r="DK6" i="7"/>
  <c r="DL6" i="7"/>
  <c r="DM6" i="7"/>
  <c r="DN6" i="7"/>
  <c r="DO6" i="7"/>
  <c r="DP6" i="7"/>
  <c r="DQ6" i="7"/>
  <c r="DR6" i="7"/>
  <c r="DS6" i="7"/>
  <c r="DT6" i="7"/>
  <c r="DU6" i="7"/>
  <c r="DV6" i="7"/>
  <c r="DW6" i="7"/>
  <c r="DX6" i="7"/>
  <c r="DY6" i="7"/>
  <c r="DZ6" i="7"/>
  <c r="EA6" i="7"/>
  <c r="EB6" i="7"/>
  <c r="EC6" i="7"/>
  <c r="ED6" i="7"/>
  <c r="EE6" i="7"/>
  <c r="W6" i="7"/>
  <c r="B6" i="7"/>
  <c r="C6" i="7"/>
  <c r="D6" i="7"/>
  <c r="E6" i="7"/>
  <c r="F6" i="7"/>
  <c r="G6" i="7"/>
  <c r="H6" i="7"/>
  <c r="I6" i="7"/>
  <c r="J6" i="7"/>
  <c r="K6" i="7"/>
  <c r="L6" i="7"/>
  <c r="M6" i="7"/>
  <c r="N6" i="7"/>
  <c r="O6" i="7"/>
  <c r="P6" i="7"/>
  <c r="Q6" i="7"/>
  <c r="R6" i="7"/>
  <c r="S6" i="7"/>
  <c r="T6" i="7"/>
  <c r="U6" i="7"/>
  <c r="V6" i="7"/>
  <c r="A6" i="7"/>
  <c r="IZ3" i="7"/>
  <c r="JA3" i="7"/>
  <c r="JC3" i="7"/>
  <c r="JI3" i="7"/>
  <c r="JK3" i="7"/>
  <c r="JM3" i="7"/>
  <c r="JP3" i="7"/>
  <c r="JQ3" i="7"/>
  <c r="JR3" i="7"/>
  <c r="JS3" i="7"/>
  <c r="JT3" i="7"/>
  <c r="JU3" i="7"/>
  <c r="JV3" i="7"/>
  <c r="JW3" i="7"/>
  <c r="JX3" i="7"/>
  <c r="JY3" i="7"/>
  <c r="JZ3" i="7"/>
  <c r="KA3" i="7"/>
  <c r="KB3" i="7"/>
  <c r="KC3" i="7"/>
  <c r="KD3" i="7"/>
  <c r="KE3" i="7"/>
  <c r="KF3" i="7"/>
  <c r="KH3" i="7"/>
  <c r="KI3" i="7"/>
  <c r="KK3" i="7"/>
  <c r="KL3" i="7"/>
  <c r="KN3" i="7"/>
  <c r="KO3" i="7"/>
  <c r="KP3" i="7"/>
  <c r="KQ3" i="7"/>
  <c r="KR3" i="7"/>
  <c r="KS3" i="7"/>
  <c r="KT3" i="7"/>
  <c r="KW3" i="7"/>
  <c r="KX3" i="7"/>
  <c r="KY3" i="7"/>
  <c r="KZ3" i="7"/>
  <c r="LA3" i="7"/>
  <c r="LD3" i="7"/>
  <c r="LE3" i="7"/>
  <c r="LK3" i="7"/>
  <c r="LL3" i="7"/>
  <c r="LM3" i="7"/>
  <c r="LO3" i="7"/>
  <c r="LP3" i="7"/>
  <c r="LQ3" i="7"/>
  <c r="LS3" i="7"/>
  <c r="LT3" i="7"/>
  <c r="LV3" i="7"/>
  <c r="J47" i="1"/>
  <c r="J20" i="1" l="1"/>
  <c r="J19" i="1"/>
  <c r="J16" i="1"/>
  <c r="J15" i="1"/>
  <c r="J14" i="1"/>
  <c r="J12" i="1"/>
  <c r="NQ3" i="7" s="1"/>
  <c r="EH3" i="7" l="1"/>
  <c r="EI3" i="7"/>
  <c r="EN3" i="7"/>
  <c r="ET3" i="7"/>
  <c r="EV3" i="7"/>
  <c r="EX3" i="7"/>
  <c r="EY3" i="7"/>
  <c r="EZ3" i="7"/>
  <c r="FB3" i="7"/>
  <c r="FE3" i="7"/>
  <c r="FF3" i="7"/>
  <c r="FR3" i="7"/>
  <c r="FU3" i="7"/>
  <c r="FW3" i="7"/>
  <c r="FX3" i="7"/>
  <c r="FY3" i="7"/>
  <c r="FZ3" i="7"/>
  <c r="GB3" i="7"/>
  <c r="GC3" i="7"/>
  <c r="GD3" i="7"/>
  <c r="GE3" i="7"/>
  <c r="GF3" i="7"/>
  <c r="GG3" i="7"/>
  <c r="GH3" i="7"/>
  <c r="GI3" i="7"/>
  <c r="GJ3" i="7"/>
  <c r="GK3" i="7"/>
  <c r="GL3" i="7"/>
  <c r="GM3" i="7"/>
  <c r="GN3" i="7"/>
  <c r="GO3" i="7"/>
  <c r="GP3" i="7"/>
  <c r="GQ3" i="7"/>
  <c r="GT3" i="7"/>
  <c r="GX3" i="7"/>
  <c r="GY3" i="7"/>
  <c r="GZ3" i="7"/>
  <c r="HA3" i="7"/>
  <c r="HB3" i="7"/>
  <c r="HC3" i="7"/>
  <c r="HD3" i="7"/>
  <c r="HG3" i="7"/>
  <c r="HH3" i="7"/>
  <c r="HI3" i="7"/>
  <c r="HJ3" i="7"/>
  <c r="HL3" i="7"/>
  <c r="HN3" i="7"/>
  <c r="HO3" i="7"/>
  <c r="HQ3" i="7"/>
  <c r="HR3" i="7"/>
  <c r="HS3" i="7"/>
  <c r="HV3" i="7"/>
  <c r="HW3" i="7"/>
  <c r="HX3" i="7"/>
  <c r="HY3" i="7"/>
  <c r="HZ3" i="7"/>
  <c r="IA3" i="7"/>
  <c r="IB3" i="7"/>
  <c r="IE3" i="7"/>
  <c r="IF3" i="7"/>
  <c r="IL3" i="7"/>
  <c r="IM3" i="7"/>
  <c r="IN3" i="7"/>
  <c r="IP3" i="7"/>
  <c r="IQ3" i="7"/>
  <c r="IR3" i="7"/>
  <c r="IT3" i="7"/>
  <c r="IU3" i="7"/>
  <c r="IV3" i="7"/>
  <c r="IX3" i="7"/>
  <c r="J109" i="1"/>
  <c r="ED3" i="7" s="1"/>
  <c r="CX3" i="7"/>
  <c r="CY3" i="7"/>
  <c r="CZ3" i="7"/>
  <c r="DC3" i="7"/>
  <c r="DD3" i="7"/>
  <c r="DE3" i="7"/>
  <c r="DF3" i="7"/>
  <c r="DG3" i="7"/>
  <c r="DH3" i="7"/>
  <c r="DI3" i="7"/>
  <c r="DL3" i="7"/>
  <c r="DM3" i="7"/>
  <c r="DS3" i="7"/>
  <c r="DT3" i="7"/>
  <c r="DU3" i="7"/>
  <c r="DW3" i="7"/>
  <c r="DX3" i="7"/>
  <c r="DY3" i="7"/>
  <c r="EA3" i="7"/>
  <c r="EB3" i="7"/>
  <c r="EC3" i="7"/>
  <c r="EE3" i="7"/>
  <c r="Y3" i="7"/>
  <c r="Z3" i="7"/>
  <c r="AB3" i="7"/>
  <c r="AC3" i="7"/>
  <c r="AD3" i="7"/>
  <c r="AF3" i="7"/>
  <c r="AI3" i="7"/>
  <c r="AO3" i="7"/>
  <c r="AQ3" i="7"/>
  <c r="AS3" i="7"/>
  <c r="AT3" i="7"/>
  <c r="AV3" i="7"/>
  <c r="AX3" i="7"/>
  <c r="BA3" i="7"/>
  <c r="BB3" i="7"/>
  <c r="BG3" i="7"/>
  <c r="BK3" i="7"/>
  <c r="BQ3" i="7"/>
  <c r="BS3" i="7"/>
  <c r="BT3" i="7"/>
  <c r="BV3" i="7"/>
  <c r="BW3" i="7"/>
  <c r="BY3" i="7"/>
  <c r="BZ3" i="7"/>
  <c r="CA3" i="7"/>
  <c r="CB3" i="7"/>
  <c r="CC3" i="7"/>
  <c r="CD3" i="7"/>
  <c r="CH3" i="7"/>
  <c r="CK3" i="7"/>
  <c r="CN3" i="7"/>
  <c r="CO3" i="7"/>
  <c r="CP3" i="7"/>
  <c r="CQ3" i="7"/>
  <c r="CR3" i="7"/>
  <c r="CS3" i="7"/>
  <c r="W3" i="7"/>
  <c r="G3" i="7"/>
  <c r="H3" i="7"/>
  <c r="I3" i="7"/>
  <c r="J3" i="7"/>
  <c r="K3" i="7"/>
  <c r="L3" i="7"/>
  <c r="M3" i="7"/>
  <c r="N3" i="7"/>
  <c r="O3" i="7"/>
  <c r="P3" i="7"/>
  <c r="Q3" i="7"/>
  <c r="R3" i="7"/>
  <c r="S3" i="7"/>
  <c r="T3" i="7"/>
  <c r="U3" i="7"/>
  <c r="V3" i="7"/>
  <c r="C3" i="7"/>
  <c r="D3" i="7"/>
  <c r="Q3" i="11" l="1"/>
  <c r="Q4" i="11"/>
  <c r="Q5" i="11"/>
  <c r="Q6" i="11"/>
  <c r="Q7" i="11"/>
  <c r="Q8" i="11"/>
  <c r="Q9" i="11"/>
  <c r="Q10" i="11"/>
  <c r="Q11" i="11"/>
  <c r="Q14" i="11"/>
  <c r="Q15" i="11"/>
  <c r="Q16" i="11"/>
  <c r="Q17" i="11"/>
  <c r="Q18" i="11"/>
  <c r="Q19" i="11"/>
  <c r="Q20" i="11"/>
  <c r="Q21" i="11"/>
  <c r="Q22" i="11"/>
  <c r="Q23" i="11"/>
  <c r="Q24" i="11"/>
  <c r="Q25" i="11"/>
  <c r="Q26" i="11"/>
  <c r="Q27" i="11"/>
  <c r="Q30" i="11"/>
  <c r="Q31" i="11"/>
  <c r="Q32" i="11"/>
  <c r="Q33" i="11"/>
  <c r="Q34" i="11"/>
  <c r="Q35" i="11"/>
  <c r="Q36" i="11"/>
  <c r="Q37" i="11"/>
  <c r="Q38" i="11"/>
  <c r="Q39" i="11"/>
  <c r="Q40" i="11"/>
  <c r="Q41" i="11"/>
  <c r="Q42" i="11"/>
  <c r="Q43" i="11"/>
  <c r="Q44" i="11"/>
  <c r="Q45" i="11"/>
  <c r="Q46" i="11"/>
  <c r="Q47" i="11"/>
  <c r="Q48" i="11"/>
  <c r="Q49" i="11"/>
  <c r="Q50" i="11"/>
  <c r="Q51" i="11"/>
  <c r="Q2" i="11"/>
  <c r="H24" i="12"/>
  <c r="FQ3" i="7" s="1"/>
  <c r="H23" i="12"/>
  <c r="FP3" i="7" s="1"/>
  <c r="H22" i="12"/>
  <c r="FO3" i="7" s="1"/>
  <c r="H21" i="12"/>
  <c r="FN3" i="7" s="1"/>
  <c r="H19" i="12"/>
  <c r="FL3" i="7" s="1"/>
  <c r="H20" i="12"/>
  <c r="FM3" i="7" s="1"/>
  <c r="H26" i="12"/>
  <c r="FT3" i="7" s="1"/>
  <c r="H31" i="12"/>
  <c r="H30" i="12"/>
  <c r="H29" i="12"/>
  <c r="H28" i="12"/>
  <c r="H27" i="12"/>
  <c r="H15" i="12"/>
  <c r="FI3" i="7" s="1"/>
  <c r="H14" i="12"/>
  <c r="EK3" i="7" s="1"/>
  <c r="H13" i="12"/>
  <c r="EL3" i="7" s="1"/>
  <c r="H12" i="12"/>
  <c r="FH3" i="7" s="1"/>
  <c r="H11" i="12"/>
  <c r="FG3" i="7" s="1"/>
  <c r="O75" i="1"/>
  <c r="J69" i="1"/>
  <c r="CG3" i="7" s="1"/>
  <c r="J40" i="1"/>
  <c r="BP3" i="7" s="1"/>
  <c r="J49" i="1"/>
  <c r="BO3" i="7" s="1"/>
  <c r="J48" i="1"/>
  <c r="BL3" i="7" s="1"/>
  <c r="J46" i="1"/>
  <c r="J50" i="1" l="1"/>
  <c r="BH3" i="7"/>
  <c r="J17" i="1"/>
  <c r="X3" i="7" s="1"/>
  <c r="H10" i="4"/>
  <c r="E3" i="7" s="1"/>
  <c r="H119" i="12"/>
  <c r="IO3" i="7" s="1"/>
  <c r="H115" i="12"/>
  <c r="IK3" i="7" s="1"/>
  <c r="H107" i="12"/>
  <c r="H97" i="12"/>
  <c r="H87" i="12"/>
  <c r="HE3" i="7" s="1"/>
  <c r="EJ3" i="7"/>
  <c r="J101" i="1"/>
  <c r="DV3" i="7" s="1"/>
  <c r="J97" i="1"/>
  <c r="DR3" i="7" s="1"/>
  <c r="J89" i="1"/>
  <c r="DJ3" i="7" s="1"/>
  <c r="J79" i="1"/>
  <c r="DA3" i="7" s="1"/>
  <c r="J18" i="1"/>
  <c r="AA3" i="7" s="1"/>
  <c r="H80" i="3"/>
  <c r="LU3" i="7" s="1"/>
  <c r="H73" i="3"/>
  <c r="LN3" i="7" s="1"/>
  <c r="H69" i="3"/>
  <c r="LJ3" i="7" s="1"/>
  <c r="H61" i="3"/>
  <c r="H53" i="3"/>
  <c r="H39" i="3"/>
  <c r="KG3" i="7" s="1"/>
  <c r="H11" i="3"/>
  <c r="H127" i="12"/>
  <c r="IW3" i="7" s="1"/>
  <c r="H88" i="12"/>
  <c r="H48" i="12"/>
  <c r="B30" i="3"/>
  <c r="H65" i="3" l="1"/>
  <c r="LF3" i="7" s="1"/>
  <c r="KU3" i="7"/>
  <c r="LB3" i="7"/>
  <c r="H66" i="3"/>
  <c r="LG3" i="7" s="1"/>
  <c r="HF3" i="7"/>
  <c r="H93" i="12"/>
  <c r="HK3" i="7" s="1"/>
  <c r="H112" i="12"/>
  <c r="IH3" i="7" s="1"/>
  <c r="IC3" i="7"/>
  <c r="H111" i="12"/>
  <c r="IG3" i="7" s="1"/>
  <c r="HT3" i="7"/>
  <c r="H53" i="12"/>
  <c r="GA3" i="7" s="1"/>
  <c r="FV3" i="7"/>
  <c r="H45" i="3"/>
  <c r="KM3" i="7" s="1"/>
  <c r="JB3" i="7"/>
  <c r="H77" i="3"/>
  <c r="LR3" i="7" s="1"/>
  <c r="H42" i="3"/>
  <c r="KJ3" i="7" s="1"/>
  <c r="H54" i="3"/>
  <c r="KV3" i="7" s="1"/>
  <c r="H62" i="3"/>
  <c r="LC3" i="7" s="1"/>
  <c r="H67" i="3"/>
  <c r="H113" i="12"/>
  <c r="II3" i="7" s="1"/>
  <c r="J95" i="1"/>
  <c r="DP3" i="7" s="1"/>
  <c r="H108" i="12"/>
  <c r="ID3" i="7" s="1"/>
  <c r="H123" i="12"/>
  <c r="IS3" i="7" s="1"/>
  <c r="H98" i="12"/>
  <c r="HU3" i="7" s="1"/>
  <c r="H41" i="12"/>
  <c r="HP3" i="7" s="1"/>
  <c r="B13" i="3"/>
  <c r="B74" i="12"/>
  <c r="B73" i="12"/>
  <c r="B72" i="12"/>
  <c r="B33" i="3"/>
  <c r="J93" i="1"/>
  <c r="DN3" i="7" s="1"/>
  <c r="J67" i="1"/>
  <c r="J34" i="1"/>
  <c r="BU3" i="7" s="1"/>
  <c r="AG52" i="1"/>
  <c r="J68" i="1" l="1"/>
  <c r="CE3" i="7" s="1"/>
  <c r="BX3" i="7"/>
  <c r="H68" i="3"/>
  <c r="LI3" i="7" s="1"/>
  <c r="LH3" i="7"/>
  <c r="H114" i="12"/>
  <c r="IJ3" i="7" s="1"/>
  <c r="J105" i="1"/>
  <c r="DZ3" i="7" s="1"/>
  <c r="J90" i="1"/>
  <c r="DK3" i="7" s="1"/>
  <c r="J94" i="1"/>
  <c r="DO3" i="7" s="1"/>
  <c r="J96" i="1"/>
  <c r="DQ3" i="7" s="1"/>
  <c r="J80" i="1"/>
  <c r="DB3" i="7" s="1"/>
  <c r="B47" i="1"/>
  <c r="B11" i="1"/>
  <c r="B44" i="1"/>
  <c r="B43" i="1"/>
  <c r="B42" i="1"/>
  <c r="B41" i="1"/>
  <c r="B39" i="1"/>
  <c r="B38" i="1"/>
  <c r="B36" i="1"/>
  <c r="B35" i="1"/>
  <c r="B6" i="1"/>
  <c r="C2" i="12"/>
  <c r="B60" i="1" l="1"/>
  <c r="B59" i="1"/>
  <c r="B58" i="1"/>
  <c r="B57" i="1"/>
  <c r="B51" i="1"/>
  <c r="B26" i="1"/>
  <c r="B25" i="1"/>
  <c r="B24" i="1"/>
  <c r="B23" i="1"/>
  <c r="B13" i="1"/>
  <c r="B12" i="1"/>
  <c r="B31" i="12" l="1"/>
  <c r="B30" i="12"/>
  <c r="B29" i="12"/>
  <c r="B28" i="12"/>
  <c r="B27" i="12"/>
  <c r="BR3" i="7" l="1"/>
  <c r="Q75" i="1"/>
  <c r="R75" i="1"/>
  <c r="S75" i="1"/>
  <c r="T75" i="1"/>
  <c r="U75" i="1"/>
  <c r="C2" i="3"/>
  <c r="B36" i="3"/>
  <c r="B32" i="3"/>
  <c r="B31" i="3"/>
  <c r="B148" i="12"/>
  <c r="B147" i="12"/>
  <c r="B146" i="12"/>
  <c r="B145" i="12"/>
  <c r="B144" i="12"/>
  <c r="B143" i="12"/>
  <c r="B142" i="12"/>
  <c r="B141" i="12"/>
  <c r="B140" i="12"/>
  <c r="B139" i="12"/>
  <c r="B138" i="12"/>
  <c r="B137" i="12"/>
  <c r="B136" i="12"/>
  <c r="B135" i="12"/>
  <c r="B134" i="12"/>
  <c r="B133" i="12"/>
  <c r="B132" i="12"/>
  <c r="B131" i="12"/>
  <c r="B130" i="12"/>
  <c r="B129" i="12"/>
  <c r="B100"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99" i="12"/>
  <c r="B98" i="12"/>
  <c r="B97" i="12"/>
  <c r="B96" i="12"/>
  <c r="B95" i="12"/>
  <c r="B94" i="12"/>
  <c r="B41" i="12"/>
  <c r="B40" i="12"/>
  <c r="B39" i="12"/>
  <c r="B38" i="12"/>
  <c r="B37" i="12"/>
  <c r="B93" i="12"/>
  <c r="B92" i="12"/>
  <c r="B91" i="12"/>
  <c r="B90" i="12"/>
  <c r="B89" i="12"/>
  <c r="B88" i="12"/>
  <c r="B87" i="12"/>
  <c r="B86" i="12"/>
  <c r="B85" i="12"/>
  <c r="B84" i="12"/>
  <c r="B83" i="12"/>
  <c r="B82" i="12"/>
  <c r="B81" i="12"/>
  <c r="B80" i="12"/>
  <c r="B71" i="12"/>
  <c r="B70" i="12"/>
  <c r="B69" i="12"/>
  <c r="B68" i="12"/>
  <c r="B67" i="12"/>
  <c r="B66" i="12"/>
  <c r="B65" i="12"/>
  <c r="B64" i="12"/>
  <c r="B63" i="12"/>
  <c r="B62" i="12"/>
  <c r="B61" i="12"/>
  <c r="B60" i="12"/>
  <c r="B59" i="12"/>
  <c r="B58" i="12"/>
  <c r="B57" i="12"/>
  <c r="B56" i="12"/>
  <c r="B55" i="12"/>
  <c r="B50" i="12"/>
  <c r="H16" i="12"/>
  <c r="B49" i="12"/>
  <c r="B48" i="12"/>
  <c r="B26" i="12"/>
  <c r="B25" i="12"/>
  <c r="B24" i="12"/>
  <c r="B23" i="12"/>
  <c r="B22" i="12"/>
  <c r="B21" i="12"/>
  <c r="B20" i="12"/>
  <c r="B19" i="12"/>
  <c r="B17" i="12"/>
  <c r="B16" i="12"/>
  <c r="B15" i="12"/>
  <c r="B12" i="12"/>
  <c r="B11" i="12"/>
  <c r="B10" i="12"/>
  <c r="B9" i="12"/>
  <c r="B13" i="12"/>
  <c r="B14" i="12"/>
  <c r="B18" i="12"/>
  <c r="D3" i="12"/>
  <c r="H17" i="12" l="1"/>
  <c r="FK3" i="7" s="1"/>
  <c r="FJ3" i="7"/>
  <c r="H7" i="4"/>
  <c r="B3" i="7" s="1"/>
  <c r="G35" i="3"/>
  <c r="G77" i="12"/>
  <c r="G17" i="4"/>
  <c r="G67" i="3"/>
  <c r="G80" i="12"/>
  <c r="G18" i="4"/>
  <c r="H6" i="4"/>
  <c r="A3" i="7" s="1"/>
  <c r="G13" i="4"/>
  <c r="G32" i="12"/>
  <c r="G16" i="4"/>
  <c r="G16" i="12"/>
  <c r="G15" i="4"/>
  <c r="G115" i="12"/>
  <c r="G98" i="12"/>
  <c r="G34" i="12"/>
  <c r="G44" i="3"/>
  <c r="G121" i="12"/>
  <c r="G57" i="12"/>
  <c r="G75" i="3"/>
  <c r="G51" i="12"/>
  <c r="G64" i="12"/>
  <c r="G66" i="3"/>
  <c r="G91" i="12"/>
  <c r="G95" i="12"/>
  <c r="G31" i="12"/>
  <c r="G49" i="3"/>
  <c r="G11" i="12"/>
  <c r="G78" i="12"/>
  <c r="G14" i="12"/>
  <c r="G24" i="3"/>
  <c r="G109" i="12"/>
  <c r="G37" i="12"/>
  <c r="G47" i="3"/>
  <c r="G124" i="12"/>
  <c r="G60" i="12"/>
  <c r="G70" i="3"/>
  <c r="G83" i="12"/>
  <c r="G55" i="3"/>
  <c r="G59" i="12"/>
  <c r="G90" i="12"/>
  <c r="G26" i="12"/>
  <c r="G36" i="3"/>
  <c r="G113" i="12"/>
  <c r="G49" i="12"/>
  <c r="G59" i="3"/>
  <c r="G37" i="3"/>
  <c r="G56" i="12"/>
  <c r="G58" i="3"/>
  <c r="G35" i="12"/>
  <c r="G87" i="12"/>
  <c r="G23" i="12"/>
  <c r="G41" i="3"/>
  <c r="G70" i="12"/>
  <c r="G80" i="3"/>
  <c r="G15" i="3"/>
  <c r="G101" i="12"/>
  <c r="G29" i="12"/>
  <c r="G39" i="3"/>
  <c r="G116" i="12"/>
  <c r="G52" i="12"/>
  <c r="G62" i="3"/>
  <c r="G65" i="12"/>
  <c r="G74" i="3"/>
  <c r="G22" i="12"/>
  <c r="G68" i="12"/>
  <c r="G19" i="12"/>
  <c r="G82" i="12"/>
  <c r="G18" i="12"/>
  <c r="G28" i="3"/>
  <c r="G105" i="12"/>
  <c r="G41" i="12"/>
  <c r="G51" i="3"/>
  <c r="G120" i="12"/>
  <c r="G48" i="12"/>
  <c r="G50" i="3"/>
  <c r="G77" i="3"/>
  <c r="G79" i="12"/>
  <c r="G15" i="12"/>
  <c r="G33" i="3"/>
  <c r="G126" i="12"/>
  <c r="G62" i="12"/>
  <c r="G72" i="3"/>
  <c r="G7" i="3"/>
  <c r="G93" i="12"/>
  <c r="G21" i="12"/>
  <c r="G31" i="3"/>
  <c r="G108" i="12"/>
  <c r="G44" i="12"/>
  <c r="G54" i="3"/>
  <c r="G6" i="12"/>
  <c r="G103" i="12"/>
  <c r="G32" i="3"/>
  <c r="G69" i="3"/>
  <c r="G10" i="12"/>
  <c r="G20" i="3"/>
  <c r="G97" i="12"/>
  <c r="G33" i="12"/>
  <c r="G43" i="3"/>
  <c r="G112" i="12"/>
  <c r="G40" i="12"/>
  <c r="G42" i="3"/>
  <c r="G21" i="3"/>
  <c r="G71" i="12"/>
  <c r="G7" i="12"/>
  <c r="G25" i="3"/>
  <c r="G118" i="12"/>
  <c r="G54" i="12"/>
  <c r="G64" i="3"/>
  <c r="G99" i="12"/>
  <c r="G85" i="12"/>
  <c r="G13" i="12"/>
  <c r="G23" i="3"/>
  <c r="G100" i="12"/>
  <c r="G36" i="12"/>
  <c r="G46" i="3"/>
  <c r="G6" i="3"/>
  <c r="G9" i="3"/>
  <c r="G86" i="12"/>
  <c r="G117" i="12"/>
  <c r="G66" i="12"/>
  <c r="G76" i="3"/>
  <c r="G11" i="3"/>
  <c r="G89" i="12"/>
  <c r="G25" i="12"/>
  <c r="G27" i="3"/>
  <c r="G104" i="12"/>
  <c r="G24" i="12"/>
  <c r="G34" i="3"/>
  <c r="G127" i="12"/>
  <c r="G63" i="12"/>
  <c r="G110" i="12"/>
  <c r="G56" i="3"/>
  <c r="G27" i="12"/>
  <c r="G69" i="12"/>
  <c r="G79" i="3"/>
  <c r="G14" i="3"/>
  <c r="G92" i="12"/>
  <c r="G28" i="12"/>
  <c r="G38" i="3"/>
  <c r="G52" i="3"/>
  <c r="G39" i="12"/>
  <c r="G45" i="12"/>
  <c r="G122" i="12"/>
  <c r="G58" i="12"/>
  <c r="G68" i="3"/>
  <c r="G67" i="12"/>
  <c r="G81" i="12"/>
  <c r="G17" i="12"/>
  <c r="G19" i="3"/>
  <c r="G96" i="12"/>
  <c r="G8" i="12"/>
  <c r="G26" i="3"/>
  <c r="G119" i="12"/>
  <c r="G55" i="12"/>
  <c r="G73" i="3"/>
  <c r="G8" i="3"/>
  <c r="G102" i="12"/>
  <c r="G38" i="12"/>
  <c r="G48" i="3"/>
  <c r="G61" i="3"/>
  <c r="G61" i="12"/>
  <c r="G71" i="3"/>
  <c r="G107" i="12"/>
  <c r="G84" i="12"/>
  <c r="G20" i="12"/>
  <c r="G30" i="3"/>
  <c r="G78" i="3"/>
  <c r="G114" i="12"/>
  <c r="G50" i="12"/>
  <c r="G60" i="3"/>
  <c r="G45" i="3"/>
  <c r="G10" i="3"/>
  <c r="G88" i="12"/>
  <c r="G18" i="3"/>
  <c r="G111" i="12"/>
  <c r="G47" i="12"/>
  <c r="G65" i="3"/>
  <c r="G123" i="12"/>
  <c r="G94" i="12"/>
  <c r="G30" i="12"/>
  <c r="G40" i="3"/>
  <c r="G125" i="12"/>
  <c r="G53" i="12"/>
  <c r="G63" i="3"/>
  <c r="G76" i="12"/>
  <c r="G12" i="12"/>
  <c r="G22" i="3"/>
  <c r="G106" i="12"/>
  <c r="G57" i="3"/>
  <c r="G53" i="3"/>
  <c r="I79" i="1"/>
  <c r="I62" i="1"/>
  <c r="I93" i="1"/>
  <c r="I29" i="1"/>
  <c r="I84" i="1"/>
  <c r="I12" i="1"/>
  <c r="I67" i="1"/>
  <c r="I15" i="1"/>
  <c r="I50" i="1"/>
  <c r="I23" i="1"/>
  <c r="I49" i="1"/>
  <c r="I104" i="1"/>
  <c r="I40" i="1"/>
  <c r="I31" i="1"/>
  <c r="I85" i="1"/>
  <c r="I21" i="1"/>
  <c r="I76" i="1"/>
  <c r="I59" i="1"/>
  <c r="I106" i="1"/>
  <c r="I105" i="1"/>
  <c r="I41" i="1"/>
  <c r="I96" i="1"/>
  <c r="I32" i="1"/>
  <c r="I46" i="1"/>
  <c r="I77" i="1"/>
  <c r="I13" i="1"/>
  <c r="I68" i="1"/>
  <c r="I7" i="1"/>
  <c r="I51" i="1"/>
  <c r="I98" i="1"/>
  <c r="I34" i="1"/>
  <c r="I97" i="1"/>
  <c r="I33" i="1"/>
  <c r="I88" i="1"/>
  <c r="I24" i="1"/>
  <c r="I64" i="1"/>
  <c r="I70" i="1"/>
  <c r="I71" i="1"/>
  <c r="I48" i="1"/>
  <c r="I102" i="1"/>
  <c r="I30" i="1"/>
  <c r="I69" i="1"/>
  <c r="I87" i="1"/>
  <c r="I60" i="1"/>
  <c r="I107" i="1"/>
  <c r="I43" i="1"/>
  <c r="I90" i="1"/>
  <c r="I26" i="1"/>
  <c r="I89" i="1"/>
  <c r="I25" i="1"/>
  <c r="I80" i="1"/>
  <c r="I16" i="1"/>
  <c r="I9" i="1"/>
  <c r="I101" i="1"/>
  <c r="I75" i="1"/>
  <c r="I57" i="1"/>
  <c r="I94" i="1"/>
  <c r="I22" i="1"/>
  <c r="I61" i="1"/>
  <c r="I39" i="1"/>
  <c r="I52" i="1"/>
  <c r="I99" i="1"/>
  <c r="I27" i="1"/>
  <c r="I82" i="1"/>
  <c r="I18" i="1"/>
  <c r="I81" i="1"/>
  <c r="I17" i="1"/>
  <c r="I72" i="1"/>
  <c r="I8" i="1"/>
  <c r="I10" i="1"/>
  <c r="I37" i="1"/>
  <c r="I20" i="1"/>
  <c r="I58" i="1"/>
  <c r="I47" i="1"/>
  <c r="I86" i="1"/>
  <c r="I14" i="1"/>
  <c r="I53" i="1"/>
  <c r="I108" i="1"/>
  <c r="I44" i="1"/>
  <c r="I91" i="1"/>
  <c r="I19" i="1"/>
  <c r="I74" i="1"/>
  <c r="I73" i="1"/>
  <c r="I92" i="1"/>
  <c r="I63" i="1"/>
  <c r="I78" i="1"/>
  <c r="I109" i="1"/>
  <c r="I45" i="1"/>
  <c r="I100" i="1"/>
  <c r="I28" i="1"/>
  <c r="I83" i="1"/>
  <c r="I11" i="1"/>
  <c r="I66" i="1"/>
  <c r="I103" i="1"/>
  <c r="I65" i="1"/>
  <c r="I95" i="1"/>
  <c r="I56" i="1"/>
  <c r="G14" i="4"/>
  <c r="J74" i="1" l="1"/>
  <c r="CL3" i="7" s="1"/>
  <c r="J72" i="1"/>
  <c r="CJ3" i="7" s="1"/>
  <c r="J71" i="1"/>
  <c r="CI3" i="7" s="1"/>
  <c r="J75" i="1" l="1"/>
  <c r="CM3" i="7" s="1"/>
  <c r="B56" i="3" l="1"/>
  <c r="B80" i="3"/>
  <c r="B79" i="3"/>
  <c r="B78" i="3"/>
  <c r="B77" i="3"/>
  <c r="B76" i="3"/>
  <c r="B75" i="3"/>
  <c r="B74" i="3"/>
  <c r="B73" i="3"/>
  <c r="B72" i="3"/>
  <c r="B71" i="3"/>
  <c r="B70" i="3"/>
  <c r="B69" i="3"/>
  <c r="B68" i="3"/>
  <c r="B67" i="3"/>
  <c r="B66" i="3"/>
  <c r="B65" i="3"/>
  <c r="B64" i="3"/>
  <c r="B63" i="3"/>
  <c r="B62" i="3"/>
  <c r="B61" i="3"/>
  <c r="B60" i="3"/>
  <c r="B59" i="3"/>
  <c r="B58" i="3"/>
  <c r="B57" i="3"/>
  <c r="B55" i="3"/>
  <c r="B54" i="3"/>
  <c r="B53" i="3"/>
  <c r="B52" i="3"/>
  <c r="B51" i="3"/>
  <c r="B50" i="3"/>
  <c r="B49" i="3"/>
  <c r="B48" i="3"/>
  <c r="B47" i="3"/>
  <c r="B46" i="3"/>
  <c r="B45" i="3"/>
  <c r="B44" i="3"/>
  <c r="B43" i="3"/>
  <c r="B42" i="3"/>
  <c r="B41" i="3"/>
  <c r="B40" i="3"/>
  <c r="B39" i="3"/>
  <c r="B38" i="3"/>
  <c r="B37" i="3"/>
  <c r="B29" i="3"/>
  <c r="B28" i="3"/>
  <c r="B27" i="3"/>
  <c r="B26" i="3"/>
  <c r="B25" i="3"/>
  <c r="B24" i="3"/>
  <c r="B23" i="3"/>
  <c r="B22" i="3"/>
  <c r="B21" i="3"/>
  <c r="B20" i="3"/>
  <c r="B19" i="3"/>
  <c r="B18" i="3"/>
  <c r="B7" i="3"/>
  <c r="B17" i="3"/>
  <c r="B16" i="3"/>
  <c r="B14" i="3"/>
  <c r="B12" i="3"/>
  <c r="B6" i="3"/>
  <c r="B11" i="3"/>
  <c r="B9" i="3"/>
  <c r="B8" i="3"/>
  <c r="B82"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1" i="1"/>
  <c r="B80" i="1"/>
  <c r="B79" i="1"/>
  <c r="B78" i="1"/>
  <c r="B77" i="1"/>
  <c r="B76" i="1"/>
  <c r="B45" i="1"/>
  <c r="B30" i="1"/>
  <c r="B29" i="1"/>
  <c r="B28" i="1"/>
  <c r="B27" i="1"/>
  <c r="B75" i="1"/>
  <c r="B74" i="1"/>
  <c r="B73" i="1"/>
  <c r="B72" i="1"/>
  <c r="B71" i="1"/>
  <c r="B70" i="1"/>
  <c r="B69" i="1"/>
  <c r="B68" i="1"/>
  <c r="B66" i="1"/>
  <c r="B65" i="1"/>
  <c r="B64" i="1"/>
  <c r="B63" i="1"/>
  <c r="B62" i="1"/>
  <c r="B61" i="1"/>
  <c r="B67" i="1"/>
  <c r="B32" i="1"/>
  <c r="B31" i="1"/>
  <c r="B34" i="1"/>
  <c r="B33" i="1"/>
  <c r="B56" i="1"/>
  <c r="B55" i="1"/>
  <c r="B54" i="1"/>
  <c r="B40" i="1"/>
  <c r="B49" i="1"/>
  <c r="B48" i="1"/>
  <c r="B46" i="1"/>
  <c r="B53" i="1"/>
  <c r="B52" i="1"/>
  <c r="B8" i="1"/>
  <c r="B9" i="1"/>
  <c r="B7" i="1"/>
  <c r="B37" i="1"/>
  <c r="B10" i="1"/>
  <c r="B50" i="1"/>
  <c r="B20" i="1"/>
  <c r="B22" i="1"/>
  <c r="B21" i="1"/>
  <c r="B19" i="1"/>
  <c r="B18" i="1"/>
  <c r="B15" i="1"/>
  <c r="B14" i="1"/>
  <c r="B17" i="1"/>
  <c r="B27" i="4"/>
  <c r="B26" i="4"/>
  <c r="B25" i="4"/>
  <c r="B24" i="4"/>
  <c r="B23" i="4"/>
  <c r="B22" i="4"/>
  <c r="B21" i="4"/>
  <c r="B20" i="4"/>
  <c r="B19" i="4"/>
  <c r="B18" i="4"/>
  <c r="B17" i="4"/>
  <c r="B16" i="4"/>
  <c r="B15" i="4"/>
  <c r="B14" i="4"/>
  <c r="B13" i="4"/>
  <c r="B12" i="4"/>
  <c r="B11" i="4"/>
  <c r="B10" i="4"/>
  <c r="B9" i="4"/>
  <c r="B8" i="4"/>
  <c r="B7" i="4"/>
  <c r="NA3" i="7" l="1"/>
  <c r="NB3" i="7" l="1"/>
  <c r="B10" i="3" l="1"/>
  <c r="G19" i="4" l="1"/>
  <c r="G20" i="4"/>
  <c r="G21" i="4"/>
  <c r="G22" i="4"/>
  <c r="G23" i="4"/>
  <c r="D3" i="1" l="1"/>
  <c r="G24" i="4" l="1"/>
  <c r="G27" i="4"/>
  <c r="G12" i="4"/>
  <c r="G26" i="4"/>
  <c r="G25" i="4"/>
  <c r="H11" i="4" l="1"/>
  <c r="H34" i="12" s="1"/>
  <c r="F3" i="7" l="1"/>
  <c r="H10" i="3"/>
  <c r="IY3" i="7" s="1"/>
  <c r="AG3" i="7"/>
  <c r="EF3" i="7" l="1"/>
  <c r="EG3" i="7"/>
  <c r="P75" i="1" l="1"/>
  <c r="V75" i="1"/>
  <c r="W75" i="1"/>
  <c r="X75" i="1"/>
  <c r="Y75" i="1"/>
  <c r="Z75" i="1"/>
  <c r="AA75" i="1"/>
  <c r="AB75" i="1"/>
  <c r="AC75" i="1"/>
  <c r="AD75" i="1"/>
  <c r="AE75" i="1"/>
  <c r="AF75" i="1"/>
  <c r="AG75" i="1"/>
  <c r="AH75" i="1"/>
  <c r="G6" i="4" l="1"/>
  <c r="NC3" i="7" l="1"/>
  <c r="ND3" i="7"/>
  <c r="G7" i="4"/>
  <c r="G8" i="4"/>
  <c r="G9" i="4"/>
  <c r="G10" i="4"/>
  <c r="G11" i="4"/>
  <c r="B16" i="1" l="1"/>
  <c r="B6" i="4"/>
  <c r="NJ4" i="7" l="1"/>
  <c r="NI3" i="7" l="1"/>
  <c r="MA3" i="7"/>
  <c r="MG3" i="7"/>
  <c r="MO3" i="7"/>
  <c r="MU3" i="7"/>
  <c r="MC3" i="7"/>
  <c r="NM3" i="7"/>
  <c r="MN3" i="7"/>
  <c r="MQ3" i="7"/>
  <c r="MV3" i="7"/>
  <c r="MT3" i="7"/>
  <c r="ME3" i="7"/>
  <c r="MY3" i="7"/>
  <c r="NG3" i="7"/>
  <c r="MF3" i="7"/>
  <c r="MD3" i="7"/>
  <c r="LX3" i="7"/>
  <c r="LY3" i="7"/>
  <c r="MK3" i="7"/>
  <c r="MR3" i="7"/>
  <c r="MP3" i="7"/>
  <c r="NL3" i="7"/>
  <c r="MX3" i="7"/>
  <c r="MM3" i="7"/>
  <c r="NJ3" i="7"/>
  <c r="NK3" i="7"/>
  <c r="MB3" i="7"/>
  <c r="ML3" i="7"/>
  <c r="MW3" i="7"/>
  <c r="LW3" i="7"/>
  <c r="NH3" i="7"/>
  <c r="MS3" i="7"/>
  <c r="MJ3" i="7"/>
  <c r="MH3" i="7"/>
  <c r="MI3" i="7"/>
  <c r="MZ3" i="7"/>
  <c r="LZ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tc={40FCC828-2370-4137-9F24-15A625A200AD}</author>
  </authors>
  <commentList>
    <comment ref="H8" authorId="0" shapeId="0" xr:uid="{40FCC828-2370-4137-9F24-15A625A200AD}">
      <text>
        <t>[Threaded comment]
Your version of Excel allows you to read this threaded comment; however, any edits to it will get removed if the file is opened in a newer version of Excel. Learn more: https://go.microsoft.com/fwlink/?linkid=870924
Comment:
    Taken from - DIA Report -  General-Level2-Report excluding: General Rate commercial, General Rate CBD Commercial, Genera Rate - Primary Ind, General rate 50% comm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tc={7AB8B952-BBB9-4F90-865A-97C9F9A539A1}</author>
  </authors>
  <commentList>
    <comment ref="J26" authorId="0" shapeId="0" xr:uid="{00000000-0006-0000-0A00-000001000000}">
      <text>
        <t>[Threaded comment]
Your version of Excel allows you to read this threaded comment; however, any edits to it will get removed if the file is opened in a newer version of Excel. Learn more: https://go.microsoft.com/fwlink/?linkid=870924
Comment:
    Why did we not ask about unplanned interruptions</t>
      </text>
    </comment>
  </commentList>
</comments>
</file>

<file path=xl/sharedStrings.xml><?xml version="1.0" encoding="utf-8"?>
<sst xmlns="http://schemas.openxmlformats.org/spreadsheetml/2006/main" count="4937" uniqueCount="1984">
  <si>
    <t>Code</t>
  </si>
  <si>
    <t>Measure</t>
  </si>
  <si>
    <t>Units</t>
  </si>
  <si>
    <t>Data</t>
  </si>
  <si>
    <t>Data Confidence</t>
  </si>
  <si>
    <t>Data Source</t>
  </si>
  <si>
    <t>WSB1a</t>
  </si>
  <si>
    <t>Water Serviced Population</t>
  </si>
  <si>
    <t>WSB1b</t>
  </si>
  <si>
    <t>Water Supply Service Coverage</t>
  </si>
  <si>
    <t>%</t>
  </si>
  <si>
    <t>WSB2</t>
  </si>
  <si>
    <t>Water Serviced Properties: Residential</t>
  </si>
  <si>
    <t>WSB3</t>
  </si>
  <si>
    <t>Water Serviced Properties: Non-Residential</t>
  </si>
  <si>
    <t>WSB4</t>
  </si>
  <si>
    <t>Total Water Serviced Properties</t>
  </si>
  <si>
    <t>WSB5</t>
  </si>
  <si>
    <t>Water Supplied to Own System</t>
  </si>
  <si>
    <t>WSB6</t>
  </si>
  <si>
    <t>Authorised Consumption</t>
  </si>
  <si>
    <t>WSB7</t>
  </si>
  <si>
    <t>Non-residential Water Consumption</t>
  </si>
  <si>
    <t>WSB8</t>
  </si>
  <si>
    <t>Average Daily Residential Water Consumption</t>
  </si>
  <si>
    <t>WSA1a</t>
  </si>
  <si>
    <t>Length of Water Supply Network</t>
  </si>
  <si>
    <t>km</t>
  </si>
  <si>
    <t>WSA1b</t>
  </si>
  <si>
    <t>Length of water mains renewed using internal CAPEX</t>
  </si>
  <si>
    <t>WSA1c</t>
  </si>
  <si>
    <t>Length of new water mains constructed using internal CAPEX</t>
  </si>
  <si>
    <t>WSA2a</t>
  </si>
  <si>
    <t>WSA2b</t>
  </si>
  <si>
    <t>WSA2c</t>
  </si>
  <si>
    <t>WSA2d</t>
  </si>
  <si>
    <t>WSA2e</t>
  </si>
  <si>
    <t>WSA2f</t>
  </si>
  <si>
    <t>WSA2g</t>
  </si>
  <si>
    <t>Pipeline Condition Assessment Approach</t>
  </si>
  <si>
    <t>Text</t>
  </si>
  <si>
    <t>WSA3</t>
  </si>
  <si>
    <t>Average Age of Water Pipelines</t>
  </si>
  <si>
    <t>years</t>
  </si>
  <si>
    <t>WSA4</t>
  </si>
  <si>
    <t>Water Treatment Plants</t>
  </si>
  <si>
    <t>WSA4a</t>
  </si>
  <si>
    <t>Water Treatment Plant Standby Generators</t>
  </si>
  <si>
    <t>WSA5</t>
  </si>
  <si>
    <t>Water Pump Stations</t>
  </si>
  <si>
    <t>WSA5a</t>
  </si>
  <si>
    <t>Water Pump Stations Standby Generators</t>
  </si>
  <si>
    <t>WSA6</t>
  </si>
  <si>
    <t>Water Supply Reservoirs</t>
  </si>
  <si>
    <t>WSA7</t>
  </si>
  <si>
    <t>Water Stored in Reservoirs</t>
  </si>
  <si>
    <t>WSA8</t>
  </si>
  <si>
    <t>Capacity of Water Storage Reservoirs</t>
  </si>
  <si>
    <t>WSA9a</t>
  </si>
  <si>
    <t>Properties with Water Meters - Residential</t>
  </si>
  <si>
    <t>WSA9b</t>
  </si>
  <si>
    <t xml:space="preserve">Properties with Water Meters - Non-Residential </t>
  </si>
  <si>
    <t>WSA10</t>
  </si>
  <si>
    <t>Properties with Water Restrictors</t>
  </si>
  <si>
    <t>WSA11</t>
  </si>
  <si>
    <t>Water Treatment Sludge Production</t>
  </si>
  <si>
    <t>Yes/No</t>
  </si>
  <si>
    <t>WSA13a</t>
  </si>
  <si>
    <t>Comment</t>
  </si>
  <si>
    <t>WSA13b</t>
  </si>
  <si>
    <t>WSA13c</t>
  </si>
  <si>
    <t>WSE1a</t>
  </si>
  <si>
    <t>Estimated total network water loss</t>
  </si>
  <si>
    <t>WSE1b</t>
  </si>
  <si>
    <t>Percentage Estimated Total Network Water Loss</t>
  </si>
  <si>
    <t>WSE1c</t>
  </si>
  <si>
    <t>CARL (current annual real loss)</t>
  </si>
  <si>
    <t>WSE1d</t>
  </si>
  <si>
    <t>WSE1e</t>
  </si>
  <si>
    <t>WSE1f</t>
  </si>
  <si>
    <t>UARL (unavoidable annual real loss)</t>
  </si>
  <si>
    <t>WSE1g</t>
  </si>
  <si>
    <t>WSE1h</t>
  </si>
  <si>
    <t>ILI ( infrastructure leakage index (=CARL/UARL)</t>
  </si>
  <si>
    <t>non-dimensional</t>
  </si>
  <si>
    <t>WSE2</t>
  </si>
  <si>
    <t>Average system pressure</t>
  </si>
  <si>
    <t>m</t>
  </si>
  <si>
    <t>WSE3</t>
  </si>
  <si>
    <t>Energy Consumption: Water Supply</t>
  </si>
  <si>
    <t>WSE3a</t>
  </si>
  <si>
    <t>Energy Intensity: Water Supply</t>
  </si>
  <si>
    <t>WSS1</t>
  </si>
  <si>
    <t>Unplanned Total Interruptions: Water Supply</t>
  </si>
  <si>
    <t>WSS2</t>
  </si>
  <si>
    <t>Unplanned Interruption Frequency: Water Supply</t>
  </si>
  <si>
    <t>WSS3</t>
  </si>
  <si>
    <t>Planned Interruptions: Water Supply</t>
  </si>
  <si>
    <t>WSS4</t>
  </si>
  <si>
    <t>Third Party Incidents: Water Supply</t>
  </si>
  <si>
    <t>WSS5</t>
  </si>
  <si>
    <t>WSS5a</t>
  </si>
  <si>
    <t>WSS5b</t>
  </si>
  <si>
    <t>WSS5c</t>
  </si>
  <si>
    <t>WSS5d</t>
  </si>
  <si>
    <t>WSS5e</t>
  </si>
  <si>
    <t>WSS6</t>
  </si>
  <si>
    <t>WSS7a</t>
  </si>
  <si>
    <t>$</t>
  </si>
  <si>
    <t>WSS7b</t>
  </si>
  <si>
    <t>Fixed Charge Type: Non-residential water</t>
  </si>
  <si>
    <t>Volumetric Charge: Non-residential water</t>
  </si>
  <si>
    <t>WSS8a</t>
  </si>
  <si>
    <t>Fixed Charge: Residential water</t>
  </si>
  <si>
    <t>WSS8b</t>
  </si>
  <si>
    <t>Fixed Charge Type: Residential water</t>
  </si>
  <si>
    <t>WSS8c</t>
  </si>
  <si>
    <t>Volumetric Charge: Residential water</t>
  </si>
  <si>
    <t>WSS9</t>
  </si>
  <si>
    <t xml:space="preserve">Average Residential Water Charge Based on 200 m3/yr </t>
  </si>
  <si>
    <t>WSS10a</t>
  </si>
  <si>
    <t>hrs</t>
  </si>
  <si>
    <t>WSS10b</t>
  </si>
  <si>
    <t>WSS10c</t>
  </si>
  <si>
    <t>WSS10d</t>
  </si>
  <si>
    <t>WSS11</t>
  </si>
  <si>
    <t>Water restriction days</t>
  </si>
  <si>
    <t>WSS12a</t>
  </si>
  <si>
    <t>WSS12b</t>
  </si>
  <si>
    <t>WSF1</t>
  </si>
  <si>
    <t>Revenue from Supply of Water to Other Local Authorities</t>
  </si>
  <si>
    <t>WSF2</t>
  </si>
  <si>
    <t>Operating Revenue: Water Supply</t>
  </si>
  <si>
    <t>WSF3</t>
  </si>
  <si>
    <t>Development Contribution Revenue: Water Supply</t>
  </si>
  <si>
    <t>WSF4</t>
  </si>
  <si>
    <t>Total Revenue: Water Supply</t>
  </si>
  <si>
    <t>WSF5</t>
  </si>
  <si>
    <t>Revenue per Property: Water Supply</t>
  </si>
  <si>
    <t>$/property</t>
  </si>
  <si>
    <t>WSF6</t>
  </si>
  <si>
    <t>Debt funding: Water Supply</t>
  </si>
  <si>
    <t>WSF7</t>
  </si>
  <si>
    <t>WSF8</t>
  </si>
  <si>
    <t>WSF10</t>
  </si>
  <si>
    <t>WSF11</t>
  </si>
  <si>
    <t>WSF12</t>
  </si>
  <si>
    <t>Operating Cost: Water Supply</t>
  </si>
  <si>
    <t>WSF13</t>
  </si>
  <si>
    <t>Operating Cost per Property: Water Supply</t>
  </si>
  <si>
    <t>WSF14</t>
  </si>
  <si>
    <t>Annual Depreciation: Water Supply</t>
  </si>
  <si>
    <t>WSF15a</t>
  </si>
  <si>
    <t>Interest: Water Supply</t>
  </si>
  <si>
    <t>WSF15b</t>
  </si>
  <si>
    <t>Debt affordability: Water Supply</t>
  </si>
  <si>
    <t>WSF16</t>
  </si>
  <si>
    <t>Operational Cost Coverage: Water Supply</t>
  </si>
  <si>
    <t>WSF17</t>
  </si>
  <si>
    <t>Total Cost: Water Supply</t>
  </si>
  <si>
    <t>WSF18</t>
  </si>
  <si>
    <t>Total Cost per Property: Water Supply</t>
  </si>
  <si>
    <t>WSF19</t>
  </si>
  <si>
    <t>Budgeted Capital Expenditure: Water Supply</t>
  </si>
  <si>
    <t>WSF19a</t>
  </si>
  <si>
    <t>WSF19b</t>
  </si>
  <si>
    <t>WSF19c</t>
  </si>
  <si>
    <t>WSF20</t>
  </si>
  <si>
    <t>Actual Capital Expenditure: Water Supply</t>
  </si>
  <si>
    <t>WSF20a</t>
  </si>
  <si>
    <t>WSF20b</t>
  </si>
  <si>
    <t>WSF20c</t>
  </si>
  <si>
    <t>WSF21</t>
  </si>
  <si>
    <t>Actual Capital Expenditure per Property: Water Supply</t>
  </si>
  <si>
    <t>WSF22</t>
  </si>
  <si>
    <t>WSF23a</t>
  </si>
  <si>
    <t>Water treatment facility value at end of reporting year</t>
  </si>
  <si>
    <t>WSF23b</t>
  </si>
  <si>
    <t>Other water supply asset value</t>
  </si>
  <si>
    <t>WSF24</t>
  </si>
  <si>
    <t>Decline in Service Potential: Water Supply</t>
  </si>
  <si>
    <t>WSF25</t>
  </si>
  <si>
    <t>External Grants: Water Supply</t>
  </si>
  <si>
    <t>L/person/day</t>
  </si>
  <si>
    <t>Comments</t>
  </si>
  <si>
    <t>Reporter Name</t>
  </si>
  <si>
    <t>Wastewater</t>
  </si>
  <si>
    <t>Stormwater</t>
  </si>
  <si>
    <t>CB1</t>
  </si>
  <si>
    <t>CB2</t>
  </si>
  <si>
    <t>CB3</t>
  </si>
  <si>
    <t>CB4</t>
  </si>
  <si>
    <t>CB5</t>
  </si>
  <si>
    <t>CB6</t>
  </si>
  <si>
    <t>CB10</t>
  </si>
  <si>
    <t>CB10a</t>
  </si>
  <si>
    <t>CB11</t>
  </si>
  <si>
    <t>CB12</t>
  </si>
  <si>
    <t>CB13</t>
  </si>
  <si>
    <t>Total Area</t>
  </si>
  <si>
    <t>Total Population</t>
  </si>
  <si>
    <t>Residential properties</t>
  </si>
  <si>
    <t>Non-residential properties</t>
  </si>
  <si>
    <t>Total  Properties</t>
  </si>
  <si>
    <t xml:space="preserve">Household Occupancy </t>
  </si>
  <si>
    <t>Household Income</t>
  </si>
  <si>
    <t>Internal staff</t>
  </si>
  <si>
    <t>Staff vacancies</t>
  </si>
  <si>
    <t>Contracted staff</t>
  </si>
  <si>
    <t>Near miss reports</t>
  </si>
  <si>
    <t>FTE</t>
  </si>
  <si>
    <t>days</t>
  </si>
  <si>
    <t>Calc</t>
  </si>
  <si>
    <t>Data confidence</t>
  </si>
  <si>
    <t>Background</t>
  </si>
  <si>
    <t>WWB1a</t>
  </si>
  <si>
    <t>Wastewater Serviced Population</t>
  </si>
  <si>
    <t xml:space="preserve">WWB1b </t>
  </si>
  <si>
    <t>Wastewater Service Coverage</t>
  </si>
  <si>
    <t>WWB2</t>
  </si>
  <si>
    <t>WWB3</t>
  </si>
  <si>
    <t>WWB4</t>
  </si>
  <si>
    <t>WWB5</t>
  </si>
  <si>
    <t>WWB6</t>
  </si>
  <si>
    <t>WWA1a</t>
  </si>
  <si>
    <t>Total Length of Public Wastewater Network</t>
  </si>
  <si>
    <t>WWA2f</t>
  </si>
  <si>
    <t>WWA3</t>
  </si>
  <si>
    <t>Average Age of Wastewater Pipelines</t>
  </si>
  <si>
    <t>WWA4</t>
  </si>
  <si>
    <t>Wastewater CCTV inspection</t>
  </si>
  <si>
    <t>WWA5</t>
  </si>
  <si>
    <t>Wastewater Pump Stations</t>
  </si>
  <si>
    <t>WWA6</t>
  </si>
  <si>
    <t>WWA7a</t>
  </si>
  <si>
    <t>WWA7d</t>
  </si>
  <si>
    <t>WWA7f</t>
  </si>
  <si>
    <t>WWA7h</t>
  </si>
  <si>
    <t>WWA7m</t>
  </si>
  <si>
    <t>WWA8</t>
  </si>
  <si>
    <t>Total Length of Combined Wastewater and Stormwater Pipelines</t>
  </si>
  <si>
    <t>WWE1</t>
  </si>
  <si>
    <t>Dry Weather Wastewater Overflows</t>
  </si>
  <si>
    <t>WWE3</t>
  </si>
  <si>
    <t>WWE4a</t>
  </si>
  <si>
    <t>WWE4b</t>
  </si>
  <si>
    <t>WWE4c</t>
  </si>
  <si>
    <t>WWE4d</t>
  </si>
  <si>
    <t>WWE5a</t>
  </si>
  <si>
    <t>WWE5b</t>
  </si>
  <si>
    <t>WWS1a</t>
  </si>
  <si>
    <t>Fixed Charge: Non residential wastewater</t>
  </si>
  <si>
    <t>WWS1b</t>
  </si>
  <si>
    <t>Fixed  Charge Type: Non residential wastewater</t>
  </si>
  <si>
    <t>WWS1c</t>
  </si>
  <si>
    <t>Volumetric Charge: Non residential wastewater</t>
  </si>
  <si>
    <t>WWS1d</t>
  </si>
  <si>
    <t>Contaminant Based Charging</t>
  </si>
  <si>
    <t>WWS2a</t>
  </si>
  <si>
    <t>Fixed Charge: Residential wastewater</t>
  </si>
  <si>
    <t>WWS2b</t>
  </si>
  <si>
    <t>Fixed Charge Type: Residential wastewater</t>
  </si>
  <si>
    <t>WWS2c</t>
  </si>
  <si>
    <t>Volumetric Charge: Residential wastewater</t>
  </si>
  <si>
    <t>WWS3</t>
  </si>
  <si>
    <t>WWS4</t>
  </si>
  <si>
    <t>Wastewater complaints</t>
  </si>
  <si>
    <t>WWS4a</t>
  </si>
  <si>
    <t>WWS4b</t>
  </si>
  <si>
    <t>WWS4c</t>
  </si>
  <si>
    <t>WWS5</t>
  </si>
  <si>
    <t>WWS6a</t>
  </si>
  <si>
    <t>WWS6b</t>
  </si>
  <si>
    <t>WWF1</t>
  </si>
  <si>
    <t>Revenue from the Provision of Wastewater Treatment Services to Another Local Authority</t>
  </si>
  <si>
    <t>WWF2</t>
  </si>
  <si>
    <t>Operating Revenue: Wastewater</t>
  </si>
  <si>
    <t>WWF3</t>
  </si>
  <si>
    <t>Development Contribution Revenue: Wastewater</t>
  </si>
  <si>
    <t>WWF4</t>
  </si>
  <si>
    <t>Total Revenue: Wastewater</t>
  </si>
  <si>
    <t>WWF5</t>
  </si>
  <si>
    <t>Revenue per Property: Wastewater</t>
  </si>
  <si>
    <t>WWF6</t>
  </si>
  <si>
    <t>Debt funding: Wastewater</t>
  </si>
  <si>
    <t>WWF7</t>
  </si>
  <si>
    <t>Energy Costs: Wastewater</t>
  </si>
  <si>
    <t>WWF8</t>
  </si>
  <si>
    <t>Sludge Disposal Costs: Wastewater</t>
  </si>
  <si>
    <t>WWF9</t>
  </si>
  <si>
    <t>WWF10</t>
  </si>
  <si>
    <t>WWF11</t>
  </si>
  <si>
    <t>WWF12</t>
  </si>
  <si>
    <t>Operating Cost: Wastewater</t>
  </si>
  <si>
    <t>WWF14</t>
  </si>
  <si>
    <t>Operating Cost per Property: Wastewater</t>
  </si>
  <si>
    <t>WWF15</t>
  </si>
  <si>
    <t>Annual Depreciation: Wastewater</t>
  </si>
  <si>
    <t>WWF16a</t>
  </si>
  <si>
    <t>Interest: Wastewater</t>
  </si>
  <si>
    <t>WWF16b</t>
  </si>
  <si>
    <t>Debt affordability: Wastewater</t>
  </si>
  <si>
    <t>WWF17</t>
  </si>
  <si>
    <t>Operational Cost Coverage: Wastewater</t>
  </si>
  <si>
    <t>Total Cost: Wastewater</t>
  </si>
  <si>
    <t>WWF19</t>
  </si>
  <si>
    <t>Total Cost per Property: Wastewater</t>
  </si>
  <si>
    <t>Budgeted Capital Expenditure: Wastewater</t>
  </si>
  <si>
    <t>WWF20a</t>
  </si>
  <si>
    <t>WWF20b</t>
  </si>
  <si>
    <t>WWF20c</t>
  </si>
  <si>
    <t>WWF21</t>
  </si>
  <si>
    <t>Actual Capital Expenditure: Wastewater</t>
  </si>
  <si>
    <t>WWF21a</t>
  </si>
  <si>
    <t>WWF21b</t>
  </si>
  <si>
    <t>WWF21c</t>
  </si>
  <si>
    <t>Actual Capital Expenditure per Property: Wastewater</t>
  </si>
  <si>
    <t>WWF23</t>
  </si>
  <si>
    <t>WWF24a</t>
  </si>
  <si>
    <t>WWF24b</t>
  </si>
  <si>
    <t>Other wastewater asset value</t>
  </si>
  <si>
    <t>Decline in Service Potential: Wastewater</t>
  </si>
  <si>
    <t>WWF26</t>
  </si>
  <si>
    <t>External Grants: Wastewater</t>
  </si>
  <si>
    <t xml:space="preserve">Total Wastewater Overflows </t>
  </si>
  <si>
    <t>WWF13</t>
  </si>
  <si>
    <t>WWF18</t>
  </si>
  <si>
    <t>WWF20</t>
  </si>
  <si>
    <t>WWF22</t>
  </si>
  <si>
    <t>Wastewater facility value at end of reporting year</t>
  </si>
  <si>
    <t>WWF25</t>
  </si>
  <si>
    <t>AEP%</t>
  </si>
  <si>
    <t>SWB1</t>
  </si>
  <si>
    <t>Stormwater Serviced Population</t>
  </si>
  <si>
    <t>SWB2</t>
  </si>
  <si>
    <t>Stormwater Serviced Properties - Residential</t>
  </si>
  <si>
    <t>SWB3</t>
  </si>
  <si>
    <t>Stormwater Serviced Properties - Non-residential</t>
  </si>
  <si>
    <t>SWB4</t>
  </si>
  <si>
    <t>Total Stormwater Serviced Properties</t>
  </si>
  <si>
    <t>SWA1a</t>
  </si>
  <si>
    <t>Total Length of Public Stormwater Network</t>
  </si>
  <si>
    <t>SWA2f</t>
  </si>
  <si>
    <t>SWA3</t>
  </si>
  <si>
    <t>Average Age of Stormwater Pipelines</t>
  </si>
  <si>
    <t>SWA5c</t>
  </si>
  <si>
    <t>SWA6</t>
  </si>
  <si>
    <t>SWE1a</t>
  </si>
  <si>
    <t>SWE1b</t>
  </si>
  <si>
    <t>SWE2a</t>
  </si>
  <si>
    <t>SWE2b</t>
  </si>
  <si>
    <t>SWE2c</t>
  </si>
  <si>
    <t>SWE2d</t>
  </si>
  <si>
    <t>SWS1</t>
  </si>
  <si>
    <t>Stormwater Charge</t>
  </si>
  <si>
    <t>SWS2</t>
  </si>
  <si>
    <t>Stormwater Charge type</t>
  </si>
  <si>
    <t>SWS3</t>
  </si>
  <si>
    <t>Stormwater Complaints</t>
  </si>
  <si>
    <t>SWS3a</t>
  </si>
  <si>
    <t>Stormwater blockage complaints</t>
  </si>
  <si>
    <t>SWS3b</t>
  </si>
  <si>
    <t>Stormwater fault complaints</t>
  </si>
  <si>
    <t>SWS4</t>
  </si>
  <si>
    <t>Stormwater Complaints Frequency</t>
  </si>
  <si>
    <t>SWS5</t>
  </si>
  <si>
    <t>SWS5a</t>
  </si>
  <si>
    <t>SWS5b</t>
  </si>
  <si>
    <t>Number of habitable floors affected per 1000 stormwater serviced properties</t>
  </si>
  <si>
    <t>SWS6</t>
  </si>
  <si>
    <t>Flooding Response Time</t>
  </si>
  <si>
    <t>SWS7a</t>
  </si>
  <si>
    <t>Primary stormwater network capacity</t>
  </si>
  <si>
    <t>SWS7b</t>
  </si>
  <si>
    <t>Secondary stormwater network capacity</t>
  </si>
  <si>
    <t>SWF1</t>
  </si>
  <si>
    <t>Operating Revenue: Stormwater</t>
  </si>
  <si>
    <t>SWF2</t>
  </si>
  <si>
    <t>Development Contribution Revenue: Stormwater</t>
  </si>
  <si>
    <t>SWF3</t>
  </si>
  <si>
    <t>Total Revenue: Stormwater</t>
  </si>
  <si>
    <t>SWF4</t>
  </si>
  <si>
    <t>Total Revenue per Property: Stormwater</t>
  </si>
  <si>
    <t>SWF5</t>
  </si>
  <si>
    <t>Debt funding: Stormwater</t>
  </si>
  <si>
    <t>SWF7</t>
  </si>
  <si>
    <t>SWF9</t>
  </si>
  <si>
    <t>Operating Cost: Stormwater</t>
  </si>
  <si>
    <t>SWF10</t>
  </si>
  <si>
    <t>Operating Cost per Property: Stormwater</t>
  </si>
  <si>
    <t>SWF11</t>
  </si>
  <si>
    <t>Annual Depreciation: Stormwater</t>
  </si>
  <si>
    <t>SWF12a</t>
  </si>
  <si>
    <t>Interest: Stormwater</t>
  </si>
  <si>
    <t>SWF12b</t>
  </si>
  <si>
    <t>Debt Affordability: Stormwater</t>
  </si>
  <si>
    <t>SWF13</t>
  </si>
  <si>
    <t>Operational Cost Coverage: Stormwater</t>
  </si>
  <si>
    <t>SWF14</t>
  </si>
  <si>
    <t>Total Cost: Stormwater</t>
  </si>
  <si>
    <t>SWF15</t>
  </si>
  <si>
    <t>Total Cost per Property: Stormwater</t>
  </si>
  <si>
    <t>SWF16</t>
  </si>
  <si>
    <t>Budgeted Capital Expenditure: Stormwater</t>
  </si>
  <si>
    <t>SWF16a</t>
  </si>
  <si>
    <t>SWF16b</t>
  </si>
  <si>
    <t>SWF16c</t>
  </si>
  <si>
    <t>SWF17</t>
  </si>
  <si>
    <t>Actual Capital Expenditure: Stormwater</t>
  </si>
  <si>
    <t>SWF17a</t>
  </si>
  <si>
    <t>SWF17b</t>
  </si>
  <si>
    <t>SWF17c</t>
  </si>
  <si>
    <t>SWF18</t>
  </si>
  <si>
    <t>Actual Capital Expenditure per Property: Stormwater</t>
  </si>
  <si>
    <t>SWF19</t>
  </si>
  <si>
    <t>SWF20</t>
  </si>
  <si>
    <t>Stormwater asset value at end of reporting year</t>
  </si>
  <si>
    <t>SWF21</t>
  </si>
  <si>
    <t>Decline in Service Potential: Stormwater</t>
  </si>
  <si>
    <t>SWF22</t>
  </si>
  <si>
    <t>External Grants: Stormwater</t>
  </si>
  <si>
    <t>SWF8</t>
  </si>
  <si>
    <t>Number of wastewater treatment plants</t>
  </si>
  <si>
    <t>Plant 2</t>
  </si>
  <si>
    <t>Plant 3</t>
  </si>
  <si>
    <t>Plant 4</t>
  </si>
  <si>
    <t>Plant 5</t>
  </si>
  <si>
    <t>Plant 6</t>
  </si>
  <si>
    <t>Plant 7</t>
  </si>
  <si>
    <t>Plant 8</t>
  </si>
  <si>
    <t>Plant 9</t>
  </si>
  <si>
    <t>Plant 10</t>
  </si>
  <si>
    <t>Plant 11</t>
  </si>
  <si>
    <t>Plant 12</t>
  </si>
  <si>
    <t>Plant 13</t>
  </si>
  <si>
    <t>Plant 14</t>
  </si>
  <si>
    <t>Plant 15</t>
  </si>
  <si>
    <t>Plant 16</t>
  </si>
  <si>
    <t>Plant 17</t>
  </si>
  <si>
    <t>Plant 18</t>
  </si>
  <si>
    <t>WWA7</t>
  </si>
  <si>
    <t>WSS7</t>
  </si>
  <si>
    <t>SWA7</t>
  </si>
  <si>
    <t>Stormwater Pump Stations</t>
  </si>
  <si>
    <t>Number</t>
  </si>
  <si>
    <t>Number/1000 props</t>
  </si>
  <si>
    <t>Number/year</t>
  </si>
  <si>
    <t>CB19a</t>
  </si>
  <si>
    <t>CB19b</t>
  </si>
  <si>
    <t>CB19c</t>
  </si>
  <si>
    <t>CB19d</t>
  </si>
  <si>
    <t>Technology</t>
  </si>
  <si>
    <t>Overflows recorded through verbal reports</t>
  </si>
  <si>
    <t>WWE9a</t>
  </si>
  <si>
    <t>WWE9b</t>
  </si>
  <si>
    <t>WWE9c</t>
  </si>
  <si>
    <t>WWE9d</t>
  </si>
  <si>
    <t>Overflows recorded through SCADA monitoring</t>
  </si>
  <si>
    <t>Staff</t>
  </si>
  <si>
    <t>Number of stormwater discharges from the piped network</t>
  </si>
  <si>
    <t>WWE1a</t>
  </si>
  <si>
    <t>WWE1b</t>
  </si>
  <si>
    <t>Overflows caused by blockages</t>
  </si>
  <si>
    <t>SWE3</t>
  </si>
  <si>
    <t>SWE4</t>
  </si>
  <si>
    <t>Stormwater quality monitoring</t>
  </si>
  <si>
    <t>Stormwater catchment management plans</t>
  </si>
  <si>
    <t>WSF9a</t>
  </si>
  <si>
    <t>WSF9b</t>
  </si>
  <si>
    <t>SWF6a</t>
  </si>
  <si>
    <t>SWF6b</t>
  </si>
  <si>
    <t>Headings</t>
  </si>
  <si>
    <t>Selection</t>
  </si>
  <si>
    <t>Percent of above ground assets assessed within 3 years</t>
  </si>
  <si>
    <t>Drinking water clarity complaints</t>
  </si>
  <si>
    <t>Drinking water taste complaints</t>
  </si>
  <si>
    <t>Drinking water odour complaints</t>
  </si>
  <si>
    <t>Drinking water pressure or flow complaints</t>
  </si>
  <si>
    <r>
      <t>m</t>
    </r>
    <r>
      <rPr>
        <vertAlign val="superscript"/>
        <sz val="11"/>
        <color theme="1"/>
        <rFont val="Calibri"/>
        <family val="2"/>
        <scheme val="minor"/>
      </rPr>
      <t>3</t>
    </r>
    <r>
      <rPr>
        <sz val="11"/>
        <color theme="1"/>
        <rFont val="Calibri"/>
        <family val="2"/>
        <scheme val="minor"/>
      </rPr>
      <t>/year</t>
    </r>
  </si>
  <si>
    <r>
      <t>$/m</t>
    </r>
    <r>
      <rPr>
        <vertAlign val="superscript"/>
        <sz val="11"/>
        <color theme="1"/>
        <rFont val="Calibri"/>
        <family val="2"/>
        <scheme val="minor"/>
      </rPr>
      <t>3</t>
    </r>
  </si>
  <si>
    <r>
      <t>$/200m</t>
    </r>
    <r>
      <rPr>
        <vertAlign val="superscript"/>
        <sz val="11"/>
        <color theme="1"/>
        <rFont val="Calibri"/>
        <family val="2"/>
        <scheme val="minor"/>
      </rPr>
      <t>3</t>
    </r>
  </si>
  <si>
    <t>Budgeted capital to meet additional demand</t>
  </si>
  <si>
    <t>Budgeted capital to improve the level of service</t>
  </si>
  <si>
    <t>Budgeted capital to replace existing assets</t>
  </si>
  <si>
    <t>Actual capital to meet additional demand</t>
  </si>
  <si>
    <t>Actual capital to improve the level of service</t>
  </si>
  <si>
    <t>Actual capital to replace existing assets</t>
  </si>
  <si>
    <t>Energy Costs: Water Supply</t>
  </si>
  <si>
    <t>Chemicals and Consumables: Water Supply</t>
  </si>
  <si>
    <t>Routine maintenance: Water Supply</t>
  </si>
  <si>
    <t>Reactive maintenance: Water Supply</t>
  </si>
  <si>
    <t>Management Costs: Water Supply</t>
  </si>
  <si>
    <t>Condition grade 1: Water pipelines</t>
  </si>
  <si>
    <t>Condition grade 2: Water pipelines</t>
  </si>
  <si>
    <t>Condition grade 3: Water pipelines</t>
  </si>
  <si>
    <t>Condition grade 4: Water pipelines</t>
  </si>
  <si>
    <t>Condition grade 5: Water pipelines</t>
  </si>
  <si>
    <t>Not assessed: Water pipelines</t>
  </si>
  <si>
    <t>Wastewater treatment plant name</t>
  </si>
  <si>
    <t>Volume of wastewater treated at treatment plant</t>
  </si>
  <si>
    <t>Treatment plant effluent consent status</t>
  </si>
  <si>
    <t>Treatment Plant effluent resource consent expiry date</t>
  </si>
  <si>
    <t>Wastewater consent abatement notices</t>
  </si>
  <si>
    <t>Wastewater consent infringement notices</t>
  </si>
  <si>
    <t>Wastewater consent enforcement orders</t>
  </si>
  <si>
    <t>Wastewater consent successful prosecutions</t>
  </si>
  <si>
    <r>
      <t>Average Annual Residential Wastewater Charge Based on 200 m</t>
    </r>
    <r>
      <rPr>
        <vertAlign val="superscript"/>
        <sz val="11"/>
        <color theme="1"/>
        <rFont val="Calibri"/>
        <family val="2"/>
        <scheme val="minor"/>
      </rPr>
      <t>3</t>
    </r>
    <r>
      <rPr>
        <sz val="11"/>
        <color theme="1"/>
        <rFont val="Calibri"/>
        <family val="2"/>
        <scheme val="minor"/>
      </rPr>
      <t xml:space="preserve">/yr </t>
    </r>
  </si>
  <si>
    <t>Sewage odour complaints</t>
  </si>
  <si>
    <t>Sewerage system fault complaints</t>
  </si>
  <si>
    <t>Sewerage system blockage complaints</t>
  </si>
  <si>
    <t>Wastewater complaints frequency</t>
  </si>
  <si>
    <t>Management Costs: Wastewater</t>
  </si>
  <si>
    <t>Stormwater consent abatement notices</t>
  </si>
  <si>
    <t>Stormwater consent infringement notices</t>
  </si>
  <si>
    <t>Stormwater consent enforcement orders</t>
  </si>
  <si>
    <t>Stormwater successful prosecutions</t>
  </si>
  <si>
    <t>Management Costs: Stormwater</t>
  </si>
  <si>
    <t>Fire hydrants tested in the previous five years</t>
  </si>
  <si>
    <t>Non-compliant fire hydrants</t>
  </si>
  <si>
    <t>Lost time injuries</t>
  </si>
  <si>
    <t>Continuity of water supply complaints</t>
  </si>
  <si>
    <t>Fixed Charge: Non-residential water</t>
  </si>
  <si>
    <t>WSS7c</t>
  </si>
  <si>
    <t>Attendance for urgent water supply fault call-outs</t>
  </si>
  <si>
    <t>Resolution for urgent water supply fault call-outs</t>
  </si>
  <si>
    <t>Attendance for non-urgent water supply fault call-outs</t>
  </si>
  <si>
    <t>Resolution for non-urgent water supply fault call-outs</t>
  </si>
  <si>
    <t>WSS12</t>
  </si>
  <si>
    <t>Boiled water notices</t>
  </si>
  <si>
    <t>Proportion of trade waste at treatment plant</t>
  </si>
  <si>
    <t>WWA7i</t>
  </si>
  <si>
    <t>Disposal of wastewater sludge in year to landfill</t>
  </si>
  <si>
    <t>Disposal of wastewater sludge in year to composting and reuse</t>
  </si>
  <si>
    <t>Disposal of wastewater sludge in year to other routes</t>
  </si>
  <si>
    <t>WWA7k-1</t>
  </si>
  <si>
    <t>WWA7k-2</t>
  </si>
  <si>
    <t>WWA7k-3</t>
  </si>
  <si>
    <t>WWA7k-4</t>
  </si>
  <si>
    <t>Discharges</t>
  </si>
  <si>
    <t>Compliance</t>
  </si>
  <si>
    <t>Charges</t>
  </si>
  <si>
    <t>Complaints</t>
  </si>
  <si>
    <t>Flooding</t>
  </si>
  <si>
    <t>Revenue</t>
  </si>
  <si>
    <t>Expenditure</t>
  </si>
  <si>
    <t>Asset value</t>
  </si>
  <si>
    <t>Overflows</t>
  </si>
  <si>
    <t>Energy use</t>
  </si>
  <si>
    <t>Trade waste</t>
  </si>
  <si>
    <t>Outages</t>
  </si>
  <si>
    <t>Development Contributions: Stormwater assets</t>
  </si>
  <si>
    <t>Development Contributions: Wastewater assets</t>
  </si>
  <si>
    <t>Grants</t>
  </si>
  <si>
    <t>Response times</t>
  </si>
  <si>
    <t>Water loss</t>
  </si>
  <si>
    <t>Fire fighting</t>
  </si>
  <si>
    <t>Development Contributions: Water Supply assets</t>
  </si>
  <si>
    <t>Protocol used for above ground condition assessments</t>
  </si>
  <si>
    <t>Number of different water charging regimes</t>
  </si>
  <si>
    <t>No</t>
  </si>
  <si>
    <t>Targeted Rate</t>
  </si>
  <si>
    <t>New Zealand Pipe Inspection Manual</t>
  </si>
  <si>
    <t>Current</t>
  </si>
  <si>
    <t>Tradewaste Bylaw</t>
  </si>
  <si>
    <t>Name</t>
  </si>
  <si>
    <t>Above ground stormwater asset assessment program [SWA5a]</t>
  </si>
  <si>
    <t>Actual Capital Expenditure per Property: Stormwater [SWF18]</t>
  </si>
  <si>
    <t>Actual Capital Expenditure: Stormwater [SWF17]</t>
  </si>
  <si>
    <t>Actual capital to improve the level of service [SWF17b]</t>
  </si>
  <si>
    <t>Actual capital to meet additional demand [SWF17a]</t>
  </si>
  <si>
    <t>Actual capital to replace existing assets [SWF17c]</t>
  </si>
  <si>
    <t>Annual Depreciation: Stormwater [SWF11]</t>
  </si>
  <si>
    <t>Average Age of Stormwater Pipelines [SWA3]</t>
  </si>
  <si>
    <t>Budgeted Capital Expenditure: Stormwater [SWF16]</t>
  </si>
  <si>
    <t>Budgeted capital to improve the level of service [SWF16b]</t>
  </si>
  <si>
    <t>Budgeted capital to meet additional demand [SWF16a]</t>
  </si>
  <si>
    <t>Budgeted capital to replace existing assets [SWF16c]</t>
  </si>
  <si>
    <t>Condition Grade 1: Stormwater pipelines [SWA2a]</t>
  </si>
  <si>
    <t>Condition Grade 2: Stormwater pipelines [SWA2b]</t>
  </si>
  <si>
    <t>Condition Grade 3: Stormwater pipelines [SWA2c]</t>
  </si>
  <si>
    <t>Condition Grade 4: Stormwater pipelines [SWA2d]</t>
  </si>
  <si>
    <t>Condition Grade 5: Stormwater pipelines [SWA2e]</t>
  </si>
  <si>
    <t>Debt Affordability: Stormwater [SWF12b]</t>
  </si>
  <si>
    <t>Debt funding: Stormwater [SWF5]</t>
  </si>
  <si>
    <t>Decline in Service Potential: Stormwater [SWF21]</t>
  </si>
  <si>
    <t>Development Contribution Revenue: Stormwater [SWF2]</t>
  </si>
  <si>
    <t>Development Contributions: Stormwater assets [SWF19]</t>
  </si>
  <si>
    <t>External Grants: Stormwater [SWF22]</t>
  </si>
  <si>
    <t>Flooding Response Time [SWS6]</t>
  </si>
  <si>
    <t>Interest: Stormwater [SWF12a]</t>
  </si>
  <si>
    <t>Length of new stormwater mains constructed using internal CAPEX [SWA1c]</t>
  </si>
  <si>
    <t>Length of stormwater mains renewed using internal CAPEX [SWA1b]</t>
  </si>
  <si>
    <t>Management Costs: Stormwater [SWF7]</t>
  </si>
  <si>
    <t>Not assessed: Stormwater pipelines [SWA2f]</t>
  </si>
  <si>
    <t>Number of habitable floors affected per 1000 stormwater serviced properties [SWS5b]</t>
  </si>
  <si>
    <t>Number of stormwater discharges from the piped network [SWE1a]</t>
  </si>
  <si>
    <t>Operating Cost per Property: Stormwater [SWF10]</t>
  </si>
  <si>
    <t>Operating Cost: Stormwater [SWF9]</t>
  </si>
  <si>
    <t>Operating Revenue: Stormwater [SWF1]</t>
  </si>
  <si>
    <t>Operational Cost Coverage: Stormwater [SWF13]</t>
  </si>
  <si>
    <t>Percentage of above ground stormwater assets assessed in 3 years [SWA5c]</t>
  </si>
  <si>
    <t>Primary stormwater network capacity [SWS7a]</t>
  </si>
  <si>
    <t>Protocol used for above ground stormwater asset assessments [SWA5b]</t>
  </si>
  <si>
    <t>Secondary stormwater network capacity [SWS7b]</t>
  </si>
  <si>
    <t>Stormwater asset value at end of reporting year [SWF20]</t>
  </si>
  <si>
    <t>Stormwater blockage complaints [SWS3a]</t>
  </si>
  <si>
    <t>Stormwater catchment management plans [SWE4]</t>
  </si>
  <si>
    <t>Stormwater Charge [SWS1]</t>
  </si>
  <si>
    <t>Stormwater Charge type [SWS2]</t>
  </si>
  <si>
    <t>Stormwater Complaints [SWS3]</t>
  </si>
  <si>
    <t>Stormwater Complaints Frequency [SWS4]</t>
  </si>
  <si>
    <t>Stormwater consent abatement notices [SWE2a]</t>
  </si>
  <si>
    <t>Stormwater consent enforcement orders [SWE2c]</t>
  </si>
  <si>
    <t>Stormwater consent infringement notices [SWE2b]</t>
  </si>
  <si>
    <t>Stormwater fault complaints [SWS3b]</t>
  </si>
  <si>
    <t>Stormwater network CCTV inspection [SWA6]</t>
  </si>
  <si>
    <t>Stormwater Pipeline Condition Assessment Approach [SWA2g]</t>
  </si>
  <si>
    <t>Stormwater Pump Stations [SWA7]</t>
  </si>
  <si>
    <t>Stormwater quality monitoring [SWE3]</t>
  </si>
  <si>
    <t>Stormwater Serviced Population [SWB1]</t>
  </si>
  <si>
    <t>Stormwater Serviced Properties - Non-residential [SWB3]</t>
  </si>
  <si>
    <t>Stormwater Serviced Properties - Residential [SWB2]</t>
  </si>
  <si>
    <t>Stormwater successful prosecutions [SWE2d]</t>
  </si>
  <si>
    <t>Total Cost per Property: Stormwater [SWF15]</t>
  </si>
  <si>
    <t>Total Cost: Stormwater [SWF14]</t>
  </si>
  <si>
    <t>Total Length of Public Stormwater Network [SWA1a]</t>
  </si>
  <si>
    <t>Total Revenue per Property: Stormwater [SWF4]</t>
  </si>
  <si>
    <t>Total Revenue: Stormwater [SWF3]</t>
  </si>
  <si>
    <t>Total Stormwater Serviced Properties [SWB4]</t>
  </si>
  <si>
    <t>Total Area [CB1]</t>
  </si>
  <si>
    <t>Total Population [CB2]</t>
  </si>
  <si>
    <t>Residential properties [CB3]</t>
  </si>
  <si>
    <t>Non-residential properties [CB4]</t>
  </si>
  <si>
    <t>Total  Properties [CB5]</t>
  </si>
  <si>
    <t>Household Occupancy  [CB6]</t>
  </si>
  <si>
    <t>Internal staff [CB10]</t>
  </si>
  <si>
    <t>Staff vacancies [CB10a]</t>
  </si>
  <si>
    <t>Contracted staff [CB11]</t>
  </si>
  <si>
    <t>Near miss reports [CB12]</t>
  </si>
  <si>
    <t>Lost time injuries [CB13]</t>
  </si>
  <si>
    <t>Water Serviced Population [WSB1a]</t>
  </si>
  <si>
    <t>Water Supply Service Coverage [WSB1b]</t>
  </si>
  <si>
    <t>Water Serviced Properties: Residential [WSB2]</t>
  </si>
  <si>
    <t>Water Serviced Properties: Non-Residential [WSB3]</t>
  </si>
  <si>
    <t>Total Water Serviced Properties [WSB4]</t>
  </si>
  <si>
    <t>Water Supplied to Own System [WSB5]</t>
  </si>
  <si>
    <t>Authorised Consumption [WSB6]</t>
  </si>
  <si>
    <t>Non-residential Water Consumption [WSB7]</t>
  </si>
  <si>
    <t>Average Daily Residential Water Consumption [WSB8]</t>
  </si>
  <si>
    <t>Length of Water Supply Network [WSA1a]</t>
  </si>
  <si>
    <t>Length of water mains renewed using internal CAPEX [WSA1b]</t>
  </si>
  <si>
    <t>Length of new water mains constructed using internal CAPEX [WSA1c]</t>
  </si>
  <si>
    <t>Condition grade 1: Water pipelines [WSA2a]</t>
  </si>
  <si>
    <t>Condition grade 2: Water pipelines [WSA2b]</t>
  </si>
  <si>
    <t>Condition grade 3: Water pipelines [WSA2c]</t>
  </si>
  <si>
    <t>Condition grade 4: Water pipelines [WSA2d]</t>
  </si>
  <si>
    <t>Condition grade 5: Water pipelines [WSA2e]</t>
  </si>
  <si>
    <t>Not assessed: Water pipelines [WSA2f]</t>
  </si>
  <si>
    <t>Pipeline Condition Assessment Approach [WSA2g]</t>
  </si>
  <si>
    <t>Average Age of Water Pipelines [WSA3]</t>
  </si>
  <si>
    <t>Water Treatment Plants [WSA4]</t>
  </si>
  <si>
    <t>Water Treatment Plant Standby Generators [WSA4a]</t>
  </si>
  <si>
    <t>Water Pump Stations [WSA5]</t>
  </si>
  <si>
    <t>Water Pump Stations Standby Generators [WSA5a]</t>
  </si>
  <si>
    <t>Water Supply Reservoirs [WSA6]</t>
  </si>
  <si>
    <t>Water Stored in Reservoirs [WSA7]</t>
  </si>
  <si>
    <t>Capacity of Water Storage Reservoirs [WSA8]</t>
  </si>
  <si>
    <t>Properties with Water Meters - Residential [WSA9a]</t>
  </si>
  <si>
    <t>Properties with Water Meters - Non-Residential  [WSA9b]</t>
  </si>
  <si>
    <t>Properties with Water Restrictors [WSA10]</t>
  </si>
  <si>
    <t>Water Treatment Sludge Production [WSA11]</t>
  </si>
  <si>
    <t>Above ground asset condition assessment programme [WSA13a]</t>
  </si>
  <si>
    <t>Protocol used for above ground condition assessments [WSA13b]</t>
  </si>
  <si>
    <t>Percent of above ground assets assessed within 3 years [WSA13c]</t>
  </si>
  <si>
    <t>Estimated total network water loss [WSE1a]</t>
  </si>
  <si>
    <t>Percentage Estimated Total Network Water Loss [WSE1b]</t>
  </si>
  <si>
    <t>CARL (current annual real loss) [WSE1c]</t>
  </si>
  <si>
    <t>CARL (current annual real loss) [WSE1d]</t>
  </si>
  <si>
    <t>CARL (current annual real loss) [WSE1e]</t>
  </si>
  <si>
    <t>UARL (unavoidable annual real loss) [WSE1f]</t>
  </si>
  <si>
    <t>UARL (unavoidable annual real loss) [WSE1g]</t>
  </si>
  <si>
    <t>ILI ( infrastructure leakage index (=CARL/UARL) [WSE1h]</t>
  </si>
  <si>
    <t>Average system pressure [WSE2]</t>
  </si>
  <si>
    <t>Energy Consumption: Water Supply [WSE3]</t>
  </si>
  <si>
    <t>Energy Intensity: Water Supply [WSE3a]</t>
  </si>
  <si>
    <t>Unplanned Total Interruptions: Water Supply [WSS1]</t>
  </si>
  <si>
    <t>Unplanned Interruption Frequency: Water Supply [WSS2]</t>
  </si>
  <si>
    <t>Planned Interruptions: Water Supply [WSS3]</t>
  </si>
  <si>
    <t>Third Party Incidents: Water Supply [WSS4]</t>
  </si>
  <si>
    <t>Drinking water clarity complaints [WSS5a]</t>
  </si>
  <si>
    <t>Drinking water taste complaints [WSS5b]</t>
  </si>
  <si>
    <t>Drinking water odour complaints [WSS5c]</t>
  </si>
  <si>
    <t>Drinking water pressure or flow complaints [WSS5d]</t>
  </si>
  <si>
    <t>Continuity of water supply complaints [WSS5e]</t>
  </si>
  <si>
    <t>Number of different water charging regimes [WSS7]</t>
  </si>
  <si>
    <t>Fixed Charge: Non-residential water [WSS7a]</t>
  </si>
  <si>
    <t>Fixed Charge Type: Non-residential water [WSS7b]</t>
  </si>
  <si>
    <t>Volumetric Charge: Non-residential water [WSS7c]</t>
  </si>
  <si>
    <t>Fixed Charge: Residential water [WSS8a]</t>
  </si>
  <si>
    <t>Fixed Charge Type: Residential water [WSS8b]</t>
  </si>
  <si>
    <t>Volumetric Charge: Residential water [WSS8c]</t>
  </si>
  <si>
    <t>Average Residential Water Charge Based on 200 m3/yr  [WSS9]</t>
  </si>
  <si>
    <t>Attendance for urgent water supply fault call-outs [WSS10a]</t>
  </si>
  <si>
    <t>Resolution for urgent water supply fault call-outs [WSS10b]</t>
  </si>
  <si>
    <t>Attendance for non-urgent water supply fault call-outs [WSS10c]</t>
  </si>
  <si>
    <t>Resolution for non-urgent water supply fault call-outs [WSS10d]</t>
  </si>
  <si>
    <t>Water restriction days [WSS11]</t>
  </si>
  <si>
    <t>Boiled water notices [WSS12]</t>
  </si>
  <si>
    <t>Fire hydrants tested in the previous five years [WSS12a]</t>
  </si>
  <si>
    <t>Non-compliant fire hydrants [WSS12b]</t>
  </si>
  <si>
    <t>Revenue from Supply of Water to Other Local Authorities [WSF1]</t>
  </si>
  <si>
    <t>Operating Revenue: Water Supply [WSF2]</t>
  </si>
  <si>
    <t>Development Contribution Revenue: Water Supply [WSF3]</t>
  </si>
  <si>
    <t>Total Revenue: Water Supply [WSF4]</t>
  </si>
  <si>
    <t>Revenue per Property: Water Supply [WSF5]</t>
  </si>
  <si>
    <t>Debt funding: Water Supply [WSF6]</t>
  </si>
  <si>
    <t>Energy Costs: Water Supply [WSF7]</t>
  </si>
  <si>
    <t>Chemicals and Consumables: Water Supply [WSF8]</t>
  </si>
  <si>
    <t>Routine maintenance: Water Supply [WSF9a]</t>
  </si>
  <si>
    <t>Reactive maintenance: Water Supply [WSF9b]</t>
  </si>
  <si>
    <t>Management Costs: Water Supply [WSF10]</t>
  </si>
  <si>
    <t>Operating Cost: Water Supply [WSF12]</t>
  </si>
  <si>
    <t>Operating Cost per Property: Water Supply [WSF13]</t>
  </si>
  <si>
    <t>Annual Depreciation: Water Supply [WSF14]</t>
  </si>
  <si>
    <t>Interest: Water Supply [WSF15a]</t>
  </si>
  <si>
    <t>Debt affordability: Water Supply [WSF15b]</t>
  </si>
  <si>
    <t>Operational Cost Coverage: Water Supply [WSF16]</t>
  </si>
  <si>
    <t>Total Cost: Water Supply [WSF17]</t>
  </si>
  <si>
    <t>Total Cost per Property: Water Supply [WSF18]</t>
  </si>
  <si>
    <t>Budgeted Capital Expenditure: Water Supply [WSF19]</t>
  </si>
  <si>
    <t>Budgeted capital to meet additional demand [WSF19a]</t>
  </si>
  <si>
    <t>Budgeted capital to improve the level of service [WSF19b]</t>
  </si>
  <si>
    <t>Budgeted capital to replace existing assets [WSF19c]</t>
  </si>
  <si>
    <t>Actual Capital Expenditure: Water Supply [WSF20]</t>
  </si>
  <si>
    <t>Actual capital to meet additional demand [WSF20a]</t>
  </si>
  <si>
    <t>Actual capital to improve the level of service [WSF20b]</t>
  </si>
  <si>
    <t>Actual capital to replace existing assets [WSF20c]</t>
  </si>
  <si>
    <t>Actual Capital Expenditure per Property: Water Supply [WSF21]</t>
  </si>
  <si>
    <t>Development Contributions: Water Supply assets [WSF22]</t>
  </si>
  <si>
    <t>Water treatment facility value at end of reporting year [WSF23a]</t>
  </si>
  <si>
    <t>Other water supply asset value [WSF23b]</t>
  </si>
  <si>
    <t>Decline in Service Potential: Water Supply [WSF24]</t>
  </si>
  <si>
    <t>External Grants: Water Supply [WSF25]</t>
  </si>
  <si>
    <t>Wastewater Serviced Population [WWB1a]</t>
  </si>
  <si>
    <t>Wastewater Service Coverage [WWB1b ]</t>
  </si>
  <si>
    <t>Wastewater Serviced Properties: Residential [WWB2]</t>
  </si>
  <si>
    <t>Wastewater Serviced Properties: Non-residential [WWB3]</t>
  </si>
  <si>
    <t>Total Wastewater Serviced Properties [WWB4]</t>
  </si>
  <si>
    <t>Total Wastewater Produced [WWB7]</t>
  </si>
  <si>
    <t>Total Length of Public Wastewater Network [WWA1a]</t>
  </si>
  <si>
    <t>Length of wastewater mains renewed using internal CAPEX [WWA1b]</t>
  </si>
  <si>
    <t>Length of new wastewater mains constructed using internal CAPEX [WWA1c]</t>
  </si>
  <si>
    <t>Condition Grade 1: Wastewater pipelines [WWA2a]</t>
  </si>
  <si>
    <t>Condition Grade 2: Wastewater pipelines [WWA2b]</t>
  </si>
  <si>
    <t>Condition Grade 3: Wastewater pipelines [WWA2c]</t>
  </si>
  <si>
    <t>Condition Grade 4: Wastewater pipelines [WWA2d]</t>
  </si>
  <si>
    <t>Condition Grade 5: Wastewater pipelines [WWA2e]</t>
  </si>
  <si>
    <t>Not assessed: Wastewater pipelines [WWA2f]</t>
  </si>
  <si>
    <t>Pipeline Condition Assessment Approach [WWA2g]</t>
  </si>
  <si>
    <t>Average Age of Wastewater Pipelines [WWA3]</t>
  </si>
  <si>
    <t>Wastewater CCTV inspection [WWA4]</t>
  </si>
  <si>
    <t>Wastewater Pump Stations [WWA5]</t>
  </si>
  <si>
    <t>Wastewater Pump Stations Standby Generators [WWA5a]</t>
  </si>
  <si>
    <t>Above ground asset condition assessment programme [WWA6]</t>
  </si>
  <si>
    <t>Protocol used for above ground condition assessments [WWA6a]</t>
  </si>
  <si>
    <t>Percent of above ground assets assessed within 3 years [WWA6b]</t>
  </si>
  <si>
    <t>Number of wastewater treatment plants [WWA7]</t>
  </si>
  <si>
    <t>Wastewater treatment plant name [WWA7a]</t>
  </si>
  <si>
    <t>Volume of wastewater treated at treatment plant [WWA7d]</t>
  </si>
  <si>
    <t>Proportion of trade waste at treatment plant [WWA7f]</t>
  </si>
  <si>
    <t>Treatment Plant effluent resource consent expiry date [WWA7h]</t>
  </si>
  <si>
    <t>Treatment plant effluent consent status [WWA7i]</t>
  </si>
  <si>
    <t>Disposal of wastewater sludge in year to landfill [WWA7k-2]</t>
  </si>
  <si>
    <t>Disposal of wastewater sludge in year to composting and reuse [WWA7k-3]</t>
  </si>
  <si>
    <t>Disposal of wastewater sludge in year to other routes [WWA7k-4]</t>
  </si>
  <si>
    <t>Total Length of Combined Wastewater and Stormwater Pipelines [WWA8]</t>
  </si>
  <si>
    <t>Dry Weather Wastewater Overflows [WWE1]</t>
  </si>
  <si>
    <t>Overflows caused by blockages [WWE1a]</t>
  </si>
  <si>
    <t>Total Wastewater Overflows  [WWE3]</t>
  </si>
  <si>
    <t>Overflows recorded through verbal reports [WWE9a]</t>
  </si>
  <si>
    <t>Overflows recorded through SCADA monitoring [WWE9b]</t>
  </si>
  <si>
    <t>Wastewater consent abatement notices [WWE4a]</t>
  </si>
  <si>
    <t>Wastewater consent infringement notices [WWE4b]</t>
  </si>
  <si>
    <t>Wastewater consent enforcement orders [WWE4c]</t>
  </si>
  <si>
    <t>Wastewater consent successful prosecutions [WWE4d]</t>
  </si>
  <si>
    <t>Energy Consumption: Wastewater [WWE5a]</t>
  </si>
  <si>
    <t>Energy Intensity: Wastewater [WWE5b]</t>
  </si>
  <si>
    <t>Trade Waste Management [WWE6]</t>
  </si>
  <si>
    <t>Fixed Charge: Non residential wastewater [WWS1a]</t>
  </si>
  <si>
    <t>Fixed  Charge Type: Non residential wastewater [WWS1b]</t>
  </si>
  <si>
    <t>Volumetric Charge: Non residential wastewater [WWS1c]</t>
  </si>
  <si>
    <t>Contaminant Based Charging [WWS1d]</t>
  </si>
  <si>
    <t>Fixed Charge: Residential wastewater [WWS2a]</t>
  </si>
  <si>
    <t>Fixed Charge Type: Residential wastewater [WWS2b]</t>
  </si>
  <si>
    <t>Volumetric Charge: Residential wastewater [WWS2c]</t>
  </si>
  <si>
    <t>Average Annual Residential Wastewater Charge Based on 200 m3/yr  [WWS3]</t>
  </si>
  <si>
    <t>Wastewater complaints [WWS4]</t>
  </si>
  <si>
    <t>Sewage odour complaints [WWS4a]</t>
  </si>
  <si>
    <t>Sewerage system fault complaints [WWS4b]</t>
  </si>
  <si>
    <t>Sewerage system blockage complaints [WWS4c]</t>
  </si>
  <si>
    <t>Wastewater complaints frequency [WWS5]</t>
  </si>
  <si>
    <t>Revenue from the Provision of Wastewater Treatment Services to Another Local Authority [WWF1]</t>
  </si>
  <si>
    <t>Operating Revenue: Wastewater [WWF2]</t>
  </si>
  <si>
    <t>Development Contribution Revenue: Wastewater [WWF3]</t>
  </si>
  <si>
    <t>Total Revenue: Wastewater [WWF4]</t>
  </si>
  <si>
    <t>Revenue per Property: Wastewater [WWF5]</t>
  </si>
  <si>
    <t>Debt funding: Wastewater [WWF6]</t>
  </si>
  <si>
    <t>Energy Costs: Wastewater [WWF7]</t>
  </si>
  <si>
    <t>Sludge Disposal Costs: Wastewater [WWF8]</t>
  </si>
  <si>
    <t>Management Costs: Wastewater [WWF11]</t>
  </si>
  <si>
    <t>Operating Cost: Wastewater [WWF13]</t>
  </si>
  <si>
    <t>Operating Cost per Property: Wastewater [WWF14]</t>
  </si>
  <si>
    <t>Annual Depreciation: Wastewater [WWF15]</t>
  </si>
  <si>
    <t>Interest: Wastewater [WWF16a]</t>
  </si>
  <si>
    <t>Debt affordability: Wastewater [WWF16b]</t>
  </si>
  <si>
    <t>Operational Cost Coverage: Wastewater [WWF17]</t>
  </si>
  <si>
    <t>Total Cost: Wastewater [WWF18]</t>
  </si>
  <si>
    <t>Total Cost per Property: Wastewater [WWF19]</t>
  </si>
  <si>
    <t>Budgeted Capital Expenditure: Wastewater [WWF20]</t>
  </si>
  <si>
    <t>Budgeted capital to meet additional demand [WWF20a]</t>
  </si>
  <si>
    <t>Budgeted capital to improve the level of service [WWF20b]</t>
  </si>
  <si>
    <t>Budgeted capital to replace existing assets [WWF20c]</t>
  </si>
  <si>
    <t>Actual Capital Expenditure: Wastewater [WWF21]</t>
  </si>
  <si>
    <t>Actual capital to meet additional demand [WWF21a]</t>
  </si>
  <si>
    <t>Actual capital to improve the level of service [WWF21b]</t>
  </si>
  <si>
    <t>Actual capital to replace existing assets [WWF21c]</t>
  </si>
  <si>
    <t>Actual Capital Expenditure per Property: Wastewater [WWF22]</t>
  </si>
  <si>
    <t>Development Contributions: Wastewater assets [WWF23]</t>
  </si>
  <si>
    <t>Wastewater facility value at end of reporting year [WWF24a]</t>
  </si>
  <si>
    <t>Other wastewater asset value [WWF24b]</t>
  </si>
  <si>
    <t>Decline in Service Potential: Wastewater [WWF25]</t>
  </si>
  <si>
    <t>External Grants: Wastewater [WWF26]</t>
  </si>
  <si>
    <t>Wastewater fault attendance time [WWS6a]</t>
  </si>
  <si>
    <t>Wastewater fault resolution time [WWS6b]</t>
  </si>
  <si>
    <t>Wastewater fault attendance time</t>
  </si>
  <si>
    <t>Wastewater fault resolution time</t>
  </si>
  <si>
    <t>Stats NZ</t>
  </si>
  <si>
    <t>Acronym</t>
  </si>
  <si>
    <t>Total Area (km2)</t>
  </si>
  <si>
    <t>Population</t>
  </si>
  <si>
    <t>Residential Properties</t>
  </si>
  <si>
    <t>Common</t>
  </si>
  <si>
    <t>Water</t>
  </si>
  <si>
    <t>Less Reliable</t>
  </si>
  <si>
    <t>Uncertain</t>
  </si>
  <si>
    <t>Very uncertain</t>
  </si>
  <si>
    <r>
      <t>km</t>
    </r>
    <r>
      <rPr>
        <vertAlign val="superscript"/>
        <sz val="11"/>
        <color theme="1"/>
        <rFont val="Calibri"/>
        <family val="2"/>
        <scheme val="minor"/>
      </rPr>
      <t>2</t>
    </r>
  </si>
  <si>
    <r>
      <t>m</t>
    </r>
    <r>
      <rPr>
        <vertAlign val="superscript"/>
        <sz val="11"/>
        <color theme="1"/>
        <rFont val="Calibri"/>
        <family val="2"/>
        <scheme val="minor"/>
      </rPr>
      <t>3</t>
    </r>
    <r>
      <rPr>
        <sz val="11"/>
        <color theme="1"/>
        <rFont val="Calibri"/>
        <family val="2"/>
        <scheme val="minor"/>
      </rPr>
      <t>/year</t>
    </r>
  </si>
  <si>
    <t>Pipeline condition grading approaches</t>
  </si>
  <si>
    <t>New Zealand Infrastructure Asset Grading Guidelines</t>
  </si>
  <si>
    <t>NAMS International Infrastructure Management Manual</t>
  </si>
  <si>
    <t>IPWEA Practice Note 7: Water Supply and Sewerage</t>
  </si>
  <si>
    <t>IPWEA Condition Assesment and Asset Performance Guidelines</t>
  </si>
  <si>
    <t>Informal</t>
  </si>
  <si>
    <t>Inhouse</t>
  </si>
  <si>
    <t>Other (please specify in comments field)</t>
  </si>
  <si>
    <t>Yes</t>
  </si>
  <si>
    <t>Visual Assesment Manual for Utility Assets</t>
  </si>
  <si>
    <t>IPWEA Condition Assessment and Asset Performance Guidelines</t>
  </si>
  <si>
    <t>Above ground condition assessment</t>
  </si>
  <si>
    <t>Water Supply Complaints Frequency</t>
  </si>
  <si>
    <t>Water Supply Complaints</t>
  </si>
  <si>
    <t>General rate</t>
  </si>
  <si>
    <t>Uniform Annual general charge</t>
  </si>
  <si>
    <t>Other (include detail in comments field)</t>
  </si>
  <si>
    <t>Charge type</t>
  </si>
  <si>
    <t>Plant 1</t>
  </si>
  <si>
    <t>Lodged</t>
  </si>
  <si>
    <t>Hearing</t>
  </si>
  <si>
    <t>Appeal</t>
  </si>
  <si>
    <t>Consent status</t>
  </si>
  <si>
    <t>Disposal of wastewater sludge in year to on site stockpile</t>
  </si>
  <si>
    <t>Wastewater Exported for Treatment</t>
  </si>
  <si>
    <t>Wastewater Imported for Treatment</t>
  </si>
  <si>
    <t>Treatment plant peak wet to average dry weather flow ratio</t>
  </si>
  <si>
    <t>WWE2a</t>
  </si>
  <si>
    <t>WWE2b</t>
  </si>
  <si>
    <t>Wet weather overflows from the wastewater network</t>
  </si>
  <si>
    <t>Wet weather overflows from combined stormwater and wastewater networks</t>
  </si>
  <si>
    <t>Overflows calculated through hydraulic models</t>
  </si>
  <si>
    <t>Overflows calculated through calibrated hydraulic models</t>
  </si>
  <si>
    <t>Individual tradewaste consent</t>
  </si>
  <si>
    <t>None</t>
  </si>
  <si>
    <t>Tradewaste approach</t>
  </si>
  <si>
    <t>Yes (include individual contaminants in comments)</t>
  </si>
  <si>
    <t>Routine Maintenance: Wastewater</t>
  </si>
  <si>
    <t>Reactive Maintenance: Wastewater</t>
  </si>
  <si>
    <t>Number of stormwater discharges with resource consents</t>
  </si>
  <si>
    <t>Quality</t>
  </si>
  <si>
    <t xml:space="preserve">Routine maintenance: Stormwater </t>
  </si>
  <si>
    <t xml:space="preserve">Reactive maintenance: Stormwater </t>
  </si>
  <si>
    <t>Audit Comments</t>
  </si>
  <si>
    <t>Audit Response</t>
  </si>
  <si>
    <t>Water Supply</t>
  </si>
  <si>
    <t>Highly reliable</t>
  </si>
  <si>
    <t>Reliable</t>
  </si>
  <si>
    <t>Water Supply Complaints [WSS5]</t>
  </si>
  <si>
    <t>Water Supply Complaints Frequency [WSS6]</t>
  </si>
  <si>
    <t>Wastewater Imported for Treatment [WWB6]</t>
  </si>
  <si>
    <t>Disposal of wastewater sludge in year to on site stockpile [WWA7k-1]</t>
  </si>
  <si>
    <t>Treatment Plant backup generators [WWA7l]</t>
  </si>
  <si>
    <t>Treatment plant peak wet to average dry weather flow ratio [WWA7m]</t>
  </si>
  <si>
    <t>Wet weather overflows from the wastewater network [WWE2a]</t>
  </si>
  <si>
    <t>Wet weather overflows from combined stormwater and wastewater networks [WWE2b]</t>
  </si>
  <si>
    <t>Overflows calculated through hydraulic models [WWE9c]</t>
  </si>
  <si>
    <t>Overflows calculated through calibrated hydraulic models [WWE9d]</t>
  </si>
  <si>
    <t>Routine Maintenance: Wastewater [WWF9]</t>
  </si>
  <si>
    <t>Reactive Maintenance: Wastewater [WWF10]</t>
  </si>
  <si>
    <t>Number of stormwater discharges with resource consents [SWE1b]</t>
  </si>
  <si>
    <t>Routine maintenance: Stormwater  [SWF6a]</t>
  </si>
  <si>
    <t>Reactive maintenance: Stormwater  [SWF6b]</t>
  </si>
  <si>
    <t>hours/year</t>
  </si>
  <si>
    <t>CB16</t>
  </si>
  <si>
    <t>CB15a</t>
  </si>
  <si>
    <t>CB15b</t>
  </si>
  <si>
    <t>CB15c</t>
  </si>
  <si>
    <t>CB15d</t>
  </si>
  <si>
    <t>WSS14</t>
  </si>
  <si>
    <t>WSS15</t>
  </si>
  <si>
    <t>Source water zone management</t>
  </si>
  <si>
    <t>Source water monitoring</t>
  </si>
  <si>
    <t>Daily</t>
  </si>
  <si>
    <t>Weekly</t>
  </si>
  <si>
    <t>Monthly</t>
  </si>
  <si>
    <t>Event based</t>
  </si>
  <si>
    <t>Annually</t>
  </si>
  <si>
    <t>Never</t>
  </si>
  <si>
    <t>Source water zone identified for all water treatment plants</t>
  </si>
  <si>
    <t>Source water zone identified for some water treatment plants</t>
  </si>
  <si>
    <t>Source water zone of treatment plants unknown</t>
  </si>
  <si>
    <t>Unplanned Total Interruptions: Wastewater</t>
  </si>
  <si>
    <t>Unplanned Interruption Frequency: Wastewater</t>
  </si>
  <si>
    <t>WWE3a</t>
  </si>
  <si>
    <t>WSB9</t>
  </si>
  <si>
    <t>Water Demand Forecasting</t>
  </si>
  <si>
    <t>WWA7k-5</t>
  </si>
  <si>
    <t>Last year desludged</t>
  </si>
  <si>
    <t>year</t>
  </si>
  <si>
    <t>Wastewater overflows on private properties</t>
  </si>
  <si>
    <t>Staff with a NZ Diploma</t>
  </si>
  <si>
    <t>Staff with a NZ Certificate</t>
  </si>
  <si>
    <t>WWS7b</t>
  </si>
  <si>
    <t>WWS7a</t>
  </si>
  <si>
    <t>WWS7c</t>
  </si>
  <si>
    <t>L/connection/day</t>
  </si>
  <si>
    <t>Overflows caused by plant failures</t>
  </si>
  <si>
    <t>WSB5a</t>
  </si>
  <si>
    <t>WSB5b</t>
  </si>
  <si>
    <t>Water imported from other authorities</t>
  </si>
  <si>
    <t>Water exported to other authorities</t>
  </si>
  <si>
    <t>WWA7g</t>
  </si>
  <si>
    <t>Number of consents at each treatment plant</t>
  </si>
  <si>
    <t>WWE4e</t>
  </si>
  <si>
    <t>Wastewater network discharge non-conformance</t>
  </si>
  <si>
    <t>Wastewater treatment plant consent non-conformance</t>
  </si>
  <si>
    <t>Stormwater consent non-conformance</t>
  </si>
  <si>
    <t>WWE4f</t>
  </si>
  <si>
    <t>WWE4g</t>
  </si>
  <si>
    <t>SWE2e</t>
  </si>
  <si>
    <t>SWS5c</t>
  </si>
  <si>
    <t>SWS5d</t>
  </si>
  <si>
    <t>Number of habitable floors affected by storms exceeding stormwater capacity</t>
  </si>
  <si>
    <t>Flooding events resulting from storms exceeding stormwater capacity</t>
  </si>
  <si>
    <t>Flooding events resulting from other causes</t>
  </si>
  <si>
    <t>Council Contract Management Costs : Water Supply</t>
  </si>
  <si>
    <t>Council Contract Management Costs: Stormwater</t>
  </si>
  <si>
    <t xml:space="preserve">Councils Contract Management Costs: Wastewater </t>
  </si>
  <si>
    <t>Common Data:</t>
  </si>
  <si>
    <t>INSTRUCTIONS</t>
  </si>
  <si>
    <t>Data confidence values are required wherever a drop down boxes appears in the ‘Data Confidence’ column. Definitions for the data confidence fields are below.</t>
  </si>
  <si>
    <t>Highly reliable/ Audited</t>
  </si>
  <si>
    <t>Reliable/ Verified</t>
  </si>
  <si>
    <t xml:space="preserve">Strong process to collect data.  May not be fully documented but usually undertaken by most staff. </t>
  </si>
  <si>
    <t>Process to collect data established.  May not be fully documented but usually undertaken by most staff.</t>
  </si>
  <si>
    <t>Semi formal process usually followed. Poor documentation.  Process to collect data followed about half the time.</t>
  </si>
  <si>
    <t>Ad hoc procedures to collect data.  Minimal or no process documentation.  Process followed occasionally.</t>
  </si>
  <si>
    <t>Very high level of data confidence.  Data is believed to be 95-100% complete and + or - 5% accurate. Regular data audits verify high level of accuracy in data received.</t>
  </si>
  <si>
    <t xml:space="preserve">Good level of data confidence.  Data is believed to be 80-95% complete and + or - 10% to15% accurate. Some minor data extrapolation or assumptions has been applied.  Occasional data audits verify reasonable level of confidence. </t>
  </si>
  <si>
    <t xml:space="preserve">Not sure of data confidence, or data confidence is good for some data, but most of dataset is based on extrapolation of incomplete data set with unsupported assumptions.  </t>
  </si>
  <si>
    <t xml:space="preserve">Very low data confidence. Data based on very large unsupported assumptions, cursory inspection and analysis.  Data may have been developed by extrapolation from small, unverified data sets. </t>
  </si>
  <si>
    <t xml:space="preserve">Formal process for collecting and analysing data.  Process is documented and always followed by all staff.  </t>
  </si>
  <si>
    <t xml:space="preserve">Average level of data confidence.  Data is believed to be 50-80% complete and + or - 15 to 20% accurate.  Some  data extrapolation has been applied based on supported assumptions.  Occasional data audits verify reasonable level of confidence. </t>
  </si>
  <si>
    <t>Processes</t>
  </si>
  <si>
    <t>Asset Data</t>
  </si>
  <si>
    <t>Where data is sourced from (e.g. Asset Management System, Water Balance Report etc). Populating will streamline data checks and assist with future years reporting however this fields is not mandatory.</t>
  </si>
  <si>
    <t>Who provided the data. Populating will streamline data checks and assist with future years reporting however this fields is not mandatory.</t>
  </si>
  <si>
    <t xml:space="preserve">An optional field to note any relevant info e.g. reasons data deviates from previous years, deviations from standard data definitions, or reasons data is not provided. </t>
  </si>
  <si>
    <t>A pre-populated units field. Do not list units in the ‘Data’ field. If units other than those specified are provided indicate this in the ‘Comments’ column.</t>
  </si>
  <si>
    <t>Statistics New Zealand</t>
  </si>
  <si>
    <t>Staff with a NZ Diploma [CB15c]</t>
  </si>
  <si>
    <t>Staff with a NZ Certificate [CB15b]</t>
  </si>
  <si>
    <t>Water imported from other authorities [WSB5a]</t>
  </si>
  <si>
    <t>Water exported to other authorities [WSB5b]</t>
  </si>
  <si>
    <t>Water Demand Forecasting [WSB9]</t>
  </si>
  <si>
    <t>Source water zone management [WSS14]</t>
  </si>
  <si>
    <t>Source water monitoring [WSS15]</t>
  </si>
  <si>
    <t>Council Contract Management Costs : Water Supply [WSF11]</t>
  </si>
  <si>
    <t>Wastewater Exported for Treatment [WWB5]</t>
  </si>
  <si>
    <t>Number of consents at each treatment plant [WWA7g]</t>
  </si>
  <si>
    <t>Last year desludged [WWA7k-5]</t>
  </si>
  <si>
    <t>Overflows caused by plant failures [WWE1b]</t>
  </si>
  <si>
    <t>Wastewater overflows on private properties [WWE3a]</t>
  </si>
  <si>
    <t>Wastewater treatment plant consent non-conformance [WWE4e]</t>
  </si>
  <si>
    <t>Wastewater network discharge non-conformance [WWE4f]</t>
  </si>
  <si>
    <t>Unplanned Total Interruptions: Wastewater [WWS7a]</t>
  </si>
  <si>
    <t>Councils Contract Management Costs: Wastewater  [WWF12]</t>
  </si>
  <si>
    <t>Stormwater consent non-conformance [SWE2e]</t>
  </si>
  <si>
    <t>Flooding events resulting from storms exceeding stormwater capacity [SWS5]</t>
  </si>
  <si>
    <t>Number of habitable floors affected by storms exceeding stormwater capacity [SWS5a]</t>
  </si>
  <si>
    <t>Flooding events resulting from other causes [SWS5c]</t>
  </si>
  <si>
    <t>Council Contract Management Costs: Stormwater [SWF8]</t>
  </si>
  <si>
    <t>Third party Incidents: Wastewater</t>
  </si>
  <si>
    <t>Third party Incidents: Wastewater [WWS7b]</t>
  </si>
  <si>
    <t>Number of habitable floors affected by flooding from other causes</t>
  </si>
  <si>
    <t>Number of habitable floors affected by flooding from other causes [SWS5d]</t>
  </si>
  <si>
    <t>Actual Versus Budgeted Expenditure [(WSF20+WWF21+SWF17)/WSF19+WWF20+SWF16)]</t>
  </si>
  <si>
    <t>Balanced Budget [(WSF1+WSF2)/(WSF12+WSF15a)]</t>
  </si>
  <si>
    <t>Balanced Budget [(WWF1+WWF2)/(WWF13+WWF16a)]</t>
  </si>
  <si>
    <t>Balanced Budget [SWF1/(SWF9+SWF12a)]</t>
  </si>
  <si>
    <t>Contracted staff per 1000 serviced properties [CB11/(WSB4+WWB4)]</t>
  </si>
  <si>
    <t>Days of treated water stored in resevoirs on average [WSA7/(WSB5/365)]</t>
  </si>
  <si>
    <t>Debt servicing [SWF12a/SWF1]</t>
  </si>
  <si>
    <t>Debt servicing [WSF15a/(WSF1 + WSF2)]</t>
  </si>
  <si>
    <t>Debt servicing [WWF16a/(WWF1 + WWF2)]</t>
  </si>
  <si>
    <t>Dry Weather Wastewater Overflows per 1000 connections [WWE1/WWB4]</t>
  </si>
  <si>
    <t>Internal staff per 1000 serviced properties [CB10/(WSB4+WWB4)]</t>
  </si>
  <si>
    <t>Lost time injuries per staff member (internal and contracted) [CB13/(CB10+CB11)]</t>
  </si>
  <si>
    <t>Near miss reports per staff member (internal and contracted) [CB12/(CB10+CB11)]</t>
  </si>
  <si>
    <t>Percentage of nonresidential connections with meters [WSA9b/WSB3]</t>
  </si>
  <si>
    <t>Percentage of residential connections with meters [WSA9a/WSB2]</t>
  </si>
  <si>
    <t>Resevoir average level [WSA7/WSA8]</t>
  </si>
  <si>
    <t>Total Revenue [WSF4+WWF4+SWF3]</t>
  </si>
  <si>
    <t>Vacancies per 1000 serviced properties [CB10a/(WSB4+WWB4)]</t>
  </si>
  <si>
    <t xml:space="preserve">Volumetric Charge for 200m3 </t>
  </si>
  <si>
    <t>Wastewater connection density [WWB4/WWA1a]</t>
  </si>
  <si>
    <t>Wastewater Pump Stations without backup generators [WWA5-WWA5a]</t>
  </si>
  <si>
    <t>Wastewater Treatment Plants  without backup generators [WWA7a -WWA7l]</t>
  </si>
  <si>
    <t>Water Supply Connection Density [WSB4/WSA1a]</t>
  </si>
  <si>
    <t>Water Treatment Plants without backup generators [WSA4-WSA4a]</t>
  </si>
  <si>
    <t>Wet Weather Wastewater Overflows per 1000 connections [WWE2a/WWB4]</t>
  </si>
  <si>
    <t>Water capital expenditure versus depreciation [WSF20/WSF14]</t>
  </si>
  <si>
    <t>Wastewater capital expenditure versus depreciation [WWF21/WWF15]</t>
  </si>
  <si>
    <t>Stormwater capital expenditure versus depreciation [SWF17/SWF11]</t>
  </si>
  <si>
    <t>Water and wastewater properties serviced [WSB4+WWB4]</t>
  </si>
  <si>
    <t>Fixed Charge: Residential water [WSS8a;MAX]</t>
  </si>
  <si>
    <t>Fixed Charge: Residential water [WSS8a;MIN]</t>
  </si>
  <si>
    <t>Average Residential Water Charge Based on 200 m3/yr [WSS9;MAX]</t>
  </si>
  <si>
    <t>Average Residential Water Charge Based on 200 m3/yr [WSS9a;MIN]</t>
  </si>
  <si>
    <t>Peak wet to average dry weather ratio [WWA7m;MAX]</t>
  </si>
  <si>
    <t>Peak wet to average dry weather ratio [WWA7m;MIN]</t>
  </si>
  <si>
    <t>Wastewater maintenance [WWF9+WWF10]</t>
  </si>
  <si>
    <t>Total CAPEX [SWF17, WWF21, WSF20]</t>
  </si>
  <si>
    <t>Total asset value (WWF24b, WSF23b, SWF20, WWF24a, WSF23a)</t>
  </si>
  <si>
    <t>Developer Contributions (WSS22,WWF23,SWF19)</t>
  </si>
  <si>
    <t>Reactive vs Routine Water Supply OPEX (WSF9b/WSF9a)</t>
  </si>
  <si>
    <t>Reactive vs Routine Wastewater OPEX (WWF10/WWF9)</t>
  </si>
  <si>
    <t>Reactive vs Routine Stormwater OPEX (WWF10/WWF9)</t>
  </si>
  <si>
    <t>Weighted inflow infiltration</t>
  </si>
  <si>
    <t>Water Pump Stations without backup generators [WSA5-WSA5a]</t>
  </si>
  <si>
    <t>A pre-populated data code, used to align collected information with reporting and definition guidelines</t>
  </si>
  <si>
    <t>A pre-populated measure name used to refer to the data point</t>
  </si>
  <si>
    <t>Staff with completed apprenticeships</t>
  </si>
  <si>
    <t>Continuing professional development enrolments</t>
  </si>
  <si>
    <t>Staff with completed apprenticeships [CB15d]</t>
  </si>
  <si>
    <t>Continuing professional development enrolments [CB16]</t>
  </si>
  <si>
    <t>Other (list in comments column)</t>
  </si>
  <si>
    <t>For those who provided data in 2018/19 previous years values will be provided here as a reference. This data cannot be retrospectively updated.</t>
  </si>
  <si>
    <t>SCADA/telemetry monitoring</t>
  </si>
  <si>
    <t>SCADA/telemetry controls</t>
  </si>
  <si>
    <t>Analogue SCADA/telemetry</t>
  </si>
  <si>
    <t>Digital SCADA/telemetry</t>
  </si>
  <si>
    <t>WWA7j-1</t>
  </si>
  <si>
    <t>WWA7j-2</t>
  </si>
  <si>
    <t>tonne/year</t>
  </si>
  <si>
    <t>Treatment Plant sludge production of wet sludge/biosolids</t>
  </si>
  <si>
    <t>WWE5c</t>
  </si>
  <si>
    <t>Percentage of dry solids in wastewater sludge/biosolids</t>
  </si>
  <si>
    <t>SWE5</t>
  </si>
  <si>
    <t>WSE4</t>
  </si>
  <si>
    <t>Energy Generation: Water Supply</t>
  </si>
  <si>
    <t>WWE4h</t>
  </si>
  <si>
    <t>WWE4i</t>
  </si>
  <si>
    <t>Wastewater consent letter of direction</t>
  </si>
  <si>
    <t>Wastewater consent formal warming</t>
  </si>
  <si>
    <t>SWE2f</t>
  </si>
  <si>
    <t>SWE2g</t>
  </si>
  <si>
    <t>Stormwater consent formal warning</t>
  </si>
  <si>
    <t>Stormwater consent letters of direction</t>
  </si>
  <si>
    <t>WSS5f</t>
  </si>
  <si>
    <t>The authorities response to any of these issues</t>
  </si>
  <si>
    <t>WWS4d</t>
  </si>
  <si>
    <t>The authority’s response to issues with its sewerage system</t>
  </si>
  <si>
    <t>Staff training hours</t>
  </si>
  <si>
    <t>CB14a</t>
  </si>
  <si>
    <t>CB14b</t>
  </si>
  <si>
    <t>Staff training enrolments</t>
  </si>
  <si>
    <t>Staff with a relevant Bachelors degree</t>
  </si>
  <si>
    <t>NZS4404</t>
  </si>
  <si>
    <t>Internal code of practice</t>
  </si>
  <si>
    <t>Other (specify in comments)</t>
  </si>
  <si>
    <t>Permitted activity under regional plan</t>
  </si>
  <si>
    <t>Treated as emergency discharge</t>
  </si>
  <si>
    <t>Wet weather overflow regulation approach</t>
  </si>
  <si>
    <t>Resource consent held for wet weather discharges</t>
  </si>
  <si>
    <t>No regulatory approach</t>
  </si>
  <si>
    <t>Staff training hours [CB14a]</t>
  </si>
  <si>
    <t>Staff training enrolments [CB14b]</t>
  </si>
  <si>
    <t>Staff with a relevant Bachelors degree [CB15a]</t>
  </si>
  <si>
    <t>Analogue SCADA/telemetry [CB19a]</t>
  </si>
  <si>
    <t>Digital SCADA/telemetry [CB19b]</t>
  </si>
  <si>
    <t>SCADA/telemetry controls [CB19c]</t>
  </si>
  <si>
    <t>SCADA/telemetry monitoring [CB19d]</t>
  </si>
  <si>
    <t>Energy Generation: Water Supply [WSE4]</t>
  </si>
  <si>
    <t>The authorities response to any of these issues [WSS5f]</t>
  </si>
  <si>
    <t>Treatment Plant sludge production of wet sludge/biosolids [WWA7j-1]</t>
  </si>
  <si>
    <t>Percentage of dry solids in wastewater sludge/biosolids [WWA7j-2]</t>
  </si>
  <si>
    <t>Wet weather overflow regulation approach [WWE4g]</t>
  </si>
  <si>
    <t>Wastewater consent letter of direction [WWE4h]</t>
  </si>
  <si>
    <t>Wastewater consent formal warming [WWE4i]</t>
  </si>
  <si>
    <t>Energy Generation: Wastewater [WWE5c]</t>
  </si>
  <si>
    <t>Wastewater treatment plant process emissions assessment [WWE5d]</t>
  </si>
  <si>
    <t>Wastewater treatment plant effluent environmental discharge emissions assessment [WWE5e]</t>
  </si>
  <si>
    <t>The authority’s response to issues with its sewerage system [WWS4d]</t>
  </si>
  <si>
    <t>Unplanned Interruption Frequency: Wastewater [WWS7c]</t>
  </si>
  <si>
    <t>Stormwater consent letters of direction [SWE2f]</t>
  </si>
  <si>
    <t>Stormwater consent formal warning [SWE2g]</t>
  </si>
  <si>
    <t>Energy consumption: Stormwater [SWE5]</t>
  </si>
  <si>
    <t>WWE7</t>
  </si>
  <si>
    <t>WWE8</t>
  </si>
  <si>
    <t>Sewage design standards for network capacity</t>
  </si>
  <si>
    <t>Sewage containment of the existing network</t>
  </si>
  <si>
    <t>Containment standard in consent (specify level of service in comments field)</t>
  </si>
  <si>
    <t>Multiple varying standards for different areas of the network (provide detail in comments)</t>
  </si>
  <si>
    <t>No specified sewage containment standards</t>
  </si>
  <si>
    <t>Internal technical level of service  (specify level of service in comments field)</t>
  </si>
  <si>
    <t>Performance below design standards for new sewers considered unacceptable in existing network also</t>
  </si>
  <si>
    <t>Above ground asset condition assessment programme</t>
  </si>
  <si>
    <t>Sewage design standards for network capacity [WWE7]</t>
  </si>
  <si>
    <t>Sewage containment of the existing network [WWE8]</t>
  </si>
  <si>
    <t>National Performance Review 2021/2022</t>
  </si>
  <si>
    <t>National Performance Review 2021/22</t>
  </si>
  <si>
    <t>NPR Code</t>
  </si>
  <si>
    <t>NPR Measure</t>
  </si>
  <si>
    <t>Taumata Arowai Code</t>
  </si>
  <si>
    <t>Taumata Arowai Measure</t>
  </si>
  <si>
    <t>Data points</t>
  </si>
  <si>
    <t>Network (N) or district (D) level</t>
  </si>
  <si>
    <t>Drinking water network information</t>
  </si>
  <si>
    <t>Number of drinking water networks</t>
  </si>
  <si>
    <t>A1</t>
  </si>
  <si>
    <t>D</t>
  </si>
  <si>
    <t>Number of treatment plants</t>
  </si>
  <si>
    <t>A2</t>
  </si>
  <si>
    <t>Number of reservoirs</t>
  </si>
  <si>
    <t>A3</t>
  </si>
  <si>
    <t xml:space="preserve">D </t>
  </si>
  <si>
    <t>Number of pump stations</t>
  </si>
  <si>
    <t>A4</t>
  </si>
  <si>
    <t>Kilometres of pipe</t>
  </si>
  <si>
    <t>A5</t>
  </si>
  <si>
    <t>Number of drinking water abstraction points</t>
  </si>
  <si>
    <t>A6</t>
  </si>
  <si>
    <t>N</t>
  </si>
  <si>
    <t>Drinking water network source type</t>
  </si>
  <si>
    <t>A7</t>
  </si>
  <si>
    <t xml:space="preserve">Drinking water network connections </t>
  </si>
  <si>
    <t>Number of residential connections in the drinking water network</t>
  </si>
  <si>
    <t>EH1</t>
  </si>
  <si>
    <t>Number of non-residential connections in the drinking water network</t>
  </si>
  <si>
    <t>EH2</t>
  </si>
  <si>
    <t>Total population served by the drinking water network</t>
  </si>
  <si>
    <t>EH3</t>
  </si>
  <si>
    <t>Volume of water abstracted (m3/year)</t>
  </si>
  <si>
    <t>Water Supplied to the drinking water network (m3/year)</t>
  </si>
  <si>
    <t>EH5</t>
  </si>
  <si>
    <t>Water imported from other suppliers (m3/year)</t>
  </si>
  <si>
    <t>EH6</t>
  </si>
  <si>
    <t>Water exported to other suppliers (m3/year)</t>
  </si>
  <si>
    <t>EH7</t>
  </si>
  <si>
    <t>Non-residential water use (m3/year)</t>
  </si>
  <si>
    <t>EH8</t>
  </si>
  <si>
    <t>Resource consent compliance</t>
  </si>
  <si>
    <t>Number of resource consents that are held</t>
  </si>
  <si>
    <t>EH9</t>
  </si>
  <si>
    <t>Type of resources consent (e.g., water take consent, discharge consents, etc)</t>
  </si>
  <si>
    <t>EH10</t>
  </si>
  <si>
    <t>Resource consent reference numbers</t>
  </si>
  <si>
    <t>EH11</t>
  </si>
  <si>
    <t>Expiry dates for resource consents</t>
  </si>
  <si>
    <t>EH12</t>
  </si>
  <si>
    <t>Fault attendance and resolution</t>
  </si>
  <si>
    <t>Median hours to attend to an urgent fault</t>
  </si>
  <si>
    <t>R1</t>
  </si>
  <si>
    <t>Median hours to attend to a non-urgent fault</t>
  </si>
  <si>
    <t>R2</t>
  </si>
  <si>
    <t>Median hours to resolve an urgent fault</t>
  </si>
  <si>
    <t>R3</t>
  </si>
  <si>
    <t>Median hours to resolve a non-urgent fault</t>
  </si>
  <si>
    <t>R4</t>
  </si>
  <si>
    <t>Systems interruption</t>
  </si>
  <si>
    <t>Planned interruptions (Number)</t>
  </si>
  <si>
    <t>R5</t>
  </si>
  <si>
    <t>Third party incidents (Number)</t>
  </si>
  <si>
    <t>R6</t>
  </si>
  <si>
    <t>Asset condition</t>
  </si>
  <si>
    <t>% of pipelines that have received a condition grading</t>
  </si>
  <si>
    <t>R7</t>
  </si>
  <si>
    <t>% of pipelines in poor or very poor condition</t>
  </si>
  <si>
    <t>R8</t>
  </si>
  <si>
    <t>Average age of water pipelines</t>
  </si>
  <si>
    <t>R9</t>
  </si>
  <si>
    <t>% of above ground assets that have received a condition grading</t>
  </si>
  <si>
    <t>R10</t>
  </si>
  <si>
    <t>% of above ground assets in poor or very poor condition</t>
  </si>
  <si>
    <t>R11</t>
  </si>
  <si>
    <t>Water pressure</t>
  </si>
  <si>
    <t>R12</t>
  </si>
  <si>
    <t>Has a reference level for water pressure been set?</t>
  </si>
  <si>
    <t>R13</t>
  </si>
  <si>
    <t xml:space="preserve">Water restriction days </t>
  </si>
  <si>
    <t>Number of days water restrictions applied</t>
  </si>
  <si>
    <t>R14</t>
  </si>
  <si>
    <t>Number of affected connections</t>
  </si>
  <si>
    <t>R15</t>
  </si>
  <si>
    <t>Sufficient fire-fighting water available</t>
  </si>
  <si>
    <t>Have you adopted the FENZ Code of Practice (SNZ PAS 4509:2008)?</t>
  </si>
  <si>
    <t>R16</t>
  </si>
  <si>
    <t>Fire hydrants tested in the previous five years (%)</t>
  </si>
  <si>
    <t>R17</t>
  </si>
  <si>
    <t>Drinking water network water losses</t>
  </si>
  <si>
    <t>Estimated total drinking water network water loss (m3/year)</t>
  </si>
  <si>
    <t>RE1</t>
  </si>
  <si>
    <t>Current annual real loss (CARL) (litres/service connection/day or m3/km of mains/day)</t>
  </si>
  <si>
    <t>RE2</t>
  </si>
  <si>
    <t>Infrastructure Leakage Index (CARL/UARL)</t>
  </si>
  <si>
    <t>RE3</t>
  </si>
  <si>
    <t>Water use</t>
  </si>
  <si>
    <t>Median residential water consumption (L/day/connection)</t>
  </si>
  <si>
    <t>RE4</t>
  </si>
  <si>
    <t>Do you have a water conservation education programme in place?</t>
  </si>
  <si>
    <t>RE5</t>
  </si>
  <si>
    <t>Number of residential connections with water meters</t>
  </si>
  <si>
    <t>RE6</t>
  </si>
  <si>
    <t>Number of non-residential connections with water meters</t>
  </si>
  <si>
    <t>RE7</t>
  </si>
  <si>
    <t>Energy efficiency</t>
  </si>
  <si>
    <t>Electricity use (kWh)</t>
  </si>
  <si>
    <t>RE8</t>
  </si>
  <si>
    <t>Energy use from other fuels (GJ)</t>
  </si>
  <si>
    <t>RE9</t>
  </si>
  <si>
    <t>Energy generation (GJ)</t>
  </si>
  <si>
    <t>RE10</t>
  </si>
  <si>
    <t>Critical assets</t>
  </si>
  <si>
    <t>Have you undertaken an assessment to identify critical assets?</t>
  </si>
  <si>
    <t>RL1</t>
  </si>
  <si>
    <t>NEW</t>
  </si>
  <si>
    <t>Network/district</t>
  </si>
  <si>
    <t>DIFFERENT</t>
  </si>
  <si>
    <t>different</t>
  </si>
  <si>
    <t>DROP</t>
  </si>
  <si>
    <t>RETAIN</t>
  </si>
  <si>
    <t>WSA2d+WSA2g</t>
  </si>
  <si>
    <t>Calc field</t>
  </si>
  <si>
    <t>Include in R7 Comments</t>
  </si>
  <si>
    <t>Include in WSA13c comments</t>
  </si>
  <si>
    <t>RE2 depending on field</t>
  </si>
  <si>
    <t>DRIO</t>
  </si>
  <si>
    <t>DROP?</t>
  </si>
  <si>
    <t>Resource consents</t>
  </si>
  <si>
    <t>Biosolids</t>
  </si>
  <si>
    <t>Inflow and infiltration</t>
  </si>
  <si>
    <t>WWA7n</t>
  </si>
  <si>
    <t>Wastewater treatment plant process emissions</t>
  </si>
  <si>
    <t>tCO2-e/yr</t>
  </si>
  <si>
    <t>WWA7o</t>
  </si>
  <si>
    <t>Wastewater treatment wetland emissions</t>
  </si>
  <si>
    <t>WWA7p</t>
  </si>
  <si>
    <t>Wastewater effluent disposal emissions</t>
  </si>
  <si>
    <t>WWA7q</t>
  </si>
  <si>
    <t>Wastewater sludge treatment emissions</t>
  </si>
  <si>
    <t>WWA7r</t>
  </si>
  <si>
    <t>Wastewater sludge disposal emissions</t>
  </si>
  <si>
    <t>WWE6a</t>
  </si>
  <si>
    <t>Trade waste bylaw</t>
  </si>
  <si>
    <t>WWE6b</t>
  </si>
  <si>
    <t>Individual trade waste consents</t>
  </si>
  <si>
    <t>WWE6c</t>
  </si>
  <si>
    <t>Companies breaching trade waste consents</t>
  </si>
  <si>
    <t>WWE6d</t>
  </si>
  <si>
    <t>Non-compliance actions in response to trade waste breaches</t>
  </si>
  <si>
    <t>Climate change</t>
  </si>
  <si>
    <t>Has a climate change risk assesment been undertaken for your water networks , top 3 risks in the comments field</t>
  </si>
  <si>
    <t>Is there an adapataion plan in placed for the water supply network</t>
  </si>
  <si>
    <t>Have you developed an emissions baseline (including operational and capital carbon) for forecast water investments</t>
  </si>
  <si>
    <t>SWE6</t>
  </si>
  <si>
    <t>SWE7</t>
  </si>
  <si>
    <t>SWE8</t>
  </si>
  <si>
    <r>
      <rPr>
        <b/>
        <sz val="11"/>
        <color theme="1"/>
        <rFont val="Calibri"/>
        <family val="2"/>
      </rPr>
      <t>Data submission</t>
    </r>
    <r>
      <rPr>
        <sz val="11"/>
        <color theme="1"/>
        <rFont val="Calibri"/>
        <family val="2"/>
      </rPr>
      <t xml:space="preserve">
Data should be submitted to </t>
    </r>
    <r>
      <rPr>
        <u/>
        <sz val="11"/>
        <color theme="3"/>
        <rFont val="Calibri"/>
        <family val="2"/>
      </rPr>
      <t>Lesley.smith@waternz.org.nz</t>
    </r>
    <r>
      <rPr>
        <sz val="11"/>
        <color theme="1"/>
        <rFont val="Calibri"/>
        <family val="2"/>
      </rPr>
      <t xml:space="preserve">  no later than COB 30th September 2022. It is responsibility of the nominated representative to check all data thoroughly prior to submission.</t>
    </r>
  </si>
  <si>
    <t>2020/21 Data</t>
  </si>
  <si>
    <t xml:space="preserve">Data pertaining to  1/7/2021 to 30/6/2022. 
Data entered is to align with data provided in the definition guide. A summary of definitions displays when field is selected. </t>
  </si>
  <si>
    <t>TA Code</t>
  </si>
  <si>
    <r>
      <rPr>
        <b/>
        <sz val="11"/>
        <color theme="1"/>
        <rFont val="Calibri"/>
        <family val="2"/>
        <scheme val="minor"/>
      </rPr>
      <t>Populating data</t>
    </r>
    <r>
      <rPr>
        <sz val="11"/>
        <color theme="1"/>
        <rFont val="Calibri"/>
        <family val="2"/>
        <scheme val="minor"/>
      </rPr>
      <t xml:space="preserve">
Populate white boxes ONLY on each of the four worksheets provided in this spreadsheet as outlined in the table below. 
Data in grey and coloured boxes is either pre-populated, calculated automatically from other entered values, or not required. If more accurate figures are available pre-populated and calculated values may be overwritten. In these circumstances an explanation of the data source used should be provided in the ‘Comments’ column.
For fields for which data is not available leave the space blank. The comments field may be used to indicate if data is not relevant or why it is not available.</t>
    </r>
  </si>
  <si>
    <t>The associated Taumata Arowai code if applicable (for water supply only)</t>
  </si>
  <si>
    <t>Network of District</t>
  </si>
  <si>
    <t>For water supply onlt, the field indicates if Taumata Arowai data will be required for either:
N - individual water networks
D - the entire district</t>
  </si>
  <si>
    <r>
      <rPr>
        <b/>
        <sz val="11"/>
        <rFont val="Calibri"/>
        <family val="2"/>
        <scheme val="minor"/>
      </rPr>
      <t>Enabling macros</t>
    </r>
    <r>
      <rPr>
        <sz val="11"/>
        <rFont val="Calibri"/>
        <family val="2"/>
        <scheme val="minor"/>
      </rPr>
      <t xml:space="preserve">
Macros need to be enabled the first time the data collection spreadsheet is opened, whenever the spreadsheet is resaved, or, opened on a new machine. Instructions for enabling macros are available at the following link:</t>
    </r>
    <r>
      <rPr>
        <u/>
        <sz val="11"/>
        <color theme="10"/>
        <rFont val="Calibri"/>
        <family val="2"/>
        <scheme val="minor"/>
      </rPr>
      <t xml:space="preserve"> </t>
    </r>
    <r>
      <rPr>
        <u/>
        <sz val="11"/>
        <color theme="4" tint="-0.499984740745262"/>
        <rFont val="Calibri"/>
        <family val="2"/>
        <scheme val="minor"/>
      </rPr>
      <t xml:space="preserve">https://support.office.com/en-us/article/enable-or-disable-macros-in-office-files-12b036fd-d140-4e74-b45e-16fed1a7e5c6 </t>
    </r>
    <r>
      <rPr>
        <u/>
        <sz val="11"/>
        <color theme="10"/>
        <rFont val="Calibri"/>
        <family val="2"/>
        <scheme val="minor"/>
      </rPr>
      <t xml:space="preserve">
</t>
    </r>
    <r>
      <rPr>
        <sz val="11"/>
        <rFont val="Calibri"/>
        <family val="2"/>
        <scheme val="minor"/>
      </rPr>
      <t xml:space="preserve">
The "Undo" function may not always work unless the macro enabled spreadsheet is opened in safe mode. To open excel in safe mode hold Ctrl while you click on the app's shortcut. An onscreen message will appear. Click Yes to confirm your choice and the Safe Mode app will start. Open the spreadsheet in this version of excel.</t>
    </r>
  </si>
  <si>
    <r>
      <rPr>
        <b/>
        <sz val="11"/>
        <color theme="1"/>
        <rFont val="Calibri"/>
        <family val="2"/>
        <scheme val="minor"/>
      </rPr>
      <t>Network and district level data</t>
    </r>
    <r>
      <rPr>
        <sz val="11"/>
        <color theme="1"/>
        <rFont val="Calibri"/>
        <family val="2"/>
        <scheme val="minor"/>
      </rPr>
      <t xml:space="preserve">
The Taumata Arowai Network Environmental Performance Measures require some data points to be recorded at a network, rather than whole of district level. This is optional for the National Performance Review. Where provided, upper and lower performance bands will be included in associated reporting.
This data entry sheet will provide additional fields to input network level data if macros are enabled.</t>
    </r>
  </si>
  <si>
    <t xml:space="preserve">If you are blocked from enabling macros on your PC additional cells may be manually accessed by unhiding columns (L to AG on the water worksheet, L to AE on the wastewater worksheet). </t>
  </si>
  <si>
    <r>
      <rPr>
        <sz val="11"/>
        <rFont val="Calibri"/>
        <family val="2"/>
        <scheme val="minor"/>
      </rPr>
      <t>Changes have been made to align measures with Taumata Arowai's Network Environmental Performance Measures. Taumata Arowai measure codes have been used to cross-reference measures. Further information on the Taumata Arowai measures is available here:</t>
    </r>
    <r>
      <rPr>
        <u/>
        <sz val="11"/>
        <color theme="10"/>
        <rFont val="Calibri"/>
        <family val="2"/>
        <scheme val="minor"/>
      </rPr>
      <t xml:space="preserve"> </t>
    </r>
    <r>
      <rPr>
        <u/>
        <sz val="11"/>
        <color theme="3"/>
        <rFont val="Calibri"/>
        <family val="2"/>
        <scheme val="minor"/>
      </rPr>
      <t>https://www.taumataarowai.govt.nz/for-water-suppliers/network-environmental-performance-measures/</t>
    </r>
  </si>
  <si>
    <r>
      <rPr>
        <b/>
        <sz val="11"/>
        <rFont val="Calibri"/>
        <family val="2"/>
        <scheme val="minor"/>
      </rPr>
      <t>Data definitions</t>
    </r>
    <r>
      <rPr>
        <sz val="11"/>
        <rFont val="Calibri"/>
        <family val="2"/>
        <scheme val="minor"/>
      </rPr>
      <t xml:space="preserve">
The companion data definitions document, provides supporting definitions for each of the fields availble at this link</t>
    </r>
    <r>
      <rPr>
        <u/>
        <sz val="11"/>
        <color theme="10"/>
        <rFont val="Calibri"/>
        <family val="2"/>
        <scheme val="minor"/>
      </rPr>
      <t xml:space="preserve">: </t>
    </r>
    <r>
      <rPr>
        <u/>
        <sz val="11"/>
        <color theme="3"/>
        <rFont val="Calibri"/>
        <family val="2"/>
        <scheme val="minor"/>
      </rPr>
      <t>https://www.waternz.org.nz/DefinitionsGuide</t>
    </r>
    <r>
      <rPr>
        <u/>
        <sz val="11"/>
        <color theme="10"/>
        <rFont val="Calibri"/>
        <family val="2"/>
        <scheme val="minor"/>
      </rPr>
      <t xml:space="preserve">
</t>
    </r>
    <r>
      <rPr>
        <sz val="11"/>
        <rFont val="Calibri"/>
        <family val="2"/>
        <scheme val="minor"/>
      </rPr>
      <t xml:space="preserve">Where measure and code fields are in bold changes have been made to data definition used in previous years. </t>
    </r>
  </si>
  <si>
    <t>Network/District</t>
  </si>
  <si>
    <t>Drinking water</t>
  </si>
  <si>
    <t xml:space="preserve">network </t>
  </si>
  <si>
    <t>network</t>
  </si>
  <si>
    <t>information</t>
  </si>
  <si>
    <t>connections</t>
  </si>
  <si>
    <t xml:space="preserve">Volume of water </t>
  </si>
  <si>
    <t xml:space="preserve">Resource consent </t>
  </si>
  <si>
    <t>compliance</t>
  </si>
  <si>
    <t xml:space="preserve">System </t>
  </si>
  <si>
    <t>interruptions</t>
  </si>
  <si>
    <t>Asset Condition</t>
  </si>
  <si>
    <t>Has a reference level for water pressure been set</t>
  </si>
  <si>
    <t>Wastewater network</t>
  </si>
  <si>
    <t>Volume of wastewater</t>
  </si>
  <si>
    <t>treated</t>
  </si>
  <si>
    <t>Greenhouse gas</t>
  </si>
  <si>
    <t xml:space="preserve"> emissions</t>
  </si>
  <si>
    <t>Energy</t>
  </si>
  <si>
    <t>WST1</t>
  </si>
  <si>
    <t>WST2</t>
  </si>
  <si>
    <t>WST3</t>
  </si>
  <si>
    <t>WST4</t>
  </si>
  <si>
    <t>WST5</t>
  </si>
  <si>
    <t>WST6</t>
  </si>
  <si>
    <t>WST7</t>
  </si>
  <si>
    <t>WST8</t>
  </si>
  <si>
    <t>WST9</t>
  </si>
  <si>
    <t>WST10</t>
  </si>
  <si>
    <t>WST11</t>
  </si>
  <si>
    <t>WSCC1</t>
  </si>
  <si>
    <t>WSCC2</t>
  </si>
  <si>
    <t>WSCC3</t>
  </si>
  <si>
    <t>Percentage of pipelines in poor or very poor condition</t>
  </si>
  <si>
    <t>Percentage of pipelines that have received a condition grading</t>
  </si>
  <si>
    <t>Percentage of above ground assets that have received a condition grading</t>
  </si>
  <si>
    <t>Percentage of above ground assets in poor or very poor condition</t>
  </si>
  <si>
    <t xml:space="preserve">Type of resources consent </t>
  </si>
  <si>
    <t xml:space="preserve">Wastewater network </t>
  </si>
  <si>
    <t xml:space="preserve">Fault attendance </t>
  </si>
  <si>
    <t>and resolution</t>
  </si>
  <si>
    <t>kWh</t>
  </si>
  <si>
    <t>GJ</t>
  </si>
  <si>
    <t>Has the FENZ Code of Practice (SNZ PAS 4509:2008) been adopted</t>
  </si>
  <si>
    <t>Is there a water conservation education programme in place</t>
  </si>
  <si>
    <t>Network 1</t>
  </si>
  <si>
    <t>Network 2</t>
  </si>
  <si>
    <t>Network 3</t>
  </si>
  <si>
    <t>Network 4</t>
  </si>
  <si>
    <t>Network 5</t>
  </si>
  <si>
    <t>Network 6</t>
  </si>
  <si>
    <t>Network 7</t>
  </si>
  <si>
    <t>Network 8</t>
  </si>
  <si>
    <t>Network 9</t>
  </si>
  <si>
    <t>Network 10</t>
  </si>
  <si>
    <t>Network 11</t>
  </si>
  <si>
    <t>Network 12</t>
  </si>
  <si>
    <t>Network 13</t>
  </si>
  <si>
    <t>Network 14</t>
  </si>
  <si>
    <t>Network 15</t>
  </si>
  <si>
    <t>Network 16</t>
  </si>
  <si>
    <t>Network 17</t>
  </si>
  <si>
    <t>Network 18</t>
  </si>
  <si>
    <t>WST1a</t>
  </si>
  <si>
    <t>Network name</t>
  </si>
  <si>
    <t>abstracted</t>
  </si>
  <si>
    <t xml:space="preserve"> Data</t>
  </si>
  <si>
    <t>Water Supplied to the drinking water network</t>
  </si>
  <si>
    <t>Water imported from other suppliers</t>
  </si>
  <si>
    <t>Water exported to other suppliers</t>
  </si>
  <si>
    <t xml:space="preserve">Non-residential water use </t>
  </si>
  <si>
    <t>Discharge permits - to land, air, and water</t>
  </si>
  <si>
    <t>Water permits - take, use, dam, and divert</t>
  </si>
  <si>
    <t>Coastal permits - construction, deposit, disturb, and alter</t>
  </si>
  <si>
    <t>Land use consent - build, excavation, and damage to habitat</t>
  </si>
  <si>
    <t>Drinking water networks</t>
  </si>
  <si>
    <t>Water treatment plants</t>
  </si>
  <si>
    <t>Water reservoirs</t>
  </si>
  <si>
    <t>Water pump stations</t>
  </si>
  <si>
    <t>Drinking water abstraction points</t>
  </si>
  <si>
    <t>Residential connections in the drinking water network</t>
  </si>
  <si>
    <t>Non-residential connections in the drinking water network</t>
  </si>
  <si>
    <t>Planned interruptions to water supply</t>
  </si>
  <si>
    <t>Third party incidents water supply</t>
  </si>
  <si>
    <t>Unplanned total interruptions water supply</t>
  </si>
  <si>
    <t>Unplanned interruption frequency water supply</t>
  </si>
  <si>
    <t>Water supply complaints</t>
  </si>
  <si>
    <t>Water supply complaints frequency</t>
  </si>
  <si>
    <t>Fixed charge: non-residential water</t>
  </si>
  <si>
    <t>Fixed charge type: non-residential water</t>
  </si>
  <si>
    <t>Volumetric Charge: non-residential water</t>
  </si>
  <si>
    <t>Fixed charge: residential water</t>
  </si>
  <si>
    <t>Fixed charge type: residential water</t>
  </si>
  <si>
    <t>Volumetric charge: residential water</t>
  </si>
  <si>
    <t xml:space="preserve">Average residential water charge based on 200 m3/yr </t>
  </si>
  <si>
    <t>Revenue from supply of water to other local authorities</t>
  </si>
  <si>
    <t>Operating revenue: water supply</t>
  </si>
  <si>
    <t>Development contribution revenue: water supply</t>
  </si>
  <si>
    <t>Total revenue: water supply</t>
  </si>
  <si>
    <t>Revenue per property: water supply</t>
  </si>
  <si>
    <t>Debt funding: water supply</t>
  </si>
  <si>
    <t>External grants: water supply</t>
  </si>
  <si>
    <t>Energy costs: water supply</t>
  </si>
  <si>
    <t>Chemicals and consumables: water supply</t>
  </si>
  <si>
    <t>Routine maintenance: water supply</t>
  </si>
  <si>
    <t>Reactive maintenance: water supply</t>
  </si>
  <si>
    <t>Management costs: water supply</t>
  </si>
  <si>
    <t>Council contract management Costs : water supply</t>
  </si>
  <si>
    <t>Operating cost: water supply</t>
  </si>
  <si>
    <t>Operating cost per property: water supply</t>
  </si>
  <si>
    <t>Annual depreciation: water supply</t>
  </si>
  <si>
    <t>Interest: water supply</t>
  </si>
  <si>
    <t>Debt affordability: water supply</t>
  </si>
  <si>
    <t>Operational cost coverage: water supply</t>
  </si>
  <si>
    <t>Total cost: water supply</t>
  </si>
  <si>
    <t>Total cost per property: water supply</t>
  </si>
  <si>
    <t>Budgeted capital expenditure: water supply</t>
  </si>
  <si>
    <t>Actual capital expenditure: water supply</t>
  </si>
  <si>
    <t>Actual capital expenditure per property: water supply</t>
  </si>
  <si>
    <t>Development contributions: water supply assets</t>
  </si>
  <si>
    <t>Decline in service potential: water supply</t>
  </si>
  <si>
    <t>Number of connections affected by restrictions</t>
  </si>
  <si>
    <t>Estimated total drinking water network water loss</t>
  </si>
  <si>
    <t>Current annual real loss</t>
  </si>
  <si>
    <t>Residential connections with water meters</t>
  </si>
  <si>
    <t>Non-residential connections with water meters</t>
  </si>
  <si>
    <t>m3/km mains/day</t>
  </si>
  <si>
    <t>Network 19</t>
  </si>
  <si>
    <t>Network 20</t>
  </si>
  <si>
    <t>River/stream/creek</t>
  </si>
  <si>
    <t>Lake</t>
  </si>
  <si>
    <t>Spring</t>
  </si>
  <si>
    <t>Roof</t>
  </si>
  <si>
    <t>Bore</t>
  </si>
  <si>
    <t>SWE9</t>
  </si>
  <si>
    <t>SWE10</t>
  </si>
  <si>
    <t>SWE11</t>
  </si>
  <si>
    <t>Year</t>
  </si>
  <si>
    <t>Attenuation storage requirements for new developments</t>
  </si>
  <si>
    <t>RCP scenario (s) new stormwater systems are designed to</t>
  </si>
  <si>
    <t>Time horizon (s) new stormwater systems are designed to</t>
  </si>
  <si>
    <t>WWT1</t>
  </si>
  <si>
    <t>WWT2</t>
  </si>
  <si>
    <t>WWT3</t>
  </si>
  <si>
    <t>WWT4</t>
  </si>
  <si>
    <t xml:space="preserve">Stormwater network </t>
  </si>
  <si>
    <t>Water supply kilometres of pipe</t>
  </si>
  <si>
    <t>Percentage of above ground stormwater assets that have received a condition grading</t>
  </si>
  <si>
    <t>Percentage of above ground assets in poor of very poor condition</t>
  </si>
  <si>
    <t>SWT1</t>
  </si>
  <si>
    <t>RCP</t>
  </si>
  <si>
    <t xml:space="preserve">Associated Taumata Arowai Code: </t>
  </si>
  <si>
    <t>Water supply grid electricity use</t>
  </si>
  <si>
    <t>Water supply energy use from other fuels</t>
  </si>
  <si>
    <t>Wastewater energy use from other fuels</t>
  </si>
  <si>
    <t>Wastewater energy generation</t>
  </si>
  <si>
    <t>Wastewater grid electricity use</t>
  </si>
  <si>
    <t>Stormwater grid electricity use</t>
  </si>
  <si>
    <t>Stormwater energy use from other fuels</t>
  </si>
  <si>
    <t>Has an assessment been undertaken to identify critical water supply assets</t>
  </si>
  <si>
    <t>Water supply energy generation</t>
  </si>
  <si>
    <t>Has an assessment been undertaken to identify critical wastewater assets</t>
  </si>
  <si>
    <t>Has an emissions baseline been set for forecast water supply investments</t>
  </si>
  <si>
    <t>Is there a climate change adapataion plan in place for water supply networks</t>
  </si>
  <si>
    <t>Has a climate change risk assesment been undertaken for wastewater networks</t>
  </si>
  <si>
    <t>Is there a climate change adapataion plan in place for wastewater networks</t>
  </si>
  <si>
    <t>Has an emissions baseline been set for forecast wastewater investments</t>
  </si>
  <si>
    <t>WWB7</t>
  </si>
  <si>
    <t>WWA1b</t>
  </si>
  <si>
    <t>WWA1c</t>
  </si>
  <si>
    <t>WWA2a</t>
  </si>
  <si>
    <t>WWA2b</t>
  </si>
  <si>
    <t>WWA2c</t>
  </si>
  <si>
    <t>WWA2d</t>
  </si>
  <si>
    <t>WWA2e</t>
  </si>
  <si>
    <t>WWA2g</t>
  </si>
  <si>
    <t>WWA5a</t>
  </si>
  <si>
    <t>WWA6a</t>
  </si>
  <si>
    <t>WWA6b</t>
  </si>
  <si>
    <t>WWA7l</t>
  </si>
  <si>
    <t>WWE5d</t>
  </si>
  <si>
    <t>WWE5e</t>
  </si>
  <si>
    <t>WWE6</t>
  </si>
  <si>
    <t>SWA1b</t>
  </si>
  <si>
    <t>SWA1c</t>
  </si>
  <si>
    <t>SWA2a</t>
  </si>
  <si>
    <t>SWA2b</t>
  </si>
  <si>
    <t>SWA2c</t>
  </si>
  <si>
    <t>SWA2d</t>
  </si>
  <si>
    <t>SWA2e</t>
  </si>
  <si>
    <t>SWA2g</t>
  </si>
  <si>
    <t>SWA5a</t>
  </si>
  <si>
    <t>SWA5b</t>
  </si>
  <si>
    <t>(WSF20+WWF21+SWF17)/WSF19+WWF20+SWF16)</t>
  </si>
  <si>
    <t>(WSF1+WSF2)/(WSF12+WSF15a)</t>
  </si>
  <si>
    <t>(WWF1+WWF2)/(WWF13+WWF16a)</t>
  </si>
  <si>
    <t>SWF1/(SWF9+SWF12a)</t>
  </si>
  <si>
    <t>CB11/(WSB4+WWB4)</t>
  </si>
  <si>
    <t>WSA7/(WSB5/365)</t>
  </si>
  <si>
    <t>SWF12a/SWF1</t>
  </si>
  <si>
    <t>WSF15a/(WSF1 + WSF2)</t>
  </si>
  <si>
    <t>WWF16a/(WWF1 + WWF2)</t>
  </si>
  <si>
    <t>WWE1/WWB4</t>
  </si>
  <si>
    <t>CB10/(WSB4+WWB4)</t>
  </si>
  <si>
    <t>CB13/(CB10+CB11)</t>
  </si>
  <si>
    <t>CB12/(CB10+CB11)</t>
  </si>
  <si>
    <t>WSA9b/WSB3</t>
  </si>
  <si>
    <t>WSA9a/WSB2</t>
  </si>
  <si>
    <t>WSA7/WSA8</t>
  </si>
  <si>
    <t>WSF4+WWF4+SWF3</t>
  </si>
  <si>
    <t>CB10a/(WSB4+WWB4)</t>
  </si>
  <si>
    <t>WWB4/WWA1a</t>
  </si>
  <si>
    <t>WWA5-WWA5a</t>
  </si>
  <si>
    <t>WWA7a -WWA7l</t>
  </si>
  <si>
    <t>WSA5-WSA5a</t>
  </si>
  <si>
    <t>WSB4/WSA1a</t>
  </si>
  <si>
    <t>WSA4-WSA4a</t>
  </si>
  <si>
    <t>WWE2a/WWB4</t>
  </si>
  <si>
    <t>WSF20/WSF14</t>
  </si>
  <si>
    <t>WWF21/WWF15</t>
  </si>
  <si>
    <t>SWF17/SWF11</t>
  </si>
  <si>
    <t>WSB4+WWB4</t>
  </si>
  <si>
    <t>WSS8a;MAX</t>
  </si>
  <si>
    <t>WSS8a;MIN</t>
  </si>
  <si>
    <t>WSS9;MAX</t>
  </si>
  <si>
    <t>WSS9a;MIN</t>
  </si>
  <si>
    <t>WWA7m;MAX</t>
  </si>
  <si>
    <t>WWA7m;MIN</t>
  </si>
  <si>
    <t>WWF9+WWF10</t>
  </si>
  <si>
    <t>SWF17, WWF21, WSF20</t>
  </si>
  <si>
    <t>SWA5d</t>
  </si>
  <si>
    <t>Stormwater network CCTV inspection</t>
  </si>
  <si>
    <t>WWCC1</t>
  </si>
  <si>
    <t>WWCC2</t>
  </si>
  <si>
    <t>WWCC3</t>
  </si>
  <si>
    <t>ILI ( infrastructure leakage index (=CARL/UARL))</t>
  </si>
  <si>
    <t>dd/mm/yyyyy</t>
  </si>
  <si>
    <t>dd/mm/yyyy</t>
  </si>
  <si>
    <t>Drinking water networks [WST1]</t>
  </si>
  <si>
    <t>Network name [WST1a]</t>
  </si>
  <si>
    <t>Drinking water abstraction points [WST2]</t>
  </si>
  <si>
    <t>Drinking water network source type [WST3]</t>
  </si>
  <si>
    <t>Number of resource consents that are held [WST4]</t>
  </si>
  <si>
    <t>Type of resources consent  [WST5]</t>
  </si>
  <si>
    <t>Resource consent reference numbers [WST6]</t>
  </si>
  <si>
    <t>Expiry dates for resource consents [WST7]</t>
  </si>
  <si>
    <t>Percentage of above ground assets that have received a condition grading [WSA13c]</t>
  </si>
  <si>
    <t>Percentage of above ground assets in poor or very poor condition [WSA2d+WSA2g]</t>
  </si>
  <si>
    <t>Has a reference level for water pressure been set [WST8]</t>
  </si>
  <si>
    <t>Number of connections affected by restrictions [WST9]</t>
  </si>
  <si>
    <t>Has the FENZ Code of Practice (SNZ PAS 4509:2008) been adopted [WST10]</t>
  </si>
  <si>
    <t>Is there a water conservation education programme in place [WST10]</t>
  </si>
  <si>
    <t>Water supply grid electricity use [WSE3]</t>
  </si>
  <si>
    <t>Water supply energy use from other fuels [WSE3a]</t>
  </si>
  <si>
    <t>Has an assessment been undertaken to identify critical water supply assets [WST11]</t>
  </si>
  <si>
    <t>Has a climate change risk assesment been undertaken for water supply networks [WSCC1]</t>
  </si>
  <si>
    <t>Is there a climate change adapataion plan in place for water supply networks [WSCC2]</t>
  </si>
  <si>
    <t>Has an emissions baseline been set for forecast water supply investments [WSCC3]</t>
  </si>
  <si>
    <t>Percentage of above ground assets that have received a condition grading [WWA6]</t>
  </si>
  <si>
    <t>Percentage of above ground assets in poor or very poor condition [WWT1]</t>
  </si>
  <si>
    <t>Wastewater grid electricity use [WWT2]</t>
  </si>
  <si>
    <t>Wastewater energy use from other fuels [WWT3]</t>
  </si>
  <si>
    <t>Has a climate change risk assesment been undertaken for wastewater networks [WWCC1]</t>
  </si>
  <si>
    <t>Is there a climate change adapataion plan in place for wastewater networks [WWCC2]</t>
  </si>
  <si>
    <t>Has an emissions baseline been set for forecast wastewater investments [WWCC3]</t>
  </si>
  <si>
    <t>Has an assessment been undertaken to identify critical wastewater assets [WWT4]</t>
  </si>
  <si>
    <t>Percentage of above ground stormwater assets that have received a condition grading [SWA5c]</t>
  </si>
  <si>
    <t>Percentage of above ground assets in poor of very poor condition [SWA5d]</t>
  </si>
  <si>
    <t>Stormwater grid electricity use [SWE5]</t>
  </si>
  <si>
    <t>Stormwater energy use from other fuels [SWT1]</t>
  </si>
  <si>
    <t>Has a climate change risk assesment been undertaken for your stormwater network [SWE6]</t>
  </si>
  <si>
    <t>Is there a climate change adapataion plan in placed for your stormwater network [SWE7]</t>
  </si>
  <si>
    <t>Have you developed an emissions baseline (including operational and capital carbon) for forecast stormwater investments [SWE8]</t>
  </si>
  <si>
    <t>Attenuation storage requirements for new developments [SWE9]</t>
  </si>
  <si>
    <t>RCP scenario (s) new stormwater systems are designed to [SWE10]</t>
  </si>
  <si>
    <t>Time horizon (s) new stormwater systems are designed to [SWE11]</t>
  </si>
  <si>
    <t>Average system pressure [WSE2:MAX]</t>
  </si>
  <si>
    <t>Average system pressure [WSE2:MIN]</t>
  </si>
  <si>
    <t>Current annual real loss [WSE1d:MAX]</t>
  </si>
  <si>
    <t>Current annual real loss [WSE1d:MIN]</t>
  </si>
  <si>
    <t>Current annual real loss [WSE1e:MAX]</t>
  </si>
  <si>
    <t>Current annual real loss [WSE1e:MIN]</t>
  </si>
  <si>
    <t>ILI ( infrastructure leakage index (=CARL/UARL)) [WSE1h:MAX]</t>
  </si>
  <si>
    <t>ILI ( infrastructure leakage index (=CARL/UARL)) [WSE1h:MIN]</t>
  </si>
  <si>
    <t>Median residential water consumption (L/day/connection) [WSB8:MAX]</t>
  </si>
  <si>
    <t>Median residential water consumption (L/day/connection) [WSB8:MIN]</t>
  </si>
  <si>
    <t>Has a climate change risk assessment been undertaken for water supply networks</t>
  </si>
  <si>
    <t>Residential connections to the wastewater network</t>
  </si>
  <si>
    <t>Non-residential connections to the wastewater network</t>
  </si>
  <si>
    <t>Total connections to wastewater networks</t>
  </si>
  <si>
    <t>Total connections to water networks</t>
  </si>
  <si>
    <t>Number/1000 connections</t>
  </si>
  <si>
    <t>$/connection</t>
  </si>
  <si>
    <t>Has a climate change risk assesment been undertaken for stormwater networks</t>
  </si>
  <si>
    <t>Is there a climate change adapataion plan in place for stormwater networks</t>
  </si>
  <si>
    <t>Has an emissions baseline been set for forecast stormwater investments</t>
  </si>
  <si>
    <t>L/m2</t>
  </si>
  <si>
    <t>Other</t>
  </si>
  <si>
    <t>Water Supply:</t>
  </si>
  <si>
    <t>Wastewater:</t>
  </si>
  <si>
    <t>Stormwater:</t>
  </si>
  <si>
    <t>Queenstown-Lakes</t>
  </si>
  <si>
    <t>[CB1]</t>
  </si>
  <si>
    <t>[WST1]</t>
  </si>
  <si>
    <t/>
  </si>
  <si>
    <t>[WWA5]</t>
  </si>
  <si>
    <t>[SWA1a]</t>
  </si>
  <si>
    <t>[CB2]</t>
  </si>
  <si>
    <t>[WSA4]</t>
  </si>
  <si>
    <t>[WWA1a]</t>
  </si>
  <si>
    <t>[SWA7]</t>
  </si>
  <si>
    <t>[CB3]</t>
  </si>
  <si>
    <t>[WSA6]</t>
  </si>
  <si>
    <t>[WWA8]</t>
  </si>
  <si>
    <t>[SWB2]</t>
  </si>
  <si>
    <t>[CB4]</t>
  </si>
  <si>
    <t>[WSA5]</t>
  </si>
  <si>
    <t>[WWA7]</t>
  </si>
  <si>
    <t>[SWB3]</t>
  </si>
  <si>
    <t>[CB5]</t>
  </si>
  <si>
    <t>[WSA1a]</t>
  </si>
  <si>
    <t>[WWA7a]</t>
  </si>
  <si>
    <t>[SWB1]</t>
  </si>
  <si>
    <t>[CB6]</t>
  </si>
  <si>
    <t>[WST1a]</t>
  </si>
  <si>
    <t>[WWA7d]</t>
  </si>
  <si>
    <t>[SWB4]</t>
  </si>
  <si>
    <t>[CB10]</t>
  </si>
  <si>
    <t>[WST2]</t>
  </si>
  <si>
    <t>[WWA7f]</t>
  </si>
  <si>
    <t>[SWA2f]</t>
  </si>
  <si>
    <t>[CB10a]</t>
  </si>
  <si>
    <t>[WST3]</t>
  </si>
  <si>
    <t>[WWB6]</t>
  </si>
  <si>
    <t>[SWA2d]</t>
  </si>
  <si>
    <t>[CB11]</t>
  </si>
  <si>
    <t>[WSB2]</t>
  </si>
  <si>
    <t>[WWB5]</t>
  </si>
  <si>
    <t>[SWA3]</t>
  </si>
  <si>
    <t>[CB12]</t>
  </si>
  <si>
    <t>[WSB3]</t>
  </si>
  <si>
    <t>[WWA7g]</t>
  </si>
  <si>
    <t>[SWA6]</t>
  </si>
  <si>
    <t>[CB13]</t>
  </si>
  <si>
    <t>[WSB1a]</t>
  </si>
  <si>
    <t>[WWA7h]</t>
  </si>
  <si>
    <t>[SWA5c]</t>
  </si>
  <si>
    <t>[CB14a]</t>
  </si>
  <si>
    <t>[WSB1b]</t>
  </si>
  <si>
    <t>[WWA7i]</t>
  </si>
  <si>
    <t>[SWA5d]</t>
  </si>
  <si>
    <t>[CB14b]</t>
  </si>
  <si>
    <t>[WSB4]</t>
  </si>
  <si>
    <t>[WWE4g]</t>
  </si>
  <si>
    <t>[SWE1a]</t>
  </si>
  <si>
    <t>[CB15a]</t>
  </si>
  <si>
    <t>[WSB5]</t>
  </si>
  <si>
    <t>[WWA7j-1]</t>
  </si>
  <si>
    <t>[SWE1b]</t>
  </si>
  <si>
    <t>[CB15c]</t>
  </si>
  <si>
    <t>[WSB7]</t>
  </si>
  <si>
    <t>[WWA7j-2]</t>
  </si>
  <si>
    <t>[SWE2a]</t>
  </si>
  <si>
    <t>[CB15b]</t>
  </si>
  <si>
    <t>[WSB5a]</t>
  </si>
  <si>
    <t>[WWA7k-1]</t>
  </si>
  <si>
    <t>[SWE2b]</t>
  </si>
  <si>
    <t>[CB15d]</t>
  </si>
  <si>
    <t>[WSB5b]</t>
  </si>
  <si>
    <t>[WWA7k-2]</t>
  </si>
  <si>
    <t>[SWE2c]</t>
  </si>
  <si>
    <t>[CB16]</t>
  </si>
  <si>
    <t>[WST4]</t>
  </si>
  <si>
    <t>[WWA7k-3]</t>
  </si>
  <si>
    <t>[SWE2d]</t>
  </si>
  <si>
    <t>[CB19a]</t>
  </si>
  <si>
    <t>[WST5]</t>
  </si>
  <si>
    <t>[WWA7k-4]</t>
  </si>
  <si>
    <t>[SWE2e]</t>
  </si>
  <si>
    <t>[CB19b]</t>
  </si>
  <si>
    <t>[WST6]</t>
  </si>
  <si>
    <t>[WWA7k-5]</t>
  </si>
  <si>
    <t>[SWE2f]</t>
  </si>
  <si>
    <t>[CB19c]</t>
  </si>
  <si>
    <t>[WST7]</t>
  </si>
  <si>
    <t>[WWA7m]</t>
  </si>
  <si>
    <t>[SWE2g]</t>
  </si>
  <si>
    <t>[CB19d]</t>
  </si>
  <si>
    <t>[WSS10a]</t>
  </si>
  <si>
    <t>[WWA7n]</t>
  </si>
  <si>
    <t>[SWE3]</t>
  </si>
  <si>
    <t>[WSS10b]</t>
  </si>
  <si>
    <t>[WWA7o]</t>
  </si>
  <si>
    <t>[SWE4]</t>
  </si>
  <si>
    <t>[WSS10c]</t>
  </si>
  <si>
    <t>[WWA7p]</t>
  </si>
  <si>
    <t>[SWE5]</t>
  </si>
  <si>
    <t>[WSS10d]</t>
  </si>
  <si>
    <t>[WWA7q]</t>
  </si>
  <si>
    <t>[SWT1]</t>
  </si>
  <si>
    <t>[WSS3]</t>
  </si>
  <si>
    <t>[WWA7r]</t>
  </si>
  <si>
    <t>[SWE6]</t>
  </si>
  <si>
    <t>[WSS4]</t>
  </si>
  <si>
    <t>[WWB2]</t>
  </si>
  <si>
    <t>[SWE7]</t>
  </si>
  <si>
    <t>[WSS1]</t>
  </si>
  <si>
    <t>[WWB3]</t>
  </si>
  <si>
    <t>[SWE8]</t>
  </si>
  <si>
    <t>[WSS2]</t>
  </si>
  <si>
    <t>[WWB1a]</t>
  </si>
  <si>
    <t>[SWE9]</t>
  </si>
  <si>
    <t>[WSA2f]</t>
  </si>
  <si>
    <t>[WWB1b ]</t>
  </si>
  <si>
    <t>[SWE10]</t>
  </si>
  <si>
    <t>[WSA2d]</t>
  </si>
  <si>
    <t>[WWB4]</t>
  </si>
  <si>
    <t>[SWE11]</t>
  </si>
  <si>
    <t>[WSA3]</t>
  </si>
  <si>
    <t>[WWS6a]</t>
  </si>
  <si>
    <t>[SWS1]</t>
  </si>
  <si>
    <t>[WSA13c]</t>
  </si>
  <si>
    <t>[WWS6b]</t>
  </si>
  <si>
    <t>[SWS2]</t>
  </si>
  <si>
    <t>[WSA2d+WSA2g]</t>
  </si>
  <si>
    <t>[WWS7a]</t>
  </si>
  <si>
    <t>[SWS3]</t>
  </si>
  <si>
    <t>[WSE2]</t>
  </si>
  <si>
    <t>[WWS7b]</t>
  </si>
  <si>
    <t>[SWS3a]</t>
  </si>
  <si>
    <t>[WST8]</t>
  </si>
  <si>
    <t>[WWS7c]</t>
  </si>
  <si>
    <t>[SWS3b]</t>
  </si>
  <si>
    <t>[WSS11]</t>
  </si>
  <si>
    <t>[WWA2f]</t>
  </si>
  <si>
    <t>[SWS4]</t>
  </si>
  <si>
    <t>[WST9]</t>
  </si>
  <si>
    <t>[WWA2d]</t>
  </si>
  <si>
    <t>[SWS5]</t>
  </si>
  <si>
    <t>[WST10]</t>
  </si>
  <si>
    <t>[WWA3]</t>
  </si>
  <si>
    <t>[SWS5a]</t>
  </si>
  <si>
    <t>[WSS12a]</t>
  </si>
  <si>
    <t>[WWA4]</t>
  </si>
  <si>
    <t>[SWS5b]</t>
  </si>
  <si>
    <t>[WSE1a]</t>
  </si>
  <si>
    <t>[WWA6]</t>
  </si>
  <si>
    <t>[SWS5c]</t>
  </si>
  <si>
    <t>[WSE1d]</t>
  </si>
  <si>
    <t>[WWT1]</t>
  </si>
  <si>
    <t>[SWS5d]</t>
  </si>
  <si>
    <t>[WSE1e]</t>
  </si>
  <si>
    <t>[WWE1]</t>
  </si>
  <si>
    <t>[SWS6]</t>
  </si>
  <si>
    <t>[WSE1h]</t>
  </si>
  <si>
    <t>[WWE1a]</t>
  </si>
  <si>
    <t>[SWS7a]</t>
  </si>
  <si>
    <t>[WSB8]</t>
  </si>
  <si>
    <t>[WWE1b]</t>
  </si>
  <si>
    <t>[SWS7b]</t>
  </si>
  <si>
    <t>[WWE2a]</t>
  </si>
  <si>
    <t>[SWF1]</t>
  </si>
  <si>
    <t>[WSA9a]</t>
  </si>
  <si>
    <t>[WWE2b]</t>
  </si>
  <si>
    <t>[SWF2]</t>
  </si>
  <si>
    <t>[WSA9b]</t>
  </si>
  <si>
    <t>[WWE3]</t>
  </si>
  <si>
    <t>[SWF3]</t>
  </si>
  <si>
    <t>[WSE3]</t>
  </si>
  <si>
    <t>[WWE3a]</t>
  </si>
  <si>
    <t>[SWF4]</t>
  </si>
  <si>
    <t>[WSE3a]</t>
  </si>
  <si>
    <t>[WWE7]</t>
  </si>
  <si>
    <t>[SWF5]</t>
  </si>
  <si>
    <t>[WSE4]</t>
  </si>
  <si>
    <t>[WWE8]</t>
  </si>
  <si>
    <t>[SWF22]</t>
  </si>
  <si>
    <t>[WST11]</t>
  </si>
  <si>
    <t>[WWE9a]</t>
  </si>
  <si>
    <t>[SWF6a]</t>
  </si>
  <si>
    <t>[WSCC1]</t>
  </si>
  <si>
    <t>[WWE9b]</t>
  </si>
  <si>
    <t>[SWF6b]</t>
  </si>
  <si>
    <t>[WSCC2]</t>
  </si>
  <si>
    <t>[WWE9c]</t>
  </si>
  <si>
    <t>[SWF7]</t>
  </si>
  <si>
    <t>[WSCC3]</t>
  </si>
  <si>
    <t>[WWE9d]</t>
  </si>
  <si>
    <t>[SWF8]</t>
  </si>
  <si>
    <t>[WSS5a]</t>
  </si>
  <si>
    <t>[WWE4a]</t>
  </si>
  <si>
    <t>[SWF9]</t>
  </si>
  <si>
    <t>[WSS5b]</t>
  </si>
  <si>
    <t>[WWE4b]</t>
  </si>
  <si>
    <t>[SWF10]</t>
  </si>
  <si>
    <t>[WSS5c]</t>
  </si>
  <si>
    <t>[WWE4c]</t>
  </si>
  <si>
    <t>[SWF11]</t>
  </si>
  <si>
    <t>[WSS5d]</t>
  </si>
  <si>
    <t>[WWE4d]</t>
  </si>
  <si>
    <t>[SWF12a]</t>
  </si>
  <si>
    <t>[WSS5e]</t>
  </si>
  <si>
    <t>[WWE4e]</t>
  </si>
  <si>
    <t>[SWF12b]</t>
  </si>
  <si>
    <t>[WSS5f]</t>
  </si>
  <si>
    <t>[WWE4f]</t>
  </si>
  <si>
    <t>[SWF13]</t>
  </si>
  <si>
    <t>[WSS5]</t>
  </si>
  <si>
    <t>[WWE4h]</t>
  </si>
  <si>
    <t>[SWF14]</t>
  </si>
  <si>
    <t>[WSS6]</t>
  </si>
  <si>
    <t>[WWE4i]</t>
  </si>
  <si>
    <t>[SWF15]</t>
  </si>
  <si>
    <t>[WSS7a]</t>
  </si>
  <si>
    <t>[WWT2]</t>
  </si>
  <si>
    <t>[SWF16]</t>
  </si>
  <si>
    <t>[WSS7b]</t>
  </si>
  <si>
    <t>[WWT3]</t>
  </si>
  <si>
    <t>[SWF16a]</t>
  </si>
  <si>
    <t>[WSS7c]</t>
  </si>
  <si>
    <t>[WWE5c]</t>
  </si>
  <si>
    <t>[SWF16b]</t>
  </si>
  <si>
    <t>[WSS8a]</t>
  </si>
  <si>
    <t>[WWCC1]</t>
  </si>
  <si>
    <t>[SWF16c]</t>
  </si>
  <si>
    <t>[WSS8b]</t>
  </si>
  <si>
    <t>[WWCC2]</t>
  </si>
  <si>
    <t>[SWF17]</t>
  </si>
  <si>
    <t>[WSS8c]</t>
  </si>
  <si>
    <t>[WWCC3]</t>
  </si>
  <si>
    <t>[SWF17a]</t>
  </si>
  <si>
    <t>[WSS9]</t>
  </si>
  <si>
    <t>[WWT4]</t>
  </si>
  <si>
    <t>[SWF17b]</t>
  </si>
  <si>
    <t>[WSF1]</t>
  </si>
  <si>
    <t>[WWE6a]</t>
  </si>
  <si>
    <t>[SWF17c]</t>
  </si>
  <si>
    <t>[WSF2]</t>
  </si>
  <si>
    <t>[WWE6b]</t>
  </si>
  <si>
    <t>[SWF18]</t>
  </si>
  <si>
    <t>[WSF3]</t>
  </si>
  <si>
    <t>[WWE6c]</t>
  </si>
  <si>
    <t>[SWF19]</t>
  </si>
  <si>
    <t>[WSF4]</t>
  </si>
  <si>
    <t>[WWE6d]</t>
  </si>
  <si>
    <t>[SWF20]</t>
  </si>
  <si>
    <t>[WSF5]</t>
  </si>
  <si>
    <t>[WWS1a]</t>
  </si>
  <si>
    <t>[SWF21]</t>
  </si>
  <si>
    <t>[WSF6]</t>
  </si>
  <si>
    <t>[WWS1b]</t>
  </si>
  <si>
    <t>[]</t>
  </si>
  <si>
    <t>[WSF25]</t>
  </si>
  <si>
    <t>[WWS1c]</t>
  </si>
  <si>
    <t>[WSF7]</t>
  </si>
  <si>
    <t>[WWS1d]</t>
  </si>
  <si>
    <t>[WSF8]</t>
  </si>
  <si>
    <t>[WWS2a]</t>
  </si>
  <si>
    <t>[WSF9a]</t>
  </si>
  <si>
    <t>[WWS2b]</t>
  </si>
  <si>
    <t>[WSF9b]</t>
  </si>
  <si>
    <t>[WWS2c]</t>
  </si>
  <si>
    <t>[WSF10]</t>
  </si>
  <si>
    <t>[WWS3]</t>
  </si>
  <si>
    <t>[WSF11]</t>
  </si>
  <si>
    <t>[WWS4]</t>
  </si>
  <si>
    <t>[WSF12]</t>
  </si>
  <si>
    <t>[WWS4a]</t>
  </si>
  <si>
    <t>[WSF13]</t>
  </si>
  <si>
    <t>[WWS4b]</t>
  </si>
  <si>
    <t>[WSF14]</t>
  </si>
  <si>
    <t>[WWS4c]</t>
  </si>
  <si>
    <t>[WSF15a]</t>
  </si>
  <si>
    <t>[WWS4d]</t>
  </si>
  <si>
    <t>[WSF15b]</t>
  </si>
  <si>
    <t>[WWS5]</t>
  </si>
  <si>
    <t>[WSF16]</t>
  </si>
  <si>
    <t>[WWF1]</t>
  </si>
  <si>
    <t>[WSF17]</t>
  </si>
  <si>
    <t>[WWF2]</t>
  </si>
  <si>
    <t>[WSF18]</t>
  </si>
  <si>
    <t>[WWF3]</t>
  </si>
  <si>
    <t>[WSF19]</t>
  </si>
  <si>
    <t>[WWF4]</t>
  </si>
  <si>
    <t>[WSF19a]</t>
  </si>
  <si>
    <t>[WWF5]</t>
  </si>
  <si>
    <t>[WSF19b]</t>
  </si>
  <si>
    <t>[WWF6]</t>
  </si>
  <si>
    <t>[WSF19c]</t>
  </si>
  <si>
    <t>[WWF26]</t>
  </si>
  <si>
    <t>[WSF20]</t>
  </si>
  <si>
    <t>[WWF7]</t>
  </si>
  <si>
    <t>[WSF20a]</t>
  </si>
  <si>
    <t>[WWF8]</t>
  </si>
  <si>
    <t>[WSF20b]</t>
  </si>
  <si>
    <t>[WWF9]</t>
  </si>
  <si>
    <t>[WSF20c]</t>
  </si>
  <si>
    <t>[WWF10]</t>
  </si>
  <si>
    <t>[WSF21]</t>
  </si>
  <si>
    <t>[WWF11]</t>
  </si>
  <si>
    <t>[WSF22]</t>
  </si>
  <si>
    <t>[WWF12]</t>
  </si>
  <si>
    <t>[WSF23a]</t>
  </si>
  <si>
    <t>[WWF13]</t>
  </si>
  <si>
    <t>[WSF23b]</t>
  </si>
  <si>
    <t>[WWF14]</t>
  </si>
  <si>
    <t>[WSF24]</t>
  </si>
  <si>
    <t>[WWF15]</t>
  </si>
  <si>
    <t>[WWF16a]</t>
  </si>
  <si>
    <t>[WWF16b]</t>
  </si>
  <si>
    <t>[WWF17]</t>
  </si>
  <si>
    <t>[WWF18]</t>
  </si>
  <si>
    <t>[WWF19]</t>
  </si>
  <si>
    <t>[WWF20]</t>
  </si>
  <si>
    <t>[WWF20a]</t>
  </si>
  <si>
    <t>[WWF20b]</t>
  </si>
  <si>
    <t>[WWF20c]</t>
  </si>
  <si>
    <t>[WWF21]</t>
  </si>
  <si>
    <t>[WWF21a]</t>
  </si>
  <si>
    <t>[WWF21b]</t>
  </si>
  <si>
    <t>[WWF21c]</t>
  </si>
  <si>
    <t>[WWF22]</t>
  </si>
  <si>
    <t>[WWF23]</t>
  </si>
  <si>
    <t>[WWF24a]</t>
  </si>
  <si>
    <t>[WWF24b]</t>
  </si>
  <si>
    <t>[WWF25]</t>
  </si>
  <si>
    <t>HR</t>
  </si>
  <si>
    <t>Alex/Mark</t>
  </si>
  <si>
    <t>Andrew/Simon</t>
  </si>
  <si>
    <t xml:space="preserve">Vaughn </t>
  </si>
  <si>
    <t>Karelia</t>
  </si>
  <si>
    <t>Elliot</t>
  </si>
  <si>
    <t>Gus / Vaughn</t>
  </si>
  <si>
    <t>Andrew S</t>
  </si>
  <si>
    <t>Water Safety Plans</t>
  </si>
  <si>
    <t>GIS</t>
  </si>
  <si>
    <t>WDM Plan</t>
  </si>
  <si>
    <t>AMP / WDM Plan</t>
  </si>
  <si>
    <t>RFS / Veolia</t>
  </si>
  <si>
    <t>TechOne</t>
  </si>
  <si>
    <t>Valuation</t>
  </si>
  <si>
    <t>Median Rates tab per Stew B</t>
  </si>
  <si>
    <t>Techone</t>
  </si>
  <si>
    <t>Mark Baker</t>
  </si>
  <si>
    <t>SCADA</t>
  </si>
  <si>
    <t>Mark Baker / Katherine Durman</t>
  </si>
  <si>
    <t>Rebecca Mcloud  / Vaughn</t>
  </si>
  <si>
    <t>Stew</t>
  </si>
  <si>
    <t>Andrew/Simon/Gus</t>
  </si>
  <si>
    <t>Simon</t>
  </si>
  <si>
    <t>Brandon</t>
  </si>
  <si>
    <t>Andrew/Vaughn/Gus</t>
  </si>
  <si>
    <t>Rates</t>
  </si>
  <si>
    <t>DIA Reporting SCADA Veolia and Fulton Hogan</t>
  </si>
  <si>
    <t>Veolia</t>
  </si>
  <si>
    <t>Calibrated Model</t>
  </si>
  <si>
    <t>Nightflow Assessment 2021</t>
  </si>
  <si>
    <t>N/a</t>
  </si>
  <si>
    <t>P&amp;L / TechOne</t>
  </si>
  <si>
    <t>Project Financials</t>
  </si>
  <si>
    <t>Rating units (SUIPs) not demand units e.g. commercial accom may have multi demand units under 1 SUIP. This number includes visitor accom. Downgraded reliability slightly as I can't go back in time and this isn't saved during the year.</t>
  </si>
  <si>
    <t>SUIPs. Downgraded reliability slightly as I can't go back in time and this isn't saved during the year.</t>
  </si>
  <si>
    <t>This number includes private tanks as in the previous year report.</t>
  </si>
  <si>
    <t>The number of distinct drinking water supply systems, operated by a drinking water network operator. A network includes:
• the source of raw water
• water treatment plants
• the distribution system (storage and pipe Network).</t>
  </si>
  <si>
    <t>Taken from GIS Layer_WSMains_Excluding Pvate, abandoned,removed</t>
  </si>
  <si>
    <t>Taken from GIS Layer_WWMains_Excluding Pvate, abandoned,removed</t>
  </si>
  <si>
    <t>Taken from GIS Layer_SWMains_Excluding Pvate, abandoned,removed</t>
  </si>
  <si>
    <t>Taken from GIS Layer_WWMains+SWMains_Excluding Pvate, abandoned,removed</t>
  </si>
  <si>
    <t xml:space="preserve">Queenstown WWTP (Project Shotover) </t>
  </si>
  <si>
    <t>Wanaka WWTP (Project Pure)</t>
  </si>
  <si>
    <t>Cardrona WWTP</t>
  </si>
  <si>
    <t xml:space="preserve"> Hawea WWTP</t>
  </si>
  <si>
    <t>Glendhu Bay campground</t>
  </si>
  <si>
    <t>Albert Town campground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</si>
</sst>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2">
    <numFmt numFmtId="44" formatCode="_-&quot;$&quot;* #,##0.00_-;\-&quot;$&quot;* #,##0.00_-;_-&quot;$&quot;* &quot;-&quot;??_-;_-@_-"/>
    <numFmt numFmtId="43" formatCode="_-* #,##0.00_-;\-* #,##0.00_-;_-* &quot;-&quot;??_-;_-@_-"/>
    <numFmt numFmtId="164" formatCode="_(* #,##0.00_);_(* \(#,##0.00\);_(* &quot;-&quot;??_);_(@_)"/>
    <numFmt numFmtId="165" formatCode="_(&quot;$&quot;* #,##0.00_);_(&quot;$&quot;* \(#,##0.00\);_(&quot;$&quot;* &quot;-&quot;??_);_(@_)"/>
    <numFmt numFmtId="166" formatCode="#,###;[Red]\(#,###\)"/>
    <numFmt numFmtId="167" formatCode="#,##0_);[Red]\(#,##0\)"/>
    <numFmt numFmtId="168" formatCode="_-\ &quot;$&quot;#,##0_-&quot;/day&quot;_-;_-\ \-&quot;$&quot;#,##0_-&quot;/day&quot;_-;_-\ &quot;$&quot;0_-&quot;/day&quot;_-;_-@_-"/>
    <numFmt numFmtId="169" formatCode="_-\ &quot;$&quot;#,##0_-&quot;/h&quot;_-;_-\ \-&quot;$&quot;#,##0_-&quot;/h&quot;_-;_-\ &quot;$&quot;0_-&quot;/h&quot;_-;_-@_-"/>
    <numFmt numFmtId="170" formatCode="_-\ &quot;$&quot;#,##0_-&quot;/m&quot;_-;_-\ \-&quot;$&quot;#,##0_-&quot;/m&quot;_-;_-\ &quot;$&quot;0_-&quot;/m&quot;_-;_-@_-"/>
    <numFmt numFmtId="171" formatCode="dd/mm/yyyy\ hh:mm:ss.000"/>
    <numFmt numFmtId="172" formatCode="_-\ #,##0_-&quot;day(s)&quot;_-;_-\ \-#,##0_-&quot;day(s)&quot;_-;_-\ 0_-&quot;day(s)&quot;_-;_-@_-"/>
    <numFmt numFmtId="173" formatCode="_-\ #,##0_-&quot;GL&quot;_-;_-\ \-#,##0_-&quot;GL&quot;_-;_-\ 0_-&quot;GL&quot;_-;_-@_-"/>
    <numFmt numFmtId="174" formatCode="_-\ #,##0_-&quot;GL/y&quot;_-;_-\ \-#,##0_-&quot;GL/y&quot;_-;_-\ 0_-&quot;GL/y&quot;_-;_-@_-"/>
    <numFmt numFmtId="175" formatCode="_-\ #,##0_-&quot;hrs&quot;_-;_-\ \-#,##0_-&quot;hrs&quot;_-;_-\ 0_-&quot;hrs&quot;_-;_-@_-"/>
    <numFmt numFmtId="176" formatCode="_-\ #,##0_-&quot;kg&quot;_-;_-\ \-#,##0_-&quot;kg&quot;_-;_-\ 0_-&quot;kg&quot;_-;_-@_-"/>
    <numFmt numFmtId="177" formatCode="_-\ #,##0_-&quot;kL&quot;_-;_-\ \-#,##0_-&quot;kL&quot;_-;_-\ 0_-&quot;kL&quot;_-;_-@_-"/>
    <numFmt numFmtId="178" formatCode="_-\ #,##0_-&quot;kL/h&quot;_-;_-\ \-#,##0_-&quot;kL/h&quot;_-;_-\ 0_-&quot;kL/h&quot;_-;_-@_-"/>
    <numFmt numFmtId="179" formatCode="_-\ #,##0_-&quot;kL/ser/d&quot;_-;_-\ \-#,##0_-&quot;kL/ser/d&quot;_-;_-\ 0_-&quot;kL/ser/d&quot;_-;_-@_-"/>
    <numFmt numFmtId="180" formatCode="_-\ #,##0_-&quot;km&quot;_-;_-\ \-#,##0_-&quot;km&quot;_-;_-\ 0_-&quot;km&quot;_-;_-@_-"/>
    <numFmt numFmtId="181" formatCode="_-\ #,##0_-&quot;kPa&quot;_-;_-\ \-#,##0_-&quot;kPa&quot;_-;_-\ 0_-&quot;kPa&quot;_-;_-@_-"/>
    <numFmt numFmtId="182" formatCode="_-\ #,##0_-&quot;kW&quot;_-;_-\ \-#,##0_-&quot;kW&quot;_-;_-\ 0_-&quot;kW&quot;_-;_-@_-"/>
    <numFmt numFmtId="183" formatCode="_-\ #,##0_-&quot;kWh&quot;_-;_-\ \-#,##0_-&quot;kWh&quot;_-;_-\ 0_-&quot;kWh&quot;_-;_-@_-"/>
    <numFmt numFmtId="184" formatCode="_-\ #,##0_-&quot;L&quot;_-;_-\ \-#,##0_-&quot;L&quot;_-;_-\ 0_-&quot;L&quot;_-;_-@_-"/>
    <numFmt numFmtId="185" formatCode="_-\ #,##0_-&quot;L/min&quot;_-;_-\ \-#,##0_-&quot;L/min&quot;_-;_-\ 0_-&quot;L/min&quot;_-;_-@_-"/>
    <numFmt numFmtId="186" formatCode="_-\ #,##0_-&quot;L/s&quot;_-;_-\ \-#,##0_-&quot;L/s&quot;_-;_-\ 0_-&quot;L/s&quot;_-;_-@_-"/>
    <numFmt numFmtId="187" formatCode="_-\ #,##0_-&quot;m&quot;_-;_-\ \-#,##0_-&quot;m&quot;_-;_-\ 0_-&quot;m&quot;_-;_-@_-"/>
    <numFmt numFmtId="188" formatCode="_-\ #,##0_-&quot;m/km&quot;_-;_-\ \-#,##0_-&quot;m/km&quot;_-;_-\ 0_-&quot;m/km&quot;_-;_-@_-"/>
    <numFmt numFmtId="189" formatCode="_-\ #,##0_-&quot;m/s&quot;_-;_-\ \-#,##0_-&quot;m/s&quot;_-;_-\ 0_-&quot;m/s&quot;_-;_-@_-"/>
    <numFmt numFmtId="190" formatCode="_-\ #,##0_-&quot;mAHD&quot;_-;_-\ \-#,##0_-&quot;mAHD&quot;_-;_-\ 0_-&quot;mAHD&quot;_-;_-@_-"/>
    <numFmt numFmtId="191" formatCode="_-\ #,##0_-&quot;MJ&quot;_-;_-\ \-#,##0_-&quot;MJ&quot;_-;_-\ 0_-&quot;MJ&quot;_-;_-@_-"/>
    <numFmt numFmtId="192" formatCode="_-\ #,##0_-&quot;ML&quot;_-;_-\ \-#,##0_-&quot;ML&quot;_-;_-\ 0_-&quot;ML&quot;_-;_-@_-"/>
    <numFmt numFmtId="193" formatCode="_-\ #,##0_-&quot;ML/d&quot;_-;_-\ \-#,##0_-&quot;ML/d&quot;_-;_-\ 0_-&quot;ML/d&quot;_-;_-@_-"/>
    <numFmt numFmtId="194" formatCode="_-\ #,##0_-&quot;mm&quot;_-;_-\ \-#,##0_-&quot;mm&quot;_-;_-\ 0_-&quot;mm&quot;_-;_-@_-"/>
    <numFmt numFmtId="195" formatCode="_-\ #,##0_-&quot;mNCD&quot;_-;_-\ \-#,##0_-&quot;mNCD&quot;_-;_-\ 0_-&quot;mNCD&quot;_-;_-@_-"/>
    <numFmt numFmtId="196" formatCode="_-\ ###0_-&quot;rpm&quot;_-;_-\ \-###0_-&quot;rpm&quot;_-;_-\ 0_-&quot;rpm&quot;_-;_-@_-"/>
    <numFmt numFmtId="197" formatCode="0.000"/>
    <numFmt numFmtId="198" formatCode="0.0"/>
    <numFmt numFmtId="199" formatCode="0.0000"/>
    <numFmt numFmtId="200" formatCode="&quot;$&quot;#,##0"/>
    <numFmt numFmtId="201" formatCode="#,##0.000"/>
    <numFmt numFmtId="202" formatCode="&quot;$&quot;#,##0.00"/>
    <numFmt numFmtId="203" formatCode="0.0%"/>
  </numFmts>
  <fonts count="11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8"/>
      <color theme="3"/>
      <name val="Calibri"/>
      <family val="2"/>
      <scheme val="minor"/>
    </font>
    <font>
      <sz val="10"/>
      <color indexed="8"/>
      <name val="Arial"/>
      <family val="2"/>
    </font>
    <font>
      <sz val="10"/>
      <name val="Arial"/>
      <family val="2"/>
    </font>
    <font>
      <sz val="11"/>
      <color indexed="8"/>
      <name val="Calibri"/>
      <family val="2"/>
    </font>
    <font>
      <u/>
      <sz val="11"/>
      <color theme="10"/>
      <name val="Calibri"/>
      <family val="2"/>
      <scheme val="minor"/>
    </font>
    <font>
      <sz val="10"/>
      <name val="Times New Roman"/>
      <family val="1"/>
    </font>
    <font>
      <sz val="8"/>
      <name val="Arial"/>
      <family val="2"/>
    </font>
    <font>
      <sz val="10"/>
      <name val="MS Sans Serif"/>
      <family val="2"/>
    </font>
    <font>
      <sz val="10"/>
      <name val="Tms Rmn"/>
    </font>
    <font>
      <u/>
      <sz val="10"/>
      <color indexed="12"/>
      <name val="Arial"/>
      <family val="2"/>
    </font>
    <font>
      <u/>
      <sz val="10"/>
      <color theme="10"/>
      <name val="Arial"/>
      <family val="2"/>
    </font>
    <font>
      <sz val="10"/>
      <color theme="1"/>
      <name val="Arial Mäori"/>
      <family val="2"/>
    </font>
    <font>
      <sz val="9"/>
      <color theme="0"/>
      <name val="Arial"/>
      <family val="2"/>
    </font>
    <font>
      <u/>
      <sz val="11"/>
      <color theme="10"/>
      <name val="Calibri"/>
      <family val="2"/>
    </font>
    <font>
      <u/>
      <sz val="11"/>
      <color indexed="12"/>
      <name val="Calibri"/>
      <family val="2"/>
    </font>
    <font>
      <sz val="10"/>
      <color theme="1"/>
      <name val="Arial"/>
      <family val="2"/>
    </font>
    <font>
      <sz val="12"/>
      <color theme="1"/>
      <name val="Arial"/>
      <family val="2"/>
    </font>
    <font>
      <sz val="11"/>
      <color rgb="FF000000"/>
      <name val="Calibri"/>
      <family val="2"/>
    </font>
    <font>
      <b/>
      <sz val="12"/>
      <name val="Tahoma"/>
      <family val="2"/>
    </font>
    <font>
      <b/>
      <sz val="9"/>
      <name val="Tahoma"/>
      <family val="2"/>
    </font>
    <font>
      <b/>
      <vertAlign val="superscript"/>
      <sz val="14"/>
      <name val="Tahoma"/>
      <family val="2"/>
    </font>
    <font>
      <sz val="9"/>
      <name val="Tahoma"/>
      <family val="2"/>
    </font>
    <font>
      <sz val="10"/>
      <color theme="1"/>
      <name val="Arial Narrow"/>
      <family val="2"/>
    </font>
    <font>
      <b/>
      <u/>
      <sz val="10"/>
      <name val="Arial"/>
      <family val="2"/>
    </font>
    <font>
      <sz val="12"/>
      <name val="Arial Narrow"/>
      <family val="2"/>
    </font>
    <font>
      <b/>
      <sz val="10"/>
      <color indexed="12"/>
      <name val="Arial"/>
      <family val="2"/>
    </font>
    <font>
      <b/>
      <u/>
      <sz val="12"/>
      <name val="Arial"/>
      <family val="2"/>
    </font>
    <font>
      <b/>
      <i/>
      <sz val="10"/>
      <name val="Arial"/>
      <family val="2"/>
    </font>
    <font>
      <b/>
      <u/>
      <sz val="10"/>
      <color indexed="12"/>
      <name val="Arial"/>
      <family val="2"/>
    </font>
    <font>
      <i/>
      <u/>
      <sz val="10"/>
      <name val="Arial"/>
      <family val="2"/>
    </font>
    <font>
      <b/>
      <sz val="10"/>
      <color indexed="60"/>
      <name val="Arial"/>
      <family val="2"/>
    </font>
    <font>
      <i/>
      <sz val="10"/>
      <name val="Comic Sans MS"/>
      <family val="4"/>
    </font>
    <font>
      <i/>
      <sz val="8"/>
      <name val="Arial"/>
      <family val="2"/>
    </font>
    <font>
      <b/>
      <sz val="10"/>
      <name val="Comic Sans MS"/>
      <family val="4"/>
    </font>
    <font>
      <b/>
      <u val="doubleAccounting"/>
      <sz val="10"/>
      <name val="Arial"/>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theme="1"/>
      <name val="Calibri"/>
      <family val="2"/>
      <scheme val="minor"/>
    </font>
    <font>
      <b/>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i/>
      <u/>
      <sz val="10"/>
      <name val="Tms Rmn"/>
    </font>
    <font>
      <sz val="10"/>
      <color rgb="FF3F3F76"/>
      <name val="Arial"/>
      <family val="2"/>
    </font>
    <font>
      <sz val="10"/>
      <color rgb="FFFA7D00"/>
      <name val="Arial"/>
      <family val="2"/>
    </font>
    <font>
      <sz val="10"/>
      <color rgb="FF9C6500"/>
      <name val="Arial"/>
      <family val="2"/>
    </font>
    <font>
      <b/>
      <sz val="10"/>
      <color rgb="FF3F3F3F"/>
      <name val="Arial"/>
      <family val="2"/>
    </font>
    <font>
      <sz val="10"/>
      <color rgb="FFFF0000"/>
      <name val="Arial"/>
      <family val="2"/>
    </font>
    <font>
      <b/>
      <sz val="15"/>
      <color theme="3"/>
      <name val="Arial"/>
      <family val="2"/>
    </font>
    <font>
      <b/>
      <sz val="13"/>
      <color theme="3"/>
      <name val="Arial"/>
      <family val="2"/>
    </font>
    <font>
      <b/>
      <sz val="11"/>
      <color theme="3"/>
      <name val="Arial"/>
      <family val="2"/>
    </font>
    <font>
      <sz val="11"/>
      <color theme="1"/>
      <name val="Arial"/>
      <family val="2"/>
    </font>
    <font>
      <sz val="10"/>
      <name val="Century Schoolbook"/>
      <family val="1"/>
    </font>
    <font>
      <b/>
      <sz val="16"/>
      <name val="Arial"/>
      <family val="2"/>
    </font>
    <font>
      <b/>
      <sz val="12"/>
      <name val="Arial"/>
      <family val="2"/>
    </font>
    <font>
      <sz val="11"/>
      <color theme="4" tint="0.39997558519241921"/>
      <name val="Calibri"/>
      <family val="2"/>
      <scheme val="minor"/>
    </font>
    <font>
      <sz val="11"/>
      <color theme="5" tint="0.39997558519241921"/>
      <name val="Calibri"/>
      <family val="2"/>
      <scheme val="minor"/>
    </font>
    <font>
      <sz val="11"/>
      <color theme="6" tint="0.39997558519241921"/>
      <name val="Calibri"/>
      <family val="2"/>
      <scheme val="minor"/>
    </font>
    <font>
      <sz val="11"/>
      <name val="Calibri"/>
      <family val="2"/>
      <scheme val="minor"/>
    </font>
    <font>
      <sz val="11"/>
      <color theme="5"/>
      <name val="Calibri"/>
      <family val="2"/>
      <scheme val="minor"/>
    </font>
    <font>
      <b/>
      <sz val="11"/>
      <color theme="4"/>
      <name val="Calibri"/>
      <family val="2"/>
      <scheme val="minor"/>
    </font>
    <font>
      <sz val="11"/>
      <color theme="6"/>
      <name val="Calibri"/>
      <family val="2"/>
      <scheme val="minor"/>
    </font>
    <font>
      <vertAlign val="superscript"/>
      <sz val="11"/>
      <color theme="1"/>
      <name val="Calibri"/>
      <family val="2"/>
      <scheme val="minor"/>
    </font>
    <font>
      <u/>
      <sz val="12"/>
      <color theme="10"/>
      <name val="Arial"/>
      <family val="2"/>
    </font>
    <font>
      <sz val="12"/>
      <name val="Arial"/>
      <family val="2"/>
    </font>
    <font>
      <sz val="11"/>
      <color rgb="FF9C0006"/>
      <name val="Arial"/>
      <family val="2"/>
    </font>
    <font>
      <sz val="10"/>
      <color theme="3" tint="-0.24994659260841701"/>
      <name val="Trebuchet MS"/>
      <family val="2"/>
    </font>
    <font>
      <sz val="12"/>
      <color theme="1"/>
      <name val="Calibri"/>
      <family val="2"/>
    </font>
    <font>
      <sz val="8"/>
      <color theme="1"/>
      <name val="Calibri"/>
      <family val="2"/>
      <scheme val="minor"/>
    </font>
    <font>
      <sz val="9"/>
      <color theme="1"/>
      <name val="Calibri"/>
      <family val="2"/>
    </font>
    <font>
      <sz val="11"/>
      <color theme="1"/>
      <name val="Calibri"/>
      <family val="2"/>
    </font>
    <font>
      <i/>
      <sz val="11"/>
      <color theme="1"/>
      <name val="Calibri"/>
      <family val="2"/>
      <scheme val="minor"/>
    </font>
    <font>
      <b/>
      <sz val="11"/>
      <name val="Calibri"/>
      <family val="2"/>
      <scheme val="minor"/>
    </font>
    <font>
      <u/>
      <sz val="11"/>
      <color theme="3"/>
      <name val="Calibri"/>
      <family val="2"/>
    </font>
    <font>
      <u/>
      <sz val="11"/>
      <color theme="3"/>
      <name val="Calibri"/>
      <family val="2"/>
      <scheme val="minor"/>
    </font>
    <font>
      <b/>
      <sz val="11"/>
      <color theme="1"/>
      <name val="Calibri"/>
      <family val="2"/>
    </font>
    <font>
      <u/>
      <sz val="11"/>
      <color theme="4" tint="-0.499984740745262"/>
      <name val="Calibri"/>
      <family val="2"/>
      <scheme val="minor"/>
    </font>
    <font>
      <sz val="10"/>
      <color rgb="FF000000"/>
      <name val="Calibri"/>
      <family val="2"/>
      <scheme val="minor"/>
    </font>
    <font>
      <sz val="8"/>
      <name val="Calibri"/>
      <family val="2"/>
      <scheme val="minor"/>
    </font>
    <font>
      <sz val="9"/>
      <color indexed="81"/>
      <name val="Tahoma"/>
      <charset val="1"/>
    </font>
  </fonts>
  <fills count="6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3"/>
        <bgColor indexed="64"/>
      </patternFill>
    </fill>
    <fill>
      <patternFill patternType="solid">
        <fgColor indexed="2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77111117893"/>
        <bgColor indexed="64"/>
      </patternFill>
    </fill>
    <fill>
      <patternFill patternType="solid">
        <fgColor theme="0"/>
        <bgColor indexed="64"/>
      </patternFill>
    </fill>
    <fill>
      <patternFill patternType="solid">
        <fgColor theme="8" tint="0.59996337778862885"/>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4" tint="0.3999450666829432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9"/>
        <bgColor indexed="64"/>
      </patternFill>
    </fill>
  </fills>
  <borders count="1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theme="0" tint="-0.499984740745262"/>
      </left>
      <right style="dashed">
        <color theme="0" tint="-0.499984740745262"/>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499984740745262"/>
      </left>
      <right style="dashed">
        <color theme="0" tint="-0.499984740745262"/>
      </right>
      <top/>
      <bottom style="dashed">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dashed">
        <color theme="0" tint="-0.499984740745262"/>
      </right>
      <top/>
      <bottom style="dashed">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hair">
        <color theme="0" tint="-0.499984740745262"/>
      </right>
      <top/>
      <bottom/>
      <diagonal/>
    </border>
    <border>
      <left/>
      <right/>
      <top style="thin">
        <color indexed="64"/>
      </top>
      <bottom/>
      <diagonal/>
    </border>
    <border>
      <left/>
      <right style="hair">
        <color theme="0" tint="-0.499984740745262"/>
      </right>
      <top style="hair">
        <color theme="0" tint="-0.499984740745262"/>
      </top>
      <bottom style="medium">
        <color theme="4" tint="-0.249977111117893"/>
      </bottom>
      <diagonal/>
    </border>
    <border>
      <left style="hair">
        <color theme="0" tint="-0.499984740745262"/>
      </left>
      <right style="hair">
        <color theme="0" tint="-0.499984740745262"/>
      </right>
      <top style="hair">
        <color theme="0" tint="-0.499984740745262"/>
      </top>
      <bottom style="medium">
        <color theme="4" tint="-0.249977111117893"/>
      </bottom>
      <diagonal/>
    </border>
    <border>
      <left/>
      <right style="dashed">
        <color theme="0" tint="-0.499984740745262"/>
      </right>
      <top style="dashed">
        <color theme="0" tint="-0.499984740745262"/>
      </top>
      <bottom style="medium">
        <color theme="4" tint="-0.249977111117893"/>
      </bottom>
      <diagonal/>
    </border>
    <border>
      <left/>
      <right style="hair">
        <color theme="0" tint="-0.499984740745262"/>
      </right>
      <top/>
      <bottom style="medium">
        <color theme="4" tint="-0.249977111117893"/>
      </bottom>
      <diagonal/>
    </border>
    <border>
      <left/>
      <right style="dashed">
        <color theme="0" tint="-0.499984740745262"/>
      </right>
      <top style="medium">
        <color theme="4" tint="-0.249977111117893"/>
      </top>
      <bottom style="medium">
        <color theme="4" tint="-0.249977111117893"/>
      </bottom>
      <diagonal/>
    </border>
    <border>
      <left/>
      <right style="hair">
        <color theme="0" tint="-0.499984740745262"/>
      </right>
      <top style="medium">
        <color theme="4" tint="-0.249977111117893"/>
      </top>
      <bottom style="medium">
        <color theme="4" tint="-0.249977111117893"/>
      </bottom>
      <diagonal/>
    </border>
    <border>
      <left style="hair">
        <color theme="0" tint="-0.499984740745262"/>
      </left>
      <right style="hair">
        <color theme="0" tint="-0.499984740745262"/>
      </right>
      <top style="medium">
        <color theme="4" tint="-0.249977111117893"/>
      </top>
      <bottom style="medium">
        <color theme="4" tint="-0.249977111117893"/>
      </bottom>
      <diagonal/>
    </border>
    <border>
      <left/>
      <right style="hair">
        <color theme="0" tint="-0.499984740745262"/>
      </right>
      <top style="medium">
        <color theme="4" tint="-0.249977111117893"/>
      </top>
      <bottom/>
      <diagonal/>
    </border>
    <border>
      <left style="hair">
        <color theme="0" tint="-0.499984740745262"/>
      </left>
      <right style="hair">
        <color theme="0" tint="-0.499984740745262"/>
      </right>
      <top style="medium">
        <color theme="4" tint="-0.249977111117893"/>
      </top>
      <bottom style="hair">
        <color theme="0" tint="-0.499984740745262"/>
      </bottom>
      <diagonal/>
    </border>
    <border>
      <left/>
      <right style="dashed">
        <color theme="0" tint="-0.499984740745262"/>
      </right>
      <top style="medium">
        <color theme="4" tint="-0.249977111117893"/>
      </top>
      <bottom style="dashed">
        <color theme="0" tint="-0.499984740745262"/>
      </bottom>
      <diagonal/>
    </border>
    <border>
      <left style="hair">
        <color theme="0" tint="-0.499984740745262"/>
      </left>
      <right style="hair">
        <color theme="0" tint="-0.499984740745262"/>
      </right>
      <top style="hair">
        <color theme="0" tint="-0.499984740745262"/>
      </top>
      <bottom style="medium">
        <color theme="5" tint="-0.249977111117893"/>
      </bottom>
      <diagonal/>
    </border>
    <border>
      <left style="dashed">
        <color theme="0" tint="-0.499984740745262"/>
      </left>
      <right style="dashed">
        <color theme="0" tint="-0.499984740745262"/>
      </right>
      <top style="dashed">
        <color theme="0" tint="-0.499984740745262"/>
      </top>
      <bottom style="medium">
        <color theme="5" tint="-0.249977111117893"/>
      </bottom>
      <diagonal/>
    </border>
    <border>
      <left/>
      <right style="dashed">
        <color theme="0" tint="-0.499984740745262"/>
      </right>
      <top style="dashed">
        <color theme="0" tint="-0.499984740745262"/>
      </top>
      <bottom style="medium">
        <color theme="5" tint="-0.249977111117893"/>
      </bottom>
      <diagonal/>
    </border>
    <border>
      <left/>
      <right/>
      <top/>
      <bottom style="medium">
        <color theme="9"/>
      </bottom>
      <diagonal/>
    </border>
    <border>
      <left style="dashed">
        <color theme="0" tint="-0.499984740745262"/>
      </left>
      <right style="dashed">
        <color theme="0" tint="-0.499984740745262"/>
      </right>
      <top style="dashed">
        <color theme="0" tint="-0.499984740745262"/>
      </top>
      <bottom style="medium">
        <color theme="9"/>
      </bottom>
      <diagonal/>
    </border>
    <border>
      <left style="dashed">
        <color theme="0" tint="-0.499984740745262"/>
      </left>
      <right style="dashed">
        <color theme="0" tint="-0.499984740745262"/>
      </right>
      <top/>
      <bottom style="medium">
        <color theme="9"/>
      </bottom>
      <diagonal/>
    </border>
    <border>
      <left/>
      <right style="dashed">
        <color theme="0" tint="-0.499984740745262"/>
      </right>
      <top style="medium">
        <color theme="9"/>
      </top>
      <bottom style="medium">
        <color theme="9"/>
      </bottom>
      <diagonal/>
    </border>
    <border>
      <left/>
      <right/>
      <top style="medium">
        <color theme="9"/>
      </top>
      <bottom style="medium">
        <color theme="9"/>
      </bottom>
      <diagonal/>
    </border>
    <border>
      <left style="dashed">
        <color theme="0" tint="-0.499984740745262"/>
      </left>
      <right style="dashed">
        <color theme="0" tint="-0.499984740745262"/>
      </right>
      <top style="medium">
        <color theme="9"/>
      </top>
      <bottom style="medium">
        <color theme="9"/>
      </bottom>
      <diagonal/>
    </border>
    <border>
      <left style="dashed">
        <color theme="0" tint="-0.499984740745262"/>
      </left>
      <right style="dashed">
        <color theme="0" tint="-0.499984740745262"/>
      </right>
      <top style="medium">
        <color theme="9"/>
      </top>
      <bottom style="dashed">
        <color theme="0" tint="-0.499984740745262"/>
      </bottom>
      <diagonal/>
    </border>
    <border>
      <left/>
      <right/>
      <top/>
      <bottom style="medium">
        <color theme="6"/>
      </bottom>
      <diagonal/>
    </border>
    <border>
      <left/>
      <right style="dashed">
        <color theme="0" tint="-0.499984740745262"/>
      </right>
      <top style="dashed">
        <color theme="0" tint="-0.499984740745262"/>
      </top>
      <bottom style="medium">
        <color theme="6"/>
      </bottom>
      <diagonal/>
    </border>
    <border>
      <left style="dashed">
        <color theme="0" tint="-0.499984740745262"/>
      </left>
      <right style="dashed">
        <color theme="0" tint="-0.499984740745262"/>
      </right>
      <top style="dashed">
        <color theme="0" tint="-0.499984740745262"/>
      </top>
      <bottom style="medium">
        <color theme="6"/>
      </bottom>
      <diagonal/>
    </border>
    <border>
      <left style="dashed">
        <color theme="0" tint="-0.499984740745262"/>
      </left>
      <right style="dashed">
        <color theme="0" tint="-0.499984740745262"/>
      </right>
      <top/>
      <bottom style="medium">
        <color theme="6"/>
      </bottom>
      <diagonal/>
    </border>
    <border>
      <left/>
      <right style="dashed">
        <color theme="0" tint="-0.499984740745262"/>
      </right>
      <top style="medium">
        <color theme="6"/>
      </top>
      <bottom style="medium">
        <color theme="6"/>
      </bottom>
      <diagonal/>
    </border>
    <border>
      <left/>
      <right/>
      <top style="medium">
        <color theme="6"/>
      </top>
      <bottom style="medium">
        <color theme="6"/>
      </bottom>
      <diagonal/>
    </border>
    <border>
      <left style="dashed">
        <color theme="0" tint="-0.499984740745262"/>
      </left>
      <right style="dashed">
        <color theme="0" tint="-0.499984740745262"/>
      </right>
      <top style="medium">
        <color theme="6"/>
      </top>
      <bottom style="medium">
        <color theme="6"/>
      </bottom>
      <diagonal/>
    </border>
    <border>
      <left style="hair">
        <color theme="0" tint="-0.499984740745262"/>
      </left>
      <right style="hair">
        <color theme="0" tint="-0.499984740745262"/>
      </right>
      <top style="hair">
        <color theme="0" tint="-0.499984740745262"/>
      </top>
      <bottom style="medium">
        <color theme="5"/>
      </bottom>
      <diagonal/>
    </border>
    <border>
      <left style="dashed">
        <color theme="0" tint="-0.499984740745262"/>
      </left>
      <right style="dashed">
        <color theme="0" tint="-0.499984740745262"/>
      </right>
      <top style="dashed">
        <color theme="0" tint="-0.499984740745262"/>
      </top>
      <bottom style="medium">
        <color theme="5"/>
      </bottom>
      <diagonal/>
    </border>
    <border>
      <left/>
      <right style="dashed">
        <color theme="0" tint="-0.499984740745262"/>
      </right>
      <top style="dashed">
        <color theme="0" tint="-0.499984740745262"/>
      </top>
      <bottom style="medium">
        <color theme="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0" tint="-0.499984740745262"/>
      </left>
      <right style="hair">
        <color theme="0" tint="-0.499984740745262"/>
      </right>
      <top style="hair">
        <color theme="0" tint="-0.499984740745262"/>
      </top>
      <bottom/>
      <diagonal/>
    </border>
    <border>
      <left style="dashed">
        <color theme="0" tint="-0.499984740745262"/>
      </left>
      <right style="dashed">
        <color theme="0" tint="-0.499984740745262"/>
      </right>
      <top style="dashed">
        <color theme="0" tint="-0.499984740745262"/>
      </top>
      <bottom/>
      <diagonal/>
    </border>
    <border>
      <left/>
      <right style="dashed">
        <color theme="0" tint="-0.499984740745262"/>
      </right>
      <top style="dashed">
        <color theme="0" tint="-0.499984740745262"/>
      </top>
      <bottom/>
      <diagonal/>
    </border>
    <border>
      <left style="dashed">
        <color theme="0" tint="-0.499984740745262"/>
      </left>
      <right style="dashed">
        <color theme="0" tint="-0.499984740745262"/>
      </right>
      <top/>
      <bottom/>
      <diagonal/>
    </border>
    <border>
      <left style="hair">
        <color theme="0" tint="-0.499984740745262"/>
      </left>
      <right style="hair">
        <color theme="0" tint="-0.499984740745262"/>
      </right>
      <top style="hair">
        <color theme="0" tint="-0.499984740745262"/>
      </top>
      <bottom style="medium">
        <color rgb="FFC00000"/>
      </bottom>
      <diagonal/>
    </border>
    <border>
      <left style="dashed">
        <color theme="0" tint="-0.499984740745262"/>
      </left>
      <right style="dashed">
        <color theme="0" tint="-0.499984740745262"/>
      </right>
      <top style="dashed">
        <color theme="0" tint="-0.499984740745262"/>
      </top>
      <bottom style="medium">
        <color rgb="FFC00000"/>
      </bottom>
      <diagonal/>
    </border>
    <border>
      <left/>
      <right style="dashed">
        <color theme="0" tint="-0.499984740745262"/>
      </right>
      <top style="dashed">
        <color theme="0" tint="-0.499984740745262"/>
      </top>
      <bottom style="medium">
        <color rgb="FFC00000"/>
      </bottom>
      <diagonal/>
    </border>
    <border>
      <left style="hair">
        <color theme="0" tint="-0.499984740745262"/>
      </left>
      <right style="hair">
        <color theme="0" tint="-0.499984740745262"/>
      </right>
      <top/>
      <bottom/>
      <diagonal/>
    </border>
    <border>
      <left/>
      <right style="dashed">
        <color theme="0" tint="-0.499984740745262"/>
      </right>
      <top/>
      <bottom/>
      <diagonal/>
    </border>
    <border>
      <left style="hair">
        <color theme="0" tint="-0.499984740745262"/>
      </left>
      <right style="hair">
        <color theme="0" tint="-0.499984740745262"/>
      </right>
      <top/>
      <bottom style="medium">
        <color theme="4" tint="-0.249977111117893"/>
      </bottom>
      <diagonal/>
    </border>
    <border>
      <left/>
      <right style="dashed">
        <color theme="0" tint="-0.499984740745262"/>
      </right>
      <top/>
      <bottom style="medium">
        <color theme="4" tint="-0.249977111117893"/>
      </bottom>
      <diagonal/>
    </border>
    <border>
      <left/>
      <right/>
      <top/>
      <bottom style="medium">
        <color theme="4" tint="-0.249977111117893"/>
      </bottom>
      <diagonal/>
    </border>
    <border>
      <left style="hair">
        <color theme="0" tint="-0.499984740745262"/>
      </left>
      <right/>
      <top style="hair">
        <color theme="0" tint="-0.499984740745262"/>
      </top>
      <bottom style="medium">
        <color theme="4" tint="-0.249977111117893"/>
      </bottom>
      <diagonal/>
    </border>
    <border>
      <left style="hair">
        <color theme="0" tint="-0.499984740745262"/>
      </left>
      <right/>
      <top/>
      <bottom/>
      <diagonal/>
    </border>
    <border>
      <left/>
      <right style="medium">
        <color theme="4" tint="-0.249977111117893"/>
      </right>
      <top/>
      <bottom/>
      <diagonal/>
    </border>
    <border>
      <left style="dashed">
        <color theme="0" tint="-0.499984740745262"/>
      </left>
      <right style="medium">
        <color theme="4" tint="-0.249977111117893"/>
      </right>
      <top/>
      <bottom style="dashed">
        <color theme="0" tint="-0.499984740745262"/>
      </bottom>
      <diagonal/>
    </border>
    <border>
      <left style="dashed">
        <color theme="0" tint="-0.499984740745262"/>
      </left>
      <right style="medium">
        <color theme="4" tint="-0.249977111117893"/>
      </right>
      <top style="dashed">
        <color theme="0" tint="-0.499984740745262"/>
      </top>
      <bottom style="dashed">
        <color theme="0" tint="-0.499984740745262"/>
      </bottom>
      <diagonal/>
    </border>
    <border>
      <left style="dashed">
        <color theme="0" tint="-0.499984740745262"/>
      </left>
      <right style="medium">
        <color theme="4" tint="-0.249977111117893"/>
      </right>
      <top/>
      <bottom style="medium">
        <color theme="4" tint="-0.249977111117893"/>
      </bottom>
      <diagonal/>
    </border>
    <border>
      <left style="dashed">
        <color theme="0" tint="-0.499984740745262"/>
      </left>
      <right style="medium">
        <color theme="4" tint="-0.249977111117893"/>
      </right>
      <top style="dashed">
        <color theme="0" tint="-0.499984740745262"/>
      </top>
      <bottom style="medium">
        <color theme="4" tint="-0.249977111117893"/>
      </bottom>
      <diagonal/>
    </border>
    <border>
      <left style="dashed">
        <color theme="0" tint="-0.499984740745262"/>
      </left>
      <right style="medium">
        <color theme="4" tint="-0.249977111117893"/>
      </right>
      <top style="medium">
        <color theme="4" tint="-0.249977111117893"/>
      </top>
      <bottom style="medium">
        <color theme="4" tint="-0.249977111117893"/>
      </bottom>
      <diagonal/>
    </border>
    <border>
      <left style="dashed">
        <color theme="0" tint="-0.499984740745262"/>
      </left>
      <right style="medium">
        <color theme="4" tint="-0.249977111117893"/>
      </right>
      <top style="medium">
        <color theme="4" tint="-0.249977111117893"/>
      </top>
      <bottom style="dashed">
        <color theme="0" tint="-0.499984740745262"/>
      </bottom>
      <diagonal/>
    </border>
    <border>
      <left style="dashed">
        <color theme="0" tint="-0.499984740745262"/>
      </left>
      <right style="medium">
        <color theme="5"/>
      </right>
      <top/>
      <bottom style="dashed">
        <color theme="0" tint="-0.499984740745262"/>
      </bottom>
      <diagonal/>
    </border>
    <border>
      <left style="dashed">
        <color theme="0" tint="-0.499984740745262"/>
      </left>
      <right style="medium">
        <color theme="5"/>
      </right>
      <top style="dashed">
        <color theme="0" tint="-0.499984740745262"/>
      </top>
      <bottom style="dashed">
        <color theme="0" tint="-0.499984740745262"/>
      </bottom>
      <diagonal/>
    </border>
    <border>
      <left style="dashed">
        <color theme="0" tint="-0.499984740745262"/>
      </left>
      <right style="medium">
        <color theme="5"/>
      </right>
      <top style="dashed">
        <color theme="0" tint="-0.499984740745262"/>
      </top>
      <bottom style="medium">
        <color rgb="FFC00000"/>
      </bottom>
      <diagonal/>
    </border>
    <border>
      <left style="dashed">
        <color theme="0" tint="-0.499984740745262"/>
      </left>
      <right style="medium">
        <color theme="5"/>
      </right>
      <top style="dashed">
        <color theme="0" tint="-0.499984740745262"/>
      </top>
      <bottom/>
      <diagonal/>
    </border>
    <border>
      <left style="dashed">
        <color theme="0" tint="-0.499984740745262"/>
      </left>
      <right style="medium">
        <color theme="5"/>
      </right>
      <top style="dashed">
        <color theme="0" tint="-0.499984740745262"/>
      </top>
      <bottom style="medium">
        <color theme="5" tint="-0.249977111117893"/>
      </bottom>
      <diagonal/>
    </border>
    <border>
      <left style="dashed">
        <color theme="0" tint="-0.499984740745262"/>
      </left>
      <right style="medium">
        <color theme="5"/>
      </right>
      <top style="dashed">
        <color theme="0" tint="-0.499984740745262"/>
      </top>
      <bottom style="medium">
        <color theme="5"/>
      </bottom>
      <diagonal/>
    </border>
    <border>
      <left/>
      <right style="medium">
        <color theme="5"/>
      </right>
      <top/>
      <bottom/>
      <diagonal/>
    </border>
    <border>
      <left style="medium">
        <color theme="5"/>
      </left>
      <right/>
      <top/>
      <bottom/>
      <diagonal/>
    </border>
    <border>
      <left style="medium">
        <color theme="5"/>
      </left>
      <right style="hair">
        <color theme="0" tint="-0.499984740745262"/>
      </right>
      <top/>
      <bottom/>
      <diagonal/>
    </border>
    <border>
      <left style="medium">
        <color theme="5"/>
      </left>
      <right style="hair">
        <color theme="0" tint="-0.499984740745262"/>
      </right>
      <top/>
      <bottom style="medium">
        <color rgb="FFC00000"/>
      </bottom>
      <diagonal/>
    </border>
    <border>
      <left style="medium">
        <color theme="5"/>
      </left>
      <right style="hair">
        <color theme="0" tint="-0.499984740745262"/>
      </right>
      <top/>
      <bottom style="medium">
        <color theme="5" tint="-0.249977111117893"/>
      </bottom>
      <diagonal/>
    </border>
    <border>
      <left style="medium">
        <color theme="5"/>
      </left>
      <right style="hair">
        <color theme="0" tint="-0.499984740745262"/>
      </right>
      <top/>
      <bottom style="medium">
        <color theme="5"/>
      </bottom>
      <diagonal/>
    </border>
    <border>
      <left/>
      <right style="dashed">
        <color theme="0" tint="-0.499984740745262"/>
      </right>
      <top style="dashed">
        <color theme="0" tint="-0.499984740745262"/>
      </top>
      <bottom style="medium">
        <color theme="9"/>
      </bottom>
      <diagonal/>
    </border>
    <border>
      <left/>
      <right style="medium">
        <color theme="9"/>
      </right>
      <top/>
      <bottom/>
      <diagonal/>
    </border>
    <border>
      <left style="dashed">
        <color theme="0" tint="-0.499984740745262"/>
      </left>
      <right style="medium">
        <color theme="9"/>
      </right>
      <top/>
      <bottom style="dashed">
        <color theme="0" tint="-0.499984740745262"/>
      </bottom>
      <diagonal/>
    </border>
    <border>
      <left style="dashed">
        <color theme="0" tint="-0.499984740745262"/>
      </left>
      <right style="medium">
        <color theme="9"/>
      </right>
      <top/>
      <bottom style="medium">
        <color theme="9"/>
      </bottom>
      <diagonal/>
    </border>
    <border>
      <left style="dashed">
        <color theme="0" tint="-0.499984740745262"/>
      </left>
      <right style="medium">
        <color theme="9"/>
      </right>
      <top style="medium">
        <color theme="9"/>
      </top>
      <bottom style="medium">
        <color theme="9"/>
      </bottom>
      <diagonal/>
    </border>
    <border>
      <left/>
      <right style="dashed">
        <color theme="0" tint="-0.499984740745262"/>
      </right>
      <top/>
      <bottom style="medium">
        <color theme="9"/>
      </bottom>
      <diagonal/>
    </border>
    <border>
      <left/>
      <right style="dashed">
        <color theme="0" tint="-0.499984740745262"/>
      </right>
      <top style="medium">
        <color theme="9"/>
      </top>
      <bottom style="dashed">
        <color theme="0" tint="-0.499984740745262"/>
      </bottom>
      <diagonal/>
    </border>
    <border>
      <left style="dashed">
        <color theme="0" tint="-0.499984740745262"/>
      </left>
      <right style="medium">
        <color theme="9"/>
      </right>
      <top style="medium">
        <color theme="9"/>
      </top>
      <bottom style="dashed">
        <color theme="0" tint="-0.499984740745262"/>
      </bottom>
      <diagonal/>
    </border>
    <border>
      <left style="dashed">
        <color theme="0" tint="-0.499984740745262"/>
      </left>
      <right style="medium">
        <color theme="9"/>
      </right>
      <top style="dashed">
        <color theme="0" tint="-0.499984740745262"/>
      </top>
      <bottom/>
      <diagonal/>
    </border>
    <border>
      <left style="dashed">
        <color theme="0" tint="-0.499984740745262"/>
      </left>
      <right style="medium">
        <color theme="9"/>
      </right>
      <top style="dashed">
        <color theme="0" tint="-0.499984740745262"/>
      </top>
      <bottom style="dashed">
        <color theme="0" tint="-0.499984740745262"/>
      </bottom>
      <diagonal/>
    </border>
    <border>
      <left style="dashed">
        <color theme="0" tint="-0.499984740745262"/>
      </left>
      <right style="medium">
        <color theme="9"/>
      </right>
      <top style="dashed">
        <color theme="0" tint="-0.499984740745262"/>
      </top>
      <bottom style="medium">
        <color theme="9"/>
      </bottom>
      <diagonal/>
    </border>
    <border>
      <left style="dashed">
        <color theme="0" tint="-0.499984740745262"/>
      </left>
      <right style="medium">
        <color theme="9"/>
      </right>
      <top/>
      <bottom/>
      <diagonal/>
    </border>
    <border>
      <left/>
      <right style="medium">
        <color theme="9"/>
      </right>
      <top/>
      <bottom style="dashed">
        <color theme="0" tint="-0.499984740745262"/>
      </bottom>
      <diagonal/>
    </border>
    <border>
      <left/>
      <right style="medium">
        <color theme="9"/>
      </right>
      <top style="dashed">
        <color theme="0" tint="-0.499984740745262"/>
      </top>
      <bottom style="dashed">
        <color theme="0" tint="-0.499984740745262"/>
      </bottom>
      <diagonal/>
    </border>
    <border>
      <left style="medium">
        <color theme="4" tint="-0.249977111117893"/>
      </left>
      <right style="medium">
        <color theme="4" tint="-0.249977111117893"/>
      </right>
      <top/>
      <bottom/>
      <diagonal/>
    </border>
    <border>
      <left style="medium">
        <color theme="4" tint="-0.249977111117893"/>
      </left>
      <right style="dotted">
        <color theme="4" tint="-0.249977111117893"/>
      </right>
      <top/>
      <bottom style="dashed">
        <color theme="0" tint="-0.499984740745262"/>
      </bottom>
      <diagonal/>
    </border>
    <border>
      <left/>
      <right style="medium">
        <color theme="4" tint="-0.249977111117893"/>
      </right>
      <top style="dashed">
        <color theme="0" tint="-0.499984740745262"/>
      </top>
      <bottom style="dashed">
        <color theme="0" tint="-0.499984740745262"/>
      </bottom>
      <diagonal/>
    </border>
    <border>
      <left style="medium">
        <color theme="4" tint="-0.249977111117893"/>
      </left>
      <right style="dotted">
        <color theme="4" tint="-0.249977111117893"/>
      </right>
      <top style="dashed">
        <color theme="0" tint="-0.499984740745262"/>
      </top>
      <bottom style="dashed">
        <color theme="0" tint="-0.499984740745262"/>
      </bottom>
      <diagonal/>
    </border>
    <border>
      <left style="medium">
        <color theme="4" tint="-0.249977111117893"/>
      </left>
      <right style="dotted">
        <color theme="4" tint="-0.249977111117893"/>
      </right>
      <top style="dashed">
        <color theme="0" tint="-0.499984740745262"/>
      </top>
      <bottom style="medium">
        <color theme="4" tint="-0.249977111117893"/>
      </bottom>
      <diagonal/>
    </border>
    <border>
      <left/>
      <right style="medium">
        <color theme="4" tint="-0.249977111117893"/>
      </right>
      <top/>
      <bottom style="dashed">
        <color theme="0" tint="-0.499984740745262"/>
      </bottom>
      <diagonal/>
    </border>
    <border>
      <left/>
      <right style="medium">
        <color theme="4" tint="-0.249977111117893"/>
      </right>
      <top/>
      <bottom style="medium">
        <color theme="4" tint="-0.249977111117893"/>
      </bottom>
      <diagonal/>
    </border>
    <border>
      <left/>
      <right style="medium">
        <color theme="4" tint="-0.249977111117893"/>
      </right>
      <top style="dashed">
        <color theme="0" tint="-0.499984740745262"/>
      </top>
      <bottom style="medium">
        <color theme="4" tint="-0.249977111117893"/>
      </bottom>
      <diagonal/>
    </border>
    <border>
      <left style="medium">
        <color theme="4" tint="-0.249977111117893"/>
      </left>
      <right style="dotted">
        <color theme="4" tint="-0.249977111117893"/>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style="medium">
        <color theme="4" tint="-0.249977111117893"/>
      </right>
      <top style="medium">
        <color theme="4" tint="-0.249977111117893"/>
      </top>
      <bottom style="dashed">
        <color theme="0" tint="-0.499984740745262"/>
      </bottom>
      <diagonal/>
    </border>
    <border>
      <left style="medium">
        <color theme="4" tint="-0.249977111117893"/>
      </left>
      <right style="dotted">
        <color theme="4" tint="-0.249977111117893"/>
      </right>
      <top style="medium">
        <color theme="4" tint="-0.249977111117893"/>
      </top>
      <bottom style="dashed">
        <color theme="0" tint="-0.499984740745262"/>
      </bottom>
      <diagonal/>
    </border>
    <border>
      <left style="dashed">
        <color theme="0" tint="-0.499984740745262"/>
      </left>
      <right style="medium">
        <color theme="4" tint="-0.249977111117893"/>
      </right>
      <top style="dotted">
        <color theme="4" tint="-0.249977111117893"/>
      </top>
      <bottom style="dotted">
        <color theme="4" tint="-0.249977111117893"/>
      </bottom>
      <diagonal/>
    </border>
    <border>
      <left/>
      <right style="medium">
        <color theme="5"/>
      </right>
      <top/>
      <bottom style="dashed">
        <color theme="0" tint="-0.499984740745262"/>
      </bottom>
      <diagonal/>
    </border>
    <border>
      <left/>
      <right style="medium">
        <color theme="5"/>
      </right>
      <top style="dashed">
        <color theme="0" tint="-0.499984740745262"/>
      </top>
      <bottom style="dashed">
        <color theme="0" tint="-0.499984740745262"/>
      </bottom>
      <diagonal/>
    </border>
    <border>
      <left/>
      <right style="medium">
        <color theme="5"/>
      </right>
      <top style="dashed">
        <color theme="0" tint="-0.499984740745262"/>
      </top>
      <bottom style="medium">
        <color rgb="FFC00000"/>
      </bottom>
      <diagonal/>
    </border>
    <border>
      <left/>
      <right style="medium">
        <color theme="5"/>
      </right>
      <top style="dashed">
        <color theme="0" tint="-0.499984740745262"/>
      </top>
      <bottom/>
      <diagonal/>
    </border>
    <border>
      <left/>
      <right style="medium">
        <color theme="5"/>
      </right>
      <top style="dashed">
        <color theme="0" tint="-0.499984740745262"/>
      </top>
      <bottom style="medium">
        <color theme="5" tint="-0.249977111117893"/>
      </bottom>
      <diagonal/>
    </border>
    <border>
      <left/>
      <right style="medium">
        <color theme="5"/>
      </right>
      <top style="dashed">
        <color theme="0" tint="-0.499984740745262"/>
      </top>
      <bottom style="medium">
        <color theme="5"/>
      </bottom>
      <diagonal/>
    </border>
    <border>
      <left style="dashed">
        <color theme="0" tint="-0.499984740745262"/>
      </left>
      <right style="dotted">
        <color theme="4" tint="-0.249977111117893"/>
      </right>
      <top/>
      <bottom style="dashed">
        <color theme="0" tint="-0.499984740745262"/>
      </bottom>
      <diagonal/>
    </border>
    <border>
      <left style="dashed">
        <color theme="0" tint="-0.499984740745262"/>
      </left>
      <right style="dotted">
        <color theme="4" tint="-0.249977111117893"/>
      </right>
      <top style="dashed">
        <color theme="0" tint="-0.499984740745262"/>
      </top>
      <bottom style="dashed">
        <color theme="0" tint="-0.499984740745262"/>
      </bottom>
      <diagonal/>
    </border>
    <border>
      <left style="dashed">
        <color theme="0" tint="-0.499984740745262"/>
      </left>
      <right style="dotted">
        <color theme="4" tint="-0.249977111117893"/>
      </right>
      <top style="dashed">
        <color theme="0" tint="-0.499984740745262"/>
      </top>
      <bottom style="medium">
        <color rgb="FFC00000"/>
      </bottom>
      <diagonal/>
    </border>
    <border>
      <left style="dashed">
        <color theme="0" tint="-0.499984740745262"/>
      </left>
      <right style="dotted">
        <color theme="4" tint="-0.249977111117893"/>
      </right>
      <top style="dashed">
        <color theme="0" tint="-0.499984740745262"/>
      </top>
      <bottom/>
      <diagonal/>
    </border>
    <border>
      <left style="dashed">
        <color theme="0" tint="-0.499984740745262"/>
      </left>
      <right style="dotted">
        <color theme="4" tint="-0.249977111117893"/>
      </right>
      <top style="dashed">
        <color theme="0" tint="-0.499984740745262"/>
      </top>
      <bottom style="medium">
        <color theme="5" tint="-0.249977111117893"/>
      </bottom>
      <diagonal/>
    </border>
    <border>
      <left style="dashed">
        <color theme="0" tint="-0.499984740745262"/>
      </left>
      <right style="dotted">
        <color theme="4" tint="-0.249977111117893"/>
      </right>
      <top style="dashed">
        <color theme="0" tint="-0.499984740745262"/>
      </top>
      <bottom style="medium">
        <color theme="5"/>
      </bottom>
      <diagonal/>
    </border>
    <border>
      <left style="medium">
        <color theme="9"/>
      </left>
      <right style="dotted">
        <color theme="4" tint="-0.249977111117893"/>
      </right>
      <top style="dashed">
        <color theme="0" tint="-0.499984740745262"/>
      </top>
      <bottom style="medium">
        <color theme="9"/>
      </bottom>
      <diagonal/>
    </border>
    <border>
      <left style="medium">
        <color theme="9"/>
      </left>
      <right style="dotted">
        <color theme="4" tint="-0.249977111117893"/>
      </right>
      <top style="dashed">
        <color theme="0" tint="-0.499984740745262"/>
      </top>
      <bottom style="dashed">
        <color theme="0" tint="-0.499984740745262"/>
      </bottom>
      <diagonal/>
    </border>
    <border>
      <left style="medium">
        <color theme="9"/>
      </left>
      <right style="dotted">
        <color theme="4" tint="-0.249977111117893"/>
      </right>
      <top/>
      <bottom/>
      <diagonal/>
    </border>
    <border>
      <left style="medium">
        <color theme="9"/>
      </left>
      <right style="dotted">
        <color theme="4" tint="-0.249977111117893"/>
      </right>
      <top/>
      <bottom style="dashed">
        <color theme="0" tint="-0.499984740745262"/>
      </bottom>
      <diagonal/>
    </border>
    <border>
      <left style="medium">
        <color theme="9"/>
      </left>
      <right style="dotted">
        <color theme="4" tint="-0.249977111117893"/>
      </right>
      <top style="medium">
        <color theme="9"/>
      </top>
      <bottom style="medium">
        <color theme="9"/>
      </bottom>
      <diagonal/>
    </border>
    <border>
      <left style="medium">
        <color theme="9"/>
      </left>
      <right style="dotted">
        <color theme="4" tint="-0.249977111117893"/>
      </right>
      <top/>
      <bottom style="medium">
        <color theme="9"/>
      </bottom>
      <diagonal/>
    </border>
    <border>
      <left style="medium">
        <color theme="9"/>
      </left>
      <right style="dotted">
        <color theme="4" tint="-0.249977111117893"/>
      </right>
      <top style="dashed">
        <color theme="0" tint="-0.499984740745262"/>
      </top>
      <bottom/>
      <diagonal/>
    </border>
    <border>
      <left style="medium">
        <color theme="9"/>
      </left>
      <right style="dotted">
        <color theme="4" tint="-0.249977111117893"/>
      </right>
      <top style="medium">
        <color theme="9"/>
      </top>
      <bottom style="dashed">
        <color theme="0" tint="-0.499984740745262"/>
      </bottom>
      <diagonal/>
    </border>
    <border>
      <left/>
      <right style="medium">
        <color theme="9"/>
      </right>
      <top style="dashed">
        <color theme="0" tint="-0.499984740745262"/>
      </top>
      <bottom/>
      <diagonal/>
    </border>
    <border>
      <left style="dotted">
        <color theme="4" tint="-0.249977111117893"/>
      </left>
      <right style="medium">
        <color theme="9"/>
      </right>
      <top style="dashed">
        <color theme="0" tint="-0.499984740745262"/>
      </top>
      <bottom/>
      <diagonal/>
    </border>
    <border>
      <left style="dotted">
        <color theme="4" tint="-0.249977111117893"/>
      </left>
      <right style="medium">
        <color theme="9"/>
      </right>
      <top/>
      <bottom style="dashed">
        <color theme="0" tint="-0.499984740745262"/>
      </bottom>
      <diagonal/>
    </border>
    <border>
      <left style="dotted">
        <color theme="4" tint="-0.249977111117893"/>
      </left>
      <right style="medium">
        <color theme="9"/>
      </right>
      <top/>
      <bottom style="medium">
        <color theme="9"/>
      </bottom>
      <diagonal/>
    </border>
    <border>
      <left style="dotted">
        <color theme="4" tint="-0.249977111117893"/>
      </left>
      <right style="medium">
        <color theme="9"/>
      </right>
      <top style="dashed">
        <color theme="0" tint="-0.499984740745262"/>
      </top>
      <bottom style="medium">
        <color theme="9"/>
      </bottom>
      <diagonal/>
    </border>
    <border>
      <left style="dotted">
        <color theme="4" tint="-0.249977111117893"/>
      </left>
      <right style="medium">
        <color theme="9"/>
      </right>
      <top style="dashed">
        <color theme="0" tint="-0.499984740745262"/>
      </top>
      <bottom style="dashed">
        <color theme="0" tint="-0.499984740745262"/>
      </bottom>
      <diagonal/>
    </border>
    <border>
      <left style="dotted">
        <color theme="4" tint="-0.249977111117893"/>
      </left>
      <right style="medium">
        <color theme="9"/>
      </right>
      <top style="medium">
        <color theme="9"/>
      </top>
      <bottom style="medium">
        <color theme="9"/>
      </bottom>
      <diagonal/>
    </border>
    <border>
      <left style="dotted">
        <color theme="4" tint="-0.249977111117893"/>
      </left>
      <right style="medium">
        <color theme="9"/>
      </right>
      <top/>
      <bottom/>
      <diagonal/>
    </border>
    <border>
      <left style="dotted">
        <color theme="4" tint="-0.249977111117893"/>
      </left>
      <right style="medium">
        <color theme="9"/>
      </right>
      <top style="medium">
        <color theme="9"/>
      </top>
      <bottom style="dashed">
        <color theme="0" tint="-0.499984740745262"/>
      </bottom>
      <diagonal/>
    </border>
    <border>
      <left style="dashed">
        <color theme="0" tint="-0.499984740745262"/>
      </left>
      <right style="medium">
        <color theme="6"/>
      </right>
      <top/>
      <bottom style="dashed">
        <color theme="0" tint="-0.499984740745262"/>
      </bottom>
      <diagonal/>
    </border>
    <border>
      <left style="dashed">
        <color theme="0" tint="-0.499984740745262"/>
      </left>
      <right style="medium">
        <color theme="6"/>
      </right>
      <top style="dashed">
        <color theme="0" tint="-0.499984740745262"/>
      </top>
      <bottom style="medium">
        <color theme="6"/>
      </bottom>
      <diagonal/>
    </border>
    <border>
      <left/>
      <right style="dashed">
        <color theme="0" tint="-0.499984740745262"/>
      </right>
      <top/>
      <bottom style="medium">
        <color theme="6"/>
      </bottom>
      <diagonal/>
    </border>
    <border>
      <left style="dashed">
        <color theme="0" tint="-0.499984740745262"/>
      </left>
      <right style="medium">
        <color theme="6"/>
      </right>
      <top style="dashed">
        <color theme="0" tint="-0.499984740745262"/>
      </top>
      <bottom style="dashed">
        <color theme="0" tint="-0.499984740745262"/>
      </bottom>
      <diagonal/>
    </border>
    <border>
      <left style="dashed">
        <color theme="0" tint="-0.499984740745262"/>
      </left>
      <right style="medium">
        <color theme="6"/>
      </right>
      <top style="dashed">
        <color theme="0" tint="-0.499984740745262"/>
      </top>
      <bottom/>
      <diagonal/>
    </border>
    <border>
      <left style="dashed">
        <color theme="0" tint="-0.499984740745262"/>
      </left>
      <right style="medium">
        <color theme="6"/>
      </right>
      <top style="medium">
        <color theme="6"/>
      </top>
      <bottom style="medium">
        <color theme="6"/>
      </bottom>
      <diagonal/>
    </border>
    <border>
      <left style="medium">
        <color theme="6"/>
      </left>
      <right style="dashed">
        <color theme="0" tint="-0.499984740745262"/>
      </right>
      <top style="dashed">
        <color theme="0" tint="-0.499984740745262"/>
      </top>
      <bottom style="medium">
        <color theme="6"/>
      </bottom>
      <diagonal/>
    </border>
    <border>
      <left/>
      <right style="medium">
        <color theme="6"/>
      </right>
      <top/>
      <bottom/>
      <diagonal/>
    </border>
    <border>
      <left/>
      <right style="medium">
        <color theme="6"/>
      </right>
      <top style="dashed">
        <color theme="0" tint="-0.499984740745262"/>
      </top>
      <bottom style="medium">
        <color theme="6"/>
      </bottom>
      <diagonal/>
    </border>
    <border>
      <left/>
      <right style="medium">
        <color theme="6"/>
      </right>
      <top style="dashed">
        <color theme="0" tint="-0.499984740745262"/>
      </top>
      <bottom style="dashed">
        <color theme="0" tint="-0.499984740745262"/>
      </bottom>
      <diagonal/>
    </border>
    <border>
      <left/>
      <right style="medium">
        <color theme="6"/>
      </right>
      <top/>
      <bottom style="dashed">
        <color theme="0" tint="-0.499984740745262"/>
      </bottom>
      <diagonal/>
    </border>
    <border>
      <left style="dashed">
        <color theme="0" tint="-0.499984740745262"/>
      </left>
      <right style="medium">
        <color theme="6"/>
      </right>
      <top/>
      <bottom style="medium">
        <color theme="6"/>
      </bottom>
      <diagonal/>
    </border>
    <border>
      <left style="medium">
        <color theme="9"/>
      </left>
      <right style="dotted">
        <color theme="4" tint="-0.249977111117893"/>
      </right>
      <top style="dashed">
        <color theme="0" tint="-0.499984740745262"/>
      </top>
      <bottom style="dotted">
        <color theme="0" tint="-0.499984740745262"/>
      </bottom>
      <diagonal/>
    </border>
    <border>
      <left style="dotted">
        <color theme="4" tint="-0.249977111117893"/>
      </left>
      <right style="medium">
        <color theme="9"/>
      </right>
      <top style="dashed">
        <color theme="0" tint="-0.499984740745262"/>
      </top>
      <bottom style="dotted">
        <color theme="0" tint="-0.499984740745262"/>
      </bottom>
      <diagonal/>
    </border>
    <border>
      <left style="medium">
        <color theme="9"/>
      </left>
      <right style="dashed">
        <color theme="0" tint="-0.499984740745262"/>
      </right>
      <top style="dashed">
        <color theme="0" tint="-0.499984740745262"/>
      </top>
      <bottom style="dotted">
        <color theme="0" tint="-0.499984740745262"/>
      </bottom>
      <diagonal/>
    </border>
    <border>
      <left style="dashed">
        <color theme="0" tint="-0.499984740745262"/>
      </left>
      <right style="dashed">
        <color theme="0" tint="-0.499984740745262"/>
      </right>
      <top style="dashed">
        <color theme="0" tint="-0.499984740745262"/>
      </top>
      <bottom style="dotted">
        <color theme="0" tint="-0.499984740745262"/>
      </bottom>
      <diagonal/>
    </border>
    <border>
      <left style="dashed">
        <color theme="0" tint="-0.499984740745262"/>
      </left>
      <right style="medium">
        <color theme="9"/>
      </right>
      <top style="dashed">
        <color theme="0" tint="-0.499984740745262"/>
      </top>
      <bottom style="dotted">
        <color theme="0" tint="-0.499984740745262"/>
      </bottom>
      <diagonal/>
    </border>
    <border>
      <left style="medium">
        <color theme="4" tint="-0.249977111117893"/>
      </left>
      <right style="dashed">
        <color theme="0" tint="-0.499984740745262"/>
      </right>
      <top style="dashed">
        <color theme="0" tint="-0.499984740745262"/>
      </top>
      <bottom style="medium">
        <color theme="4" tint="-0.249977111117893"/>
      </bottom>
      <diagonal/>
    </border>
    <border>
      <left style="medium">
        <color theme="4" tint="-0.249977111117893"/>
      </left>
      <right style="dotted">
        <color theme="0" tint="-0.499984740745262"/>
      </right>
      <top style="medium">
        <color theme="4" tint="-0.249977111117893"/>
      </top>
      <bottom style="dashed">
        <color theme="0" tint="-0.499984740745262"/>
      </bottom>
      <diagonal/>
    </border>
    <border>
      <left style="medium">
        <color theme="4" tint="-0.249977111117893"/>
      </left>
      <right style="dotted">
        <color theme="0" tint="-0.499984740745262"/>
      </right>
      <top style="dashed">
        <color theme="0" tint="-0.499984740745262"/>
      </top>
      <bottom style="dashed">
        <color theme="0" tint="-0.499984740745262"/>
      </bottom>
      <diagonal/>
    </border>
    <border>
      <left style="medium">
        <color theme="4" tint="-0.249977111117893"/>
      </left>
      <right style="dotted">
        <color theme="0" tint="-0.499984740745262"/>
      </right>
      <top/>
      <bottom style="medium">
        <color theme="4" tint="-0.249977111117893"/>
      </bottom>
      <diagonal/>
    </border>
    <border>
      <left style="medium">
        <color theme="4" tint="-0.249977111117893"/>
      </left>
      <right style="dotted">
        <color theme="0" tint="-0.499984740745262"/>
      </right>
      <top/>
      <bottom style="dashed">
        <color theme="0" tint="-0.499984740745262"/>
      </bottom>
      <diagonal/>
    </border>
    <border>
      <left style="medium">
        <color theme="4" tint="-0.249977111117893"/>
      </left>
      <right style="dotted">
        <color theme="0" tint="-0.499984740745262"/>
      </right>
      <top style="dashed">
        <color theme="0" tint="-0.499984740745262"/>
      </top>
      <bottom style="medium">
        <color theme="4" tint="-0.249977111117893"/>
      </bottom>
      <diagonal/>
    </border>
    <border>
      <left style="dotted">
        <color theme="0" tint="-0.499984740745262"/>
      </left>
      <right style="medium">
        <color theme="4" tint="-0.249977111117893"/>
      </right>
      <top style="medium">
        <color theme="4" tint="-0.249977111117893"/>
      </top>
      <bottom style="dashed">
        <color theme="0" tint="-0.499984740745262"/>
      </bottom>
      <diagonal/>
    </border>
    <border>
      <left style="medium">
        <color theme="4" tint="-0.249977111117893"/>
      </left>
      <right style="dashed">
        <color theme="0" tint="-0.499984740745262"/>
      </right>
      <top style="medium">
        <color theme="4" tint="-0.249977111117893"/>
      </top>
      <bottom style="dashed">
        <color theme="0" tint="-0.499984740745262"/>
      </bottom>
      <diagonal/>
    </border>
    <border>
      <left style="medium">
        <color theme="4" tint="-0.249977111117893"/>
      </left>
      <right style="dashed">
        <color theme="0" tint="-0.34998626667073579"/>
      </right>
      <top style="medium">
        <color theme="4" tint="-0.249977111117893"/>
      </top>
      <bottom style="dashed">
        <color theme="0" tint="-0.499984740745262"/>
      </bottom>
      <diagonal/>
    </border>
    <border>
      <left/>
      <right/>
      <top/>
      <bottom style="dotted">
        <color theme="4" tint="-0.249977111117893"/>
      </bottom>
      <diagonal/>
    </border>
    <border>
      <left style="medium">
        <color theme="4" tint="-0.249977111117893"/>
      </left>
      <right/>
      <top/>
      <bottom/>
      <diagonal/>
    </border>
    <border>
      <left style="medium">
        <color theme="9"/>
      </left>
      <right/>
      <top style="dashed">
        <color theme="0" tint="-0.499984740745262"/>
      </top>
      <bottom style="medium">
        <color theme="9"/>
      </bottom>
      <diagonal/>
    </border>
    <border>
      <left/>
      <right/>
      <top style="dashed">
        <color theme="0" tint="-0.499984740745262"/>
      </top>
      <bottom style="medium">
        <color theme="9"/>
      </bottom>
      <diagonal/>
    </border>
    <border>
      <left style="medium">
        <color theme="4" tint="-0.249977111117893"/>
      </left>
      <right style="dotted">
        <color theme="0" tint="-0.499984740745262"/>
      </right>
      <top style="medium">
        <color theme="4" tint="-0.249977111117893"/>
      </top>
      <bottom style="medium">
        <color theme="4" tint="-0.249977111117893"/>
      </bottom>
      <diagonal/>
    </border>
    <border>
      <left style="dotted">
        <color theme="0" tint="-0.499984740745262"/>
      </left>
      <right style="medium">
        <color theme="4" tint="-0.249977111117893"/>
      </right>
      <top style="medium">
        <color theme="4" tint="-0.249977111117893"/>
      </top>
      <bottom style="medium">
        <color theme="4" tint="-0.249977111117893"/>
      </bottom>
      <diagonal/>
    </border>
    <border>
      <left style="medium">
        <color theme="4" tint="-0.249977111117893"/>
      </left>
      <right style="dashed">
        <color theme="0" tint="-0.499984740745262"/>
      </right>
      <top style="medium">
        <color theme="4" tint="-0.249977111117893"/>
      </top>
      <bottom style="medium">
        <color theme="4" tint="-0.249977111117893"/>
      </bottom>
      <diagonal/>
    </border>
    <border>
      <left style="dashed">
        <color theme="0" tint="-0.499984740745262"/>
      </left>
      <right style="dashed">
        <color theme="0" tint="-0.499984740745262"/>
      </right>
      <top style="medium">
        <color theme="4" tint="-0.249977111117893"/>
      </top>
      <bottom style="medium">
        <color theme="4" tint="-0.249977111117893"/>
      </bottom>
      <diagonal/>
    </border>
    <border>
      <left style="hair">
        <color theme="0" tint="-0.499984740745262"/>
      </left>
      <right style="hair">
        <color theme="0" tint="-0.499984740745262"/>
      </right>
      <top style="medium">
        <color theme="4" tint="-0.249977111117893"/>
      </top>
      <bottom style="hair">
        <color theme="0" tint="-0.34998626667073579"/>
      </bottom>
      <diagonal/>
    </border>
    <border>
      <left style="hair">
        <color theme="0" tint="-0.499984740745262"/>
      </left>
      <right style="medium">
        <color theme="4" tint="-0.249977111117893"/>
      </right>
      <top style="medium">
        <color theme="4" tint="-0.249977111117893"/>
      </top>
      <bottom style="hair">
        <color theme="0" tint="-0.34998626667073579"/>
      </bottom>
      <diagonal/>
    </border>
    <border>
      <left style="medium">
        <color theme="4" tint="-0.249977111117893"/>
      </left>
      <right style="dashed">
        <color theme="0" tint="-0.34998626667073579"/>
      </right>
      <top/>
      <bottom style="dashed">
        <color theme="0" tint="-0.499984740745262"/>
      </bottom>
      <diagonal/>
    </border>
  </borders>
  <cellStyleXfs count="215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xf numFmtId="0" fontId="1" fillId="0" borderId="0"/>
    <xf numFmtId="43" fontId="22" fillId="0" borderId="0" applyFont="0" applyFill="0" applyBorder="0" applyAlignment="0" applyProtection="0"/>
    <xf numFmtId="0" fontId="21" fillId="0" borderId="0"/>
    <xf numFmtId="43" fontId="21"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6" fillId="0" borderId="0"/>
    <xf numFmtId="0" fontId="21" fillId="0" borderId="0"/>
    <xf numFmtId="0" fontId="21" fillId="0" borderId="0"/>
    <xf numFmtId="0" fontId="21" fillId="0" borderId="0"/>
    <xf numFmtId="0" fontId="21" fillId="0" borderId="0"/>
    <xf numFmtId="0" fontId="21" fillId="0" borderId="0"/>
    <xf numFmtId="0" fontId="21" fillId="0" borderId="0"/>
    <xf numFmtId="0" fontId="24" fillId="0" borderId="0"/>
    <xf numFmtId="0" fontId="27" fillId="0" borderId="0"/>
    <xf numFmtId="0" fontId="24" fillId="0" borderId="0"/>
    <xf numFmtId="0" fontId="24" fillId="0" borderId="0"/>
    <xf numFmtId="0" fontId="30" fillId="0" borderId="0"/>
    <xf numFmtId="0" fontId="24" fillId="0" borderId="0"/>
    <xf numFmtId="0" fontId="30" fillId="0" borderId="0"/>
    <xf numFmtId="0" fontId="24" fillId="0" borderId="0"/>
    <xf numFmtId="0" fontId="30" fillId="0" borderId="0"/>
    <xf numFmtId="0" fontId="30" fillId="0" borderId="0"/>
    <xf numFmtId="0" fontId="30" fillId="0" borderId="0"/>
    <xf numFmtId="0" fontId="24" fillId="0" borderId="0"/>
    <xf numFmtId="0" fontId="24"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4" fillId="0" borderId="0"/>
    <xf numFmtId="0" fontId="30" fillId="0" borderId="0"/>
    <xf numFmtId="0" fontId="24" fillId="0" borderId="0"/>
    <xf numFmtId="0" fontId="24" fillId="0" borderId="0"/>
    <xf numFmtId="0" fontId="24" fillId="0" borderId="0"/>
    <xf numFmtId="0" fontId="30" fillId="0" borderId="0"/>
    <xf numFmtId="0" fontId="30" fillId="0" borderId="0"/>
    <xf numFmtId="0" fontId="24" fillId="0" borderId="0"/>
    <xf numFmtId="0" fontId="24"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5" fillId="0" borderId="0"/>
    <xf numFmtId="0" fontId="25" fillId="0" borderId="0"/>
    <xf numFmtId="0" fontId="24"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3" fillId="0" borderId="0" applyNumberFormat="0" applyFill="0" applyBorder="0" applyAlignment="0" applyProtection="0"/>
    <xf numFmtId="0" fontId="1" fillId="0" borderId="0"/>
    <xf numFmtId="43" fontId="21" fillId="0" borderId="0" applyFont="0" applyFill="0" applyBorder="0" applyAlignment="0" applyProtection="0"/>
    <xf numFmtId="44" fontId="21" fillId="0" borderId="0" applyFont="0" applyFill="0" applyBorder="0" applyAlignment="0" applyProtection="0"/>
    <xf numFmtId="9" fontId="21" fillId="0" borderId="0" applyFont="0" applyFill="0" applyBorder="0" applyAlignment="0" applyProtection="0"/>
    <xf numFmtId="0" fontId="31" fillId="17" borderId="0" applyNumberFormat="0" applyBorder="0" applyAlignment="0" applyProtection="0"/>
    <xf numFmtId="0" fontId="31" fillId="29" borderId="0" applyNumberFormat="0" applyBorder="0" applyAlignment="0" applyProtection="0"/>
    <xf numFmtId="0" fontId="18" fillId="0" borderId="0"/>
    <xf numFmtId="43" fontId="21" fillId="0" borderId="0" applyFont="0" applyFill="0" applyBorder="0" applyAlignment="0" applyProtection="0"/>
    <xf numFmtId="44" fontId="21" fillId="0" borderId="0" applyFont="0" applyFill="0" applyBorder="0" applyAlignment="0" applyProtection="0"/>
    <xf numFmtId="9" fontId="21" fillId="0" borderId="0" applyFont="0" applyFill="0" applyBorder="0" applyAlignment="0" applyProtection="0"/>
    <xf numFmtId="0" fontId="31" fillId="17" borderId="0" applyNumberFormat="0" applyBorder="0" applyAlignment="0" applyProtection="0"/>
    <xf numFmtId="0" fontId="31" fillId="29" borderId="0" applyNumberFormat="0" applyBorder="0" applyAlignment="0" applyProtection="0"/>
    <xf numFmtId="0" fontId="32"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43" fontId="22" fillId="0" borderId="0" applyFont="0" applyFill="0" applyBorder="0" applyAlignment="0" applyProtection="0"/>
    <xf numFmtId="164" fontId="1" fillId="0" borderId="0" applyFont="0" applyFill="0" applyBorder="0" applyAlignment="0" applyProtection="0"/>
    <xf numFmtId="9" fontId="22" fillId="0" borderId="0" applyFont="0" applyFill="0" applyBorder="0" applyAlignment="0" applyProtection="0"/>
    <xf numFmtId="9" fontId="34" fillId="0" borderId="0" applyFont="0" applyFill="0" applyBorder="0" applyAlignment="0" applyProtection="0"/>
    <xf numFmtId="165" fontId="24" fillId="0" borderId="0" applyFont="0" applyFill="0" applyBorder="0" applyAlignment="0" applyProtection="0"/>
    <xf numFmtId="9" fontId="21" fillId="0" borderId="0" applyFont="0" applyFill="0" applyBorder="0" applyAlignment="0" applyProtection="0"/>
    <xf numFmtId="165" fontId="24" fillId="0" borderId="0" applyFont="0" applyFill="0" applyBorder="0" applyAlignment="0" applyProtection="0"/>
    <xf numFmtId="43" fontId="21" fillId="0" borderId="0" applyFont="0" applyFill="0" applyBorder="0" applyAlignment="0" applyProtection="0"/>
    <xf numFmtId="164" fontId="24"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0" fontId="21" fillId="0" borderId="0"/>
    <xf numFmtId="0" fontId="21" fillId="0" borderId="0"/>
    <xf numFmtId="0" fontId="21" fillId="0" borderId="0"/>
    <xf numFmtId="165" fontId="21" fillId="0" borderId="0" applyFont="0" applyFill="0" applyBorder="0" applyAlignment="0" applyProtection="0"/>
    <xf numFmtId="9" fontId="34" fillId="0" borderId="0" applyFont="0" applyFill="0" applyBorder="0" applyAlignment="0" applyProtection="0"/>
    <xf numFmtId="0" fontId="34" fillId="0" borderId="0"/>
    <xf numFmtId="0" fontId="24" fillId="0" borderId="0"/>
    <xf numFmtId="0" fontId="24" fillId="0" borderId="0"/>
    <xf numFmtId="43" fontId="34" fillId="0" borderId="0" applyFont="0" applyFill="0" applyBorder="0" applyAlignment="0" applyProtection="0"/>
    <xf numFmtId="0" fontId="34" fillId="0" borderId="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164" fontId="24" fillId="0" borderId="0" applyFont="0" applyFill="0" applyBorder="0" applyAlignment="0" applyProtection="0"/>
    <xf numFmtId="0" fontId="26" fillId="0" borderId="0"/>
    <xf numFmtId="0" fontId="21" fillId="0" borderId="0"/>
    <xf numFmtId="0" fontId="21" fillId="0" borderId="0"/>
    <xf numFmtId="0" fontId="21" fillId="0" borderId="0"/>
    <xf numFmtId="0" fontId="26" fillId="0" borderId="0"/>
    <xf numFmtId="0" fontId="21" fillId="0" borderId="0"/>
    <xf numFmtId="0" fontId="27" fillId="0" borderId="0"/>
    <xf numFmtId="0" fontId="30" fillId="0" borderId="0"/>
    <xf numFmtId="0" fontId="30" fillId="0" borderId="0"/>
    <xf numFmtId="0" fontId="30" fillId="0" borderId="0"/>
    <xf numFmtId="0" fontId="11" fillId="6" borderId="4" applyNumberFormat="0" applyAlignment="0" applyProtection="0"/>
    <xf numFmtId="43" fontId="35" fillId="0" borderId="0" applyFont="0" applyFill="0" applyBorder="0" applyAlignment="0" applyProtection="0"/>
    <xf numFmtId="43" fontId="21" fillId="0" borderId="0" applyFont="0" applyFill="0" applyBorder="0" applyAlignment="0" applyProtection="0"/>
    <xf numFmtId="43" fontId="22" fillId="0" borderId="0" applyFon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23" fillId="0" borderId="0" applyNumberFormat="0" applyFill="0" applyBorder="0" applyAlignment="0" applyProtection="0"/>
    <xf numFmtId="0" fontId="32" fillId="0" borderId="0" applyNumberFormat="0" applyFill="0" applyBorder="0" applyAlignment="0" applyProtection="0">
      <alignment vertical="top"/>
      <protection locked="0"/>
    </xf>
    <xf numFmtId="0" fontId="23" fillId="0" borderId="0" applyNumberFormat="0" applyFill="0" applyBorder="0" applyAlignment="0" applyProtection="0"/>
    <xf numFmtId="0" fontId="32" fillId="0" borderId="0" applyNumberFormat="0" applyFill="0" applyBorder="0" applyAlignment="0" applyProtection="0">
      <alignment vertical="top"/>
      <protection locked="0"/>
    </xf>
    <xf numFmtId="0" fontId="23" fillId="0" borderId="0" applyNumberFormat="0" applyFill="0" applyBorder="0" applyAlignment="0" applyProtection="0"/>
    <xf numFmtId="0" fontId="32" fillId="0" borderId="0" applyNumberFormat="0" applyFill="0" applyBorder="0" applyAlignment="0" applyProtection="0">
      <alignment vertical="top"/>
      <protection locked="0"/>
    </xf>
    <xf numFmtId="0" fontId="36" fillId="0" borderId="0"/>
    <xf numFmtId="0" fontId="35" fillId="0" borderId="0"/>
    <xf numFmtId="0" fontId="35" fillId="0" borderId="0"/>
    <xf numFmtId="0" fontId="36" fillId="0" borderId="0"/>
    <xf numFmtId="0" fontId="1" fillId="0" borderId="0"/>
    <xf numFmtId="0" fontId="18" fillId="0" borderId="0"/>
    <xf numFmtId="0" fontId="1" fillId="0" borderId="0"/>
    <xf numFmtId="0" fontId="21" fillId="0" borderId="0"/>
    <xf numFmtId="0" fontId="36" fillId="0" borderId="0"/>
    <xf numFmtId="0" fontId="1" fillId="0" borderId="0"/>
    <xf numFmtId="0" fontId="36" fillId="0" borderId="0"/>
    <xf numFmtId="0" fontId="1" fillId="0" borderId="0"/>
    <xf numFmtId="0" fontId="36" fillId="0" borderId="0"/>
    <xf numFmtId="0" fontId="21" fillId="0" borderId="0"/>
    <xf numFmtId="0" fontId="37" fillId="0" borderId="0"/>
    <xf numFmtId="166" fontId="38" fillId="0" borderId="0">
      <alignment horizontal="right" vertical="top"/>
    </xf>
    <xf numFmtId="0" fontId="39" fillId="0" borderId="0">
      <alignment horizontal="left" indent="1"/>
    </xf>
    <xf numFmtId="167" fontId="40" fillId="0" borderId="0"/>
    <xf numFmtId="164" fontId="21" fillId="0" borderId="0" applyFont="0" applyFill="0" applyBorder="0" applyAlignment="0" applyProtection="0">
      <alignment wrapText="1"/>
    </xf>
    <xf numFmtId="0" fontId="41" fillId="0" borderId="0"/>
    <xf numFmtId="0" fontId="22" fillId="35" borderId="0" applyNumberFormat="0" applyBorder="0" applyAlignment="0" applyProtection="0"/>
    <xf numFmtId="0" fontId="53" fillId="34" borderId="0" applyBorder="0" applyProtection="0"/>
    <xf numFmtId="0" fontId="21" fillId="0" borderId="0" applyFill="0" applyBorder="0" applyProtection="0">
      <alignment horizontal="left" vertical="top"/>
    </xf>
    <xf numFmtId="44" fontId="34" fillId="0" borderId="0" applyFont="0" applyFill="0" applyBorder="0" applyAlignment="0" applyProtection="0"/>
    <xf numFmtId="0" fontId="50" fillId="0" borderId="0">
      <alignment horizontal="left" vertical="top"/>
    </xf>
    <xf numFmtId="0" fontId="42" fillId="0" borderId="0" applyFill="0" applyBorder="0" applyProtection="0">
      <alignment horizontal="left" vertical="top"/>
    </xf>
    <xf numFmtId="0" fontId="21" fillId="0" borderId="0" applyFill="0" applyBorder="0" applyProtection="0">
      <alignment horizontal="left" vertical="top"/>
    </xf>
    <xf numFmtId="164" fontId="21" fillId="0" borderId="0" applyFont="0" applyFill="0" applyBorder="0" applyAlignment="0" applyProtection="0">
      <alignment wrapText="1"/>
    </xf>
    <xf numFmtId="0" fontId="21" fillId="0" borderId="0">
      <alignment wrapText="1"/>
    </xf>
    <xf numFmtId="0" fontId="21" fillId="0" borderId="0">
      <alignment wrapText="1"/>
    </xf>
    <xf numFmtId="44" fontId="21" fillId="0" borderId="0" applyFont="0" applyFill="0" applyBorder="0" applyAlignment="0" applyProtection="0"/>
    <xf numFmtId="44" fontId="21" fillId="0" borderId="0" applyFont="0" applyFill="0" applyBorder="0" applyAlignment="0" applyProtection="0"/>
    <xf numFmtId="0" fontId="51" fillId="34" borderId="0" applyFill="0" applyBorder="0" applyProtection="0">
      <alignment horizontal="left" vertical="top"/>
    </xf>
    <xf numFmtId="0" fontId="52" fillId="0" borderId="0" applyFill="0" applyBorder="0" applyProtection="0">
      <alignment horizontal="left" vertical="top"/>
    </xf>
    <xf numFmtId="0" fontId="45" fillId="0" borderId="0" applyFill="0" applyBorder="0" applyProtection="0">
      <alignment horizontal="left" vertical="top"/>
    </xf>
    <xf numFmtId="0" fontId="46" fillId="34" borderId="0" applyBorder="0" applyProtection="0">
      <alignment horizontal="left" vertical="top"/>
    </xf>
    <xf numFmtId="43"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0" fontId="47" fillId="0" borderId="0" applyFill="0" applyBorder="0" applyProtection="0">
      <alignment horizontal="left" vertical="top"/>
    </xf>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49" fillId="0" borderId="0">
      <alignment horizontal="left" vertical="top"/>
    </xf>
    <xf numFmtId="0" fontId="48" fillId="34" borderId="0" applyFill="0" applyBorder="0" applyProtection="0">
      <alignment horizontal="left" vertical="top"/>
    </xf>
    <xf numFmtId="0" fontId="42" fillId="0" borderId="0">
      <alignment horizontal="left" vertical="top"/>
    </xf>
    <xf numFmtId="0" fontId="44" fillId="0" borderId="0">
      <alignment horizontal="left" vertical="top"/>
    </xf>
    <xf numFmtId="0" fontId="43" fillId="0" borderId="0"/>
    <xf numFmtId="0" fontId="22" fillId="35"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54" fillId="45" borderId="0" applyNumberFormat="0" applyBorder="0" applyAlignment="0" applyProtection="0"/>
    <xf numFmtId="0" fontId="54" fillId="45" borderId="0" applyNumberFormat="0" applyBorder="0" applyAlignment="0" applyProtection="0"/>
    <xf numFmtId="0" fontId="54" fillId="45" borderId="0" applyNumberFormat="0" applyBorder="0" applyAlignment="0" applyProtection="0"/>
    <xf numFmtId="0" fontId="54" fillId="42" borderId="0" applyNumberFormat="0" applyBorder="0" applyAlignment="0" applyProtection="0"/>
    <xf numFmtId="0" fontId="54" fillId="42" borderId="0" applyNumberFormat="0" applyBorder="0" applyAlignment="0" applyProtection="0"/>
    <xf numFmtId="0" fontId="54" fillId="42" borderId="0" applyNumberFormat="0" applyBorder="0" applyAlignment="0" applyProtection="0"/>
    <xf numFmtId="0" fontId="54" fillId="43" borderId="0" applyNumberFormat="0" applyBorder="0" applyAlignment="0" applyProtection="0"/>
    <xf numFmtId="0" fontId="54" fillId="43" borderId="0" applyNumberFormat="0" applyBorder="0" applyAlignment="0" applyProtection="0"/>
    <xf numFmtId="0" fontId="54" fillId="43" borderId="0" applyNumberFormat="0" applyBorder="0" applyAlignment="0" applyProtection="0"/>
    <xf numFmtId="0" fontId="54" fillId="46" borderId="0" applyNumberFormat="0" applyBorder="0" applyAlignment="0" applyProtection="0"/>
    <xf numFmtId="0" fontId="54" fillId="46" borderId="0" applyNumberFormat="0" applyBorder="0" applyAlignment="0" applyProtection="0"/>
    <xf numFmtId="0" fontId="54" fillId="46" borderId="0" applyNumberFormat="0" applyBorder="0" applyAlignment="0" applyProtection="0"/>
    <xf numFmtId="0" fontId="54" fillId="47" borderId="0" applyNumberFormat="0" applyBorder="0" applyAlignment="0" applyProtection="0"/>
    <xf numFmtId="0" fontId="54" fillId="47" borderId="0" applyNumberFormat="0" applyBorder="0" applyAlignment="0" applyProtection="0"/>
    <xf numFmtId="0" fontId="54" fillId="47" borderId="0" applyNumberFormat="0" applyBorder="0" applyAlignment="0" applyProtection="0"/>
    <xf numFmtId="0" fontId="54" fillId="48" borderId="0" applyNumberFormat="0" applyBorder="0" applyAlignment="0" applyProtection="0"/>
    <xf numFmtId="0" fontId="54" fillId="48" borderId="0" applyNumberFormat="0" applyBorder="0" applyAlignment="0" applyProtection="0"/>
    <xf numFmtId="0" fontId="54" fillId="48"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50" borderId="0" applyNumberFormat="0" applyBorder="0" applyAlignment="0" applyProtection="0"/>
    <xf numFmtId="0" fontId="54" fillId="50" borderId="0" applyNumberFormat="0" applyBorder="0" applyAlignment="0" applyProtection="0"/>
    <xf numFmtId="0" fontId="54" fillId="50" borderId="0" applyNumberFormat="0" applyBorder="0" applyAlignment="0" applyProtection="0"/>
    <xf numFmtId="0" fontId="54" fillId="51" borderId="0" applyNumberFormat="0" applyBorder="0" applyAlignment="0" applyProtection="0"/>
    <xf numFmtId="0" fontId="54" fillId="51" borderId="0" applyNumberFormat="0" applyBorder="0" applyAlignment="0" applyProtection="0"/>
    <xf numFmtId="0" fontId="54" fillId="51" borderId="0" applyNumberFormat="0" applyBorder="0" applyAlignment="0" applyProtection="0"/>
    <xf numFmtId="0" fontId="54" fillId="46" borderId="0" applyNumberFormat="0" applyBorder="0" applyAlignment="0" applyProtection="0"/>
    <xf numFmtId="0" fontId="54" fillId="46" borderId="0" applyNumberFormat="0" applyBorder="0" applyAlignment="0" applyProtection="0"/>
    <xf numFmtId="0" fontId="54" fillId="46" borderId="0" applyNumberFormat="0" applyBorder="0" applyAlignment="0" applyProtection="0"/>
    <xf numFmtId="0" fontId="54" fillId="47" borderId="0" applyNumberFormat="0" applyBorder="0" applyAlignment="0" applyProtection="0"/>
    <xf numFmtId="0" fontId="54" fillId="47" borderId="0" applyNumberFormat="0" applyBorder="0" applyAlignment="0" applyProtection="0"/>
    <xf numFmtId="0" fontId="54" fillId="47" borderId="0" applyNumberFormat="0" applyBorder="0" applyAlignment="0" applyProtection="0"/>
    <xf numFmtId="0" fontId="54" fillId="52" borderId="0" applyNumberFormat="0" applyBorder="0" applyAlignment="0" applyProtection="0"/>
    <xf numFmtId="0" fontId="54" fillId="52" borderId="0" applyNumberFormat="0" applyBorder="0" applyAlignment="0" applyProtection="0"/>
    <xf numFmtId="0" fontId="54" fillId="52" borderId="0" applyNumberFormat="0" applyBorder="0" applyAlignment="0" applyProtection="0"/>
    <xf numFmtId="0" fontId="55" fillId="36" borderId="0" applyNumberFormat="0" applyBorder="0" applyAlignment="0" applyProtection="0"/>
    <xf numFmtId="0" fontId="55" fillId="36" borderId="0" applyNumberFormat="0" applyBorder="0" applyAlignment="0" applyProtection="0"/>
    <xf numFmtId="0" fontId="55" fillId="36" borderId="0" applyNumberFormat="0" applyBorder="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57" fillId="54" borderId="17" applyNumberFormat="0" applyAlignment="0" applyProtection="0"/>
    <xf numFmtId="0" fontId="57" fillId="54" borderId="17" applyNumberFormat="0" applyAlignment="0" applyProtection="0"/>
    <xf numFmtId="0" fontId="57" fillId="54" borderId="17" applyNumberFormat="0" applyAlignment="0" applyProtection="0"/>
    <xf numFmtId="43" fontId="22" fillId="0" borderId="0" applyFont="0" applyFill="0" applyBorder="0" applyAlignment="0" applyProtection="0"/>
    <xf numFmtId="43" fontId="1" fillId="0" borderId="0" applyFont="0" applyFill="0" applyBorder="0" applyAlignment="0" applyProtection="0"/>
    <xf numFmtId="164" fontId="21" fillId="0" borderId="0" applyFont="0" applyFill="0" applyBorder="0" applyAlignment="0" applyProtection="0">
      <alignment wrapText="1"/>
    </xf>
    <xf numFmtId="43" fontId="1" fillId="0" borderId="0" applyFont="0" applyFill="0" applyBorder="0" applyAlignment="0" applyProtection="0"/>
    <xf numFmtId="164" fontId="21" fillId="0" borderId="0" applyFont="0" applyFill="0" applyBorder="0" applyAlignment="0" applyProtection="0">
      <alignment wrapText="1"/>
    </xf>
    <xf numFmtId="164" fontId="21" fillId="0" borderId="0" applyFont="0" applyFill="0" applyBorder="0" applyAlignment="0" applyProtection="0">
      <alignment wrapText="1"/>
    </xf>
    <xf numFmtId="164" fontId="21" fillId="0" borderId="0" applyFont="0" applyFill="0" applyBorder="0" applyAlignment="0" applyProtection="0">
      <alignment wrapText="1"/>
    </xf>
    <xf numFmtId="44" fontId="1" fillId="0" borderId="0" applyFon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60" fillId="0" borderId="18" applyNumberFormat="0" applyFill="0" applyAlignment="0" applyProtection="0"/>
    <xf numFmtId="0" fontId="60" fillId="0" borderId="18" applyNumberFormat="0" applyFill="0" applyAlignment="0" applyProtection="0"/>
    <xf numFmtId="0" fontId="60" fillId="0" borderId="18" applyNumberFormat="0" applyFill="0" applyAlignment="0" applyProtection="0"/>
    <xf numFmtId="0" fontId="61" fillId="0" borderId="19" applyNumberFormat="0" applyFill="0" applyAlignment="0" applyProtection="0"/>
    <xf numFmtId="0" fontId="61" fillId="0" borderId="19" applyNumberFormat="0" applyFill="0" applyAlignment="0" applyProtection="0"/>
    <xf numFmtId="0" fontId="61" fillId="0" borderId="19" applyNumberFormat="0" applyFill="0" applyAlignment="0" applyProtection="0"/>
    <xf numFmtId="0" fontId="62" fillId="0" borderId="20" applyNumberFormat="0" applyFill="0" applyAlignment="0" applyProtection="0"/>
    <xf numFmtId="0" fontId="62" fillId="0" borderId="20" applyNumberFormat="0" applyFill="0" applyAlignment="0" applyProtection="0"/>
    <xf numFmtId="0" fontId="62" fillId="0" borderId="20" applyNumberFormat="0" applyFill="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4" fillId="0" borderId="21" applyNumberFormat="0" applyFill="0" applyAlignment="0" applyProtection="0"/>
    <xf numFmtId="0" fontId="64" fillId="0" borderId="21" applyNumberFormat="0" applyFill="0" applyAlignment="0" applyProtection="0"/>
    <xf numFmtId="0" fontId="64" fillId="0" borderId="21" applyNumberFormat="0" applyFill="0" applyAlignment="0" applyProtection="0"/>
    <xf numFmtId="0" fontId="65" fillId="55" borderId="0" applyNumberFormat="0" applyBorder="0" applyAlignment="0" applyProtection="0"/>
    <xf numFmtId="0" fontId="65" fillId="55" borderId="0" applyNumberFormat="0" applyBorder="0" applyAlignment="0" applyProtection="0"/>
    <xf numFmtId="0" fontId="65" fillId="55"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1" fillId="0" borderId="0">
      <alignment wrapText="1"/>
    </xf>
    <xf numFmtId="0" fontId="43" fillId="0" borderId="0"/>
    <xf numFmtId="0" fontId="43" fillId="0" borderId="0"/>
    <xf numFmtId="0" fontId="21" fillId="0" borderId="0">
      <alignment wrapText="1"/>
    </xf>
    <xf numFmtId="0" fontId="21" fillId="0" borderId="0"/>
    <xf numFmtId="0" fontId="21" fillId="0" borderId="0"/>
    <xf numFmtId="0" fontId="21" fillId="0" borderId="0">
      <alignment wrapText="1"/>
    </xf>
    <xf numFmtId="0" fontId="43" fillId="0" borderId="0"/>
    <xf numFmtId="0" fontId="22" fillId="0" borderId="0"/>
    <xf numFmtId="0" fontId="22" fillId="0" borderId="0"/>
    <xf numFmtId="0" fontId="22" fillId="0" borderId="0"/>
    <xf numFmtId="0" fontId="22" fillId="0" borderId="0"/>
    <xf numFmtId="0" fontId="43" fillId="0" borderId="0"/>
    <xf numFmtId="0" fontId="22" fillId="0" borderId="0"/>
    <xf numFmtId="0" fontId="22" fillId="0" borderId="0"/>
    <xf numFmtId="0" fontId="22" fillId="0" borderId="0"/>
    <xf numFmtId="0" fontId="2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43"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43"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1" fillId="0" borderId="0"/>
    <xf numFmtId="0" fontId="21" fillId="56" borderId="22" applyNumberFormat="0" applyFont="0" applyAlignment="0" applyProtection="0"/>
    <xf numFmtId="0" fontId="21" fillId="0" borderId="0" applyFill="0" applyBorder="0" applyProtection="0">
      <alignment horizontal="left" vertical="top"/>
    </xf>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9" fontId="1"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1" fillId="0" borderId="0"/>
    <xf numFmtId="43" fontId="21" fillId="0" borderId="0" applyFont="0" applyFill="0" applyBorder="0" applyAlignment="0" applyProtection="0"/>
    <xf numFmtId="43" fontId="2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8" fillId="0" borderId="0"/>
    <xf numFmtId="43" fontId="18"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70"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164" fontId="2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21" fillId="0" borderId="0"/>
    <xf numFmtId="0" fontId="21" fillId="0" borderId="0"/>
    <xf numFmtId="0" fontId="21" fillId="0" borderId="0">
      <alignment wrapText="1"/>
    </xf>
    <xf numFmtId="0" fontId="1" fillId="0" borderId="0"/>
    <xf numFmtId="0" fontId="1" fillId="0" borderId="0"/>
    <xf numFmtId="0" fontId="1" fillId="0" borderId="0"/>
    <xf numFmtId="0" fontId="1" fillId="0" borderId="0"/>
    <xf numFmtId="0" fontId="21" fillId="0" borderId="0"/>
    <xf numFmtId="0" fontId="1" fillId="0" borderId="0"/>
    <xf numFmtId="0" fontId="70" fillId="0" borderId="0"/>
    <xf numFmtId="0" fontId="21" fillId="0" borderId="0">
      <alignment wrapText="1"/>
    </xf>
    <xf numFmtId="0" fontId="21" fillId="0" borderId="0"/>
    <xf numFmtId="0" fontId="1" fillId="0" borderId="0"/>
    <xf numFmtId="0" fontId="43" fillId="0" borderId="0"/>
    <xf numFmtId="0" fontId="1" fillId="0" borderId="0"/>
    <xf numFmtId="0" fontId="21" fillId="0" borderId="0"/>
    <xf numFmtId="0" fontId="21" fillId="0" borderId="0"/>
    <xf numFmtId="0" fontId="1" fillId="0" borderId="0"/>
    <xf numFmtId="0" fontId="1" fillId="0" borderId="0"/>
    <xf numFmtId="0" fontId="21" fillId="0" borderId="0"/>
    <xf numFmtId="0" fontId="2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2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1" fillId="0" borderId="0"/>
    <xf numFmtId="0" fontId="2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2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1" fillId="0" borderId="0"/>
    <xf numFmtId="0" fontId="66" fillId="53" borderId="23" applyNumberFormat="0" applyAlignment="0" applyProtection="0"/>
    <xf numFmtId="0" fontId="66" fillId="53" borderId="23"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66" fillId="53" borderId="23" applyNumberFormat="0" applyAlignment="0" applyProtection="0"/>
    <xf numFmtId="0" fontId="63" fillId="40" borderId="16" applyNumberFormat="0" applyAlignment="0" applyProtection="0"/>
    <xf numFmtId="0" fontId="21" fillId="0" borderId="0"/>
    <xf numFmtId="0" fontId="21" fillId="0" borderId="0"/>
    <xf numFmtId="0" fontId="56" fillId="53"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21" fillId="0" borderId="0"/>
    <xf numFmtId="0" fontId="63" fillId="40" borderId="16" applyNumberFormat="0" applyAlignment="0" applyProtection="0"/>
    <xf numFmtId="0" fontId="66" fillId="53" borderId="23" applyNumberFormat="0" applyAlignment="0" applyProtection="0"/>
    <xf numFmtId="0" fontId="21" fillId="0" borderId="0"/>
    <xf numFmtId="0" fontId="66" fillId="53" borderId="23" applyNumberFormat="0" applyAlignment="0" applyProtection="0"/>
    <xf numFmtId="0" fontId="56" fillId="53" borderId="16"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3" fillId="40" borderId="16" applyNumberFormat="0" applyAlignment="0" applyProtection="0"/>
    <xf numFmtId="0" fontId="21" fillId="56" borderId="22" applyNumberFormat="0" applyFont="0" applyAlignment="0" applyProtection="0"/>
    <xf numFmtId="0" fontId="66" fillId="53" borderId="23" applyNumberFormat="0" applyAlignment="0" applyProtection="0"/>
    <xf numFmtId="0" fontId="63" fillId="40" borderId="16" applyNumberFormat="0" applyAlignment="0" applyProtection="0"/>
    <xf numFmtId="0" fontId="21" fillId="56" borderId="22" applyNumberFormat="0" applyFon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21" fillId="0" borderId="0"/>
    <xf numFmtId="0" fontId="66" fillId="53" borderId="23" applyNumberFormat="0" applyAlignment="0" applyProtection="0"/>
    <xf numFmtId="0" fontId="68" fillId="0" borderId="24" applyNumberFormat="0" applyFill="0" applyAlignment="0" applyProtection="0"/>
    <xf numFmtId="0" fontId="63" fillId="40" borderId="16" applyNumberFormat="0" applyAlignment="0" applyProtection="0"/>
    <xf numFmtId="0" fontId="21" fillId="0" borderId="0"/>
    <xf numFmtId="0" fontId="56" fillId="53" borderId="16" applyNumberFormat="0" applyAlignment="0" applyProtection="0"/>
    <xf numFmtId="0" fontId="68" fillId="0" borderId="24" applyNumberFormat="0" applyFill="0" applyAlignment="0" applyProtection="0"/>
    <xf numFmtId="0" fontId="63" fillId="40" borderId="16"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21" fillId="0" borderId="0"/>
    <xf numFmtId="0" fontId="68" fillId="0" borderId="24" applyNumberFormat="0" applyFill="0" applyAlignment="0" applyProtection="0"/>
    <xf numFmtId="0" fontId="56" fillId="53" borderId="16" applyNumberFormat="0" applyAlignment="0" applyProtection="0"/>
    <xf numFmtId="0" fontId="68" fillId="0" borderId="24" applyNumberFormat="0" applyFill="0" applyAlignment="0" applyProtection="0"/>
    <xf numFmtId="0" fontId="21" fillId="56" borderId="22" applyNumberFormat="0" applyFont="0" applyAlignment="0" applyProtection="0"/>
    <xf numFmtId="0" fontId="68" fillId="0" borderId="24" applyNumberFormat="0" applyFill="0" applyAlignment="0" applyProtection="0"/>
    <xf numFmtId="0" fontId="56" fillId="53" borderId="16"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21" fillId="0" borderId="0"/>
    <xf numFmtId="0" fontId="21" fillId="0" borderId="0"/>
    <xf numFmtId="0" fontId="68" fillId="0" borderId="24" applyNumberFormat="0" applyFill="0" applyAlignment="0" applyProtection="0"/>
    <xf numFmtId="0" fontId="68" fillId="0" borderId="24" applyNumberFormat="0" applyFill="0" applyAlignment="0" applyProtection="0"/>
    <xf numFmtId="0" fontId="56" fillId="53" borderId="16" applyNumberFormat="0" applyAlignment="0" applyProtection="0"/>
    <xf numFmtId="0" fontId="21" fillId="56" borderId="22" applyNumberFormat="0" applyFont="0" applyAlignment="0" applyProtection="0"/>
    <xf numFmtId="0" fontId="63" fillId="40" borderId="16" applyNumberFormat="0" applyAlignment="0" applyProtection="0"/>
    <xf numFmtId="0" fontId="63" fillId="40" borderId="16" applyNumberFormat="0" applyAlignment="0" applyProtection="0"/>
    <xf numFmtId="0" fontId="21" fillId="56" borderId="22" applyNumberFormat="0" applyFont="0" applyAlignment="0" applyProtection="0"/>
    <xf numFmtId="0" fontId="68" fillId="0" borderId="24" applyNumberFormat="0" applyFill="0" applyAlignment="0" applyProtection="0"/>
    <xf numFmtId="0" fontId="66" fillId="53" borderId="23" applyNumberFormat="0" applyAlignment="0" applyProtection="0"/>
    <xf numFmtId="0" fontId="66" fillId="53" borderId="23" applyNumberFormat="0" applyAlignment="0" applyProtection="0"/>
    <xf numFmtId="0" fontId="63" fillId="40" borderId="16" applyNumberFormat="0" applyAlignment="0" applyProtection="0"/>
    <xf numFmtId="0" fontId="21" fillId="56" borderId="22" applyNumberFormat="0" applyFont="0" applyAlignment="0" applyProtection="0"/>
    <xf numFmtId="0" fontId="66" fillId="53" borderId="23" applyNumberFormat="0" applyAlignment="0" applyProtection="0"/>
    <xf numFmtId="0" fontId="56" fillId="53" borderId="16" applyNumberFormat="0" applyAlignment="0" applyProtection="0"/>
    <xf numFmtId="0" fontId="56" fillId="53" borderId="16" applyNumberFormat="0" applyAlignment="0" applyProtection="0"/>
    <xf numFmtId="0" fontId="68" fillId="0" borderId="24" applyNumberFormat="0" applyFill="0" applyAlignment="0" applyProtection="0"/>
    <xf numFmtId="0" fontId="56" fillId="53" borderId="16" applyNumberFormat="0" applyAlignment="0" applyProtection="0"/>
    <xf numFmtId="0" fontId="68" fillId="0" borderId="24" applyNumberFormat="0" applyFill="0" applyAlignment="0" applyProtection="0"/>
    <xf numFmtId="0" fontId="21" fillId="0" borderId="0"/>
    <xf numFmtId="0" fontId="21" fillId="0" borderId="0"/>
    <xf numFmtId="0" fontId="21" fillId="0" borderId="0"/>
    <xf numFmtId="0" fontId="2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63" fillId="40" borderId="16" applyNumberFormat="0" applyAlignment="0" applyProtection="0"/>
    <xf numFmtId="0" fontId="21" fillId="56" borderId="22" applyNumberFormat="0" applyFon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56" fillId="53" borderId="16" applyNumberFormat="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21" fillId="56" borderId="22" applyNumberFormat="0" applyFont="0" applyAlignment="0" applyProtection="0"/>
    <xf numFmtId="0" fontId="66" fillId="53" borderId="23" applyNumberFormat="0" applyAlignment="0" applyProtection="0"/>
    <xf numFmtId="0" fontId="21" fillId="56" borderId="22" applyNumberFormat="0" applyFon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21" fillId="56" borderId="22" applyNumberFormat="0" applyFont="0" applyAlignment="0" applyProtection="0"/>
    <xf numFmtId="0" fontId="68" fillId="0" borderId="24" applyNumberFormat="0" applyFill="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21" fillId="56" borderId="22" applyNumberFormat="0" applyFont="0" applyAlignment="0" applyProtection="0"/>
    <xf numFmtId="0" fontId="21" fillId="56" borderId="22" applyNumberFormat="0" applyFont="0" applyAlignment="0" applyProtection="0"/>
    <xf numFmtId="0" fontId="68" fillId="0" borderId="24" applyNumberFormat="0" applyFill="0" applyAlignment="0" applyProtection="0"/>
    <xf numFmtId="0" fontId="66" fillId="53" borderId="23" applyNumberFormat="0" applyAlignment="0" applyProtection="0"/>
    <xf numFmtId="0" fontId="66" fillId="53" borderId="23" applyNumberFormat="0" applyAlignment="0" applyProtection="0"/>
    <xf numFmtId="0" fontId="21" fillId="56" borderId="22" applyNumberFormat="0" applyFon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165" fontId="21" fillId="0" borderId="0" applyFont="0" applyFill="0" applyBorder="0" applyAlignment="0" applyProtection="0"/>
    <xf numFmtId="0" fontId="34" fillId="0" borderId="0"/>
    <xf numFmtId="0" fontId="1" fillId="0" borderId="0"/>
    <xf numFmtId="43" fontId="1" fillId="0" borderId="0" applyFont="0" applyFill="0" applyBorder="0" applyAlignment="0" applyProtection="0"/>
    <xf numFmtId="0" fontId="34" fillId="0" borderId="0"/>
    <xf numFmtId="43" fontId="34" fillId="0" borderId="0" applyFont="0" applyFill="0" applyBorder="0" applyAlignment="0" applyProtection="0"/>
    <xf numFmtId="44" fontId="1" fillId="0" borderId="0" applyFont="0" applyFill="0" applyBorder="0" applyAlignment="0" applyProtection="0"/>
    <xf numFmtId="0" fontId="34" fillId="0" borderId="0"/>
    <xf numFmtId="43" fontId="22" fillId="0" borderId="0" applyFont="0" applyFill="0" applyBorder="0" applyAlignment="0" applyProtection="0"/>
    <xf numFmtId="0" fontId="1" fillId="8" borderId="8" applyNumberFormat="0" applyFont="0" applyAlignment="0" applyProtection="0"/>
    <xf numFmtId="0" fontId="34" fillId="0" borderId="0"/>
    <xf numFmtId="0" fontId="34" fillId="0" borderId="0"/>
    <xf numFmtId="0" fontId="34" fillId="0" borderId="0"/>
    <xf numFmtId="0" fontId="34" fillId="10" borderId="0" applyNumberFormat="0" applyBorder="0" applyAlignment="0" applyProtection="0"/>
    <xf numFmtId="0" fontId="34" fillId="10" borderId="0" applyNumberFormat="0" applyBorder="0" applyAlignment="0" applyProtection="0"/>
    <xf numFmtId="0" fontId="34" fillId="14" borderId="0" applyNumberFormat="0" applyBorder="0" applyAlignment="0" applyProtection="0"/>
    <xf numFmtId="0" fontId="34" fillId="14" borderId="0" applyNumberFormat="0" applyBorder="0" applyAlignment="0" applyProtection="0"/>
    <xf numFmtId="0" fontId="34" fillId="18" borderId="0" applyNumberFormat="0" applyBorder="0" applyAlignment="0" applyProtection="0"/>
    <xf numFmtId="0" fontId="34" fillId="18"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6" borderId="0" applyNumberFormat="0" applyBorder="0" applyAlignment="0" applyProtection="0"/>
    <xf numFmtId="0" fontId="34" fillId="26"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11"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9" borderId="0" applyNumberFormat="0" applyBorder="0" applyAlignment="0" applyProtection="0"/>
    <xf numFmtId="0" fontId="34" fillId="19"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7" borderId="0" applyNumberFormat="0" applyBorder="0" applyAlignment="0" applyProtection="0"/>
    <xf numFmtId="0" fontId="34" fillId="27" borderId="0" applyNumberFormat="0" applyBorder="0" applyAlignment="0" applyProtection="0"/>
    <xf numFmtId="0" fontId="34" fillId="31" borderId="0" applyNumberFormat="0" applyBorder="0" applyAlignment="0" applyProtection="0"/>
    <xf numFmtId="0" fontId="34" fillId="31" borderId="0" applyNumberFormat="0" applyBorder="0" applyAlignment="0" applyProtection="0"/>
    <xf numFmtId="0" fontId="72" fillId="12" borderId="0" applyNumberFormat="0" applyBorder="0" applyAlignment="0" applyProtection="0"/>
    <xf numFmtId="0" fontId="72" fillId="16" borderId="0" applyNumberFormat="0" applyBorder="0" applyAlignment="0" applyProtection="0"/>
    <xf numFmtId="0" fontId="72" fillId="20" borderId="0" applyNumberFormat="0" applyBorder="0" applyAlignment="0" applyProtection="0"/>
    <xf numFmtId="0" fontId="72" fillId="24" borderId="0" applyNumberFormat="0" applyBorder="0" applyAlignment="0" applyProtection="0"/>
    <xf numFmtId="0" fontId="72" fillId="28" borderId="0" applyNumberFormat="0" applyBorder="0" applyAlignment="0" applyProtection="0"/>
    <xf numFmtId="0" fontId="72" fillId="32" borderId="0" applyNumberFormat="0" applyBorder="0" applyAlignment="0" applyProtection="0"/>
    <xf numFmtId="0" fontId="72" fillId="9" borderId="0" applyNumberFormat="0" applyBorder="0" applyAlignment="0" applyProtection="0"/>
    <xf numFmtId="0" fontId="72" fillId="13" borderId="0" applyNumberFormat="0" applyBorder="0" applyAlignment="0" applyProtection="0"/>
    <xf numFmtId="0" fontId="72" fillId="17" borderId="0" applyNumberFormat="0" applyBorder="0" applyAlignment="0" applyProtection="0"/>
    <xf numFmtId="0" fontId="72" fillId="21"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 fillId="3" borderId="0" applyNumberFormat="0" applyBorder="0" applyAlignment="0" applyProtection="0"/>
    <xf numFmtId="0" fontId="73" fillId="3" borderId="0" applyNumberFormat="0" applyBorder="0" applyAlignment="0" applyProtection="0"/>
    <xf numFmtId="0" fontId="74" fillId="6" borderId="4" applyNumberFormat="0" applyAlignment="0" applyProtection="0"/>
    <xf numFmtId="0" fontId="75" fillId="7" borderId="7" applyNumberFormat="0" applyAlignment="0" applyProtection="0"/>
    <xf numFmtId="43" fontId="34" fillId="0" borderId="0" applyFont="0" applyFill="0" applyBorder="0" applyAlignment="0" applyProtection="0"/>
    <xf numFmtId="43" fontId="22" fillId="0" borderId="0" applyFont="0" applyFill="0" applyBorder="0" applyAlignment="0" applyProtection="0"/>
    <xf numFmtId="164" fontId="22" fillId="0" borderId="0" applyFont="0" applyFill="0" applyBorder="0" applyAlignment="0" applyProtection="0"/>
    <xf numFmtId="43" fontId="1" fillId="0" borderId="0" applyFont="0" applyFill="0" applyBorder="0" applyAlignment="0" applyProtection="0"/>
    <xf numFmtId="43" fontId="21" fillId="0" borderId="0" applyFont="0" applyFill="0" applyBorder="0" applyAlignment="0" applyProtection="0"/>
    <xf numFmtId="43" fontId="34"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44" fontId="21" fillId="0" borderId="0" applyFont="0" applyFill="0" applyBorder="0" applyAlignment="0" applyProtection="0"/>
    <xf numFmtId="44" fontId="34" fillId="0" borderId="0" applyFont="0" applyFill="0" applyBorder="0" applyAlignment="0" applyProtection="0"/>
    <xf numFmtId="44" fontId="1" fillId="0" borderId="0" applyFont="0" applyFill="0" applyBorder="0" applyAlignment="0" applyProtection="0"/>
    <xf numFmtId="165" fontId="1" fillId="0" borderId="0" applyFont="0" applyFill="0" applyBorder="0" applyAlignment="0" applyProtection="0"/>
    <xf numFmtId="0" fontId="76" fillId="0" borderId="0" applyNumberFormat="0" applyFill="0" applyBorder="0" applyAlignment="0" applyProtection="0"/>
    <xf numFmtId="0" fontId="77" fillId="2" borderId="0" applyNumberFormat="0" applyBorder="0" applyAlignment="0" applyProtection="0"/>
    <xf numFmtId="0" fontId="78" fillId="0" borderId="0"/>
    <xf numFmtId="0" fontId="5" fillId="0" borderId="3" applyNumberFormat="0" applyFill="0" applyAlignment="0" applyProtection="0"/>
    <xf numFmtId="0" fontId="79" fillId="5" borderId="4" applyNumberFormat="0" applyAlignment="0" applyProtection="0"/>
    <xf numFmtId="0" fontId="80" fillId="0" borderId="6" applyNumberFormat="0" applyFill="0" applyAlignment="0" applyProtection="0"/>
    <xf numFmtId="0" fontId="81" fillId="4" borderId="0" applyNumberFormat="0" applyBorder="0" applyAlignment="0" applyProtection="0"/>
    <xf numFmtId="0" fontId="34" fillId="0" borderId="0"/>
    <xf numFmtId="0" fontId="34" fillId="0" borderId="0"/>
    <xf numFmtId="0" fontId="24" fillId="0" borderId="0"/>
    <xf numFmtId="0" fontId="34" fillId="0" borderId="0"/>
    <xf numFmtId="0" fontId="34" fillId="0" borderId="0"/>
    <xf numFmtId="0" fontId="34" fillId="0" borderId="0"/>
    <xf numFmtId="0" fontId="1" fillId="0" borderId="0"/>
    <xf numFmtId="0" fontId="21" fillId="0" borderId="0"/>
    <xf numFmtId="0" fontId="21" fillId="0" borderId="0"/>
    <xf numFmtId="0" fontId="34" fillId="8" borderId="8" applyNumberFormat="0" applyFont="0" applyAlignment="0" applyProtection="0"/>
    <xf numFmtId="0" fontId="34" fillId="8" borderId="8" applyNumberFormat="0" applyFont="0" applyAlignment="0" applyProtection="0"/>
    <xf numFmtId="0" fontId="82" fillId="6" borderId="5" applyNumberFormat="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38" fontId="40" fillId="0" borderId="0"/>
    <xf numFmtId="0" fontId="71" fillId="0" borderId="9" applyNumberFormat="0" applyFill="0" applyAlignment="0" applyProtection="0"/>
    <xf numFmtId="0" fontId="83" fillId="0" borderId="0" applyNumberFormat="0" applyFill="0" applyBorder="0" applyAlignment="0" applyProtection="0"/>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7" fillId="0" borderId="0"/>
    <xf numFmtId="0" fontId="24" fillId="0" borderId="0"/>
    <xf numFmtId="0" fontId="30" fillId="0" borderId="0"/>
    <xf numFmtId="0" fontId="30" fillId="0" borderId="0"/>
    <xf numFmtId="0" fontId="30" fillId="0" borderId="0"/>
    <xf numFmtId="0" fontId="30" fillId="0" borderId="0"/>
    <xf numFmtId="0" fontId="23" fillId="0" borderId="0" applyNumberFormat="0" applyFill="0" applyBorder="0" applyAlignment="0" applyProtection="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1" fillId="0" borderId="0"/>
    <xf numFmtId="0" fontId="21" fillId="0" borderId="0"/>
    <xf numFmtId="0" fontId="21" fillId="0" borderId="0"/>
    <xf numFmtId="43" fontId="21" fillId="0" borderId="0" applyFont="0" applyFill="0" applyBorder="0" applyAlignment="0" applyProtection="0"/>
    <xf numFmtId="0" fontId="18" fillId="0" borderId="0"/>
    <xf numFmtId="164" fontId="21" fillId="0" borderId="0" applyFont="0" applyFill="0" applyBorder="0" applyAlignment="0" applyProtection="0">
      <alignment wrapText="1"/>
    </xf>
    <xf numFmtId="0" fontId="21" fillId="0" borderId="0">
      <alignment wrapText="1"/>
    </xf>
    <xf numFmtId="0" fontId="43" fillId="0" borderId="0"/>
    <xf numFmtId="0" fontId="21" fillId="0" borderId="0"/>
    <xf numFmtId="0" fontId="21" fillId="0" borderId="0">
      <alignment wrapText="1"/>
    </xf>
    <xf numFmtId="0" fontId="70" fillId="0" borderId="0"/>
    <xf numFmtId="0" fontId="1" fillId="0" borderId="0"/>
    <xf numFmtId="0" fontId="1" fillId="0" borderId="0"/>
    <xf numFmtId="0" fontId="34" fillId="0" borderId="0"/>
    <xf numFmtId="0" fontId="34" fillId="0" borderId="0"/>
    <xf numFmtId="0" fontId="34" fillId="0" borderId="0"/>
    <xf numFmtId="0" fontId="86" fillId="0" borderId="3" applyNumberFormat="0" applyFill="0" applyAlignment="0" applyProtection="0"/>
    <xf numFmtId="0" fontId="86" fillId="0" borderId="0" applyNumberFormat="0" applyFill="0" applyBorder="0" applyAlignment="0" applyProtection="0"/>
    <xf numFmtId="0" fontId="85" fillId="0" borderId="2" applyNumberFormat="0" applyFill="0" applyAlignment="0" applyProtection="0"/>
    <xf numFmtId="0" fontId="84" fillId="0" borderId="1" applyNumberFormat="0" applyFill="0" applyAlignment="0" applyProtection="0"/>
    <xf numFmtId="0" fontId="87" fillId="0" borderId="0"/>
    <xf numFmtId="0" fontId="21" fillId="0" borderId="0"/>
    <xf numFmtId="43" fontId="24" fillId="0" borderId="0" applyFont="0" applyFill="0" applyBorder="0" applyAlignment="0" applyProtection="0"/>
    <xf numFmtId="43" fontId="24" fillId="0" borderId="0" applyFont="0" applyFill="0" applyBorder="0" applyAlignment="0" applyProtection="0"/>
    <xf numFmtId="0" fontId="26" fillId="0" borderId="0"/>
    <xf numFmtId="0" fontId="21" fillId="0" borderId="0"/>
    <xf numFmtId="0" fontId="21" fillId="0" borderId="0"/>
    <xf numFmtId="0" fontId="21" fillId="0" borderId="0"/>
    <xf numFmtId="0" fontId="26" fillId="0" borderId="0"/>
    <xf numFmtId="0" fontId="21" fillId="0" borderId="0"/>
    <xf numFmtId="0" fontId="21" fillId="0" borderId="0"/>
    <xf numFmtId="0" fontId="24" fillId="0" borderId="0"/>
    <xf numFmtId="0" fontId="30" fillId="0" borderId="0"/>
    <xf numFmtId="0" fontId="24" fillId="0" borderId="0"/>
    <xf numFmtId="0" fontId="21" fillId="0" borderId="0"/>
    <xf numFmtId="0" fontId="24" fillId="0" borderId="0"/>
    <xf numFmtId="0" fontId="24" fillId="0" borderId="0"/>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22" fontId="21" fillId="0" borderId="0" applyFont="0" applyFill="0" applyBorder="0" applyAlignment="0" applyProtection="0">
      <alignment horizontal="left"/>
    </xf>
    <xf numFmtId="171" fontId="21" fillId="0" borderId="0" applyFont="0" applyFill="0" applyBorder="0" applyAlignment="0" applyProtection="0">
      <alignment horizontal="left"/>
    </xf>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0" fontId="89" fillId="0" borderId="0"/>
    <xf numFmtId="0" fontId="90" fillId="0" borderId="0"/>
    <xf numFmtId="0" fontId="46" fillId="0" borderId="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8" fontId="21"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5" fontId="21"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195" fontId="21" fillId="0" borderId="0" applyFont="0" applyFill="0" applyBorder="0" applyAlignment="0" applyProtection="0"/>
    <xf numFmtId="9" fontId="21"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22" fontId="21" fillId="0" borderId="0" applyFont="0" applyFill="0" applyBorder="0" applyAlignment="0" applyProtection="0">
      <alignment horizontal="left"/>
    </xf>
    <xf numFmtId="171" fontId="21" fillId="0" borderId="0" applyFont="0" applyFill="0" applyBorder="0" applyAlignment="0" applyProtection="0">
      <alignment horizontal="left"/>
    </xf>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8" fontId="21"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5" fontId="21"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195" fontId="21"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22" fontId="21" fillId="0" borderId="0" applyFont="0" applyFill="0" applyBorder="0" applyAlignment="0" applyProtection="0">
      <alignment horizontal="left"/>
    </xf>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22" fontId="21" fillId="0" borderId="0" applyFont="0" applyFill="0" applyBorder="0" applyAlignment="0" applyProtection="0">
      <alignment horizontal="left"/>
    </xf>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22" fontId="21" fillId="0" borderId="0" applyFont="0" applyFill="0" applyBorder="0" applyAlignment="0" applyProtection="0">
      <alignment horizontal="left"/>
    </xf>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0" fontId="1" fillId="0" borderId="0"/>
    <xf numFmtId="0" fontId="87" fillId="0" borderId="0"/>
    <xf numFmtId="0" fontId="20" fillId="0" borderId="0">
      <alignment vertical="top"/>
    </xf>
    <xf numFmtId="9" fontId="20" fillId="0" borderId="0" applyFont="0" applyFill="0" applyBorder="0" applyAlignment="0" applyProtection="0"/>
    <xf numFmtId="0" fontId="20" fillId="0" borderId="0">
      <alignment vertical="top"/>
    </xf>
    <xf numFmtId="0" fontId="1" fillId="0" borderId="0"/>
    <xf numFmtId="0" fontId="87" fillId="0" borderId="0"/>
    <xf numFmtId="9" fontId="21" fillId="0" borderId="0" applyFont="0" applyFill="0" applyBorder="0" applyAlignment="0" applyProtection="0"/>
    <xf numFmtId="0" fontId="20" fillId="0" borderId="0">
      <alignment vertical="top"/>
    </xf>
    <xf numFmtId="43" fontId="20" fillId="0" borderId="0" applyFont="0" applyFill="0" applyBorder="0" applyAlignment="0" applyProtection="0"/>
    <xf numFmtId="0" fontId="87" fillId="0" borderId="0"/>
    <xf numFmtId="0" fontId="34" fillId="0" borderId="0"/>
    <xf numFmtId="0" fontId="34" fillId="8" borderId="8" applyNumberFormat="0" applyFont="0" applyAlignment="0" applyProtection="0"/>
    <xf numFmtId="0" fontId="34" fillId="0" borderId="0"/>
    <xf numFmtId="0" fontId="34" fillId="0" borderId="0"/>
    <xf numFmtId="43"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34" fillId="0" borderId="0"/>
    <xf numFmtId="43" fontId="34" fillId="0" borderId="0" applyFont="0" applyFill="0" applyBorder="0" applyAlignment="0" applyProtection="0"/>
    <xf numFmtId="44" fontId="34" fillId="0" borderId="0" applyFont="0" applyFill="0" applyBorder="0" applyAlignment="0" applyProtection="0"/>
    <xf numFmtId="9" fontId="34" fillId="0" borderId="0" applyFont="0" applyFill="0" applyBorder="0" applyAlignment="0" applyProtection="0"/>
    <xf numFmtId="0" fontId="34" fillId="8" borderId="8" applyNumberFormat="0" applyFont="0" applyAlignment="0" applyProtection="0"/>
    <xf numFmtId="0" fontId="34" fillId="10" borderId="0" applyNumberFormat="0" applyBorder="0" applyAlignment="0" applyProtection="0"/>
    <xf numFmtId="0" fontId="34" fillId="11"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34" fillId="22" borderId="0" applyNumberFormat="0" applyBorder="0" applyAlignment="0" applyProtection="0"/>
    <xf numFmtId="0" fontId="34" fillId="23"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30" borderId="0" applyNumberFormat="0" applyBorder="0" applyAlignment="0" applyProtection="0"/>
    <xf numFmtId="0" fontId="34" fillId="31" borderId="0" applyNumberFormat="0" applyBorder="0" applyAlignment="0" applyProtection="0"/>
    <xf numFmtId="0" fontId="34" fillId="0" borderId="0"/>
    <xf numFmtId="0" fontId="34" fillId="0" borderId="0"/>
    <xf numFmtId="43"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34" fillId="0" borderId="0"/>
    <xf numFmtId="0" fontId="34" fillId="0" borderId="0"/>
    <xf numFmtId="0" fontId="34" fillId="0" borderId="0"/>
    <xf numFmtId="9" fontId="34" fillId="0" borderId="0" applyFont="0" applyFill="0" applyBorder="0" applyAlignment="0" applyProtection="0"/>
    <xf numFmtId="43" fontId="22" fillId="0" borderId="0" applyFont="0" applyFill="0" applyBorder="0" applyAlignment="0" applyProtection="0"/>
    <xf numFmtId="43" fontId="1" fillId="0" borderId="0" applyFont="0" applyFill="0" applyBorder="0" applyAlignment="0" applyProtection="0"/>
    <xf numFmtId="43" fontId="22" fillId="0" borderId="0" applyFont="0" applyFill="0" applyBorder="0" applyAlignment="0" applyProtection="0"/>
    <xf numFmtId="43" fontId="1" fillId="0" borderId="0" applyFont="0" applyFill="0" applyBorder="0" applyAlignment="0" applyProtection="0"/>
    <xf numFmtId="0" fontId="22" fillId="0" borderId="0"/>
    <xf numFmtId="164" fontId="21" fillId="0" borderId="0" applyFont="0" applyFill="0" applyBorder="0" applyAlignment="0" applyProtection="0">
      <alignment wrapText="1"/>
    </xf>
    <xf numFmtId="0" fontId="43" fillId="0" borderId="0"/>
    <xf numFmtId="43" fontId="21" fillId="0" borderId="0" applyFont="0" applyFill="0" applyBorder="0" applyAlignment="0" applyProtection="0"/>
    <xf numFmtId="0" fontId="22" fillId="0" borderId="0"/>
    <xf numFmtId="0" fontId="34" fillId="10" borderId="0" applyNumberFormat="0" applyBorder="0" applyAlignment="0" applyProtection="0"/>
    <xf numFmtId="0" fontId="22" fillId="37" borderId="0" applyNumberFormat="0" applyBorder="0" applyAlignment="0" applyProtection="0"/>
    <xf numFmtId="0" fontId="22" fillId="44" borderId="0" applyNumberFormat="0" applyBorder="0" applyAlignment="0" applyProtection="0"/>
    <xf numFmtId="0" fontId="54" fillId="47" borderId="0" applyNumberFormat="0" applyBorder="0" applyAlignment="0" applyProtection="0"/>
    <xf numFmtId="164" fontId="24" fillId="0" borderId="0" applyFont="0" applyFill="0" applyBorder="0" applyAlignment="0" applyProtection="0"/>
    <xf numFmtId="0" fontId="54" fillId="50" borderId="0" applyNumberFormat="0" applyBorder="0" applyAlignment="0" applyProtection="0"/>
    <xf numFmtId="43" fontId="21" fillId="0" borderId="0" applyFont="0" applyFill="0" applyBorder="0" applyAlignment="0" applyProtection="0"/>
    <xf numFmtId="0" fontId="18" fillId="0" borderId="0"/>
    <xf numFmtId="0" fontId="22" fillId="42" borderId="0" applyNumberFormat="0" applyBorder="0" applyAlignment="0" applyProtection="0"/>
    <xf numFmtId="0" fontId="34" fillId="0" borderId="0"/>
    <xf numFmtId="0" fontId="24" fillId="0" borderId="0"/>
    <xf numFmtId="0" fontId="62" fillId="0" borderId="20" applyNumberFormat="0" applyFill="0" applyAlignment="0" applyProtection="0"/>
    <xf numFmtId="0" fontId="66" fillId="53" borderId="23" applyNumberFormat="0" applyAlignment="0" applyProtection="0"/>
    <xf numFmtId="0" fontId="54" fillId="47" borderId="0" applyNumberFormat="0" applyBorder="0" applyAlignment="0" applyProtection="0"/>
    <xf numFmtId="0" fontId="21" fillId="0" borderId="0">
      <alignment wrapText="1"/>
    </xf>
    <xf numFmtId="0" fontId="69" fillId="0" borderId="0" applyNumberFormat="0" applyFill="0" applyBorder="0" applyAlignment="0" applyProtection="0"/>
    <xf numFmtId="164" fontId="24" fillId="0" borderId="0" applyFont="0" applyFill="0" applyBorder="0" applyAlignment="0" applyProtection="0"/>
    <xf numFmtId="0" fontId="54" fillId="49" borderId="0" applyNumberFormat="0" applyBorder="0" applyAlignment="0" applyProtection="0"/>
    <xf numFmtId="44" fontId="34" fillId="0" borderId="0" applyFont="0" applyFill="0" applyBorder="0" applyAlignment="0" applyProtection="0"/>
    <xf numFmtId="0" fontId="26" fillId="0" borderId="0"/>
    <xf numFmtId="0" fontId="31" fillId="29" borderId="0" applyNumberFormat="0" applyBorder="0" applyAlignment="0" applyProtection="0"/>
    <xf numFmtId="9" fontId="21" fillId="0" borderId="0" applyFont="0" applyFill="0" applyBorder="0" applyAlignment="0" applyProtection="0"/>
    <xf numFmtId="43" fontId="21" fillId="0" borderId="0" applyFont="0" applyFill="0" applyBorder="0" applyAlignment="0" applyProtection="0"/>
    <xf numFmtId="9" fontId="21" fillId="0" borderId="0" applyFont="0" applyFill="0" applyBorder="0" applyAlignment="0" applyProtection="0"/>
    <xf numFmtId="44" fontId="21" fillId="0" borderId="0" applyFont="0" applyFill="0" applyBorder="0" applyAlignment="0" applyProtection="0"/>
    <xf numFmtId="0" fontId="22" fillId="44" borderId="0" applyNumberFormat="0" applyBorder="0" applyAlignment="0" applyProtection="0"/>
    <xf numFmtId="0" fontId="22" fillId="40" borderId="0" applyNumberFormat="0" applyBorder="0" applyAlignment="0" applyProtection="0"/>
    <xf numFmtId="9" fontId="22" fillId="0" borderId="0" applyFont="0" applyFill="0" applyBorder="0" applyAlignment="0" applyProtection="0"/>
    <xf numFmtId="0" fontId="22" fillId="38" borderId="0" applyNumberFormat="0" applyBorder="0" applyAlignment="0" applyProtection="0"/>
    <xf numFmtId="0" fontId="34" fillId="22" borderId="0" applyNumberFormat="0" applyBorder="0" applyAlignment="0" applyProtection="0"/>
    <xf numFmtId="0" fontId="1" fillId="8" borderId="8" applyNumberFormat="0" applyFont="0" applyAlignment="0" applyProtection="0"/>
    <xf numFmtId="0" fontId="54" fillId="42" borderId="0" applyNumberFormat="0" applyBorder="0" applyAlignment="0" applyProtection="0"/>
    <xf numFmtId="0" fontId="22" fillId="38" borderId="0" applyNumberFormat="0" applyBorder="0" applyAlignment="0" applyProtection="0"/>
    <xf numFmtId="0" fontId="22" fillId="0" borderId="0"/>
    <xf numFmtId="0" fontId="21" fillId="0" borderId="0">
      <alignment wrapText="1"/>
    </xf>
    <xf numFmtId="43" fontId="22" fillId="0" borderId="0" applyFont="0" applyFill="0" applyBorder="0" applyAlignment="0" applyProtection="0"/>
    <xf numFmtId="0" fontId="22" fillId="36" borderId="0" applyNumberFormat="0" applyBorder="0" applyAlignment="0" applyProtection="0"/>
    <xf numFmtId="0" fontId="22" fillId="39" borderId="0" applyNumberFormat="0" applyBorder="0" applyAlignment="0" applyProtection="0"/>
    <xf numFmtId="0" fontId="30" fillId="0" borderId="0"/>
    <xf numFmtId="44" fontId="21" fillId="0" borderId="0" applyFont="0" applyFill="0" applyBorder="0" applyAlignment="0" applyProtection="0"/>
    <xf numFmtId="0" fontId="21" fillId="0" borderId="0"/>
    <xf numFmtId="0" fontId="63" fillId="40" borderId="16" applyNumberFormat="0" applyAlignment="0" applyProtection="0"/>
    <xf numFmtId="0" fontId="34" fillId="14" borderId="0" applyNumberFormat="0" applyBorder="0" applyAlignment="0" applyProtection="0"/>
    <xf numFmtId="0" fontId="54" fillId="45" borderId="0" applyNumberFormat="0" applyBorder="0" applyAlignment="0" applyProtection="0"/>
    <xf numFmtId="9" fontId="1" fillId="0" borderId="0" applyFont="0" applyFill="0" applyBorder="0" applyAlignment="0" applyProtection="0"/>
    <xf numFmtId="0" fontId="34" fillId="22" borderId="0" applyNumberFormat="0" applyBorder="0" applyAlignment="0" applyProtection="0"/>
    <xf numFmtId="0" fontId="43" fillId="0" borderId="0"/>
    <xf numFmtId="0" fontId="55" fillId="36" borderId="0" applyNumberFormat="0" applyBorder="0" applyAlignment="0" applyProtection="0"/>
    <xf numFmtId="164" fontId="21" fillId="0" borderId="0" applyFont="0" applyFill="0" applyBorder="0" applyAlignment="0" applyProtection="0">
      <alignment wrapText="1"/>
    </xf>
    <xf numFmtId="0" fontId="1" fillId="0" borderId="0"/>
    <xf numFmtId="0" fontId="22" fillId="39" borderId="0" applyNumberFormat="0" applyBorder="0" applyAlignment="0" applyProtection="0"/>
    <xf numFmtId="44" fontId="21" fillId="0" borderId="0" applyFont="0" applyFill="0" applyBorder="0" applyAlignment="0" applyProtection="0"/>
    <xf numFmtId="0" fontId="1" fillId="0" borderId="0"/>
    <xf numFmtId="44" fontId="21" fillId="0" borderId="0" applyFont="0" applyFill="0" applyBorder="0" applyAlignment="0" applyProtection="0"/>
    <xf numFmtId="0" fontId="21" fillId="0" borderId="0">
      <alignment wrapText="1"/>
    </xf>
    <xf numFmtId="0" fontId="21" fillId="0" borderId="0"/>
    <xf numFmtId="0" fontId="31" fillId="17" borderId="0" applyNumberFormat="0" applyBorder="0" applyAlignment="0" applyProtection="0"/>
    <xf numFmtId="43" fontId="21" fillId="0" borderId="0" applyFont="0" applyFill="0" applyBorder="0" applyAlignment="0" applyProtection="0"/>
    <xf numFmtId="0" fontId="21" fillId="0" borderId="0"/>
    <xf numFmtId="0" fontId="22" fillId="0" borderId="0"/>
    <xf numFmtId="0" fontId="31" fillId="29" borderId="0" applyNumberFormat="0" applyBorder="0" applyAlignment="0" applyProtection="0"/>
    <xf numFmtId="0" fontId="36" fillId="0" borderId="0"/>
    <xf numFmtId="0" fontId="34" fillId="0" borderId="0"/>
    <xf numFmtId="0" fontId="34" fillId="18" borderId="0" applyNumberFormat="0" applyBorder="0" applyAlignment="0" applyProtection="0"/>
    <xf numFmtId="164" fontId="24" fillId="0" borderId="0" applyFont="0" applyFill="0" applyBorder="0" applyAlignment="0" applyProtection="0"/>
    <xf numFmtId="0" fontId="54" fillId="46" borderId="0" applyNumberFormat="0" applyBorder="0" applyAlignment="0" applyProtection="0"/>
    <xf numFmtId="0" fontId="58" fillId="0" borderId="0" applyNumberFormat="0" applyFill="0" applyBorder="0" applyAlignment="0" applyProtection="0"/>
    <xf numFmtId="0" fontId="22" fillId="0" borderId="0"/>
    <xf numFmtId="44" fontId="21" fillId="0" borderId="0" applyFont="0" applyFill="0" applyBorder="0" applyAlignment="0" applyProtection="0"/>
    <xf numFmtId="0" fontId="30" fillId="0" borderId="0"/>
    <xf numFmtId="0" fontId="59" fillId="37" borderId="0" applyNumberFormat="0" applyBorder="0" applyAlignment="0" applyProtection="0"/>
    <xf numFmtId="0" fontId="27" fillId="0" borderId="0"/>
    <xf numFmtId="0" fontId="1" fillId="0" borderId="0"/>
    <xf numFmtId="0" fontId="70" fillId="0" borderId="0"/>
    <xf numFmtId="0" fontId="21" fillId="0" borderId="0">
      <alignment wrapText="1"/>
    </xf>
    <xf numFmtId="0" fontId="1" fillId="8" borderId="8" applyNumberFormat="0" applyFont="0" applyAlignment="0" applyProtection="0"/>
    <xf numFmtId="0" fontId="22" fillId="43" borderId="0" applyNumberFormat="0" applyBorder="0" applyAlignment="0" applyProtection="0"/>
    <xf numFmtId="0" fontId="54" fillId="46" borderId="0" applyNumberFormat="0" applyBorder="0" applyAlignment="0" applyProtection="0"/>
    <xf numFmtId="0" fontId="60" fillId="0" borderId="18" applyNumberFormat="0" applyFill="0" applyAlignment="0" applyProtection="0"/>
    <xf numFmtId="0" fontId="30" fillId="0" borderId="0"/>
    <xf numFmtId="0" fontId="34" fillId="14" borderId="0" applyNumberFormat="0" applyBorder="0" applyAlignment="0" applyProtection="0"/>
    <xf numFmtId="0" fontId="36" fillId="0" borderId="0"/>
    <xf numFmtId="0" fontId="61" fillId="0" borderId="19" applyNumberFormat="0" applyFill="0" applyAlignment="0" applyProtection="0"/>
    <xf numFmtId="0" fontId="34" fillId="18" borderId="0" applyNumberFormat="0" applyBorder="0" applyAlignment="0" applyProtection="0"/>
    <xf numFmtId="43" fontId="35" fillId="0" borderId="0" applyFont="0" applyFill="0" applyBorder="0" applyAlignment="0" applyProtection="0"/>
    <xf numFmtId="0" fontId="54" fillId="48" borderId="0" applyNumberFormat="0" applyBorder="0" applyAlignment="0" applyProtection="0"/>
    <xf numFmtId="0" fontId="26" fillId="0" borderId="0"/>
    <xf numFmtId="0" fontId="22" fillId="38" borderId="0" applyNumberFormat="0" applyBorder="0" applyAlignment="0" applyProtection="0"/>
    <xf numFmtId="0" fontId="55" fillId="36" borderId="0" applyNumberFormat="0" applyBorder="0" applyAlignment="0" applyProtection="0"/>
    <xf numFmtId="44" fontId="21" fillId="0" borderId="0" applyFont="0" applyFill="0" applyBorder="0" applyAlignment="0" applyProtection="0"/>
    <xf numFmtId="164" fontId="21" fillId="0" borderId="0" applyFont="0" applyFill="0" applyBorder="0" applyAlignment="0" applyProtection="0">
      <alignment wrapText="1"/>
    </xf>
    <xf numFmtId="0" fontId="22" fillId="41" borderId="0" applyNumberFormat="0" applyBorder="0" applyAlignment="0" applyProtection="0"/>
    <xf numFmtId="0" fontId="1" fillId="0" borderId="0"/>
    <xf numFmtId="0" fontId="56" fillId="53" borderId="16" applyNumberFormat="0" applyAlignment="0" applyProtection="0"/>
    <xf numFmtId="9" fontId="21" fillId="0" borderId="0" applyFont="0" applyFill="0" applyBorder="0" applyAlignment="0" applyProtection="0"/>
    <xf numFmtId="0" fontId="1" fillId="0" borderId="0"/>
    <xf numFmtId="0" fontId="68" fillId="0" borderId="24" applyNumberFormat="0" applyFill="0" applyAlignment="0" applyProtection="0"/>
    <xf numFmtId="0" fontId="31" fillId="17" borderId="0" applyNumberFormat="0" applyBorder="0" applyAlignment="0" applyProtection="0"/>
    <xf numFmtId="0" fontId="22" fillId="36" borderId="0" applyNumberFormat="0" applyBorder="0" applyAlignment="0" applyProtection="0"/>
    <xf numFmtId="0" fontId="64" fillId="0" borderId="21" applyNumberFormat="0" applyFill="0" applyAlignment="0" applyProtection="0"/>
    <xf numFmtId="43" fontId="21" fillId="0" borderId="0" applyFont="0" applyFill="0" applyBorder="0" applyAlignment="0" applyProtection="0"/>
    <xf numFmtId="0" fontId="22" fillId="41" borderId="0" applyNumberFormat="0" applyBorder="0" applyAlignment="0" applyProtection="0"/>
    <xf numFmtId="0" fontId="21" fillId="0" borderId="0"/>
    <xf numFmtId="0" fontId="22" fillId="38" borderId="0" applyNumberFormat="0" applyBorder="0" applyAlignment="0" applyProtection="0"/>
    <xf numFmtId="0" fontId="22" fillId="35" borderId="0" applyNumberFormat="0" applyBorder="0" applyAlignment="0" applyProtection="0"/>
    <xf numFmtId="164" fontId="1" fillId="0" borderId="0" applyFont="0" applyFill="0" applyBorder="0" applyAlignment="0" applyProtection="0"/>
    <xf numFmtId="0" fontId="41" fillId="0" borderId="0"/>
    <xf numFmtId="0" fontId="21" fillId="0" borderId="0"/>
    <xf numFmtId="0" fontId="26" fillId="0" borderId="0"/>
    <xf numFmtId="0" fontId="21" fillId="56" borderId="22" applyNumberFormat="0" applyFont="0" applyAlignment="0" applyProtection="0"/>
    <xf numFmtId="0" fontId="22" fillId="0" borderId="0"/>
    <xf numFmtId="0" fontId="62" fillId="0" borderId="20" applyNumberFormat="0" applyFill="0" applyAlignment="0" applyProtection="0"/>
    <xf numFmtId="43" fontId="21" fillId="0" borderId="0" applyFont="0" applyFill="0" applyBorder="0" applyAlignment="0" applyProtection="0"/>
    <xf numFmtId="0" fontId="35" fillId="0" borderId="0"/>
    <xf numFmtId="0" fontId="22" fillId="43" borderId="0" applyNumberFormat="0" applyBorder="0" applyAlignment="0" applyProtection="0"/>
    <xf numFmtId="0" fontId="34" fillId="10" borderId="0" applyNumberFormat="0" applyBorder="0" applyAlignment="0" applyProtection="0"/>
    <xf numFmtId="43" fontId="21" fillId="0" borderId="0" applyFont="0" applyFill="0" applyBorder="0" applyAlignment="0" applyProtection="0"/>
    <xf numFmtId="0" fontId="22" fillId="42" borderId="0" applyNumberFormat="0" applyBorder="0" applyAlignment="0" applyProtection="0"/>
    <xf numFmtId="9" fontId="1" fillId="0" borderId="0" applyFont="0" applyFill="0" applyBorder="0" applyAlignment="0" applyProtection="0"/>
    <xf numFmtId="43" fontId="21" fillId="0" borderId="0" applyFont="0" applyFill="0" applyBorder="0" applyAlignment="0" applyProtection="0"/>
    <xf numFmtId="43" fontId="22" fillId="0" borderId="0" applyFont="0" applyFill="0" applyBorder="0" applyAlignment="0" applyProtection="0"/>
    <xf numFmtId="0" fontId="1" fillId="0" borderId="0"/>
    <xf numFmtId="0" fontId="35" fillId="0" borderId="0"/>
    <xf numFmtId="0" fontId="22" fillId="41" borderId="0" applyNumberFormat="0" applyBorder="0" applyAlignment="0" applyProtection="0"/>
    <xf numFmtId="9" fontId="21" fillId="0" borderId="0" applyFont="0" applyFill="0" applyBorder="0" applyAlignment="0" applyProtection="0"/>
    <xf numFmtId="0" fontId="87" fillId="0" borderId="0"/>
    <xf numFmtId="0" fontId="87" fillId="0" borderId="0"/>
    <xf numFmtId="0" fontId="87" fillId="0" borderId="0"/>
    <xf numFmtId="0" fontId="87" fillId="0" borderId="0"/>
    <xf numFmtId="0" fontId="21" fillId="0" borderId="0"/>
    <xf numFmtId="0" fontId="87" fillId="0" borderId="0"/>
    <xf numFmtId="0" fontId="1" fillId="0" borderId="0"/>
    <xf numFmtId="0" fontId="29" fillId="0" borderId="0" applyNumberFormat="0" applyFill="0" applyBorder="0" applyAlignment="0" applyProtection="0"/>
    <xf numFmtId="22" fontId="21" fillId="0" borderId="0" applyFont="0" applyFill="0" applyBorder="0" applyAlignment="0" applyProtection="0">
      <alignment horizontal="left"/>
    </xf>
    <xf numFmtId="22" fontId="21" fillId="0" borderId="0" applyFont="0" applyFill="0" applyBorder="0" applyAlignment="0" applyProtection="0">
      <alignment horizontal="left"/>
    </xf>
    <xf numFmtId="22" fontId="21" fillId="0" borderId="0" applyFont="0" applyFill="0" applyBorder="0" applyAlignment="0" applyProtection="0">
      <alignment horizontal="left"/>
    </xf>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22" fontId="21" fillId="0" borderId="0" applyFont="0" applyFill="0" applyBorder="0" applyAlignment="0" applyProtection="0">
      <alignment horizontal="left"/>
    </xf>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0" fontId="20" fillId="0" borderId="0">
      <alignment vertical="top"/>
    </xf>
    <xf numFmtId="0" fontId="87" fillId="0" borderId="0"/>
    <xf numFmtId="0" fontId="87" fillId="0" borderId="0"/>
    <xf numFmtId="0" fontId="87" fillId="0" borderId="0"/>
    <xf numFmtId="0" fontId="20" fillId="0" borderId="0">
      <alignment vertical="top"/>
    </xf>
    <xf numFmtId="0" fontId="87" fillId="0" borderId="0"/>
    <xf numFmtId="0" fontId="21" fillId="0" borderId="0"/>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0" fontId="20" fillId="0" borderId="0">
      <alignment vertical="top"/>
    </xf>
    <xf numFmtId="43" fontId="21" fillId="0" borderId="0" applyFont="0" applyFill="0" applyBorder="0" applyAlignment="0" applyProtection="0"/>
    <xf numFmtId="165" fontId="1" fillId="0" borderId="0" applyFont="0" applyFill="0" applyBorder="0" applyAlignment="0" applyProtection="0"/>
    <xf numFmtId="165" fontId="24" fillId="0" borderId="0" applyFon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34" fillId="0" borderId="0"/>
    <xf numFmtId="0" fontId="34" fillId="0" borderId="0"/>
    <xf numFmtId="0" fontId="36" fillId="0" borderId="0"/>
    <xf numFmtId="0" fontId="24" fillId="0" borderId="0"/>
    <xf numFmtId="0" fontId="35" fillId="0" borderId="0"/>
    <xf numFmtId="0" fontId="34" fillId="0" borderId="0"/>
    <xf numFmtId="0" fontId="34" fillId="0" borderId="0"/>
    <xf numFmtId="0" fontId="34" fillId="0" borderId="0"/>
    <xf numFmtId="0" fontId="34" fillId="0" borderId="0"/>
    <xf numFmtId="0" fontId="34" fillId="0" borderId="0"/>
    <xf numFmtId="0" fontId="36" fillId="0" borderId="0"/>
    <xf numFmtId="0" fontId="21" fillId="0" borderId="0"/>
    <xf numFmtId="0" fontId="24" fillId="0" borderId="0"/>
    <xf numFmtId="0" fontId="1" fillId="0" borderId="0"/>
    <xf numFmtId="0" fontId="21" fillId="0" borderId="0"/>
    <xf numFmtId="0" fontId="21" fillId="0" borderId="0"/>
    <xf numFmtId="0" fontId="34" fillId="0" borderId="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87" fillId="0" borderId="0"/>
    <xf numFmtId="0" fontId="87" fillId="0" borderId="0"/>
    <xf numFmtId="0" fontId="87" fillId="0" borderId="0"/>
    <xf numFmtId="0" fontId="87" fillId="0" borderId="0"/>
    <xf numFmtId="38" fontId="40" fillId="0" borderId="0"/>
    <xf numFmtId="0" fontId="36" fillId="0" borderId="0"/>
    <xf numFmtId="0" fontId="1" fillId="0" borderId="0"/>
    <xf numFmtId="0" fontId="1" fillId="0" borderId="0"/>
    <xf numFmtId="43" fontId="21" fillId="0" borderId="0" applyFont="0" applyFill="0" applyBorder="0" applyAlignment="0" applyProtection="0"/>
    <xf numFmtId="0" fontId="22" fillId="40" borderId="0" applyNumberFormat="0" applyBorder="0" applyAlignment="0" applyProtection="0"/>
    <xf numFmtId="44" fontId="21" fillId="0" borderId="0" applyFont="0" applyFill="0" applyBorder="0" applyAlignment="0" applyProtection="0"/>
    <xf numFmtId="0" fontId="54" fillId="43" borderId="0" applyNumberFormat="0" applyBorder="0" applyAlignment="0" applyProtection="0"/>
    <xf numFmtId="0" fontId="65" fillId="55" borderId="0" applyNumberFormat="0" applyBorder="0" applyAlignment="0" applyProtection="0"/>
    <xf numFmtId="9" fontId="21" fillId="0" borderId="0" applyFont="0" applyFill="0" applyBorder="0" applyAlignment="0" applyProtection="0"/>
    <xf numFmtId="0" fontId="22" fillId="35" borderId="0" applyNumberFormat="0" applyBorder="0" applyAlignment="0" applyProtection="0"/>
    <xf numFmtId="0" fontId="22" fillId="37" borderId="0" applyNumberFormat="0" applyBorder="0" applyAlignment="0" applyProtection="0"/>
    <xf numFmtId="0" fontId="57" fillId="54" borderId="17" applyNumberFormat="0" applyAlignment="0" applyProtection="0"/>
    <xf numFmtId="0" fontId="34" fillId="0" borderId="0"/>
    <xf numFmtId="0" fontId="43" fillId="0" borderId="0"/>
    <xf numFmtId="0" fontId="22" fillId="41" borderId="0" applyNumberFormat="0" applyBorder="0" applyAlignment="0" applyProtection="0"/>
    <xf numFmtId="0" fontId="34" fillId="26" borderId="0" applyNumberFormat="0" applyBorder="0" applyAlignment="0" applyProtection="0"/>
    <xf numFmtId="0" fontId="34" fillId="26"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11"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9" borderId="0" applyNumberFormat="0" applyBorder="0" applyAlignment="0" applyProtection="0"/>
    <xf numFmtId="0" fontId="34" fillId="19"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7" borderId="0" applyNumberFormat="0" applyBorder="0" applyAlignment="0" applyProtection="0"/>
    <xf numFmtId="0" fontId="34" fillId="27" borderId="0" applyNumberFormat="0" applyBorder="0" applyAlignment="0" applyProtection="0"/>
    <xf numFmtId="0" fontId="34" fillId="31" borderId="0" applyNumberFormat="0" applyBorder="0" applyAlignment="0" applyProtection="0"/>
    <xf numFmtId="0" fontId="34" fillId="31" borderId="0" applyNumberFormat="0" applyBorder="0" applyAlignment="0" applyProtection="0"/>
    <xf numFmtId="0" fontId="72" fillId="12" borderId="0" applyNumberFormat="0" applyBorder="0" applyAlignment="0" applyProtection="0"/>
    <xf numFmtId="0" fontId="72" fillId="16" borderId="0" applyNumberFormat="0" applyBorder="0" applyAlignment="0" applyProtection="0"/>
    <xf numFmtId="0" fontId="72" fillId="20" borderId="0" applyNumberFormat="0" applyBorder="0" applyAlignment="0" applyProtection="0"/>
    <xf numFmtId="0" fontId="72" fillId="24" borderId="0" applyNumberFormat="0" applyBorder="0" applyAlignment="0" applyProtection="0"/>
    <xf numFmtId="0" fontId="72" fillId="28" borderId="0" applyNumberFormat="0" applyBorder="0" applyAlignment="0" applyProtection="0"/>
    <xf numFmtId="0" fontId="72" fillId="32" borderId="0" applyNumberFormat="0" applyBorder="0" applyAlignment="0" applyProtection="0"/>
    <xf numFmtId="0" fontId="72" fillId="9" borderId="0" applyNumberFormat="0" applyBorder="0" applyAlignment="0" applyProtection="0"/>
    <xf numFmtId="0" fontId="72" fillId="13" borderId="0" applyNumberFormat="0" applyBorder="0" applyAlignment="0" applyProtection="0"/>
    <xf numFmtId="0" fontId="72" fillId="21" borderId="0" applyNumberFormat="0" applyBorder="0" applyAlignment="0" applyProtection="0"/>
    <xf numFmtId="0" fontId="72" fillId="25" borderId="0" applyNumberFormat="0" applyBorder="0" applyAlignment="0" applyProtection="0"/>
    <xf numFmtId="0" fontId="7" fillId="3" borderId="0" applyNumberFormat="0" applyBorder="0" applyAlignment="0" applyProtection="0"/>
    <xf numFmtId="0" fontId="73" fillId="3" borderId="0" applyNumberFormat="0" applyBorder="0" applyAlignment="0" applyProtection="0"/>
    <xf numFmtId="0" fontId="74" fillId="6" borderId="4" applyNumberFormat="0" applyAlignment="0" applyProtection="0"/>
    <xf numFmtId="0" fontId="75" fillId="7" borderId="7" applyNumberFormat="0" applyAlignment="0" applyProtection="0"/>
    <xf numFmtId="43" fontId="21" fillId="0" borderId="0" applyFont="0" applyFill="0" applyBorder="0" applyAlignment="0" applyProtection="0"/>
    <xf numFmtId="164" fontId="1" fillId="0" borderId="0" applyFont="0" applyFill="0" applyBorder="0" applyAlignment="0" applyProtection="0"/>
    <xf numFmtId="0" fontId="76" fillId="0" borderId="0" applyNumberFormat="0" applyFill="0" applyBorder="0" applyAlignment="0" applyProtection="0"/>
    <xf numFmtId="0" fontId="77" fillId="2" borderId="0" applyNumberFormat="0" applyBorder="0" applyAlignment="0" applyProtection="0"/>
    <xf numFmtId="0" fontId="5" fillId="0" borderId="3" applyNumberFormat="0" applyFill="0" applyAlignment="0" applyProtection="0"/>
    <xf numFmtId="0" fontId="79" fillId="5" borderId="4" applyNumberFormat="0" applyAlignment="0" applyProtection="0"/>
    <xf numFmtId="0" fontId="80" fillId="0" borderId="6" applyNumberFormat="0" applyFill="0" applyAlignment="0" applyProtection="0"/>
    <xf numFmtId="0" fontId="81" fillId="4" borderId="0" applyNumberFormat="0" applyBorder="0" applyAlignment="0" applyProtection="0"/>
    <xf numFmtId="0" fontId="34" fillId="0" borderId="0"/>
    <xf numFmtId="0" fontId="34" fillId="0" borderId="0"/>
    <xf numFmtId="0" fontId="24" fillId="0" borderId="0"/>
    <xf numFmtId="0" fontId="34" fillId="8" borderId="8" applyNumberFormat="0" applyFont="0" applyAlignment="0" applyProtection="0"/>
    <xf numFmtId="0" fontId="82" fillId="6" borderId="5" applyNumberFormat="0" applyAlignment="0" applyProtection="0"/>
    <xf numFmtId="9" fontId="34" fillId="0" borderId="0" applyFont="0" applyFill="0" applyBorder="0" applyAlignment="0" applyProtection="0"/>
    <xf numFmtId="0" fontId="71" fillId="0" borderId="9" applyNumberFormat="0" applyFill="0" applyAlignment="0" applyProtection="0"/>
    <xf numFmtId="0" fontId="83" fillId="0" borderId="0" applyNumberFormat="0" applyFill="0" applyBorder="0" applyAlignment="0" applyProtection="0"/>
    <xf numFmtId="0" fontId="30" fillId="0" borderId="0"/>
    <xf numFmtId="43" fontId="34" fillId="0" borderId="0" applyFont="0" applyFill="0" applyBorder="0" applyAlignment="0" applyProtection="0"/>
    <xf numFmtId="0" fontId="34" fillId="0" borderId="0"/>
    <xf numFmtId="43"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21" fillId="0" borderId="0"/>
    <xf numFmtId="164" fontId="21" fillId="0" borderId="0" applyFont="0" applyFill="0" applyBorder="0" applyAlignment="0" applyProtection="0"/>
    <xf numFmtId="0" fontId="99" fillId="0" borderId="0" applyNumberFormat="0" applyFill="0" applyBorder="0" applyAlignment="0" applyProtection="0"/>
    <xf numFmtId="164" fontId="1" fillId="0" borderId="0" applyFont="0" applyFill="0" applyBorder="0" applyAlignment="0" applyProtection="0"/>
    <xf numFmtId="0" fontId="36" fillId="0" borderId="0"/>
    <xf numFmtId="43" fontId="1" fillId="0" borderId="0" applyFont="0" applyFill="0" applyBorder="0" applyAlignment="0" applyProtection="0"/>
    <xf numFmtId="0" fontId="100" fillId="0" borderId="0"/>
    <xf numFmtId="164" fontId="22" fillId="0" borderId="0" applyFont="0" applyFill="0" applyBorder="0" applyAlignment="0" applyProtection="0"/>
    <xf numFmtId="0" fontId="20" fillId="0" borderId="0">
      <alignment vertical="top"/>
    </xf>
    <xf numFmtId="0" fontId="101" fillId="3" borderId="0" applyNumberFormat="0" applyBorder="0" applyAlignment="0" applyProtection="0"/>
    <xf numFmtId="164" fontId="21" fillId="0" borderId="0" applyFont="0" applyFill="0" applyBorder="0" applyAlignment="0" applyProtection="0"/>
    <xf numFmtId="43" fontId="24"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5" fontId="21" fillId="0" borderId="0" applyFont="0" applyFill="0" applyBorder="0" applyAlignment="0" applyProtection="0"/>
    <xf numFmtId="164" fontId="22"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4" fontId="34" fillId="0" borderId="0" applyFont="0" applyFill="0" applyBorder="0" applyAlignment="0" applyProtection="0"/>
    <xf numFmtId="164" fontId="35" fillId="0" borderId="0" applyFont="0" applyFill="0" applyBorder="0" applyAlignment="0" applyProtection="0"/>
    <xf numFmtId="164" fontId="21" fillId="0" borderId="0" applyFont="0" applyFill="0" applyBorder="0" applyAlignment="0" applyProtection="0"/>
    <xf numFmtId="164" fontId="22" fillId="0" borderId="0" applyFont="0" applyFill="0" applyBorder="0" applyAlignment="0" applyProtection="0"/>
    <xf numFmtId="165" fontId="34"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43" fontId="3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2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8"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43" fontId="3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43" fontId="20"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4" fillId="0" borderId="0" applyFont="0" applyFill="0" applyBorder="0" applyAlignment="0" applyProtection="0"/>
    <xf numFmtId="165" fontId="1" fillId="0" borderId="0" applyFont="0" applyFill="0" applyBorder="0" applyAlignment="0" applyProtection="0"/>
    <xf numFmtId="164" fontId="22" fillId="0" borderId="0" applyFont="0" applyFill="0" applyBorder="0" applyAlignment="0" applyProtection="0"/>
    <xf numFmtId="164" fontId="34" fillId="0" borderId="0" applyFont="0" applyFill="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1" fillId="0" borderId="0" applyFont="0" applyFill="0" applyBorder="0" applyAlignment="0" applyProtection="0"/>
    <xf numFmtId="164" fontId="34" fillId="0" borderId="0" applyFont="0" applyFill="0" applyBorder="0" applyAlignment="0" applyProtection="0"/>
    <xf numFmtId="164" fontId="1" fillId="0" borderId="0" applyFont="0" applyFill="0" applyBorder="0" applyAlignment="0" applyProtection="0"/>
    <xf numFmtId="165" fontId="21" fillId="0" borderId="0" applyFont="0" applyFill="0" applyBorder="0" applyAlignment="0" applyProtection="0"/>
    <xf numFmtId="165" fontId="34" fillId="0" borderId="0" applyFont="0" applyFill="0" applyBorder="0" applyAlignment="0" applyProtection="0"/>
    <xf numFmtId="165" fontId="1" fillId="0" borderId="0" applyFont="0" applyFill="0" applyBorder="0" applyAlignment="0" applyProtection="0"/>
    <xf numFmtId="164" fontId="21" fillId="0" borderId="0" applyFont="0" applyFill="0" applyBorder="0" applyAlignment="0" applyProtection="0"/>
    <xf numFmtId="0" fontId="21" fillId="0" borderId="0"/>
    <xf numFmtId="164" fontId="24" fillId="0" borderId="0" applyFont="0" applyFill="0" applyBorder="0" applyAlignment="0" applyProtection="0"/>
    <xf numFmtId="164" fontId="24" fillId="0" borderId="0" applyFont="0" applyFill="0" applyBorder="0" applyAlignment="0" applyProtection="0"/>
    <xf numFmtId="0" fontId="26" fillId="0" borderId="0"/>
    <xf numFmtId="0" fontId="21" fillId="0" borderId="0"/>
    <xf numFmtId="0" fontId="21" fillId="0" borderId="0"/>
    <xf numFmtId="0" fontId="21" fillId="0" borderId="0"/>
    <xf numFmtId="0" fontId="21" fillId="0" borderId="0"/>
    <xf numFmtId="0" fontId="21" fillId="0" borderId="0"/>
    <xf numFmtId="0" fontId="24" fillId="0" borderId="0"/>
    <xf numFmtId="0" fontId="30" fillId="0" borderId="0"/>
    <xf numFmtId="0" fontId="24" fillId="0" borderId="0"/>
    <xf numFmtId="0" fontId="21" fillId="0" borderId="0"/>
    <xf numFmtId="0" fontId="24" fillId="0" borderId="0"/>
    <xf numFmtId="0" fontId="24" fillId="0" borderId="0"/>
    <xf numFmtId="0" fontId="89" fillId="0" borderId="0"/>
    <xf numFmtId="0" fontId="90" fillId="0" borderId="0"/>
    <xf numFmtId="0" fontId="46" fillId="0" borderId="0"/>
    <xf numFmtId="0" fontId="1" fillId="0" borderId="0"/>
    <xf numFmtId="0" fontId="20" fillId="0" borderId="0">
      <alignment vertical="top"/>
    </xf>
    <xf numFmtId="9" fontId="20" fillId="0" borderId="0" applyFont="0" applyFill="0" applyBorder="0" applyAlignment="0" applyProtection="0"/>
    <xf numFmtId="0" fontId="20" fillId="0" borderId="0">
      <alignment vertical="top"/>
    </xf>
    <xf numFmtId="0" fontId="1" fillId="0" borderId="0"/>
    <xf numFmtId="9" fontId="21" fillId="0" borderId="0" applyFont="0" applyFill="0" applyBorder="0" applyAlignment="0" applyProtection="0"/>
    <xf numFmtId="0" fontId="20" fillId="0" borderId="0">
      <alignment vertical="top"/>
    </xf>
    <xf numFmtId="164" fontId="20" fillId="0" borderId="0" applyFont="0" applyFill="0" applyBorder="0" applyAlignment="0" applyProtection="0"/>
    <xf numFmtId="0" fontId="87" fillId="0" borderId="0"/>
    <xf numFmtId="164" fontId="34" fillId="0" borderId="0" applyFont="0" applyFill="0" applyBorder="0" applyAlignment="0" applyProtection="0"/>
    <xf numFmtId="164" fontId="34" fillId="0" borderId="0" applyFont="0" applyFill="0" applyBorder="0" applyAlignment="0" applyProtection="0"/>
    <xf numFmtId="165" fontId="34" fillId="0" borderId="0" applyFont="0" applyFill="0" applyBorder="0" applyAlignment="0" applyProtection="0"/>
    <xf numFmtId="0" fontId="34" fillId="0" borderId="0"/>
    <xf numFmtId="164"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20" fillId="0" borderId="0">
      <alignment vertical="top"/>
    </xf>
    <xf numFmtId="0" fontId="20" fillId="0" borderId="0">
      <alignment vertical="top"/>
    </xf>
    <xf numFmtId="0" fontId="21" fillId="0" borderId="0"/>
    <xf numFmtId="9" fontId="87" fillId="0" borderId="0" applyFont="0" applyFill="0" applyBorder="0" applyAlignment="0" applyProtection="0"/>
    <xf numFmtId="0" fontId="21" fillId="0" borderId="0"/>
    <xf numFmtId="0" fontId="21" fillId="0" borderId="0"/>
    <xf numFmtId="164" fontId="1" fillId="0" borderId="0" applyFont="0" applyFill="0" applyBorder="0" applyAlignment="0" applyProtection="0"/>
    <xf numFmtId="164" fontId="22"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87" fillId="0" borderId="0"/>
    <xf numFmtId="43" fontId="21" fillId="0" borderId="0" applyFont="0" applyFill="0" applyBorder="0" applyAlignment="0" applyProtection="0"/>
    <xf numFmtId="165" fontId="1" fillId="0" borderId="0" applyFont="0" applyFill="0" applyBorder="0" applyAlignment="0" applyProtection="0"/>
    <xf numFmtId="165" fontId="24" fillId="0" borderId="0" applyFont="0" applyFill="0" applyBorder="0" applyAlignment="0" applyProtection="0"/>
    <xf numFmtId="0" fontId="34" fillId="0" borderId="0"/>
    <xf numFmtId="0" fontId="34" fillId="0" borderId="0"/>
    <xf numFmtId="0" fontId="36" fillId="0" borderId="0"/>
    <xf numFmtId="0" fontId="34" fillId="0" borderId="0"/>
    <xf numFmtId="0" fontId="34" fillId="0" borderId="0"/>
    <xf numFmtId="0" fontId="36" fillId="0" borderId="0"/>
    <xf numFmtId="0" fontId="24" fillId="0" borderId="0"/>
    <xf numFmtId="9" fontId="34" fillId="0" borderId="0" applyFont="0" applyFill="0" applyBorder="0" applyAlignment="0" applyProtection="0"/>
    <xf numFmtId="43" fontId="34" fillId="0" borderId="0" applyFont="0" applyFill="0" applyBorder="0" applyAlignment="0" applyProtection="0"/>
    <xf numFmtId="0" fontId="34" fillId="0" borderId="0"/>
    <xf numFmtId="0" fontId="34" fillId="0" borderId="0"/>
    <xf numFmtId="0" fontId="34" fillId="0" borderId="0"/>
    <xf numFmtId="43" fontId="34" fillId="0" borderId="0" applyFont="0" applyFill="0" applyBorder="0" applyAlignment="0" applyProtection="0"/>
    <xf numFmtId="0" fontId="34" fillId="0" borderId="0"/>
    <xf numFmtId="0" fontId="34" fillId="0" borderId="0"/>
    <xf numFmtId="0" fontId="34" fillId="0" borderId="0"/>
    <xf numFmtId="43" fontId="34" fillId="0" borderId="0" applyFont="0" applyFill="0" applyBorder="0" applyAlignment="0" applyProtection="0"/>
    <xf numFmtId="43" fontId="34" fillId="0" borderId="0" applyFont="0" applyFill="0" applyBorder="0" applyAlignment="0" applyProtection="0"/>
    <xf numFmtId="44" fontId="34" fillId="0" borderId="0" applyFont="0" applyFill="0" applyBorder="0" applyAlignment="0" applyProtection="0"/>
    <xf numFmtId="0" fontId="34" fillId="0" borderId="0"/>
    <xf numFmtId="0" fontId="34" fillId="0" borderId="0"/>
    <xf numFmtId="0" fontId="34" fillId="0" borderId="0"/>
    <xf numFmtId="0" fontId="34" fillId="0" borderId="0"/>
    <xf numFmtId="0" fontId="34" fillId="0" borderId="0"/>
    <xf numFmtId="0" fontId="34" fillId="8" borderId="8" applyNumberFormat="0" applyFont="0" applyAlignment="0" applyProtection="0"/>
    <xf numFmtId="9" fontId="34" fillId="0" borderId="0" applyFont="0" applyFill="0" applyBorder="0" applyAlignment="0" applyProtection="0"/>
    <xf numFmtId="9" fontId="34" fillId="0" borderId="0" applyFont="0" applyFill="0" applyBorder="0" applyAlignment="0" applyProtection="0"/>
    <xf numFmtId="0" fontId="34" fillId="0" borderId="0"/>
    <xf numFmtId="0" fontId="34" fillId="0" borderId="0"/>
    <xf numFmtId="0" fontId="34" fillId="0" borderId="0"/>
    <xf numFmtId="0" fontId="34" fillId="0" borderId="0"/>
    <xf numFmtId="0" fontId="34" fillId="8" borderId="8" applyNumberFormat="0" applyFont="0" applyAlignment="0" applyProtection="0"/>
    <xf numFmtId="0" fontId="34" fillId="0" borderId="0"/>
    <xf numFmtId="0" fontId="34" fillId="0" borderId="0"/>
    <xf numFmtId="43"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34" fillId="0" borderId="0"/>
    <xf numFmtId="43" fontId="34" fillId="0" borderId="0" applyFont="0" applyFill="0" applyBorder="0" applyAlignment="0" applyProtection="0"/>
    <xf numFmtId="44" fontId="34" fillId="0" borderId="0" applyFont="0" applyFill="0" applyBorder="0" applyAlignment="0" applyProtection="0"/>
    <xf numFmtId="9" fontId="34" fillId="0" borderId="0" applyFont="0" applyFill="0" applyBorder="0" applyAlignment="0" applyProtection="0"/>
    <xf numFmtId="0" fontId="34" fillId="8" borderId="8" applyNumberFormat="0" applyFont="0" applyAlignment="0" applyProtection="0"/>
    <xf numFmtId="0" fontId="34" fillId="10" borderId="0" applyNumberFormat="0" applyBorder="0" applyAlignment="0" applyProtection="0"/>
    <xf numFmtId="0" fontId="34" fillId="11"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34" fillId="22" borderId="0" applyNumberFormat="0" applyBorder="0" applyAlignment="0" applyProtection="0"/>
    <xf numFmtId="0" fontId="34" fillId="23"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30" borderId="0" applyNumberFormat="0" applyBorder="0" applyAlignment="0" applyProtection="0"/>
    <xf numFmtId="0" fontId="34" fillId="31" borderId="0" applyNumberFormat="0" applyBorder="0" applyAlignment="0" applyProtection="0"/>
    <xf numFmtId="0" fontId="34" fillId="0" borderId="0"/>
    <xf numFmtId="43" fontId="34" fillId="0" borderId="0" applyFont="0" applyFill="0" applyBorder="0" applyAlignment="0" applyProtection="0"/>
    <xf numFmtId="9" fontId="34" fillId="0" borderId="0" applyFont="0" applyFill="0" applyBorder="0" applyAlignment="0" applyProtection="0"/>
    <xf numFmtId="0" fontId="34" fillId="0" borderId="0"/>
    <xf numFmtId="0" fontId="34" fillId="0" borderId="0"/>
    <xf numFmtId="0" fontId="34" fillId="0" borderId="0"/>
    <xf numFmtId="0" fontId="87" fillId="0" borderId="0"/>
    <xf numFmtId="0" fontId="1" fillId="0" borderId="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87" fillId="0" borderId="0"/>
    <xf numFmtId="0" fontId="87" fillId="0" borderId="0"/>
    <xf numFmtId="0" fontId="87" fillId="0" borderId="0"/>
    <xf numFmtId="0" fontId="87" fillId="0" borderId="0"/>
    <xf numFmtId="0" fontId="87" fillId="0" borderId="0"/>
    <xf numFmtId="9" fontId="87" fillId="0" borderId="0" applyFont="0" applyFill="0" applyBorder="0" applyAlignment="0" applyProtection="0"/>
    <xf numFmtId="0" fontId="102" fillId="59" borderId="57">
      <alignment vertical="center" wrapText="1" shrinkToFit="1"/>
    </xf>
    <xf numFmtId="0" fontId="23" fillId="0" borderId="0" applyNumberFormat="0" applyFill="0" applyBorder="0" applyAlignment="0" applyProtection="0"/>
  </cellStyleXfs>
  <cellXfs count="626">
    <xf numFmtId="0" fontId="0" fillId="0" borderId="0" xfId="0"/>
    <xf numFmtId="0" fontId="0" fillId="0" borderId="0" xfId="0" applyAlignment="1">
      <alignment horizontal="center"/>
    </xf>
    <xf numFmtId="0" fontId="0" fillId="0" borderId="0" xfId="0" applyAlignment="1">
      <alignment horizontal="left"/>
    </xf>
    <xf numFmtId="0" fontId="0" fillId="0" borderId="0" xfId="0" applyAlignment="1">
      <alignment horizontal="left" vertical="center"/>
    </xf>
    <xf numFmtId="0" fontId="0" fillId="0" borderId="0" xfId="0" applyAlignment="1">
      <alignment vertical="top"/>
    </xf>
    <xf numFmtId="0" fontId="3" fillId="0" borderId="0" xfId="2" applyBorder="1" applyAlignment="1">
      <alignment vertical="top"/>
    </xf>
    <xf numFmtId="0" fontId="1" fillId="10" borderId="13" xfId="19" applyBorder="1" applyAlignment="1">
      <alignment horizontal="left" vertical="center"/>
    </xf>
    <xf numFmtId="0" fontId="1" fillId="10" borderId="14" xfId="19" applyBorder="1" applyAlignment="1">
      <alignment horizontal="left" vertical="center"/>
    </xf>
    <xf numFmtId="0" fontId="13" fillId="9" borderId="0" xfId="18" applyFont="1" applyBorder="1" applyAlignment="1">
      <alignment horizontal="left"/>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4" fillId="0" borderId="2" xfId="3" applyAlignment="1">
      <alignment horizontal="left" vertical="top"/>
    </xf>
    <xf numFmtId="0" fontId="19" fillId="0" borderId="2" xfId="3" applyFont="1" applyAlignment="1">
      <alignment horizontal="left" vertical="top"/>
    </xf>
    <xf numFmtId="0" fontId="17" fillId="13" borderId="0" xfId="22" applyBorder="1" applyAlignment="1">
      <alignment horizontal="left"/>
    </xf>
    <xf numFmtId="0" fontId="17" fillId="13" borderId="0" xfId="22" applyBorder="1" applyAlignment="1">
      <alignment horizontal="center"/>
    </xf>
    <xf numFmtId="0" fontId="17" fillId="17" borderId="0" xfId="26" applyBorder="1" applyAlignment="1">
      <alignment horizontal="center"/>
    </xf>
    <xf numFmtId="0" fontId="17" fillId="17" borderId="0" xfId="26" applyBorder="1" applyAlignment="1">
      <alignment horizontal="left"/>
    </xf>
    <xf numFmtId="0" fontId="0" fillId="0" borderId="0" xfId="0"/>
    <xf numFmtId="0" fontId="17" fillId="29" borderId="0" xfId="38" applyBorder="1" applyAlignment="1">
      <alignment horizontal="left"/>
    </xf>
    <xf numFmtId="0" fontId="17" fillId="29" borderId="0" xfId="38" applyBorder="1" applyAlignment="1">
      <alignment horizontal="center"/>
    </xf>
    <xf numFmtId="0" fontId="1" fillId="14" borderId="14" xfId="23" applyBorder="1" applyAlignment="1">
      <alignment horizontal="left" vertical="center"/>
    </xf>
    <xf numFmtId="0" fontId="1" fillId="14" borderId="13" xfId="23" applyBorder="1" applyAlignment="1">
      <alignment horizontal="left" vertical="center"/>
    </xf>
    <xf numFmtId="0" fontId="0" fillId="57" borderId="12" xfId="0" applyFill="1" applyBorder="1" applyAlignment="1">
      <alignment horizontal="center" vertical="center"/>
    </xf>
    <xf numFmtId="0" fontId="0" fillId="57" borderId="10" xfId="0" applyFill="1" applyBorder="1" applyAlignment="1">
      <alignment horizontal="center" vertical="center"/>
    </xf>
    <xf numFmtId="0" fontId="0" fillId="57" borderId="11" xfId="0" applyFill="1" applyBorder="1" applyAlignment="1">
      <alignment horizontal="center" vertical="center"/>
    </xf>
    <xf numFmtId="0" fontId="1" fillId="10" borderId="13" xfId="19" applyFont="1" applyBorder="1" applyAlignment="1">
      <alignment horizontal="left" vertical="center"/>
    </xf>
    <xf numFmtId="0" fontId="17" fillId="12" borderId="25" xfId="21" applyBorder="1" applyAlignment="1">
      <alignment vertical="top" wrapText="1"/>
    </xf>
    <xf numFmtId="0" fontId="91" fillId="12" borderId="25" xfId="21" applyFont="1" applyBorder="1" applyAlignment="1">
      <alignment vertical="top" wrapText="1"/>
    </xf>
    <xf numFmtId="0" fontId="0" fillId="57" borderId="15" xfId="0" applyFill="1" applyBorder="1" applyAlignment="1">
      <alignment horizontal="center" vertical="center"/>
    </xf>
    <xf numFmtId="0" fontId="3" fillId="0" borderId="0" xfId="2" applyBorder="1" applyAlignment="1">
      <alignment horizontal="left" vertical="top"/>
    </xf>
    <xf numFmtId="0" fontId="19" fillId="0" borderId="2" xfId="3" applyFont="1" applyAlignment="1">
      <alignment vertical="top"/>
    </xf>
    <xf numFmtId="0" fontId="0" fillId="0" borderId="0" xfId="0" applyAlignment="1"/>
    <xf numFmtId="0" fontId="0" fillId="0" borderId="0" xfId="0" applyBorder="1" applyAlignment="1">
      <alignment horizontal="left" vertical="top"/>
    </xf>
    <xf numFmtId="0" fontId="17" fillId="20" borderId="0" xfId="29" applyBorder="1" applyAlignment="1">
      <alignment horizontal="left" vertical="center"/>
    </xf>
    <xf numFmtId="0" fontId="93" fillId="20" borderId="0" xfId="29" applyFont="1" applyBorder="1" applyAlignment="1">
      <alignment horizontal="left" vertical="center"/>
    </xf>
    <xf numFmtId="0" fontId="0" fillId="0" borderId="0" xfId="0" applyBorder="1" applyAlignment="1">
      <alignment horizontal="left"/>
    </xf>
    <xf numFmtId="0" fontId="1" fillId="18" borderId="11" xfId="27" applyBorder="1" applyAlignment="1">
      <alignment horizontal="center" vertical="center"/>
    </xf>
    <xf numFmtId="0" fontId="1" fillId="18" borderId="10" xfId="27" applyBorder="1" applyAlignment="1">
      <alignment horizontal="center" vertical="center"/>
    </xf>
    <xf numFmtId="0" fontId="1" fillId="18" borderId="12" xfId="27" applyBorder="1" applyAlignment="1">
      <alignment horizontal="center" vertical="center"/>
    </xf>
    <xf numFmtId="0" fontId="17" fillId="17" borderId="0" xfId="26" applyBorder="1" applyAlignment="1"/>
    <xf numFmtId="0" fontId="1" fillId="18" borderId="10" xfId="27" applyBorder="1" applyAlignment="1">
      <alignment vertical="center"/>
    </xf>
    <xf numFmtId="0" fontId="1" fillId="18" borderId="12" xfId="27" applyBorder="1" applyAlignment="1">
      <alignment vertical="center"/>
    </xf>
    <xf numFmtId="0" fontId="1" fillId="18" borderId="11" xfId="27" applyBorder="1" applyAlignment="1">
      <alignment vertical="center"/>
    </xf>
    <xf numFmtId="0" fontId="0" fillId="10" borderId="13" xfId="19" applyFont="1" applyBorder="1" applyAlignment="1">
      <alignment horizontal="left" vertical="center"/>
    </xf>
    <xf numFmtId="0" fontId="17" fillId="9" borderId="0" xfId="18" applyFont="1" applyBorder="1" applyAlignment="1">
      <alignment horizontal="center"/>
    </xf>
    <xf numFmtId="0" fontId="17" fillId="9" borderId="0" xfId="18" applyFont="1" applyBorder="1" applyAlignment="1">
      <alignment horizontal="left"/>
    </xf>
    <xf numFmtId="0" fontId="0" fillId="18" borderId="10" xfId="27" applyFont="1" applyBorder="1" applyAlignment="1">
      <alignment vertical="center"/>
    </xf>
    <xf numFmtId="0" fontId="0" fillId="18" borderId="10" xfId="27" applyFont="1" applyBorder="1" applyAlignment="1">
      <alignment horizontal="center" vertical="center"/>
    </xf>
    <xf numFmtId="0" fontId="1" fillId="18" borderId="10" xfId="27" applyBorder="1" applyAlignment="1">
      <alignment horizontal="left" vertical="center"/>
    </xf>
    <xf numFmtId="0" fontId="0" fillId="18" borderId="12" xfId="27" applyFont="1" applyBorder="1" applyAlignment="1">
      <alignment vertical="center"/>
    </xf>
    <xf numFmtId="0" fontId="17" fillId="0" borderId="0" xfId="0" applyFont="1"/>
    <xf numFmtId="0" fontId="96" fillId="9" borderId="0" xfId="18" applyFont="1" applyBorder="1" applyAlignment="1">
      <alignment horizontal="left" vertical="top"/>
    </xf>
    <xf numFmtId="0" fontId="97" fillId="17" borderId="0" xfId="26" applyFont="1" applyBorder="1" applyAlignment="1">
      <alignment horizontal="left" vertical="top"/>
    </xf>
    <xf numFmtId="0" fontId="0" fillId="18" borderId="11" xfId="27" applyFont="1" applyBorder="1" applyAlignment="1">
      <alignment vertical="center"/>
    </xf>
    <xf numFmtId="0" fontId="0" fillId="0" borderId="0" xfId="0"/>
    <xf numFmtId="0" fontId="0" fillId="14" borderId="13" xfId="23" applyFont="1" applyBorder="1" applyAlignment="1">
      <alignment horizontal="left" vertical="center"/>
    </xf>
    <xf numFmtId="0" fontId="1" fillId="18" borderId="15" xfId="27" applyBorder="1" applyAlignment="1">
      <alignment horizontal="center" vertical="center"/>
    </xf>
    <xf numFmtId="0" fontId="1" fillId="18" borderId="15" xfId="27" applyBorder="1" applyAlignment="1">
      <alignment vertical="center"/>
    </xf>
    <xf numFmtId="0" fontId="1" fillId="10" borderId="28" xfId="19" applyBorder="1" applyAlignment="1">
      <alignment horizontal="left" vertical="center"/>
    </xf>
    <xf numFmtId="0" fontId="0" fillId="10" borderId="14" xfId="19" applyFont="1" applyBorder="1" applyAlignment="1">
      <alignment horizontal="left" vertical="center"/>
    </xf>
    <xf numFmtId="0" fontId="91" fillId="12" borderId="30" xfId="21" applyFont="1" applyBorder="1" applyAlignment="1">
      <alignment vertical="top" wrapText="1"/>
    </xf>
    <xf numFmtId="0" fontId="0" fillId="10" borderId="28" xfId="19" applyFont="1" applyBorder="1" applyAlignment="1">
      <alignment horizontal="left" vertical="center"/>
    </xf>
    <xf numFmtId="0" fontId="0" fillId="57" borderId="29" xfId="0" applyFill="1" applyBorder="1" applyAlignment="1">
      <alignment horizontal="center" vertical="center"/>
    </xf>
    <xf numFmtId="0" fontId="17" fillId="12" borderId="32" xfId="21" applyBorder="1" applyAlignment="1">
      <alignment vertical="top" wrapText="1"/>
    </xf>
    <xf numFmtId="0" fontId="1" fillId="10" borderId="33" xfId="19" applyBorder="1" applyAlignment="1">
      <alignment horizontal="left" vertical="center"/>
    </xf>
    <xf numFmtId="0" fontId="17" fillId="12" borderId="34" xfId="21" applyBorder="1" applyAlignment="1">
      <alignment vertical="top" wrapText="1"/>
    </xf>
    <xf numFmtId="0" fontId="1" fillId="10" borderId="35" xfId="19" applyBorder="1" applyAlignment="1">
      <alignment horizontal="left" vertical="center"/>
    </xf>
    <xf numFmtId="0" fontId="0" fillId="10" borderId="35" xfId="19" applyFont="1" applyBorder="1" applyAlignment="1">
      <alignment horizontal="left" vertical="center"/>
    </xf>
    <xf numFmtId="0" fontId="1" fillId="14" borderId="37" xfId="23" applyBorder="1" applyAlignment="1">
      <alignment horizontal="left" vertical="center"/>
    </xf>
    <xf numFmtId="0" fontId="0" fillId="14" borderId="37" xfId="23" applyFont="1" applyBorder="1" applyAlignment="1">
      <alignment horizontal="left" vertical="center"/>
    </xf>
    <xf numFmtId="0" fontId="0" fillId="0" borderId="39" xfId="0" applyBorder="1" applyAlignment="1">
      <alignment horizontal="center" vertical="center"/>
    </xf>
    <xf numFmtId="0" fontId="0" fillId="0" borderId="38" xfId="0" applyBorder="1" applyAlignment="1">
      <alignment horizontal="center" vertical="center"/>
    </xf>
    <xf numFmtId="0" fontId="93" fillId="20" borderId="47" xfId="29" applyFont="1" applyBorder="1" applyAlignment="1">
      <alignment horizontal="left" vertical="center"/>
    </xf>
    <xf numFmtId="0" fontId="1" fillId="18" borderId="48" xfId="27" applyBorder="1" applyAlignment="1">
      <alignment horizontal="center" vertical="center"/>
    </xf>
    <xf numFmtId="0" fontId="1" fillId="18" borderId="49" xfId="27" applyBorder="1" applyAlignment="1">
      <alignment vertical="center"/>
    </xf>
    <xf numFmtId="0" fontId="0" fillId="57" borderId="49" xfId="0" applyFill="1" applyBorder="1" applyAlignment="1">
      <alignment horizontal="center" vertical="center"/>
    </xf>
    <xf numFmtId="0" fontId="0" fillId="57" borderId="48" xfId="0" applyFill="1" applyBorder="1" applyAlignment="1">
      <alignment horizontal="center" vertical="center"/>
    </xf>
    <xf numFmtId="0" fontId="1" fillId="18" borderId="48" xfId="27" applyFont="1" applyBorder="1" applyAlignment="1">
      <alignment horizontal="center" vertical="center"/>
    </xf>
    <xf numFmtId="0" fontId="1" fillId="18" borderId="49" xfId="27" applyFont="1" applyBorder="1" applyAlignment="1">
      <alignment vertical="center"/>
    </xf>
    <xf numFmtId="0" fontId="1" fillId="18" borderId="49" xfId="27" applyFont="1" applyBorder="1" applyAlignment="1">
      <alignment horizontal="center" vertical="center"/>
    </xf>
    <xf numFmtId="0" fontId="0" fillId="0" borderId="49" xfId="0" applyBorder="1" applyAlignment="1">
      <alignment horizontal="center" vertical="center"/>
    </xf>
    <xf numFmtId="0" fontId="0" fillId="18" borderId="49" xfId="27" applyFont="1" applyBorder="1" applyAlignment="1">
      <alignment vertical="center"/>
    </xf>
    <xf numFmtId="0" fontId="1" fillId="18" borderId="49" xfId="27" applyBorder="1" applyAlignment="1">
      <alignment horizontal="center" vertical="center"/>
    </xf>
    <xf numFmtId="0" fontId="1" fillId="18" borderId="49" xfId="27" applyBorder="1" applyAlignment="1">
      <alignment horizontal="left" vertical="center"/>
    </xf>
    <xf numFmtId="0" fontId="0" fillId="0" borderId="50" xfId="0" applyBorder="1" applyAlignment="1">
      <alignment horizontal="center" vertical="center"/>
    </xf>
    <xf numFmtId="0" fontId="1" fillId="18" borderId="50" xfId="27" applyBorder="1" applyAlignment="1">
      <alignment vertical="center"/>
    </xf>
    <xf numFmtId="0" fontId="0" fillId="18" borderId="49" xfId="27" applyFont="1" applyBorder="1" applyAlignment="1">
      <alignment horizontal="center" vertical="center"/>
    </xf>
    <xf numFmtId="0" fontId="0" fillId="57" borderId="50" xfId="0" applyFill="1" applyBorder="1" applyAlignment="1">
      <alignment horizontal="center" vertical="center"/>
    </xf>
    <xf numFmtId="0" fontId="17" fillId="20" borderId="52" xfId="29" applyFont="1" applyBorder="1" applyAlignment="1">
      <alignment horizontal="left" vertical="center"/>
    </xf>
    <xf numFmtId="0" fontId="1" fillId="18" borderId="51" xfId="27" applyBorder="1" applyAlignment="1">
      <alignment horizontal="center" vertical="center"/>
    </xf>
    <xf numFmtId="0" fontId="1" fillId="18" borderId="53" xfId="27" applyBorder="1" applyAlignment="1">
      <alignment vertical="center"/>
    </xf>
    <xf numFmtId="0" fontId="1" fillId="18" borderId="53" xfId="27" applyBorder="1" applyAlignment="1">
      <alignment horizontal="center" vertical="center"/>
    </xf>
    <xf numFmtId="0" fontId="0" fillId="0" borderId="53" xfId="0" applyBorder="1" applyAlignment="1">
      <alignment horizontal="center" vertical="center"/>
    </xf>
    <xf numFmtId="0" fontId="1" fillId="14" borderId="54" xfId="23" applyBorder="1" applyAlignment="1">
      <alignment horizontal="left" vertical="center"/>
    </xf>
    <xf numFmtId="0" fontId="0" fillId="0" borderId="55" xfId="0" applyBorder="1" applyAlignment="1">
      <alignment horizontal="center" vertical="center"/>
    </xf>
    <xf numFmtId="10" fontId="0" fillId="0" borderId="55" xfId="0" applyNumberFormat="1" applyBorder="1" applyAlignment="1">
      <alignment horizontal="center" vertical="center"/>
    </xf>
    <xf numFmtId="10" fontId="0" fillId="0" borderId="12" xfId="0" applyNumberFormat="1" applyBorder="1" applyAlignment="1">
      <alignment horizontal="center" vertical="center"/>
    </xf>
    <xf numFmtId="0" fontId="0" fillId="58" borderId="10" xfId="0" applyFill="1" applyBorder="1" applyAlignment="1">
      <alignment horizontal="center" vertical="center"/>
    </xf>
    <xf numFmtId="0" fontId="0" fillId="58" borderId="12" xfId="0" applyFill="1" applyBorder="1" applyAlignment="1">
      <alignment horizontal="center" vertical="center"/>
    </xf>
    <xf numFmtId="0" fontId="0" fillId="14" borderId="14" xfId="23" applyFont="1" applyBorder="1" applyAlignment="1">
      <alignment horizontal="left" vertical="center"/>
    </xf>
    <xf numFmtId="10" fontId="0" fillId="0" borderId="10" xfId="0" applyNumberFormat="1" applyBorder="1" applyAlignment="1">
      <alignment horizontal="center" vertical="center"/>
    </xf>
    <xf numFmtId="0" fontId="0" fillId="0" borderId="0" xfId="0"/>
    <xf numFmtId="0" fontId="0" fillId="0" borderId="0" xfId="0"/>
    <xf numFmtId="0" fontId="0" fillId="0" borderId="0" xfId="0"/>
    <xf numFmtId="0" fontId="0" fillId="0" borderId="0" xfId="0"/>
    <xf numFmtId="0" fontId="0" fillId="0" borderId="0" xfId="0"/>
    <xf numFmtId="2" fontId="0" fillId="0" borderId="0" xfId="0" applyNumberFormat="1"/>
    <xf numFmtId="0" fontId="0" fillId="0" borderId="0" xfId="0"/>
    <xf numFmtId="0" fontId="0" fillId="0" borderId="0" xfId="0"/>
    <xf numFmtId="0" fontId="94" fillId="0" borderId="26" xfId="0" applyFont="1" applyFill="1" applyBorder="1" applyAlignment="1" applyProtection="1">
      <alignment horizontal="left" vertical="center" wrapText="1"/>
    </xf>
    <xf numFmtId="0" fontId="0" fillId="0" borderId="0" xfId="0"/>
    <xf numFmtId="0" fontId="17" fillId="13" borderId="0" xfId="22" applyBorder="1" applyAlignment="1">
      <alignment horizontal="center"/>
    </xf>
    <xf numFmtId="10" fontId="0" fillId="0" borderId="11" xfId="0" applyNumberFormat="1" applyBorder="1" applyAlignment="1">
      <alignment horizontal="center" vertical="center"/>
    </xf>
    <xf numFmtId="0" fontId="0" fillId="0" borderId="0" xfId="0"/>
    <xf numFmtId="2" fontId="0" fillId="0" borderId="15" xfId="0" applyNumberFormat="1" applyBorder="1" applyAlignment="1">
      <alignment horizontal="center" vertical="center"/>
    </xf>
    <xf numFmtId="0" fontId="0" fillId="0" borderId="0" xfId="0" applyFill="1"/>
    <xf numFmtId="0" fontId="0" fillId="58" borderId="59" xfId="0" applyFill="1"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xf>
    <xf numFmtId="0" fontId="0" fillId="14" borderId="58" xfId="23" applyFont="1" applyBorder="1" applyAlignment="1">
      <alignment horizontal="left" vertical="center"/>
    </xf>
    <xf numFmtId="0" fontId="0" fillId="58" borderId="0" xfId="0" applyFill="1" applyBorder="1" applyAlignment="1">
      <alignment horizontal="center" vertical="center"/>
    </xf>
    <xf numFmtId="0" fontId="0" fillId="10" borderId="0" xfId="19" applyFont="1" applyBorder="1" applyAlignment="1">
      <alignment horizontal="left" vertical="center"/>
    </xf>
    <xf numFmtId="0" fontId="94" fillId="0" borderId="0" xfId="0" applyFont="1"/>
    <xf numFmtId="0" fontId="103" fillId="0" borderId="0" xfId="0" applyFont="1" applyAlignment="1">
      <alignment horizontal="justify" vertical="center"/>
    </xf>
    <xf numFmtId="0" fontId="103" fillId="0" borderId="0" xfId="0" applyFont="1" applyAlignment="1">
      <alignment horizontal="left" vertical="center" wrapText="1"/>
    </xf>
    <xf numFmtId="0" fontId="0" fillId="0" borderId="0" xfId="0" applyAlignment="1">
      <alignment horizontal="left" wrapText="1"/>
    </xf>
    <xf numFmtId="0" fontId="0" fillId="0" borderId="0" xfId="0" applyBorder="1" applyAlignment="1">
      <alignment horizontal="center" vertical="center"/>
    </xf>
    <xf numFmtId="0" fontId="105" fillId="0" borderId="0" xfId="0" applyFont="1" applyAlignment="1">
      <alignment horizontal="left" vertical="center" wrapText="1"/>
    </xf>
    <xf numFmtId="0" fontId="104" fillId="0" borderId="10" xfId="0" applyFont="1" applyBorder="1" applyAlignment="1">
      <alignment horizontal="center" vertical="center" wrapText="1"/>
    </xf>
    <xf numFmtId="0" fontId="17" fillId="9" borderId="0" xfId="18" applyFont="1" applyBorder="1" applyAlignment="1">
      <alignment horizontal="center" wrapText="1"/>
    </xf>
    <xf numFmtId="0" fontId="1" fillId="14" borderId="13" xfId="23" applyBorder="1" applyAlignment="1">
      <alignment horizontal="left" vertical="center" wrapText="1"/>
    </xf>
    <xf numFmtId="0" fontId="94" fillId="12" borderId="0" xfId="21" applyFont="1" applyBorder="1" applyAlignment="1">
      <alignment vertical="center" wrapText="1"/>
    </xf>
    <xf numFmtId="0" fontId="0" fillId="0" borderId="10" xfId="0" applyBorder="1" applyAlignment="1">
      <alignment horizontal="left" vertical="center" wrapText="1"/>
    </xf>
    <xf numFmtId="0" fontId="1" fillId="14" borderId="62" xfId="23" applyBorder="1" applyAlignment="1">
      <alignment horizontal="left" vertical="center"/>
    </xf>
    <xf numFmtId="0" fontId="0" fillId="57" borderId="63" xfId="0" applyFill="1" applyBorder="1" applyAlignment="1">
      <alignment horizontal="center" vertical="center"/>
    </xf>
    <xf numFmtId="0" fontId="0" fillId="57" borderId="64" xfId="0" applyFill="1" applyBorder="1" applyAlignment="1">
      <alignment horizontal="center" vertical="center"/>
    </xf>
    <xf numFmtId="198" fontId="0" fillId="57" borderId="12" xfId="0" applyNumberFormat="1" applyFill="1" applyBorder="1" applyAlignment="1">
      <alignment horizontal="center" vertical="center"/>
    </xf>
    <xf numFmtId="197" fontId="0" fillId="57" borderId="63" xfId="0" applyNumberFormat="1" applyFill="1" applyBorder="1" applyAlignment="1">
      <alignment horizontal="center" vertical="center"/>
    </xf>
    <xf numFmtId="0" fontId="0" fillId="58" borderId="0" xfId="0" applyFill="1"/>
    <xf numFmtId="0" fontId="107" fillId="0" borderId="0" xfId="0" applyFont="1"/>
    <xf numFmtId="0" fontId="0" fillId="57" borderId="42" xfId="0" applyNumberFormat="1" applyFill="1" applyBorder="1" applyAlignment="1">
      <alignment horizontal="center" vertical="center"/>
    </xf>
    <xf numFmtId="1" fontId="1" fillId="10" borderId="14" xfId="19" applyNumberFormat="1" applyBorder="1" applyAlignment="1">
      <alignment horizontal="center" vertical="center"/>
    </xf>
    <xf numFmtId="10" fontId="1" fillId="10" borderId="13" xfId="19" applyNumberFormat="1" applyBorder="1" applyAlignment="1">
      <alignment horizontal="center" vertical="center"/>
    </xf>
    <xf numFmtId="0" fontId="1" fillId="10" borderId="13" xfId="19" applyBorder="1" applyAlignment="1">
      <alignment horizontal="center" vertical="center"/>
    </xf>
    <xf numFmtId="0" fontId="1" fillId="10" borderId="13" xfId="19" applyFont="1" applyBorder="1" applyAlignment="1">
      <alignment horizontal="center" vertical="center"/>
    </xf>
    <xf numFmtId="0" fontId="0" fillId="10" borderId="13" xfId="19" applyFont="1" applyBorder="1" applyAlignment="1">
      <alignment horizontal="center" vertical="center"/>
    </xf>
    <xf numFmtId="0" fontId="0" fillId="10" borderId="28" xfId="19" applyFont="1" applyBorder="1" applyAlignment="1">
      <alignment horizontal="center" vertical="center"/>
    </xf>
    <xf numFmtId="0" fontId="1" fillId="10" borderId="14" xfId="19" applyBorder="1" applyAlignment="1">
      <alignment horizontal="center" vertical="center"/>
    </xf>
    <xf numFmtId="0" fontId="0" fillId="10" borderId="14" xfId="19" applyFont="1" applyBorder="1" applyAlignment="1">
      <alignment horizontal="center" vertical="center"/>
    </xf>
    <xf numFmtId="0" fontId="1" fillId="10" borderId="28" xfId="19" applyBorder="1" applyAlignment="1">
      <alignment horizontal="center" vertical="center"/>
    </xf>
    <xf numFmtId="0" fontId="1" fillId="10" borderId="33" xfId="19" applyBorder="1" applyAlignment="1">
      <alignment horizontal="center" vertical="center"/>
    </xf>
    <xf numFmtId="0" fontId="1" fillId="10" borderId="35" xfId="19" applyBorder="1" applyAlignment="1">
      <alignment horizontal="center" vertical="center"/>
    </xf>
    <xf numFmtId="2" fontId="0" fillId="0" borderId="11" xfId="0" applyNumberFormat="1" applyBorder="1" applyAlignment="1">
      <alignment horizontal="center" vertical="center"/>
    </xf>
    <xf numFmtId="2" fontId="1" fillId="10" borderId="14" xfId="19" applyNumberFormat="1" applyBorder="1" applyAlignment="1">
      <alignment horizontal="center" vertical="center"/>
    </xf>
    <xf numFmtId="198" fontId="0" fillId="14" borderId="14" xfId="23" applyNumberFormat="1" applyFont="1" applyBorder="1" applyAlignment="1">
      <alignment horizontal="center" vertical="center"/>
    </xf>
    <xf numFmtId="0" fontId="1" fillId="14" borderId="13" xfId="23" applyBorder="1" applyAlignment="1">
      <alignment horizontal="center" vertical="center"/>
    </xf>
    <xf numFmtId="197" fontId="1" fillId="14" borderId="62" xfId="23" applyNumberFormat="1" applyBorder="1" applyAlignment="1">
      <alignment horizontal="center" vertical="center"/>
    </xf>
    <xf numFmtId="0" fontId="1" fillId="14" borderId="14" xfId="23" applyBorder="1" applyAlignment="1">
      <alignment horizontal="center" vertical="center"/>
    </xf>
    <xf numFmtId="0" fontId="0" fillId="14" borderId="58" xfId="23" applyFont="1" applyBorder="1" applyAlignment="1">
      <alignment horizontal="center" vertical="center"/>
    </xf>
    <xf numFmtId="0" fontId="1" fillId="14" borderId="37" xfId="23" applyBorder="1" applyAlignment="1">
      <alignment horizontal="center" vertical="center"/>
    </xf>
    <xf numFmtId="10" fontId="1" fillId="14" borderId="14" xfId="23" applyNumberFormat="1" applyBorder="1" applyAlignment="1">
      <alignment horizontal="center" vertical="center"/>
    </xf>
    <xf numFmtId="10" fontId="1" fillId="14" borderId="13" xfId="23" applyNumberFormat="1" applyBorder="1" applyAlignment="1">
      <alignment horizontal="center" vertical="center"/>
    </xf>
    <xf numFmtId="10" fontId="1" fillId="14" borderId="54" xfId="23" applyNumberFormat="1" applyBorder="1" applyAlignment="1">
      <alignment horizontal="center" vertical="center"/>
    </xf>
    <xf numFmtId="0" fontId="94" fillId="0" borderId="10" xfId="0" applyFont="1" applyBorder="1" applyAlignment="1">
      <alignment horizontal="left" vertical="center" wrapText="1"/>
    </xf>
    <xf numFmtId="0" fontId="16" fillId="14" borderId="13" xfId="23" applyFont="1" applyBorder="1" applyAlignment="1">
      <alignment horizontal="left" vertical="center"/>
    </xf>
    <xf numFmtId="0" fontId="16" fillId="10" borderId="28" xfId="19" applyFont="1" applyBorder="1" applyAlignment="1">
      <alignment horizontal="left" vertical="center"/>
    </xf>
    <xf numFmtId="0" fontId="1" fillId="10" borderId="27" xfId="19" applyFont="1" applyBorder="1" applyAlignment="1">
      <alignment horizontal="left" vertical="center"/>
    </xf>
    <xf numFmtId="0" fontId="1" fillId="10" borderId="28" xfId="19" applyFont="1" applyBorder="1" applyAlignment="1">
      <alignment horizontal="left" vertical="center"/>
    </xf>
    <xf numFmtId="0" fontId="16" fillId="18" borderId="11" xfId="27" applyFont="1" applyBorder="1" applyAlignment="1">
      <alignment horizontal="center" vertical="center"/>
    </xf>
    <xf numFmtId="0" fontId="16" fillId="10" borderId="13" xfId="19" applyFont="1" applyBorder="1" applyAlignment="1">
      <alignment horizontal="left" vertical="center"/>
    </xf>
    <xf numFmtId="0" fontId="1" fillId="18" borderId="11" xfId="27" applyFont="1" applyBorder="1" applyAlignment="1">
      <alignment horizontal="center" vertical="center"/>
    </xf>
    <xf numFmtId="0" fontId="1" fillId="18" borderId="11" xfId="27" applyFont="1" applyBorder="1" applyAlignment="1">
      <alignment vertical="center"/>
    </xf>
    <xf numFmtId="0" fontId="0" fillId="10" borderId="13" xfId="19" applyFont="1" applyBorder="1" applyAlignment="1">
      <alignment horizontal="left" vertical="center" wrapText="1"/>
    </xf>
    <xf numFmtId="0" fontId="1" fillId="14" borderId="14" xfId="23" applyFont="1" applyBorder="1" applyAlignment="1">
      <alignment horizontal="left" vertical="center"/>
    </xf>
    <xf numFmtId="0" fontId="1" fillId="14" borderId="13" xfId="23" applyFont="1" applyBorder="1" applyAlignment="1">
      <alignment horizontal="left" vertical="center"/>
    </xf>
    <xf numFmtId="0" fontId="16" fillId="18" borderId="48" xfId="27" applyFont="1" applyBorder="1" applyAlignment="1">
      <alignment horizontal="center" vertical="center"/>
    </xf>
    <xf numFmtId="0" fontId="16" fillId="18" borderId="49" xfId="27" applyFont="1" applyBorder="1" applyAlignment="1">
      <alignment horizontal="center" vertical="center"/>
    </xf>
    <xf numFmtId="0" fontId="0" fillId="58" borderId="29" xfId="0" applyFill="1" applyBorder="1" applyAlignment="1">
      <alignment horizontal="center" vertical="center"/>
    </xf>
    <xf numFmtId="0" fontId="16" fillId="18" borderId="10" xfId="27" applyFont="1" applyBorder="1" applyAlignment="1">
      <alignment horizontal="center" vertical="center"/>
    </xf>
    <xf numFmtId="0" fontId="1" fillId="10" borderId="14" xfId="19" applyFont="1" applyBorder="1" applyAlignment="1">
      <alignment horizontal="left" vertical="center"/>
    </xf>
    <xf numFmtId="0" fontId="16" fillId="10" borderId="58" xfId="19" applyFont="1" applyBorder="1" applyAlignment="1">
      <alignment horizontal="left" vertical="center"/>
    </xf>
    <xf numFmtId="0" fontId="1" fillId="14" borderId="58" xfId="23" applyFont="1" applyBorder="1" applyAlignment="1">
      <alignment horizontal="left" vertical="center"/>
    </xf>
    <xf numFmtId="0" fontId="1" fillId="10" borderId="28" xfId="19" applyFont="1" applyBorder="1" applyAlignment="1">
      <alignment horizontal="center" vertical="center"/>
    </xf>
    <xf numFmtId="0" fontId="1" fillId="18" borderId="15" xfId="27" applyFont="1" applyBorder="1" applyAlignment="1">
      <alignment horizontal="center" vertical="center"/>
    </xf>
    <xf numFmtId="0" fontId="1" fillId="18" borderId="12" xfId="27" applyFont="1" applyBorder="1" applyAlignment="1">
      <alignment vertical="center"/>
    </xf>
    <xf numFmtId="0" fontId="1" fillId="18" borderId="10" xfId="27" applyFont="1" applyBorder="1" applyAlignment="1">
      <alignment vertical="center"/>
    </xf>
    <xf numFmtId="0" fontId="1" fillId="18" borderId="15" xfId="27" applyFont="1" applyBorder="1" applyAlignment="1">
      <alignment vertical="center"/>
    </xf>
    <xf numFmtId="200" fontId="1" fillId="10" borderId="14" xfId="19" applyNumberFormat="1" applyBorder="1" applyAlignment="1">
      <alignment horizontal="center" vertical="center"/>
    </xf>
    <xf numFmtId="200" fontId="1" fillId="10" borderId="13" xfId="19" applyNumberFormat="1" applyBorder="1" applyAlignment="1">
      <alignment horizontal="center" vertical="center"/>
    </xf>
    <xf numFmtId="200" fontId="1" fillId="10" borderId="28" xfId="19" applyNumberFormat="1" applyBorder="1" applyAlignment="1">
      <alignment horizontal="center" vertical="center"/>
    </xf>
    <xf numFmtId="200" fontId="1" fillId="10" borderId="35" xfId="19" applyNumberFormat="1" applyBorder="1" applyAlignment="1">
      <alignment horizontal="center" vertical="center"/>
    </xf>
    <xf numFmtId="200" fontId="1" fillId="10" borderId="33" xfId="19" applyNumberFormat="1" applyBorder="1" applyAlignment="1">
      <alignment horizontal="center" vertical="center"/>
    </xf>
    <xf numFmtId="0" fontId="1" fillId="10" borderId="25" xfId="19" applyFont="1" applyBorder="1" applyAlignment="1">
      <alignment horizontal="left" vertical="center"/>
    </xf>
    <xf numFmtId="0" fontId="1" fillId="10" borderId="65" xfId="19" applyFont="1" applyBorder="1" applyAlignment="1">
      <alignment horizontal="left" vertical="center"/>
    </xf>
    <xf numFmtId="0" fontId="0" fillId="0" borderId="0" xfId="0" applyFill="1" applyBorder="1"/>
    <xf numFmtId="0" fontId="113" fillId="0" borderId="0" xfId="0" applyFont="1"/>
    <xf numFmtId="0" fontId="1" fillId="10" borderId="65" xfId="19" applyBorder="1" applyAlignment="1">
      <alignment horizontal="left" vertical="center"/>
    </xf>
    <xf numFmtId="0" fontId="0" fillId="10" borderId="65" xfId="19" applyFont="1" applyBorder="1" applyAlignment="1">
      <alignment horizontal="left" vertical="center"/>
    </xf>
    <xf numFmtId="0" fontId="1" fillId="18" borderId="10" xfId="27" applyFont="1" applyBorder="1" applyAlignment="1">
      <alignment horizontal="center" vertical="center"/>
    </xf>
    <xf numFmtId="0" fontId="0" fillId="0" borderId="0" xfId="0" applyAlignment="1">
      <alignment vertical="center"/>
    </xf>
    <xf numFmtId="0" fontId="0" fillId="0" borderId="0" xfId="0" applyAlignment="1">
      <alignment horizontal="center" vertical="center"/>
    </xf>
    <xf numFmtId="0" fontId="17" fillId="12" borderId="0" xfId="21" applyBorder="1" applyAlignment="1">
      <alignment vertical="top" wrapText="1"/>
    </xf>
    <xf numFmtId="2" fontId="0" fillId="10" borderId="58" xfId="19" applyNumberFormat="1" applyFont="1" applyBorder="1" applyAlignment="1">
      <alignment horizontal="center" vertical="center"/>
    </xf>
    <xf numFmtId="0" fontId="17" fillId="32" borderId="0" xfId="41" applyFont="1" applyBorder="1" applyAlignment="1">
      <alignment vertical="center"/>
    </xf>
    <xf numFmtId="0" fontId="17" fillId="0" borderId="0" xfId="0" applyFont="1" applyAlignment="1">
      <alignment vertical="top"/>
    </xf>
    <xf numFmtId="0" fontId="17" fillId="29" borderId="0" xfId="38" applyFont="1" applyBorder="1" applyAlignment="1">
      <alignment vertical="top"/>
    </xf>
    <xf numFmtId="0" fontId="17" fillId="32" borderId="40" xfId="41" applyFont="1" applyBorder="1" applyAlignment="1">
      <alignment vertical="center"/>
    </xf>
    <xf numFmtId="0" fontId="17" fillId="32" borderId="44" xfId="41" applyFont="1" applyBorder="1" applyAlignment="1">
      <alignment vertical="center"/>
    </xf>
    <xf numFmtId="0" fontId="17" fillId="0" borderId="0" xfId="0" applyFont="1" applyAlignment="1"/>
    <xf numFmtId="0" fontId="1" fillId="58" borderId="0" xfId="39" applyFont="1" applyFill="1" applyBorder="1" applyAlignment="1">
      <alignment horizontal="center" vertical="center"/>
    </xf>
    <xf numFmtId="0" fontId="17" fillId="12" borderId="30" xfId="21" applyBorder="1" applyAlignment="1">
      <alignment vertical="top" wrapText="1"/>
    </xf>
    <xf numFmtId="0" fontId="1" fillId="10" borderId="67" xfId="19" applyBorder="1" applyAlignment="1">
      <alignment horizontal="center" vertical="center"/>
    </xf>
    <xf numFmtId="0" fontId="1" fillId="10" borderId="67" xfId="19" applyBorder="1" applyAlignment="1">
      <alignment horizontal="left" vertical="center"/>
    </xf>
    <xf numFmtId="0" fontId="0" fillId="0" borderId="68" xfId="0" applyBorder="1" applyAlignment="1">
      <alignment horizontal="center" vertical="center"/>
    </xf>
    <xf numFmtId="0" fontId="0" fillId="57" borderId="29" xfId="0" applyFont="1" applyFill="1" applyBorder="1" applyAlignment="1">
      <alignment horizontal="center" vertical="center"/>
    </xf>
    <xf numFmtId="0" fontId="0" fillId="0" borderId="29" xfId="0" applyBorder="1" applyAlignment="1">
      <alignment horizontal="center" vertical="center"/>
    </xf>
    <xf numFmtId="0" fontId="91" fillId="12" borderId="69" xfId="21" applyFont="1" applyBorder="1" applyAlignment="1">
      <alignment vertical="top" wrapText="1"/>
    </xf>
    <xf numFmtId="0" fontId="1" fillId="10" borderId="70" xfId="19" applyBorder="1" applyAlignment="1">
      <alignment horizontal="center" vertical="center"/>
    </xf>
    <xf numFmtId="0" fontId="1" fillId="10" borderId="71" xfId="19" applyBorder="1" applyAlignment="1">
      <alignment horizontal="center" vertical="center"/>
    </xf>
    <xf numFmtId="2" fontId="0" fillId="10" borderId="14" xfId="19" applyNumberFormat="1" applyFont="1" applyBorder="1" applyAlignment="1">
      <alignment horizontal="center" vertical="center"/>
    </xf>
    <xf numFmtId="2" fontId="1" fillId="10" borderId="67" xfId="19" applyNumberFormat="1" applyBorder="1" applyAlignment="1">
      <alignment horizontal="center" vertical="center"/>
    </xf>
    <xf numFmtId="0" fontId="17" fillId="29" borderId="0" xfId="38" applyBorder="1" applyAlignment="1"/>
    <xf numFmtId="0" fontId="17" fillId="12" borderId="25" xfId="21" applyFont="1" applyBorder="1" applyAlignment="1">
      <alignment vertical="top" wrapText="1"/>
    </xf>
    <xf numFmtId="0" fontId="17" fillId="9" borderId="72" xfId="18" applyFont="1" applyBorder="1" applyAlignment="1">
      <alignment horizontal="center"/>
    </xf>
    <xf numFmtId="0" fontId="0" fillId="0" borderId="31" xfId="0" applyBorder="1" applyAlignment="1">
      <alignment horizontal="center" vertical="center"/>
    </xf>
    <xf numFmtId="0" fontId="0" fillId="0" borderId="36" xfId="0" applyBorder="1" applyAlignment="1">
      <alignment horizontal="center" vertical="center"/>
    </xf>
    <xf numFmtId="0" fontId="0" fillId="0" borderId="73"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57" borderId="74" xfId="0" applyFill="1" applyBorder="1" applyAlignment="1">
      <alignment horizontal="center" vertical="center"/>
    </xf>
    <xf numFmtId="0" fontId="0" fillId="57" borderId="76" xfId="0" applyFill="1" applyBorder="1" applyAlignment="1">
      <alignment horizontal="center" vertical="center"/>
    </xf>
    <xf numFmtId="0" fontId="0" fillId="0" borderId="76" xfId="0" applyBorder="1" applyAlignment="1">
      <alignment horizontal="center" vertical="center"/>
    </xf>
    <xf numFmtId="0" fontId="0" fillId="57" borderId="73" xfId="0" applyFill="1" applyBorder="1" applyAlignment="1">
      <alignment horizontal="center" vertical="center"/>
    </xf>
    <xf numFmtId="0" fontId="0" fillId="58" borderId="76" xfId="0" applyFill="1" applyBorder="1" applyAlignment="1">
      <alignment horizontal="center" vertical="center"/>
    </xf>
    <xf numFmtId="0" fontId="0" fillId="0" borderId="77" xfId="0" applyBorder="1" applyAlignment="1">
      <alignment horizontal="center" vertical="center"/>
    </xf>
    <xf numFmtId="0" fontId="0" fillId="0" borderId="78" xfId="0" applyBorder="1" applyAlignment="1">
      <alignment horizontal="center" vertical="center"/>
    </xf>
    <xf numFmtId="0" fontId="17" fillId="9" borderId="0" xfId="18" applyBorder="1" applyAlignment="1">
      <alignment horizontal="center"/>
    </xf>
    <xf numFmtId="1" fontId="1" fillId="10" borderId="14" xfId="19" applyNumberFormat="1" applyBorder="1" applyAlignment="1">
      <alignment horizontal="left" vertical="center"/>
    </xf>
    <xf numFmtId="10" fontId="1" fillId="10" borderId="13" xfId="19" applyNumberFormat="1" applyBorder="1" applyAlignment="1">
      <alignment horizontal="left" vertical="center"/>
    </xf>
    <xf numFmtId="2" fontId="0" fillId="10" borderId="14" xfId="19" applyNumberFormat="1" applyFont="1" applyBorder="1" applyAlignment="1">
      <alignment horizontal="left" vertical="center"/>
    </xf>
    <xf numFmtId="200" fontId="1" fillId="10" borderId="14" xfId="19" applyNumberFormat="1" applyBorder="1" applyAlignment="1">
      <alignment horizontal="left" vertical="center"/>
    </xf>
    <xf numFmtId="200" fontId="1" fillId="10" borderId="13" xfId="19" applyNumberFormat="1" applyBorder="1" applyAlignment="1">
      <alignment horizontal="left" vertical="center"/>
    </xf>
    <xf numFmtId="200" fontId="1" fillId="10" borderId="28" xfId="19" applyNumberFormat="1" applyBorder="1" applyAlignment="1">
      <alignment horizontal="left" vertical="center"/>
    </xf>
    <xf numFmtId="200" fontId="1" fillId="10" borderId="33" xfId="19" applyNumberFormat="1" applyBorder="1" applyAlignment="1">
      <alignment horizontal="left" vertical="center"/>
    </xf>
    <xf numFmtId="200" fontId="1" fillId="10" borderId="35" xfId="19" applyNumberFormat="1" applyBorder="1" applyAlignment="1">
      <alignment horizontal="left" vertical="center"/>
    </xf>
    <xf numFmtId="0" fontId="94" fillId="57" borderId="11" xfId="0" applyFont="1" applyFill="1" applyBorder="1" applyAlignment="1">
      <alignment horizontal="center" vertical="center"/>
    </xf>
    <xf numFmtId="14" fontId="0" fillId="0" borderId="68" xfId="0" applyNumberFormat="1" applyBorder="1" applyAlignment="1">
      <alignment horizontal="center" vertical="center"/>
    </xf>
    <xf numFmtId="0" fontId="0" fillId="58" borderId="11" xfId="0" applyFill="1" applyBorder="1" applyAlignment="1">
      <alignment horizontal="center" vertical="center"/>
    </xf>
    <xf numFmtId="0" fontId="0" fillId="58" borderId="74" xfId="0" applyFill="1" applyBorder="1" applyAlignment="1">
      <alignment horizontal="center" vertical="center"/>
    </xf>
    <xf numFmtId="0" fontId="0" fillId="58" borderId="15" xfId="0" applyFill="1" applyBorder="1" applyAlignment="1">
      <alignment horizontal="center" vertical="center"/>
    </xf>
    <xf numFmtId="0" fontId="0" fillId="58" borderId="73" xfId="0" applyFill="1" applyBorder="1" applyAlignment="1">
      <alignment horizontal="center" vertical="center"/>
    </xf>
    <xf numFmtId="0" fontId="16" fillId="18" borderId="60" xfId="27" applyFont="1" applyBorder="1" applyAlignment="1">
      <alignment horizontal="center" vertical="center"/>
    </xf>
    <xf numFmtId="0" fontId="1" fillId="60" borderId="12" xfId="39" applyFill="1" applyBorder="1" applyAlignment="1">
      <alignment horizontal="center" vertical="center"/>
    </xf>
    <xf numFmtId="0" fontId="1" fillId="60" borderId="12" xfId="39" applyFill="1" applyBorder="1" applyAlignment="1">
      <alignment vertical="center"/>
    </xf>
    <xf numFmtId="0" fontId="1" fillId="60" borderId="42" xfId="39" applyFill="1" applyBorder="1" applyAlignment="1">
      <alignment horizontal="center" vertical="center"/>
    </xf>
    <xf numFmtId="0" fontId="1" fillId="60" borderId="42" xfId="39" applyFill="1" applyBorder="1" applyAlignment="1">
      <alignment vertical="center"/>
    </xf>
    <xf numFmtId="0" fontId="1" fillId="60" borderId="45" xfId="39" applyFill="1" applyBorder="1" applyAlignment="1">
      <alignment horizontal="center" vertical="center"/>
    </xf>
    <xf numFmtId="0" fontId="1" fillId="60" borderId="45" xfId="39" applyFill="1" applyBorder="1" applyAlignment="1">
      <alignment vertical="center"/>
    </xf>
    <xf numFmtId="0" fontId="1" fillId="60" borderId="12" xfId="39" applyFill="1" applyBorder="1" applyAlignment="1">
      <alignment horizontal="left" vertical="center"/>
    </xf>
    <xf numFmtId="0" fontId="1" fillId="14" borderId="54" xfId="23" applyFont="1" applyBorder="1" applyAlignment="1">
      <alignment horizontal="left" vertical="center"/>
    </xf>
    <xf numFmtId="0" fontId="0" fillId="57" borderId="79" xfId="0" applyFill="1" applyBorder="1" applyAlignment="1">
      <alignment horizontal="center" vertical="center"/>
    </xf>
    <xf numFmtId="0" fontId="0" fillId="57" borderId="80" xfId="0" applyFill="1" applyBorder="1" applyAlignment="1">
      <alignment horizontal="center" vertical="center"/>
    </xf>
    <xf numFmtId="0" fontId="0" fillId="0" borderId="80" xfId="0" applyBorder="1" applyAlignment="1">
      <alignment horizontal="center" vertical="center"/>
    </xf>
    <xf numFmtId="0" fontId="0" fillId="57" borderId="81" xfId="0" applyFill="1" applyBorder="1" applyAlignment="1">
      <alignment horizontal="center" vertical="center"/>
    </xf>
    <xf numFmtId="0" fontId="0" fillId="0" borderId="79" xfId="0" applyBorder="1" applyAlignment="1">
      <alignment horizontal="center" vertical="center"/>
    </xf>
    <xf numFmtId="0" fontId="0" fillId="0" borderId="82" xfId="0" applyBorder="1" applyAlignment="1">
      <alignment horizontal="center" vertical="center"/>
    </xf>
    <xf numFmtId="0" fontId="0" fillId="0" borderId="83" xfId="0" applyBorder="1" applyAlignment="1">
      <alignment horizontal="center" vertical="center"/>
    </xf>
    <xf numFmtId="0" fontId="0" fillId="0" borderId="84" xfId="0" applyBorder="1" applyAlignment="1">
      <alignment horizontal="center" vertical="center"/>
    </xf>
    <xf numFmtId="198" fontId="0" fillId="57" borderId="15" xfId="0" applyNumberFormat="1" applyFill="1" applyBorder="1" applyAlignment="1">
      <alignment horizontal="center" vertical="center"/>
    </xf>
    <xf numFmtId="197" fontId="0" fillId="57" borderId="64" xfId="0" applyNumberFormat="1" applyFill="1" applyBorder="1" applyAlignment="1">
      <alignment horizontal="center" vertical="center"/>
    </xf>
    <xf numFmtId="0" fontId="0" fillId="58" borderId="60" xfId="0" applyFill="1" applyBorder="1" applyAlignment="1">
      <alignment horizontal="center" vertical="center"/>
    </xf>
    <xf numFmtId="10" fontId="0" fillId="0" borderId="15" xfId="0" applyNumberFormat="1" applyBorder="1" applyAlignment="1">
      <alignment horizontal="center" vertical="center"/>
    </xf>
    <xf numFmtId="10" fontId="0" fillId="0" borderId="56" xfId="0" applyNumberFormat="1" applyBorder="1" applyAlignment="1">
      <alignment horizontal="center" vertical="center"/>
    </xf>
    <xf numFmtId="0" fontId="17" fillId="13" borderId="85" xfId="22" applyBorder="1" applyAlignment="1">
      <alignment horizontal="center"/>
    </xf>
    <xf numFmtId="0" fontId="95" fillId="13" borderId="86" xfId="22" applyFont="1" applyBorder="1" applyAlignment="1">
      <alignment horizontal="left"/>
    </xf>
    <xf numFmtId="0" fontId="17" fillId="16" borderId="87" xfId="25" applyBorder="1" applyAlignment="1">
      <alignment vertical="top" wrapText="1"/>
    </xf>
    <xf numFmtId="0" fontId="92" fillId="16" borderId="87" xfId="25" applyFont="1" applyBorder="1" applyAlignment="1">
      <alignment vertical="top" wrapText="1"/>
    </xf>
    <xf numFmtId="0" fontId="92" fillId="16" borderId="88" xfId="25" applyFont="1" applyBorder="1" applyAlignment="1">
      <alignment vertical="top" wrapText="1"/>
    </xf>
    <xf numFmtId="0" fontId="92" fillId="16" borderId="89" xfId="25" applyFont="1" applyBorder="1" applyAlignment="1">
      <alignment vertical="top" wrapText="1"/>
    </xf>
    <xf numFmtId="0" fontId="92" fillId="16" borderId="90" xfId="25" applyFont="1" applyBorder="1" applyAlignment="1">
      <alignment vertical="top" wrapText="1"/>
    </xf>
    <xf numFmtId="0" fontId="0" fillId="58" borderId="61" xfId="0" applyFill="1" applyBorder="1" applyAlignment="1">
      <alignment horizontal="center" vertical="center"/>
    </xf>
    <xf numFmtId="0" fontId="0" fillId="58" borderId="41" xfId="0" applyFill="1" applyBorder="1" applyAlignment="1">
      <alignment horizontal="center" vertical="center"/>
    </xf>
    <xf numFmtId="0" fontId="0" fillId="58" borderId="45" xfId="0" applyFill="1" applyBorder="1" applyAlignment="1">
      <alignment horizontal="center" vertical="center"/>
    </xf>
    <xf numFmtId="0" fontId="0" fillId="58" borderId="42" xfId="0" applyFill="1" applyBorder="1" applyAlignment="1">
      <alignment horizontal="center" vertical="center"/>
    </xf>
    <xf numFmtId="0" fontId="1" fillId="58" borderId="42" xfId="39" applyFill="1" applyBorder="1" applyAlignment="1">
      <alignment horizontal="center" vertical="center"/>
    </xf>
    <xf numFmtId="0" fontId="0" fillId="58" borderId="46" xfId="0" applyFill="1" applyBorder="1" applyAlignment="1">
      <alignment horizontal="center" vertical="center"/>
    </xf>
    <xf numFmtId="0" fontId="0" fillId="60" borderId="12" xfId="39" applyFont="1" applyFill="1" applyBorder="1" applyAlignment="1">
      <alignment vertical="center"/>
    </xf>
    <xf numFmtId="0" fontId="17" fillId="20" borderId="47" xfId="29" applyFont="1" applyBorder="1" applyAlignment="1">
      <alignment horizontal="left" vertical="center"/>
    </xf>
    <xf numFmtId="0" fontId="16" fillId="18" borderId="10" xfId="27" applyFont="1" applyBorder="1" applyAlignment="1">
      <alignment vertical="center"/>
    </xf>
    <xf numFmtId="0" fontId="16" fillId="18" borderId="49" xfId="27" applyFont="1" applyBorder="1" applyAlignment="1">
      <alignment vertical="center"/>
    </xf>
    <xf numFmtId="0" fontId="16" fillId="18" borderId="15" xfId="27" applyFont="1" applyBorder="1" applyAlignment="1">
      <alignment horizontal="center" vertical="center"/>
    </xf>
    <xf numFmtId="0" fontId="16" fillId="18" borderId="12" xfId="27" applyFont="1" applyBorder="1" applyAlignment="1">
      <alignment vertical="center"/>
    </xf>
    <xf numFmtId="0" fontId="16" fillId="18" borderId="12" xfId="27" applyFont="1" applyBorder="1" applyAlignment="1">
      <alignment horizontal="center" vertical="center"/>
    </xf>
    <xf numFmtId="0" fontId="0" fillId="58" borderId="75" xfId="0" applyFill="1" applyBorder="1" applyAlignment="1">
      <alignment horizontal="center" vertical="center"/>
    </xf>
    <xf numFmtId="0" fontId="0" fillId="58" borderId="77" xfId="0" applyFill="1" applyBorder="1" applyAlignment="1">
      <alignment horizontal="center" vertical="center"/>
    </xf>
    <xf numFmtId="0" fontId="0" fillId="58" borderId="78" xfId="0" applyFill="1" applyBorder="1" applyAlignment="1">
      <alignment horizontal="center" vertical="center"/>
    </xf>
    <xf numFmtId="0" fontId="0" fillId="0" borderId="10" xfId="0" applyNumberFormat="1" applyBorder="1" applyAlignment="1">
      <alignment horizontal="center" vertical="center"/>
    </xf>
    <xf numFmtId="0" fontId="0" fillId="0" borderId="59" xfId="0" applyNumberFormat="1" applyBorder="1" applyAlignment="1">
      <alignment horizontal="center" vertical="center"/>
    </xf>
    <xf numFmtId="0" fontId="0" fillId="0" borderId="61" xfId="0" applyNumberFormat="1" applyBorder="1" applyAlignment="1">
      <alignment horizontal="center" vertical="center"/>
    </xf>
    <xf numFmtId="0" fontId="0" fillId="57" borderId="12" xfId="0" applyNumberFormat="1" applyFill="1" applyBorder="1" applyAlignment="1">
      <alignment horizontal="center" vertical="center"/>
    </xf>
    <xf numFmtId="0" fontId="0" fillId="0" borderId="41" xfId="0" applyNumberFormat="1" applyBorder="1" applyAlignment="1">
      <alignment horizontal="center" vertical="center"/>
    </xf>
    <xf numFmtId="0" fontId="0" fillId="0" borderId="12" xfId="0" applyNumberFormat="1" applyBorder="1" applyAlignment="1">
      <alignment horizontal="center" vertical="center"/>
    </xf>
    <xf numFmtId="0" fontId="0" fillId="0" borderId="15" xfId="0" applyNumberFormat="1" applyBorder="1" applyAlignment="1">
      <alignment horizontal="center" vertical="center"/>
    </xf>
    <xf numFmtId="0" fontId="0" fillId="0" borderId="11" xfId="0" applyNumberFormat="1" applyBorder="1" applyAlignment="1">
      <alignment horizontal="center" vertical="center"/>
    </xf>
    <xf numFmtId="0" fontId="0" fillId="57" borderId="10" xfId="0" applyNumberFormat="1" applyFill="1" applyBorder="1" applyAlignment="1">
      <alignment horizontal="center" vertical="center"/>
    </xf>
    <xf numFmtId="0" fontId="0" fillId="0" borderId="45" xfId="0" applyNumberFormat="1" applyBorder="1" applyAlignment="1">
      <alignment horizontal="center" vertical="center"/>
    </xf>
    <xf numFmtId="0" fontId="0" fillId="0" borderId="42" xfId="0" applyNumberFormat="1" applyBorder="1" applyAlignment="1">
      <alignment horizontal="center" vertical="center"/>
    </xf>
    <xf numFmtId="0" fontId="0" fillId="57" borderId="41" xfId="0" applyNumberFormat="1" applyFill="1" applyBorder="1" applyAlignment="1">
      <alignment horizontal="center" vertical="center"/>
    </xf>
    <xf numFmtId="0" fontId="0" fillId="57" borderId="15" xfId="0" applyNumberFormat="1" applyFill="1" applyBorder="1" applyAlignment="1">
      <alignment horizontal="center" vertical="center"/>
    </xf>
    <xf numFmtId="0" fontId="0" fillId="0" borderId="46" xfId="0" applyNumberFormat="1" applyBorder="1" applyAlignment="1">
      <alignment horizontal="center" vertical="center"/>
    </xf>
    <xf numFmtId="2" fontId="17" fillId="29" borderId="0" xfId="38" applyNumberFormat="1" applyBorder="1" applyAlignment="1">
      <alignment horizontal="center"/>
    </xf>
    <xf numFmtId="2" fontId="0" fillId="0" borderId="91" xfId="0" applyNumberFormat="1" applyBorder="1" applyAlignment="1">
      <alignment horizontal="center" vertical="center"/>
    </xf>
    <xf numFmtId="2" fontId="0" fillId="0" borderId="10" xfId="0" applyNumberFormat="1" applyBorder="1" applyAlignment="1">
      <alignment horizontal="center" vertical="center"/>
    </xf>
    <xf numFmtId="0" fontId="0" fillId="0" borderId="60" xfId="0" applyNumberFormat="1" applyBorder="1" applyAlignment="1">
      <alignment horizontal="center" vertical="center"/>
    </xf>
    <xf numFmtId="0" fontId="0" fillId="0" borderId="91" xfId="0" applyNumberFormat="1" applyBorder="1" applyAlignment="1">
      <alignment horizontal="center" vertical="center"/>
    </xf>
    <xf numFmtId="0" fontId="17" fillId="29" borderId="92" xfId="38" applyBorder="1" applyAlignment="1">
      <alignment horizontal="center"/>
    </xf>
    <xf numFmtId="0" fontId="0" fillId="0" borderId="43" xfId="0" applyNumberFormat="1" applyBorder="1" applyAlignment="1">
      <alignment horizontal="center" vertical="center"/>
    </xf>
    <xf numFmtId="0" fontId="0" fillId="0" borderId="96" xfId="0" applyNumberFormat="1" applyBorder="1" applyAlignment="1">
      <alignment horizontal="center" vertical="center"/>
    </xf>
    <xf numFmtId="0" fontId="0" fillId="57" borderId="11" xfId="0" applyNumberFormat="1" applyFill="1" applyBorder="1" applyAlignment="1">
      <alignment horizontal="center" vertical="center"/>
    </xf>
    <xf numFmtId="0" fontId="0" fillId="57" borderId="91" xfId="0" applyNumberFormat="1" applyFill="1" applyBorder="1" applyAlignment="1">
      <alignment horizontal="center" vertical="center"/>
    </xf>
    <xf numFmtId="0" fontId="0" fillId="0" borderId="66" xfId="0" applyNumberFormat="1" applyBorder="1" applyAlignment="1">
      <alignment horizontal="center" vertical="center"/>
    </xf>
    <xf numFmtId="0" fontId="0" fillId="0" borderId="97" xfId="0" applyNumberFormat="1" applyBorder="1" applyAlignment="1">
      <alignment horizontal="center" vertical="center"/>
    </xf>
    <xf numFmtId="0" fontId="0" fillId="57" borderId="100" xfId="0" applyNumberFormat="1" applyFill="1" applyBorder="1" applyAlignment="1">
      <alignment horizontal="center" vertical="center"/>
    </xf>
    <xf numFmtId="0" fontId="0" fillId="0" borderId="100" xfId="0" applyNumberFormat="1" applyBorder="1" applyAlignment="1">
      <alignment horizontal="center" vertical="center"/>
    </xf>
    <xf numFmtId="0" fontId="0" fillId="57" borderId="101" xfId="0" applyNumberFormat="1" applyFill="1" applyBorder="1" applyAlignment="1">
      <alignment horizontal="center" vertical="center"/>
    </xf>
    <xf numFmtId="0" fontId="0" fillId="0" borderId="93" xfId="0" applyNumberFormat="1" applyBorder="1" applyAlignment="1">
      <alignment horizontal="center" vertical="center"/>
    </xf>
    <xf numFmtId="0" fontId="0" fillId="0" borderId="102" xfId="0" applyNumberFormat="1" applyBorder="1" applyAlignment="1">
      <alignment horizontal="center" vertical="center"/>
    </xf>
    <xf numFmtId="0" fontId="0" fillId="0" borderId="101" xfId="0" applyNumberFormat="1" applyBorder="1" applyAlignment="1">
      <alignment horizontal="center" vertical="center"/>
    </xf>
    <xf numFmtId="0" fontId="0" fillId="0" borderId="103" xfId="0" applyNumberFormat="1" applyBorder="1" applyAlignment="1">
      <alignment horizontal="center" vertical="center"/>
    </xf>
    <xf numFmtId="0" fontId="0" fillId="0" borderId="104" xfId="0" applyNumberFormat="1" applyBorder="1" applyAlignment="1">
      <alignment horizontal="center" vertical="center"/>
    </xf>
    <xf numFmtId="0" fontId="0" fillId="0" borderId="95" xfId="0" applyNumberFormat="1" applyBorder="1" applyAlignment="1">
      <alignment horizontal="center" vertical="center"/>
    </xf>
    <xf numFmtId="0" fontId="0" fillId="0" borderId="94" xfId="0" applyNumberFormat="1" applyBorder="1" applyAlignment="1">
      <alignment horizontal="center" vertical="center"/>
    </xf>
    <xf numFmtId="0" fontId="0" fillId="0" borderId="99" xfId="0" applyNumberFormat="1" applyBorder="1" applyAlignment="1">
      <alignment horizontal="center" vertical="center"/>
    </xf>
    <xf numFmtId="0" fontId="0" fillId="57" borderId="93" xfId="0" applyNumberFormat="1" applyFill="1" applyBorder="1" applyAlignment="1">
      <alignment horizontal="center" vertical="center"/>
    </xf>
    <xf numFmtId="0" fontId="0" fillId="0" borderId="98" xfId="0" applyNumberFormat="1" applyBorder="1" applyAlignment="1">
      <alignment horizontal="center" vertical="center"/>
    </xf>
    <xf numFmtId="0" fontId="0" fillId="60" borderId="45" xfId="39" applyFont="1" applyFill="1" applyBorder="1" applyAlignment="1">
      <alignment horizontal="center" vertical="center"/>
    </xf>
    <xf numFmtId="0" fontId="0" fillId="61" borderId="12" xfId="0" applyNumberFormat="1" applyFill="1" applyBorder="1" applyAlignment="1">
      <alignment horizontal="center" vertical="center"/>
    </xf>
    <xf numFmtId="0" fontId="0" fillId="57" borderId="45" xfId="0" applyNumberFormat="1" applyFill="1" applyBorder="1" applyAlignment="1">
      <alignment horizontal="center" vertical="center"/>
    </xf>
    <xf numFmtId="0" fontId="0" fillId="60" borderId="12" xfId="39" applyFont="1" applyFill="1" applyBorder="1" applyAlignment="1">
      <alignment horizontal="center" vertical="center"/>
    </xf>
    <xf numFmtId="0" fontId="17" fillId="9" borderId="105" xfId="18" applyFont="1" applyBorder="1" applyAlignment="1">
      <alignment horizontal="center"/>
    </xf>
    <xf numFmtId="0" fontId="0" fillId="57" borderId="107" xfId="0" applyFill="1" applyBorder="1" applyAlignment="1">
      <alignment horizontal="center" vertical="center"/>
    </xf>
    <xf numFmtId="0" fontId="0" fillId="0" borderId="107" xfId="0" applyBorder="1" applyAlignment="1">
      <alignment horizontal="center" vertical="center"/>
    </xf>
    <xf numFmtId="0" fontId="0" fillId="0" borderId="110" xfId="0" applyBorder="1" applyAlignment="1">
      <alignment horizontal="center" vertical="center"/>
    </xf>
    <xf numFmtId="0" fontId="0" fillId="57" borderId="111" xfId="0" applyFill="1" applyBorder="1" applyAlignment="1">
      <alignment horizontal="center" vertical="center"/>
    </xf>
    <xf numFmtId="0" fontId="0" fillId="57" borderId="112" xfId="0" applyFont="1" applyFill="1" applyBorder="1" applyAlignment="1">
      <alignment horizontal="center" vertical="center"/>
    </xf>
    <xf numFmtId="0" fontId="0" fillId="0" borderId="111" xfId="0" applyBorder="1" applyAlignment="1">
      <alignment horizontal="center" vertical="center"/>
    </xf>
    <xf numFmtId="0" fontId="0" fillId="57" borderId="112" xfId="0" applyFill="1" applyBorder="1" applyAlignment="1">
      <alignment horizontal="center" vertical="center"/>
    </xf>
    <xf numFmtId="9" fontId="0" fillId="57" borderId="108" xfId="0" applyNumberFormat="1" applyFill="1" applyBorder="1" applyAlignment="1">
      <alignment horizontal="center" vertical="center"/>
    </xf>
    <xf numFmtId="0" fontId="0" fillId="58" borderId="107" xfId="0" applyFill="1" applyBorder="1" applyAlignment="1">
      <alignment horizontal="center" vertical="center"/>
    </xf>
    <xf numFmtId="0" fontId="0" fillId="0" borderId="112" xfId="0" applyBorder="1" applyAlignment="1">
      <alignment horizontal="center" vertical="center"/>
    </xf>
    <xf numFmtId="0" fontId="0" fillId="57" borderId="110" xfId="0" applyFill="1" applyBorder="1" applyAlignment="1">
      <alignment horizontal="center" vertical="center"/>
    </xf>
    <xf numFmtId="0" fontId="0" fillId="0" borderId="114" xfId="0" applyBorder="1" applyAlignment="1">
      <alignment horizontal="center" vertical="center"/>
    </xf>
    <xf numFmtId="0" fontId="0" fillId="0" borderId="115" xfId="0" applyBorder="1" applyAlignment="1">
      <alignment horizontal="center" vertical="center"/>
    </xf>
    <xf numFmtId="201" fontId="0" fillId="57" borderId="109" xfId="0" applyNumberFormat="1" applyFill="1" applyBorder="1" applyAlignment="1">
      <alignment horizontal="center" vertical="center"/>
    </xf>
    <xf numFmtId="0" fontId="0" fillId="58" borderId="117" xfId="0" applyFill="1" applyBorder="1" applyAlignment="1">
      <alignment horizontal="center" vertical="center"/>
    </xf>
    <xf numFmtId="198" fontId="0" fillId="57" borderId="118" xfId="0" applyNumberFormat="1" applyFill="1" applyBorder="1" applyAlignment="1">
      <alignment horizontal="center" vertical="center"/>
    </xf>
    <xf numFmtId="0" fontId="0" fillId="57" borderId="119" xfId="0" applyFill="1" applyBorder="1" applyAlignment="1">
      <alignment horizontal="center" vertical="center"/>
    </xf>
    <xf numFmtId="0" fontId="0" fillId="0" borderId="119" xfId="0" applyBorder="1" applyAlignment="1">
      <alignment horizontal="center" vertical="center"/>
    </xf>
    <xf numFmtId="197" fontId="0" fillId="57" borderId="120" xfId="0" applyNumberFormat="1" applyFill="1" applyBorder="1" applyAlignment="1">
      <alignment horizontal="center" vertical="center"/>
    </xf>
    <xf numFmtId="0" fontId="0" fillId="58" borderId="118" xfId="0" applyFill="1" applyBorder="1" applyAlignment="1">
      <alignment horizontal="center" vertical="center"/>
    </xf>
    <xf numFmtId="0" fontId="0" fillId="58" borderId="119" xfId="0" applyFill="1" applyBorder="1" applyAlignment="1">
      <alignment horizontal="center" vertical="center"/>
    </xf>
    <xf numFmtId="0" fontId="0" fillId="58" borderId="121" xfId="0" applyFill="1" applyBorder="1" applyAlignment="1">
      <alignment horizontal="center" vertical="center"/>
    </xf>
    <xf numFmtId="0" fontId="0" fillId="0" borderId="122" xfId="0" applyBorder="1" applyAlignment="1">
      <alignment horizontal="center" vertical="center"/>
    </xf>
    <xf numFmtId="10" fontId="0" fillId="0" borderId="118" xfId="0" applyNumberFormat="1" applyBorder="1" applyAlignment="1">
      <alignment horizontal="center" vertical="center"/>
    </xf>
    <xf numFmtId="10" fontId="0" fillId="0" borderId="119" xfId="0" applyNumberFormat="1" applyBorder="1" applyAlignment="1">
      <alignment horizontal="center" vertical="center"/>
    </xf>
    <xf numFmtId="10" fontId="0" fillId="0" borderId="123" xfId="0" applyNumberFormat="1" applyBorder="1" applyAlignment="1">
      <alignment horizontal="center" vertical="center"/>
    </xf>
    <xf numFmtId="198" fontId="0" fillId="57" borderId="124" xfId="0" applyNumberFormat="1" applyFill="1" applyBorder="1" applyAlignment="1">
      <alignment horizontal="center" vertical="center"/>
    </xf>
    <xf numFmtId="0" fontId="0" fillId="57" borderId="125" xfId="0" applyFill="1" applyBorder="1" applyAlignment="1">
      <alignment horizontal="center" vertical="center"/>
    </xf>
    <xf numFmtId="197" fontId="0" fillId="57" borderId="126" xfId="0" applyNumberFormat="1" applyFill="1" applyBorder="1" applyAlignment="1">
      <alignment horizontal="center" vertical="center"/>
    </xf>
    <xf numFmtId="0" fontId="0" fillId="58" borderId="124" xfId="0" applyFill="1" applyBorder="1" applyAlignment="1">
      <alignment horizontal="center" vertical="center"/>
    </xf>
    <xf numFmtId="0" fontId="0" fillId="58" borderId="125" xfId="0" applyFill="1" applyBorder="1" applyAlignment="1">
      <alignment horizontal="center" vertical="center"/>
    </xf>
    <xf numFmtId="0" fontId="0" fillId="58" borderId="127" xfId="0" applyFill="1" applyBorder="1" applyAlignment="1">
      <alignment horizontal="center" vertical="center"/>
    </xf>
    <xf numFmtId="0" fontId="0" fillId="0" borderId="128" xfId="0" applyBorder="1" applyAlignment="1">
      <alignment horizontal="center" vertical="center"/>
    </xf>
    <xf numFmtId="10" fontId="0" fillId="0" borderId="124" xfId="0" applyNumberFormat="1" applyBorder="1" applyAlignment="1">
      <alignment horizontal="center" vertical="center"/>
    </xf>
    <xf numFmtId="10" fontId="0" fillId="0" borderId="125" xfId="0" applyNumberFormat="1" applyBorder="1" applyAlignment="1">
      <alignment horizontal="center" vertical="center"/>
    </xf>
    <xf numFmtId="10" fontId="0" fillId="0" borderId="129" xfId="0" applyNumberFormat="1" applyBorder="1" applyAlignment="1">
      <alignment horizontal="center" vertical="center"/>
    </xf>
    <xf numFmtId="0" fontId="0" fillId="0" borderId="132" xfId="0" applyBorder="1" applyAlignment="1">
      <alignment horizontal="center" vertical="center"/>
    </xf>
    <xf numFmtId="0" fontId="0" fillId="0" borderId="131" xfId="0" applyBorder="1" applyAlignment="1">
      <alignment horizontal="center" vertical="center"/>
    </xf>
    <xf numFmtId="0" fontId="0" fillId="0" borderId="130" xfId="0" applyBorder="1" applyAlignment="1">
      <alignment vertical="center"/>
    </xf>
    <xf numFmtId="0" fontId="0" fillId="0" borderId="133" xfId="0" applyBorder="1" applyAlignment="1">
      <alignment horizontal="center" vertical="center"/>
    </xf>
    <xf numFmtId="0" fontId="0" fillId="0" borderId="130" xfId="0" applyBorder="1" applyAlignment="1">
      <alignment horizontal="center" vertical="center"/>
    </xf>
    <xf numFmtId="10" fontId="0" fillId="0" borderId="131" xfId="0" applyNumberFormat="1" applyBorder="1" applyAlignment="1">
      <alignment horizontal="center" vertical="center"/>
    </xf>
    <xf numFmtId="1" fontId="0" fillId="0" borderId="133" xfId="0" applyNumberFormat="1" applyBorder="1" applyAlignment="1">
      <alignment horizontal="center" vertical="center"/>
    </xf>
    <xf numFmtId="14" fontId="0" fillId="0" borderId="131" xfId="0" applyNumberFormat="1" applyBorder="1" applyAlignment="1">
      <alignment horizontal="center" vertical="center"/>
    </xf>
    <xf numFmtId="0" fontId="0" fillId="0" borderId="135" xfId="0" applyBorder="1" applyAlignment="1">
      <alignment horizontal="center" vertical="center"/>
    </xf>
    <xf numFmtId="0" fontId="0" fillId="57" borderId="130" xfId="0" applyFill="1" applyBorder="1" applyAlignment="1">
      <alignment horizontal="center" vertical="center"/>
    </xf>
    <xf numFmtId="0" fontId="0" fillId="0" borderId="136" xfId="0" applyBorder="1" applyAlignment="1">
      <alignment horizontal="center" vertical="center"/>
    </xf>
    <xf numFmtId="0" fontId="0" fillId="57" borderId="133" xfId="0" applyFill="1" applyBorder="1" applyAlignment="1">
      <alignment horizontal="center" vertical="center"/>
    </xf>
    <xf numFmtId="10" fontId="0" fillId="0" borderId="133" xfId="0" applyNumberFormat="1" applyBorder="1" applyAlignment="1">
      <alignment horizontal="center" vertical="center"/>
    </xf>
    <xf numFmtId="2" fontId="0" fillId="0" borderId="133" xfId="0" applyNumberFormat="1" applyBorder="1" applyAlignment="1">
      <alignment horizontal="left" vertical="center"/>
    </xf>
    <xf numFmtId="0" fontId="0" fillId="0" borderId="133" xfId="0" applyBorder="1" applyAlignment="1">
      <alignment horizontal="left" vertical="center"/>
    </xf>
    <xf numFmtId="0" fontId="0" fillId="0" borderId="134" xfId="0" applyBorder="1" applyAlignment="1">
      <alignment horizontal="left" vertical="center"/>
    </xf>
    <xf numFmtId="0" fontId="0" fillId="0" borderId="131" xfId="0" applyBorder="1" applyAlignment="1">
      <alignment horizontal="left" vertical="center"/>
    </xf>
    <xf numFmtId="200" fontId="0" fillId="57" borderId="131" xfId="0" applyNumberFormat="1" applyFill="1" applyBorder="1" applyAlignment="1">
      <alignment horizontal="center" vertical="center"/>
    </xf>
    <xf numFmtId="200" fontId="0" fillId="0" borderId="131" xfId="0" applyNumberFormat="1" applyBorder="1" applyAlignment="1">
      <alignment horizontal="center" vertical="center"/>
    </xf>
    <xf numFmtId="200" fontId="0" fillId="0" borderId="130" xfId="0" applyNumberFormat="1" applyBorder="1" applyAlignment="1">
      <alignment horizontal="center" vertical="center"/>
    </xf>
    <xf numFmtId="200" fontId="0" fillId="0" borderId="134" xfId="0" applyNumberFormat="1" applyBorder="1" applyAlignment="1">
      <alignment horizontal="center" vertical="center"/>
    </xf>
    <xf numFmtId="200" fontId="0" fillId="0" borderId="137" xfId="0" applyNumberFormat="1" applyBorder="1" applyAlignment="1">
      <alignment horizontal="center" vertical="center"/>
    </xf>
    <xf numFmtId="200" fontId="0" fillId="57" borderId="130" xfId="0" applyNumberFormat="1" applyFill="1" applyBorder="1" applyAlignment="1">
      <alignment horizontal="center" vertical="center"/>
    </xf>
    <xf numFmtId="200" fontId="0" fillId="0" borderId="133" xfId="0" applyNumberFormat="1" applyBorder="1" applyAlignment="1">
      <alignment horizontal="center" vertical="center"/>
    </xf>
    <xf numFmtId="0" fontId="0" fillId="0" borderId="138" xfId="0" applyBorder="1" applyAlignment="1">
      <alignment horizontal="center" vertical="center"/>
    </xf>
    <xf numFmtId="0" fontId="0" fillId="0" borderId="139" xfId="0" applyBorder="1" applyAlignment="1">
      <alignment horizontal="center" vertical="center"/>
    </xf>
    <xf numFmtId="0" fontId="0" fillId="57" borderId="140" xfId="0" applyFill="1" applyBorder="1" applyAlignment="1">
      <alignment horizontal="center" vertical="center"/>
    </xf>
    <xf numFmtId="0" fontId="0" fillId="57" borderId="141" xfId="0" applyFill="1" applyBorder="1" applyAlignment="1">
      <alignment horizontal="center" vertical="center"/>
    </xf>
    <xf numFmtId="0" fontId="0" fillId="0" borderId="140" xfId="0" applyBorder="1" applyAlignment="1">
      <alignment horizontal="center" vertical="center"/>
    </xf>
    <xf numFmtId="0" fontId="0" fillId="0" borderId="143" xfId="0" applyBorder="1" applyAlignment="1">
      <alignment horizontal="center" vertical="center"/>
    </xf>
    <xf numFmtId="0" fontId="0" fillId="0" borderId="142" xfId="0" applyBorder="1" applyAlignment="1">
      <alignment horizontal="center" vertical="center"/>
    </xf>
    <xf numFmtId="0" fontId="0" fillId="57" borderId="143" xfId="0" applyFill="1" applyBorder="1" applyAlignment="1">
      <alignment horizontal="center" vertical="center"/>
    </xf>
    <xf numFmtId="0" fontId="0" fillId="57" borderId="142" xfId="0" applyFill="1" applyBorder="1" applyAlignment="1">
      <alignment horizontal="center" vertical="center"/>
    </xf>
    <xf numFmtId="0" fontId="0" fillId="0" borderId="144" xfId="0" applyBorder="1" applyAlignment="1">
      <alignment horizontal="center" vertical="center"/>
    </xf>
    <xf numFmtId="0" fontId="0" fillId="0" borderId="141" xfId="0" applyBorder="1" applyAlignment="1">
      <alignment horizontal="center" vertical="center"/>
    </xf>
    <xf numFmtId="0" fontId="0" fillId="0" borderId="145" xfId="0" applyBorder="1" applyAlignment="1">
      <alignment horizontal="center" vertical="center"/>
    </xf>
    <xf numFmtId="0" fontId="0" fillId="57" borderId="144" xfId="0" applyFill="1" applyBorder="1" applyAlignment="1">
      <alignment horizontal="center" vertical="center"/>
    </xf>
    <xf numFmtId="0" fontId="0" fillId="0" borderId="146" xfId="0" applyBorder="1" applyAlignment="1">
      <alignment horizontal="center" vertical="center"/>
    </xf>
    <xf numFmtId="0" fontId="0" fillId="58" borderId="12" xfId="27" applyFont="1" applyFill="1" applyBorder="1" applyAlignment="1">
      <alignment vertical="center"/>
    </xf>
    <xf numFmtId="0" fontId="0" fillId="58" borderId="49" xfId="27" applyFont="1" applyFill="1" applyBorder="1" applyAlignment="1">
      <alignment vertical="center"/>
    </xf>
    <xf numFmtId="0" fontId="0" fillId="58" borderId="49" xfId="0" applyFill="1" applyBorder="1" applyAlignment="1">
      <alignment horizontal="center" vertical="center"/>
    </xf>
    <xf numFmtId="0" fontId="0" fillId="58" borderId="50" xfId="0" applyFill="1" applyBorder="1" applyAlignment="1">
      <alignment horizontal="center" vertical="center"/>
    </xf>
    <xf numFmtId="0" fontId="1" fillId="58" borderId="11" xfId="27" applyFill="1" applyBorder="1" applyAlignment="1">
      <alignment vertical="center"/>
    </xf>
    <xf numFmtId="0" fontId="1" fillId="58" borderId="49" xfId="27" applyFill="1" applyBorder="1" applyAlignment="1">
      <alignment vertical="center"/>
    </xf>
    <xf numFmtId="0" fontId="0" fillId="0" borderId="48" xfId="0" applyBorder="1" applyAlignment="1">
      <alignment horizontal="center" vertical="center"/>
    </xf>
    <xf numFmtId="1" fontId="0" fillId="57" borderId="15" xfId="0" applyNumberFormat="1" applyFill="1" applyBorder="1" applyAlignment="1">
      <alignment horizontal="center" vertical="center"/>
    </xf>
    <xf numFmtId="0" fontId="0" fillId="0" borderId="149" xfId="0" applyBorder="1" applyAlignment="1">
      <alignment horizontal="left" vertical="center"/>
    </xf>
    <xf numFmtId="0" fontId="0" fillId="57" borderId="149" xfId="0" applyFill="1" applyBorder="1" applyAlignment="1">
      <alignment horizontal="center" vertical="center"/>
    </xf>
    <xf numFmtId="0" fontId="0" fillId="0" borderId="51" xfId="0" applyBorder="1" applyAlignment="1">
      <alignment horizontal="center" vertical="center"/>
    </xf>
    <xf numFmtId="0" fontId="17" fillId="17" borderId="154" xfId="26" applyBorder="1" applyAlignment="1">
      <alignment horizontal="center"/>
    </xf>
    <xf numFmtId="0" fontId="0" fillId="0" borderId="147" xfId="0" applyBorder="1" applyAlignment="1">
      <alignment horizontal="center" vertical="center"/>
    </xf>
    <xf numFmtId="0" fontId="0" fillId="0" borderId="148" xfId="0" applyBorder="1" applyAlignment="1">
      <alignment horizontal="center" vertical="center"/>
    </xf>
    <xf numFmtId="0" fontId="0" fillId="0" borderId="150" xfId="0" applyBorder="1" applyAlignment="1">
      <alignment horizontal="center" vertical="center"/>
    </xf>
    <xf numFmtId="0" fontId="0" fillId="57" borderId="147" xfId="0" applyFill="1" applyBorder="1" applyAlignment="1">
      <alignment horizontal="center" vertical="center"/>
    </xf>
    <xf numFmtId="0" fontId="0" fillId="57" borderId="155" xfId="0" applyFill="1" applyBorder="1" applyAlignment="1">
      <alignment horizontal="center" vertical="center"/>
    </xf>
    <xf numFmtId="0" fontId="0" fillId="0" borderId="156" xfId="0" applyBorder="1" applyAlignment="1">
      <alignment horizontal="center" vertical="center"/>
    </xf>
    <xf numFmtId="0" fontId="0" fillId="0" borderId="157" xfId="0" applyBorder="1" applyAlignment="1">
      <alignment horizontal="center" vertical="center"/>
    </xf>
    <xf numFmtId="0" fontId="0" fillId="0" borderId="151" xfId="0" applyBorder="1" applyAlignment="1">
      <alignment horizontal="center" vertical="center"/>
    </xf>
    <xf numFmtId="0" fontId="0" fillId="57" borderId="157" xfId="0" applyFill="1" applyBorder="1" applyAlignment="1">
      <alignment horizontal="center" vertical="center"/>
    </xf>
    <xf numFmtId="0" fontId="0" fillId="57" borderId="158" xfId="0" applyFill="1" applyBorder="1" applyAlignment="1">
      <alignment horizontal="center" vertical="center"/>
    </xf>
    <xf numFmtId="0" fontId="0" fillId="57" borderId="150" xfId="0" applyFill="1" applyBorder="1" applyAlignment="1">
      <alignment horizontal="center" vertical="center"/>
    </xf>
    <xf numFmtId="0" fontId="0" fillId="57" borderId="156" xfId="0" applyFill="1" applyBorder="1" applyAlignment="1">
      <alignment horizontal="center" vertical="center"/>
    </xf>
    <xf numFmtId="0" fontId="0" fillId="0" borderId="152" xfId="0" applyBorder="1" applyAlignment="1">
      <alignment horizontal="center" vertical="center"/>
    </xf>
    <xf numFmtId="0" fontId="0" fillId="57" borderId="148" xfId="0" applyFill="1" applyBorder="1" applyAlignment="1">
      <alignment horizontal="center" vertical="center"/>
    </xf>
    <xf numFmtId="0" fontId="0" fillId="57" borderId="151" xfId="0" applyFill="1" applyBorder="1" applyAlignment="1">
      <alignment horizontal="center" vertical="center"/>
    </xf>
    <xf numFmtId="9" fontId="0" fillId="0" borderId="133" xfId="0" applyNumberFormat="1" applyBorder="1" applyAlignment="1">
      <alignment horizontal="center" vertical="center"/>
    </xf>
    <xf numFmtId="9" fontId="0" fillId="0" borderId="131" xfId="0" applyNumberFormat="1" applyBorder="1" applyAlignment="1">
      <alignment horizontal="center" vertical="center"/>
    </xf>
    <xf numFmtId="9" fontId="0" fillId="57" borderId="131" xfId="0" applyNumberFormat="1" applyFill="1" applyBorder="1" applyAlignment="1">
      <alignment horizontal="center" vertical="center"/>
    </xf>
    <xf numFmtId="9" fontId="0" fillId="0" borderId="136" xfId="0" applyNumberFormat="1" applyBorder="1" applyAlignment="1">
      <alignment horizontal="center" vertical="center"/>
    </xf>
    <xf numFmtId="9" fontId="0" fillId="0" borderId="130" xfId="0" applyNumberFormat="1" applyBorder="1" applyAlignment="1">
      <alignment horizontal="center" vertical="center"/>
    </xf>
    <xf numFmtId="200" fontId="0" fillId="0" borderId="108" xfId="0" applyNumberFormat="1" applyBorder="1" applyAlignment="1">
      <alignment horizontal="center" vertical="center"/>
    </xf>
    <xf numFmtId="200" fontId="0" fillId="57" borderId="109" xfId="0" applyNumberFormat="1" applyFill="1" applyBorder="1" applyAlignment="1">
      <alignment horizontal="center" vertical="center"/>
    </xf>
    <xf numFmtId="200" fontId="0" fillId="0" borderId="106" xfId="0" applyNumberFormat="1" applyBorder="1" applyAlignment="1">
      <alignment horizontal="center" vertical="center"/>
    </xf>
    <xf numFmtId="200" fontId="0" fillId="57" borderId="108" xfId="0" applyNumberFormat="1" applyFill="1" applyBorder="1" applyAlignment="1">
      <alignment horizontal="center" vertical="center"/>
    </xf>
    <xf numFmtId="200" fontId="0" fillId="0" borderId="109" xfId="0" applyNumberFormat="1" applyBorder="1" applyAlignment="1">
      <alignment horizontal="center" vertical="center"/>
    </xf>
    <xf numFmtId="200" fontId="0" fillId="0" borderId="113" xfId="0" applyNumberFormat="1" applyBorder="1" applyAlignment="1">
      <alignment horizontal="center" vertical="center"/>
    </xf>
    <xf numFmtId="200" fontId="0" fillId="0" borderId="116" xfId="0" applyNumberFormat="1" applyBorder="1" applyAlignment="1">
      <alignment horizontal="center" vertical="center"/>
    </xf>
    <xf numFmtId="200" fontId="0" fillId="57" borderId="106" xfId="0" applyNumberFormat="1" applyFill="1" applyBorder="1" applyAlignment="1">
      <alignment horizontal="center" vertical="center"/>
    </xf>
    <xf numFmtId="0" fontId="0" fillId="58" borderId="53" xfId="0" applyFill="1" applyBorder="1" applyAlignment="1">
      <alignment horizontal="center" vertical="center"/>
    </xf>
    <xf numFmtId="9" fontId="0" fillId="0" borderId="11" xfId="0" applyNumberFormat="1" applyBorder="1" applyAlignment="1">
      <alignment horizontal="center" vertical="center"/>
    </xf>
    <xf numFmtId="9" fontId="0" fillId="0" borderId="48" xfId="0" applyNumberFormat="1" applyBorder="1" applyAlignment="1">
      <alignment horizontal="center" vertical="center"/>
    </xf>
    <xf numFmtId="0" fontId="16" fillId="18" borderId="59" xfId="27" applyFont="1" applyBorder="1" applyAlignment="1">
      <alignment vertical="center"/>
    </xf>
    <xf numFmtId="0" fontId="16" fillId="18" borderId="50" xfId="27" applyFont="1" applyBorder="1" applyAlignment="1">
      <alignment vertical="center"/>
    </xf>
    <xf numFmtId="0" fontId="0" fillId="58" borderId="133" xfId="0" applyFill="1" applyBorder="1" applyAlignment="1">
      <alignment horizontal="center" vertical="center"/>
    </xf>
    <xf numFmtId="0" fontId="0" fillId="58" borderId="15" xfId="0" applyNumberFormat="1" applyFill="1" applyBorder="1" applyAlignment="1">
      <alignment horizontal="center" vertical="center"/>
    </xf>
    <xf numFmtId="0" fontId="0" fillId="58" borderId="103" xfId="0" applyNumberFormat="1" applyFill="1" applyBorder="1" applyAlignment="1">
      <alignment horizontal="center" vertical="center"/>
    </xf>
    <xf numFmtId="0" fontId="0" fillId="0" borderId="159" xfId="0" applyBorder="1" applyAlignment="1">
      <alignment horizontal="center" vertical="center"/>
    </xf>
    <xf numFmtId="0" fontId="0" fillId="0" borderId="160" xfId="0" applyBorder="1" applyAlignment="1">
      <alignment horizontal="center" vertical="center"/>
    </xf>
    <xf numFmtId="0" fontId="0" fillId="0" borderId="161" xfId="0" applyNumberFormat="1" applyBorder="1" applyAlignment="1">
      <alignment horizontal="center" vertical="center"/>
    </xf>
    <xf numFmtId="0" fontId="0" fillId="0" borderId="162" xfId="0" applyNumberFormat="1" applyBorder="1" applyAlignment="1">
      <alignment horizontal="center" vertical="center"/>
    </xf>
    <xf numFmtId="0" fontId="0" fillId="0" borderId="163" xfId="0" applyNumberFormat="1" applyBorder="1" applyAlignment="1">
      <alignment horizontal="center" vertical="center"/>
    </xf>
    <xf numFmtId="0" fontId="0" fillId="58" borderId="11" xfId="0" applyNumberFormat="1" applyFill="1" applyBorder="1" applyAlignment="1">
      <alignment horizontal="center" vertical="center"/>
    </xf>
    <xf numFmtId="0" fontId="0" fillId="58" borderId="10" xfId="0" applyNumberFormat="1" applyFill="1" applyBorder="1" applyAlignment="1">
      <alignment horizontal="center" vertical="center"/>
    </xf>
    <xf numFmtId="0" fontId="0" fillId="58" borderId="100" xfId="0" applyNumberFormat="1" applyFill="1" applyBorder="1" applyAlignment="1">
      <alignment horizontal="center" vertical="center"/>
    </xf>
    <xf numFmtId="0" fontId="0" fillId="0" borderId="164" xfId="0" applyBorder="1" applyAlignment="1">
      <alignment horizontal="center" vertical="center"/>
    </xf>
    <xf numFmtId="0" fontId="0" fillId="0" borderId="166" xfId="0" applyBorder="1" applyAlignment="1">
      <alignment horizontal="center" vertical="center"/>
    </xf>
    <xf numFmtId="0" fontId="0" fillId="0" borderId="167" xfId="0" applyBorder="1" applyAlignment="1">
      <alignment horizontal="center" vertical="center"/>
    </xf>
    <xf numFmtId="0" fontId="0" fillId="0" borderId="168" xfId="0" applyBorder="1" applyAlignment="1">
      <alignment horizontal="center" vertical="center"/>
    </xf>
    <xf numFmtId="14" fontId="0" fillId="0" borderId="169" xfId="0" applyNumberFormat="1" applyBorder="1" applyAlignment="1">
      <alignment horizontal="center" vertical="center"/>
    </xf>
    <xf numFmtId="199" fontId="0" fillId="57" borderId="169" xfId="0" applyNumberFormat="1" applyFill="1" applyBorder="1" applyAlignment="1">
      <alignment horizontal="center" vertical="center"/>
    </xf>
    <xf numFmtId="9" fontId="0" fillId="0" borderId="168" xfId="0" applyNumberFormat="1" applyBorder="1" applyAlignment="1">
      <alignment horizontal="center" vertical="center"/>
    </xf>
    <xf numFmtId="9" fontId="0" fillId="0" borderId="167" xfId="0" applyNumberFormat="1" applyBorder="1" applyAlignment="1">
      <alignment horizontal="center" vertical="center"/>
    </xf>
    <xf numFmtId="9" fontId="0" fillId="0" borderId="169" xfId="0" applyNumberFormat="1" applyBorder="1" applyAlignment="1">
      <alignment horizontal="center" vertical="center"/>
    </xf>
    <xf numFmtId="2" fontId="0" fillId="0" borderId="165" xfId="0" applyNumberFormat="1" applyBorder="1" applyAlignment="1">
      <alignment horizontal="center" vertical="center"/>
    </xf>
    <xf numFmtId="199" fontId="0" fillId="58" borderId="166" xfId="0" applyNumberFormat="1" applyFill="1" applyBorder="1" applyAlignment="1">
      <alignment horizontal="center" vertical="center"/>
    </xf>
    <xf numFmtId="0" fontId="0" fillId="58" borderId="169" xfId="0" applyFill="1" applyBorder="1" applyAlignment="1">
      <alignment horizontal="center" vertical="center"/>
    </xf>
    <xf numFmtId="2" fontId="0" fillId="0" borderId="168" xfId="0" applyNumberFormat="1" applyBorder="1" applyAlignment="1">
      <alignment horizontal="center" vertical="center"/>
    </xf>
    <xf numFmtId="2" fontId="0" fillId="0" borderId="167" xfId="0" applyNumberFormat="1" applyBorder="1" applyAlignment="1">
      <alignment horizontal="center" vertical="center"/>
    </xf>
    <xf numFmtId="0" fontId="0" fillId="57" borderId="168" xfId="0" applyFill="1" applyBorder="1" applyAlignment="1">
      <alignment horizontal="center" vertical="center"/>
    </xf>
    <xf numFmtId="200" fontId="0" fillId="0" borderId="166" xfId="0" applyNumberFormat="1" applyBorder="1" applyAlignment="1">
      <alignment horizontal="center" vertical="center"/>
    </xf>
    <xf numFmtId="200" fontId="0" fillId="57" borderId="169" xfId="0" applyNumberFormat="1" applyFill="1" applyBorder="1" applyAlignment="1">
      <alignment horizontal="center" vertical="center"/>
    </xf>
    <xf numFmtId="200" fontId="0" fillId="0" borderId="168" xfId="0" applyNumberFormat="1" applyBorder="1" applyAlignment="1">
      <alignment horizontal="center" vertical="center"/>
    </xf>
    <xf numFmtId="9" fontId="0" fillId="57" borderId="166" xfId="0" applyNumberFormat="1" applyFill="1" applyBorder="1" applyAlignment="1">
      <alignment horizontal="center" vertical="center"/>
    </xf>
    <xf numFmtId="0" fontId="0" fillId="57" borderId="169" xfId="0" applyFont="1" applyFill="1" applyBorder="1" applyAlignment="1">
      <alignment horizontal="center" vertical="center"/>
    </xf>
    <xf numFmtId="0" fontId="0" fillId="57" borderId="170" xfId="0" applyFill="1" applyBorder="1" applyAlignment="1">
      <alignment horizontal="center" vertical="center"/>
    </xf>
    <xf numFmtId="0" fontId="0" fillId="0" borderId="171" xfId="0" applyBorder="1" applyAlignment="1">
      <alignment horizontal="center" vertical="center"/>
    </xf>
    <xf numFmtId="0" fontId="0" fillId="0" borderId="169" xfId="0" applyBorder="1" applyAlignment="1">
      <alignment horizontal="center" vertical="center"/>
    </xf>
    <xf numFmtId="0" fontId="0" fillId="0" borderId="172" xfId="0" applyBorder="1" applyAlignment="1">
      <alignment horizontal="left" vertical="center"/>
    </xf>
    <xf numFmtId="0" fontId="0" fillId="58" borderId="72" xfId="0" applyFill="1" applyBorder="1" applyAlignment="1">
      <alignment horizontal="center" vertical="center"/>
    </xf>
    <xf numFmtId="0" fontId="0" fillId="0" borderId="173" xfId="0" applyBorder="1" applyAlignment="1">
      <alignment horizontal="left" vertical="center"/>
    </xf>
    <xf numFmtId="0" fontId="0" fillId="0" borderId="0" xfId="0" applyBorder="1" applyAlignment="1">
      <alignment horizontal="left" vertical="center"/>
    </xf>
    <xf numFmtId="0" fontId="0" fillId="0" borderId="174" xfId="0" applyBorder="1" applyAlignment="1">
      <alignment horizontal="left" vertical="center"/>
    </xf>
    <xf numFmtId="2" fontId="0" fillId="57" borderId="175" xfId="0" applyNumberFormat="1" applyFill="1" applyBorder="1" applyAlignment="1">
      <alignment horizontal="center" vertical="center"/>
    </xf>
    <xf numFmtId="2" fontId="0" fillId="57" borderId="176" xfId="0" applyNumberFormat="1" applyFill="1" applyBorder="1" applyAlignment="1">
      <alignment horizontal="center" vertical="center"/>
    </xf>
    <xf numFmtId="2" fontId="1" fillId="10" borderId="33" xfId="19" applyNumberFormat="1" applyBorder="1" applyAlignment="1">
      <alignment horizontal="center" vertical="center"/>
    </xf>
    <xf numFmtId="2" fontId="0" fillId="0" borderId="177" xfId="0" applyNumberFormat="1" applyBorder="1" applyAlignment="1">
      <alignment horizontal="center" vertical="center"/>
    </xf>
    <xf numFmtId="0" fontId="0" fillId="0" borderId="178" xfId="0" applyBorder="1" applyAlignment="1">
      <alignment horizontal="center" vertical="center"/>
    </xf>
    <xf numFmtId="0" fontId="0" fillId="0" borderId="179" xfId="0" applyBorder="1" applyAlignment="1">
      <alignment horizontal="center" vertical="center"/>
    </xf>
    <xf numFmtId="0" fontId="0" fillId="0" borderId="180" xfId="0" applyBorder="1" applyAlignment="1">
      <alignment horizontal="center" vertical="center"/>
    </xf>
    <xf numFmtId="10" fontId="1" fillId="10" borderId="14" xfId="19" applyNumberFormat="1" applyBorder="1" applyAlignment="1">
      <alignment horizontal="center" vertical="center"/>
    </xf>
    <xf numFmtId="0" fontId="17" fillId="62" borderId="25" xfId="21" applyFill="1" applyBorder="1" applyAlignment="1">
      <alignment vertical="top" wrapText="1"/>
    </xf>
    <xf numFmtId="10" fontId="1" fillId="10" borderId="67" xfId="19" applyNumberFormat="1" applyBorder="1" applyAlignment="1">
      <alignment horizontal="center" vertical="center"/>
    </xf>
    <xf numFmtId="202" fontId="0" fillId="10" borderId="13" xfId="19" applyNumberFormat="1" applyFont="1" applyBorder="1" applyAlignment="1">
      <alignment horizontal="center" vertical="center"/>
    </xf>
    <xf numFmtId="202" fontId="1" fillId="10" borderId="13" xfId="19" applyNumberFormat="1" applyBorder="1" applyAlignment="1">
      <alignment horizontal="center" vertical="center"/>
    </xf>
    <xf numFmtId="202" fontId="0" fillId="10" borderId="28" xfId="19" applyNumberFormat="1" applyFont="1" applyBorder="1" applyAlignment="1">
      <alignment horizontal="center" vertical="center"/>
    </xf>
    <xf numFmtId="200" fontId="1" fillId="60" borderId="12" xfId="39" applyNumberFormat="1" applyFill="1" applyBorder="1" applyAlignment="1">
      <alignment horizontal="center" vertical="center"/>
    </xf>
    <xf numFmtId="200" fontId="1" fillId="60" borderId="42" xfId="39" applyNumberFormat="1" applyFill="1" applyBorder="1" applyAlignment="1">
      <alignment horizontal="center" vertical="center"/>
    </xf>
    <xf numFmtId="202" fontId="1" fillId="60" borderId="12" xfId="39" applyNumberFormat="1" applyFill="1" applyBorder="1" applyAlignment="1">
      <alignment horizontal="center" vertical="center"/>
    </xf>
    <xf numFmtId="202" fontId="1" fillId="60" borderId="42" xfId="39" applyNumberFormat="1" applyFill="1" applyBorder="1" applyAlignment="1">
      <alignment horizontal="center" vertical="center"/>
    </xf>
    <xf numFmtId="203" fontId="1" fillId="60" borderId="12" xfId="39" applyNumberFormat="1" applyFill="1" applyBorder="1" applyAlignment="1">
      <alignment horizontal="center" vertical="center"/>
    </xf>
    <xf numFmtId="203" fontId="1" fillId="60" borderId="42" xfId="39" applyNumberFormat="1" applyFill="1" applyBorder="1" applyAlignment="1">
      <alignment horizontal="center" vertical="center"/>
    </xf>
    <xf numFmtId="0" fontId="1" fillId="60" borderId="42" xfId="39" applyFill="1" applyBorder="1" applyAlignment="1">
      <alignment horizontal="left" vertical="center"/>
    </xf>
    <xf numFmtId="0" fontId="0" fillId="60" borderId="12" xfId="39" applyFont="1" applyFill="1" applyBorder="1" applyAlignment="1">
      <alignment horizontal="left" vertical="center"/>
    </xf>
    <xf numFmtId="203" fontId="16" fillId="18" borderId="10" xfId="27" applyNumberFormat="1" applyFont="1" applyBorder="1" applyAlignment="1">
      <alignment horizontal="center" vertical="center"/>
    </xf>
    <xf numFmtId="203" fontId="16" fillId="18" borderId="11" xfId="27" applyNumberFormat="1" applyFont="1" applyBorder="1" applyAlignment="1">
      <alignment horizontal="center" vertical="center"/>
    </xf>
    <xf numFmtId="203" fontId="16" fillId="18" borderId="48" xfId="27" applyNumberFormat="1" applyFont="1" applyBorder="1" applyAlignment="1">
      <alignment horizontal="center" vertical="center"/>
    </xf>
    <xf numFmtId="203" fontId="0" fillId="18" borderId="10" xfId="27" applyNumberFormat="1" applyFont="1" applyBorder="1" applyAlignment="1">
      <alignment horizontal="center" vertical="center"/>
    </xf>
    <xf numFmtId="203" fontId="0" fillId="18" borderId="49" xfId="27" applyNumberFormat="1" applyFont="1" applyBorder="1" applyAlignment="1">
      <alignment horizontal="center" vertical="center"/>
    </xf>
    <xf numFmtId="203" fontId="1" fillId="18" borderId="10" xfId="27" applyNumberFormat="1" applyBorder="1" applyAlignment="1">
      <alignment horizontal="center" vertical="center"/>
    </xf>
    <xf numFmtId="202" fontId="1" fillId="18" borderId="10" xfId="27" applyNumberFormat="1" applyBorder="1" applyAlignment="1">
      <alignment horizontal="center" vertical="center"/>
    </xf>
    <xf numFmtId="200" fontId="1" fillId="18" borderId="12" xfId="27" applyNumberFormat="1" applyBorder="1" applyAlignment="1">
      <alignment horizontal="center" vertical="center"/>
    </xf>
    <xf numFmtId="200" fontId="1" fillId="18" borderId="10" xfId="27" applyNumberFormat="1" applyBorder="1" applyAlignment="1">
      <alignment horizontal="center" vertical="center"/>
    </xf>
    <xf numFmtId="200" fontId="1" fillId="18" borderId="49" xfId="27" applyNumberFormat="1" applyBorder="1" applyAlignment="1">
      <alignment horizontal="center" vertical="center"/>
    </xf>
    <xf numFmtId="200" fontId="1" fillId="18" borderId="53" xfId="27" applyNumberFormat="1" applyBorder="1" applyAlignment="1">
      <alignment horizontal="center" vertical="center"/>
    </xf>
    <xf numFmtId="200" fontId="0" fillId="18" borderId="10" xfId="27" applyNumberFormat="1" applyFont="1" applyBorder="1" applyAlignment="1">
      <alignment horizontal="center" vertical="center"/>
    </xf>
    <xf numFmtId="2" fontId="1" fillId="60" borderId="45" xfId="39" applyNumberFormat="1" applyFill="1" applyBorder="1" applyAlignment="1">
      <alignment horizontal="center" vertical="center"/>
    </xf>
    <xf numFmtId="2" fontId="0" fillId="0" borderId="134" xfId="0" applyNumberFormat="1" applyBorder="1" applyAlignment="1">
      <alignment horizontal="center" vertical="center"/>
    </xf>
    <xf numFmtId="2" fontId="1" fillId="60" borderId="42" xfId="39" applyNumberFormat="1" applyFill="1" applyBorder="1" applyAlignment="1">
      <alignment horizontal="center" vertical="center"/>
    </xf>
    <xf numFmtId="2" fontId="0" fillId="57" borderId="130" xfId="0" applyNumberFormat="1" applyFill="1" applyBorder="1" applyAlignment="1">
      <alignment horizontal="center" vertical="center"/>
    </xf>
    <xf numFmtId="0" fontId="16" fillId="60" borderId="12" xfId="39" applyFont="1" applyFill="1" applyBorder="1" applyAlignment="1">
      <alignment horizontal="center" vertical="center"/>
    </xf>
    <xf numFmtId="0" fontId="16" fillId="60" borderId="12" xfId="39" applyFont="1" applyFill="1" applyBorder="1" applyAlignment="1">
      <alignment vertical="center"/>
    </xf>
    <xf numFmtId="0" fontId="16" fillId="60" borderId="42" xfId="39" applyFont="1" applyFill="1" applyBorder="1" applyAlignment="1">
      <alignment horizontal="center" vertical="center"/>
    </xf>
    <xf numFmtId="0" fontId="16" fillId="60" borderId="42" xfId="39" applyFont="1" applyFill="1" applyBorder="1" applyAlignment="1">
      <alignment vertical="center"/>
    </xf>
    <xf numFmtId="0" fontId="16" fillId="60" borderId="45" xfId="39" applyFont="1" applyFill="1" applyBorder="1" applyAlignment="1">
      <alignment horizontal="center" vertical="center"/>
    </xf>
    <xf numFmtId="0" fontId="16" fillId="60" borderId="45" xfId="39" applyFont="1" applyFill="1" applyBorder="1" applyAlignment="1">
      <alignment vertical="center"/>
    </xf>
    <xf numFmtId="10" fontId="0" fillId="0" borderId="167" xfId="0" applyNumberFormat="1" applyBorder="1" applyAlignment="1">
      <alignment horizontal="center" vertical="center"/>
    </xf>
    <xf numFmtId="0" fontId="1" fillId="10" borderId="182" xfId="19" applyBorder="1" applyAlignment="1">
      <alignment horizontal="center" vertical="center"/>
    </xf>
    <xf numFmtId="0" fontId="94" fillId="63" borderId="168" xfId="0" applyFont="1" applyFill="1" applyBorder="1" applyAlignment="1">
      <alignment horizontal="center" vertical="center"/>
    </xf>
    <xf numFmtId="0" fontId="1" fillId="60" borderId="100" xfId="39" applyFill="1" applyBorder="1" applyAlignment="1">
      <alignment horizontal="center" vertical="center"/>
    </xf>
    <xf numFmtId="0" fontId="1" fillId="60" borderId="98" xfId="39" applyFill="1" applyBorder="1" applyAlignment="1">
      <alignment horizontal="center" vertical="center"/>
    </xf>
    <xf numFmtId="0" fontId="1" fillId="60" borderId="101" xfId="39" applyFill="1" applyBorder="1" applyAlignment="1">
      <alignment horizontal="center" vertical="center"/>
    </xf>
    <xf numFmtId="0" fontId="0" fillId="0" borderId="91" xfId="0" applyBorder="1" applyAlignment="1">
      <alignment horizontal="center" vertical="center"/>
    </xf>
    <xf numFmtId="0" fontId="1" fillId="60" borderId="93" xfId="39" applyFill="1" applyBorder="1" applyAlignment="1">
      <alignment horizontal="center" vertical="center"/>
    </xf>
    <xf numFmtId="0" fontId="1" fillId="60" borderId="94" xfId="39" applyFill="1" applyBorder="1" applyAlignment="1">
      <alignment horizontal="center" vertical="center"/>
    </xf>
    <xf numFmtId="0" fontId="0" fillId="0" borderId="183" xfId="0" applyBorder="1" applyAlignment="1">
      <alignment horizontal="left" vertical="center"/>
    </xf>
    <xf numFmtId="0" fontId="0" fillId="0" borderId="165" xfId="0" applyBorder="1" applyAlignment="1">
      <alignment horizontal="center" vertical="center"/>
    </xf>
    <xf numFmtId="14" fontId="0" fillId="0" borderId="11" xfId="0" applyNumberFormat="1" applyBorder="1" applyAlignment="1">
      <alignment horizontal="center" vertical="center"/>
    </xf>
    <xf numFmtId="203" fontId="0" fillId="0" borderId="11" xfId="0" applyNumberFormat="1" applyBorder="1" applyAlignment="1">
      <alignment horizontal="center" vertical="center"/>
    </xf>
    <xf numFmtId="1" fontId="0" fillId="0" borderId="91" xfId="0" applyNumberFormat="1" applyBorder="1" applyAlignment="1">
      <alignment horizontal="center" vertical="center"/>
    </xf>
    <xf numFmtId="1" fontId="0" fillId="0" borderId="130" xfId="0" applyNumberFormat="1" applyBorder="1" applyAlignment="1">
      <alignment horizontal="center" vertical="center"/>
    </xf>
    <xf numFmtId="0" fontId="0" fillId="57" borderId="0" xfId="0" applyFill="1" applyAlignment="1">
      <alignment horizontal="center"/>
    </xf>
    <xf numFmtId="2" fontId="0" fillId="0" borderId="131" xfId="0" applyNumberFormat="1" applyBorder="1" applyAlignment="1">
      <alignment horizontal="center" vertical="center"/>
    </xf>
    <xf numFmtId="3" fontId="0" fillId="58" borderId="131" xfId="0" applyNumberFormat="1" applyFill="1" applyBorder="1" applyAlignment="1">
      <alignment horizontal="center" vertical="center"/>
    </xf>
    <xf numFmtId="202" fontId="0" fillId="0" borderId="11" xfId="0" applyNumberFormat="1" applyBorder="1" applyAlignment="1">
      <alignment horizontal="center" vertical="center"/>
    </xf>
    <xf numFmtId="4" fontId="0" fillId="57" borderId="153" xfId="0" applyNumberFormat="1" applyFill="1" applyBorder="1" applyAlignment="1">
      <alignment horizontal="center" vertical="center"/>
    </xf>
    <xf numFmtId="1" fontId="16" fillId="10" borderId="14" xfId="19" applyNumberFormat="1" applyFont="1" applyBorder="1" applyAlignment="1">
      <alignment horizontal="center" vertical="center"/>
    </xf>
    <xf numFmtId="1" fontId="16" fillId="10" borderId="14" xfId="19" applyNumberFormat="1" applyFont="1" applyBorder="1" applyAlignment="1">
      <alignment horizontal="left" vertical="center"/>
    </xf>
    <xf numFmtId="0" fontId="16" fillId="10" borderId="14" xfId="19" applyFont="1" applyBorder="1" applyAlignment="1">
      <alignment horizontal="center" vertical="center"/>
    </xf>
    <xf numFmtId="0" fontId="16" fillId="10" borderId="14" xfId="19" applyFont="1" applyBorder="1" applyAlignment="1">
      <alignment horizontal="left" vertical="center"/>
    </xf>
    <xf numFmtId="0" fontId="16" fillId="10" borderId="67" xfId="19" applyFont="1" applyBorder="1" applyAlignment="1">
      <alignment horizontal="center" vertical="center"/>
    </xf>
    <xf numFmtId="0" fontId="16" fillId="10" borderId="67" xfId="19" applyFont="1" applyBorder="1" applyAlignment="1">
      <alignment horizontal="left" vertical="center"/>
    </xf>
    <xf numFmtId="0" fontId="16" fillId="10" borderId="13" xfId="19" applyFont="1" applyBorder="1" applyAlignment="1">
      <alignment horizontal="center" vertical="center"/>
    </xf>
    <xf numFmtId="0" fontId="16" fillId="10" borderId="28" xfId="19" applyFont="1" applyBorder="1" applyAlignment="1">
      <alignment horizontal="center" vertical="center"/>
    </xf>
    <xf numFmtId="0" fontId="16" fillId="10" borderId="70" xfId="19" applyFont="1" applyBorder="1" applyAlignment="1">
      <alignment horizontal="center" vertical="center"/>
    </xf>
    <xf numFmtId="0" fontId="16" fillId="10" borderId="70" xfId="19" applyFont="1" applyBorder="1" applyAlignment="1">
      <alignment horizontal="left" vertical="center"/>
    </xf>
    <xf numFmtId="0" fontId="16" fillId="10" borderId="181" xfId="19" applyFont="1" applyBorder="1" applyAlignment="1">
      <alignment horizontal="center" vertical="center"/>
    </xf>
    <xf numFmtId="0" fontId="16" fillId="10" borderId="71" xfId="19" applyFont="1" applyBorder="1" applyAlignment="1">
      <alignment horizontal="center" vertical="center"/>
    </xf>
    <xf numFmtId="0" fontId="16" fillId="10" borderId="181" xfId="19" applyFont="1" applyBorder="1" applyAlignment="1">
      <alignment horizontal="left" vertical="center"/>
    </xf>
    <xf numFmtId="2" fontId="16" fillId="10" borderId="58" xfId="19" applyNumberFormat="1" applyFont="1" applyBorder="1" applyAlignment="1">
      <alignment horizontal="center" vertical="center"/>
    </xf>
    <xf numFmtId="2" fontId="16" fillId="10" borderId="58" xfId="19" applyNumberFormat="1" applyFont="1" applyBorder="1" applyAlignment="1">
      <alignment horizontal="left" vertical="center"/>
    </xf>
    <xf numFmtId="0" fontId="16" fillId="10" borderId="58" xfId="19" applyFont="1" applyBorder="1" applyAlignment="1">
      <alignment horizontal="center" vertical="center"/>
    </xf>
    <xf numFmtId="2" fontId="16" fillId="10" borderId="14" xfId="19" applyNumberFormat="1" applyFont="1" applyBorder="1" applyAlignment="1">
      <alignment horizontal="center" vertical="center"/>
    </xf>
    <xf numFmtId="2" fontId="16" fillId="10" borderId="14" xfId="19" applyNumberFormat="1" applyFont="1" applyBorder="1" applyAlignment="1">
      <alignment horizontal="left" vertical="center"/>
    </xf>
    <xf numFmtId="2" fontId="16" fillId="10" borderId="33" xfId="19" applyNumberFormat="1" applyFont="1" applyBorder="1" applyAlignment="1">
      <alignment horizontal="center" vertical="center"/>
    </xf>
    <xf numFmtId="2" fontId="16" fillId="10" borderId="33" xfId="19" applyNumberFormat="1" applyFont="1" applyBorder="1" applyAlignment="1">
      <alignment horizontal="left" vertical="center"/>
    </xf>
    <xf numFmtId="0" fontId="16" fillId="10" borderId="33" xfId="19" applyFont="1" applyBorder="1" applyAlignment="1">
      <alignment horizontal="center" vertical="center"/>
    </xf>
    <xf numFmtId="2" fontId="16" fillId="10" borderId="67" xfId="19" applyNumberFormat="1" applyFont="1" applyBorder="1" applyAlignment="1">
      <alignment horizontal="center" vertical="center"/>
    </xf>
    <xf numFmtId="2" fontId="16" fillId="10" borderId="67" xfId="19" applyNumberFormat="1" applyFont="1" applyBorder="1" applyAlignment="1">
      <alignment horizontal="left" vertical="center"/>
    </xf>
    <xf numFmtId="1" fontId="1" fillId="58" borderId="0" xfId="19" applyNumberFormat="1" applyFont="1" applyFill="1" applyBorder="1" applyAlignment="1">
      <alignment horizontal="center" vertical="center"/>
    </xf>
    <xf numFmtId="0" fontId="1" fillId="58" borderId="0" xfId="19" applyFont="1" applyFill="1" applyBorder="1" applyAlignment="1">
      <alignment horizontal="center" vertical="center"/>
    </xf>
    <xf numFmtId="2" fontId="1" fillId="58" borderId="0" xfId="19" applyNumberFormat="1" applyFont="1" applyFill="1" applyBorder="1" applyAlignment="1">
      <alignment horizontal="center" vertical="center"/>
    </xf>
    <xf numFmtId="0" fontId="1" fillId="58" borderId="0" xfId="27" applyFont="1" applyFill="1" applyBorder="1" applyAlignment="1">
      <alignment horizontal="center" vertical="center"/>
    </xf>
    <xf numFmtId="9" fontId="0" fillId="0" borderId="15" xfId="0" applyNumberFormat="1" applyBorder="1" applyAlignment="1">
      <alignment horizontal="center" vertical="center"/>
    </xf>
    <xf numFmtId="2" fontId="0" fillId="0" borderId="46" xfId="0" applyNumberFormat="1" applyBorder="1" applyAlignment="1">
      <alignment horizontal="center"/>
    </xf>
    <xf numFmtId="203" fontId="0" fillId="57" borderId="131" xfId="0" applyNumberFormat="1" applyFill="1" applyBorder="1" applyAlignment="1">
      <alignment horizontal="center" vertical="center"/>
    </xf>
    <xf numFmtId="200" fontId="0" fillId="0" borderId="15" xfId="0" applyNumberFormat="1" applyBorder="1" applyAlignment="1">
      <alignment horizontal="center" vertical="center"/>
    </xf>
    <xf numFmtId="200" fontId="0" fillId="57" borderId="11" xfId="0" applyNumberFormat="1" applyFill="1" applyBorder="1" applyAlignment="1">
      <alignment horizontal="center" vertical="center"/>
    </xf>
    <xf numFmtId="200" fontId="0" fillId="0" borderId="48" xfId="0" applyNumberFormat="1" applyBorder="1" applyAlignment="1">
      <alignment horizontal="center" vertical="center"/>
    </xf>
    <xf numFmtId="200" fontId="0" fillId="0" borderId="51" xfId="0" applyNumberFormat="1" applyBorder="1" applyAlignment="1">
      <alignment horizontal="center" vertical="center"/>
    </xf>
    <xf numFmtId="200" fontId="0" fillId="0" borderId="11" xfId="0" applyNumberFormat="1" applyBorder="1" applyAlignment="1">
      <alignment horizontal="center" vertical="center"/>
    </xf>
    <xf numFmtId="203" fontId="0" fillId="57" borderId="11" xfId="0" applyNumberFormat="1" applyFill="1" applyBorder="1" applyAlignment="1">
      <alignment horizontal="center" vertical="center"/>
    </xf>
    <xf numFmtId="200" fontId="0" fillId="57" borderId="48" xfId="0" applyNumberFormat="1" applyFill="1" applyBorder="1" applyAlignment="1">
      <alignment horizontal="center" vertical="center"/>
    </xf>
    <xf numFmtId="0" fontId="106" fillId="0" borderId="0" xfId="0" applyFont="1" applyAlignment="1">
      <alignment horizontal="left" vertical="center" wrapText="1"/>
    </xf>
    <xf numFmtId="0" fontId="0" fillId="0" borderId="0" xfId="0" applyFill="1" applyAlignment="1">
      <alignment wrapText="1"/>
    </xf>
    <xf numFmtId="0" fontId="0" fillId="0" borderId="0" xfId="0" applyFill="1"/>
    <xf numFmtId="0" fontId="94" fillId="0" borderId="0" xfId="2157" applyFont="1" applyAlignment="1">
      <alignment horizontal="left" vertical="top" wrapText="1"/>
    </xf>
    <xf numFmtId="0" fontId="23" fillId="0" borderId="0" xfId="2157" applyAlignment="1">
      <alignment horizontal="left" vertical="top" wrapText="1"/>
    </xf>
    <xf numFmtId="0" fontId="23" fillId="0" borderId="0" xfId="2157" applyFill="1" applyAlignment="1">
      <alignment horizontal="left" wrapText="1"/>
    </xf>
    <xf numFmtId="0" fontId="23" fillId="0" borderId="0" xfId="2157" applyFill="1" applyAlignment="1">
      <alignment horizontal="left"/>
    </xf>
    <xf numFmtId="0" fontId="23" fillId="0" borderId="0" xfId="2157" applyFill="1" applyAlignment="1">
      <alignment horizontal="left" vertical="center" wrapText="1"/>
    </xf>
    <xf numFmtId="0" fontId="0" fillId="0" borderId="0" xfId="0" applyFill="1" applyAlignment="1">
      <alignment horizontal="left" vertical="top" wrapText="1"/>
    </xf>
    <xf numFmtId="0" fontId="0" fillId="0" borderId="11" xfId="0" applyBorder="1" applyAlignment="1">
      <alignment horizontal="left" vertical="center"/>
    </xf>
    <xf numFmtId="0" fontId="0" fillId="64" borderId="125" xfId="0" applyFill="1" applyBorder="1" applyAlignment="1">
      <alignment horizontal="center" vertical="center"/>
    </xf>
    <xf numFmtId="0" fontId="0" fillId="64" borderId="10" xfId="0" applyFill="1" applyBorder="1" applyAlignment="1">
      <alignment horizontal="center" vertical="center"/>
    </xf>
    <xf numFmtId="0" fontId="0" fillId="64" borderId="73" xfId="0" applyFill="1" applyBorder="1" applyAlignment="1">
      <alignment horizontal="center" vertical="center" wrapText="1"/>
    </xf>
    <xf numFmtId="0" fontId="0" fillId="64" borderId="166" xfId="0" applyFill="1" applyBorder="1" applyAlignment="1">
      <alignment horizontal="center" vertical="center"/>
    </xf>
    <xf numFmtId="0" fontId="0" fillId="64" borderId="73" xfId="0" applyFill="1" applyBorder="1" applyAlignment="1">
      <alignment horizontal="center" vertical="center"/>
    </xf>
    <xf numFmtId="0" fontId="16" fillId="64" borderId="168" xfId="0" applyFont="1" applyFill="1" applyBorder="1" applyAlignment="1">
      <alignment horizontal="center" vertical="center"/>
    </xf>
    <xf numFmtId="0" fontId="16" fillId="64" borderId="131" xfId="0" applyFont="1" applyFill="1" applyBorder="1" applyAlignment="1">
      <alignment horizontal="center" vertical="center"/>
    </xf>
    <xf numFmtId="0" fontId="0" fillId="64" borderId="102" xfId="0" applyNumberFormat="1" applyFont="1" applyFill="1" applyBorder="1" applyAlignment="1">
      <alignment horizontal="center" vertical="center"/>
    </xf>
    <xf numFmtId="1" fontId="0" fillId="65" borderId="131" xfId="0" applyNumberFormat="1" applyFill="1" applyBorder="1" applyAlignment="1">
      <alignment horizontal="center" vertical="center"/>
    </xf>
    <xf numFmtId="0" fontId="16" fillId="64" borderId="132" xfId="0" applyFont="1" applyFill="1" applyBorder="1" applyAlignment="1">
      <alignment horizontal="center" vertical="center"/>
    </xf>
    <xf numFmtId="0" fontId="0" fillId="64" borderId="12" xfId="0" applyFill="1" applyBorder="1" applyAlignment="1">
      <alignment horizontal="center" vertical="center"/>
    </xf>
    <xf numFmtId="0" fontId="0" fillId="64" borderId="15" xfId="0" applyFill="1" applyBorder="1" applyAlignment="1">
      <alignment horizontal="center" vertical="center"/>
    </xf>
    <xf numFmtId="0" fontId="0" fillId="64" borderId="11" xfId="0" applyFill="1" applyBorder="1" applyAlignment="1">
      <alignment horizontal="center" vertical="center"/>
    </xf>
    <xf numFmtId="10" fontId="0" fillId="64" borderId="11" xfId="0" applyNumberFormat="1" applyFill="1" applyBorder="1" applyAlignment="1">
      <alignment horizontal="center" vertical="center"/>
    </xf>
    <xf numFmtId="2" fontId="0" fillId="64" borderId="11" xfId="0" applyNumberFormat="1" applyFill="1" applyBorder="1" applyAlignment="1">
      <alignment horizontal="center" vertical="center"/>
    </xf>
    <xf numFmtId="14" fontId="0" fillId="64" borderId="10" xfId="0" applyNumberFormat="1" applyFill="1" applyBorder="1" applyAlignment="1">
      <alignment horizontal="center" vertical="center"/>
    </xf>
  </cellXfs>
  <cellStyles count="2158">
    <cellStyle name="$/day" xfId="1312" xr:uid="{00000000-0005-0000-0000-000000000000}"/>
    <cellStyle name="$/day 2" xfId="1347" xr:uid="{00000000-0005-0000-0000-000001000000}"/>
    <cellStyle name="$/day 3" xfId="1378" xr:uid="{00000000-0005-0000-0000-000002000000}"/>
    <cellStyle name="$/day 4" xfId="1405" xr:uid="{00000000-0005-0000-0000-000003000000}"/>
    <cellStyle name="$/day 5" xfId="1432" xr:uid="{00000000-0005-0000-0000-000004000000}"/>
    <cellStyle name="$/day 6" xfId="1648" xr:uid="{00000000-0005-0000-0000-000005000000}"/>
    <cellStyle name="$/day 6 2" xfId="1682" xr:uid="{00000000-0005-0000-0000-000006000000}"/>
    <cellStyle name="$/hr" xfId="1313" xr:uid="{00000000-0005-0000-0000-000007000000}"/>
    <cellStyle name="$/hr 2" xfId="1348" xr:uid="{00000000-0005-0000-0000-000008000000}"/>
    <cellStyle name="$/hr 3" xfId="1379" xr:uid="{00000000-0005-0000-0000-000009000000}"/>
    <cellStyle name="$/hr 4" xfId="1406" xr:uid="{00000000-0005-0000-0000-00000A000000}"/>
    <cellStyle name="$/hr 5" xfId="1433" xr:uid="{00000000-0005-0000-0000-00000B000000}"/>
    <cellStyle name="$/hr 6" xfId="1649" xr:uid="{00000000-0005-0000-0000-00000C000000}"/>
    <cellStyle name="$/hr 6 2" xfId="1683" xr:uid="{00000000-0005-0000-0000-00000D000000}"/>
    <cellStyle name="$/m" xfId="1314" xr:uid="{00000000-0005-0000-0000-00000E000000}"/>
    <cellStyle name="$/m 2" xfId="1349" xr:uid="{00000000-0005-0000-0000-00000F000000}"/>
    <cellStyle name="$/m 3" xfId="1380" xr:uid="{00000000-0005-0000-0000-000010000000}"/>
    <cellStyle name="$/m 4" xfId="1407" xr:uid="{00000000-0005-0000-0000-000011000000}"/>
    <cellStyle name="$/m 5" xfId="1434" xr:uid="{00000000-0005-0000-0000-000012000000}"/>
    <cellStyle name="$/m 6" xfId="1650" xr:uid="{00000000-0005-0000-0000-000013000000}"/>
    <cellStyle name="$/m 6 2" xfId="1684" xr:uid="{00000000-0005-0000-0000-000014000000}"/>
    <cellStyle name="20% - Accent1" xfId="19" builtinId="30" customBuiltin="1"/>
    <cellStyle name="20% - Accent1 2" xfId="250" xr:uid="{00000000-0005-0000-0000-000016000000}"/>
    <cellStyle name="20% - Accent1 2 2" xfId="282" xr:uid="{00000000-0005-0000-0000-000017000000}"/>
    <cellStyle name="20% - Accent1 2 2 2" xfId="1482" xr:uid="{00000000-0005-0000-0000-000018000000}"/>
    <cellStyle name="20% - Accent1 2 2 2 2" xfId="2090" xr:uid="{00000000-0005-0000-0000-000019000000}"/>
    <cellStyle name="20% - Accent1 2 3" xfId="1178" xr:uid="{00000000-0005-0000-0000-00001A000000}"/>
    <cellStyle name="20% - Accent1 2 3 2" xfId="1512" xr:uid="{00000000-0005-0000-0000-00001B000000}"/>
    <cellStyle name="20% - Accent1 2 3 3" xfId="1616" xr:uid="{00000000-0005-0000-0000-00001C000000}"/>
    <cellStyle name="20% - Accent1 3" xfId="283" xr:uid="{00000000-0005-0000-0000-00001D000000}"/>
    <cellStyle name="20% - Accent1 3 2" xfId="1179" xr:uid="{00000000-0005-0000-0000-00001E000000}"/>
    <cellStyle name="20% - Accent1 3 2 2" xfId="1627" xr:uid="{00000000-0005-0000-0000-00001F000000}"/>
    <cellStyle name="20% - Accent1 3 2 3" xfId="1748" xr:uid="{00000000-0005-0000-0000-000020000000}"/>
    <cellStyle name="20% - Accent1 4" xfId="2127" xr:uid="{00000000-0005-0000-0000-000021000000}"/>
    <cellStyle name="20% - Accent2" xfId="23" builtinId="34" customBuiltin="1"/>
    <cellStyle name="20% - Accent2 2" xfId="284" xr:uid="{00000000-0005-0000-0000-000023000000}"/>
    <cellStyle name="20% - Accent2 2 2" xfId="285" xr:uid="{00000000-0005-0000-0000-000024000000}"/>
    <cellStyle name="20% - Accent2 2 2 2" xfId="1484" xr:uid="{00000000-0005-0000-0000-000025000000}"/>
    <cellStyle name="20% - Accent2 2 2 2 2" xfId="2092" xr:uid="{00000000-0005-0000-0000-000026000000}"/>
    <cellStyle name="20% - Accent2 2 3" xfId="1180" xr:uid="{00000000-0005-0000-0000-000027000000}"/>
    <cellStyle name="20% - Accent2 2 3 2" xfId="1592" xr:uid="{00000000-0005-0000-0000-000028000000}"/>
    <cellStyle name="20% - Accent2 2 3 3" xfId="1548" xr:uid="{00000000-0005-0000-0000-000029000000}"/>
    <cellStyle name="20% - Accent2 3" xfId="286" xr:uid="{00000000-0005-0000-0000-00002A000000}"/>
    <cellStyle name="20% - Accent2 3 2" xfId="1181" xr:uid="{00000000-0005-0000-0000-00002B000000}"/>
    <cellStyle name="20% - Accent2 3 2 2" xfId="1554" xr:uid="{00000000-0005-0000-0000-00002C000000}"/>
    <cellStyle name="20% - Accent2 3 2 3" xfId="1610" xr:uid="{00000000-0005-0000-0000-00002D000000}"/>
    <cellStyle name="20% - Accent2 4" xfId="2131" xr:uid="{00000000-0005-0000-0000-00002E000000}"/>
    <cellStyle name="20% - Accent3" xfId="27" builtinId="38" customBuiltin="1"/>
    <cellStyle name="20% - Accent3 2" xfId="287" xr:uid="{00000000-0005-0000-0000-000030000000}"/>
    <cellStyle name="20% - Accent3 2 2" xfId="288" xr:uid="{00000000-0005-0000-0000-000031000000}"/>
    <cellStyle name="20% - Accent3 2 2 2" xfId="1486" xr:uid="{00000000-0005-0000-0000-000032000000}"/>
    <cellStyle name="20% - Accent3 2 2 2 2" xfId="2094" xr:uid="{00000000-0005-0000-0000-000033000000}"/>
    <cellStyle name="20% - Accent3 2 3" xfId="1182" xr:uid="{00000000-0005-0000-0000-000034000000}"/>
    <cellStyle name="20% - Accent3 2 3 2" xfId="1575" xr:uid="{00000000-0005-0000-0000-000035000000}"/>
    <cellStyle name="20% - Accent3 2 3 3" xfId="1513" xr:uid="{00000000-0005-0000-0000-000036000000}"/>
    <cellStyle name="20% - Accent3 3" xfId="289" xr:uid="{00000000-0005-0000-0000-000037000000}"/>
    <cellStyle name="20% - Accent3 3 2" xfId="1183" xr:uid="{00000000-0005-0000-0000-000038000000}"/>
    <cellStyle name="20% - Accent3 3 2 2" xfId="1595" xr:uid="{00000000-0005-0000-0000-000039000000}"/>
    <cellStyle name="20% - Accent3 3 2 3" xfId="1749" xr:uid="{00000000-0005-0000-0000-00003A000000}"/>
    <cellStyle name="20% - Accent3 4" xfId="2135" xr:uid="{00000000-0005-0000-0000-00003B000000}"/>
    <cellStyle name="20% - Accent4" xfId="31" builtinId="42" customBuiltin="1"/>
    <cellStyle name="20% - Accent4 2" xfId="290" xr:uid="{00000000-0005-0000-0000-00003D000000}"/>
    <cellStyle name="20% - Accent4 2 2" xfId="291" xr:uid="{00000000-0005-0000-0000-00003E000000}"/>
    <cellStyle name="20% - Accent4 2 2 2" xfId="1488" xr:uid="{00000000-0005-0000-0000-00003F000000}"/>
    <cellStyle name="20% - Accent4 2 2 2 2" xfId="2096" xr:uid="{00000000-0005-0000-0000-000040000000}"/>
    <cellStyle name="20% - Accent4 2 3" xfId="1184" xr:uid="{00000000-0005-0000-0000-000041000000}"/>
    <cellStyle name="20% - Accent4 2 3 2" xfId="1557" xr:uid="{00000000-0005-0000-0000-000042000000}"/>
    <cellStyle name="20% - Accent4 2 3 3" xfId="1540" xr:uid="{00000000-0005-0000-0000-000043000000}"/>
    <cellStyle name="20% - Accent4 3" xfId="292" xr:uid="{00000000-0005-0000-0000-000044000000}"/>
    <cellStyle name="20% - Accent4 3 2" xfId="1185" xr:uid="{00000000-0005-0000-0000-000045000000}"/>
    <cellStyle name="20% - Accent4 3 2 2" xfId="1541" xr:uid="{00000000-0005-0000-0000-000046000000}"/>
    <cellStyle name="20% - Accent4 3 2 3" xfId="1599" xr:uid="{00000000-0005-0000-0000-000047000000}"/>
    <cellStyle name="20% - Accent4 4" xfId="2139" xr:uid="{00000000-0005-0000-0000-000048000000}"/>
    <cellStyle name="20% - Accent5" xfId="35" builtinId="46" customBuiltin="1"/>
    <cellStyle name="20% - Accent5 2" xfId="293" xr:uid="{00000000-0005-0000-0000-00004A000000}"/>
    <cellStyle name="20% - Accent5 2 2" xfId="294" xr:uid="{00000000-0005-0000-0000-00004B000000}"/>
    <cellStyle name="20% - Accent5 2 2 2" xfId="1490" xr:uid="{00000000-0005-0000-0000-00004C000000}"/>
    <cellStyle name="20% - Accent5 2 2 2 2" xfId="2098" xr:uid="{00000000-0005-0000-0000-00004D000000}"/>
    <cellStyle name="20% - Accent5 2 3" xfId="1186" xr:uid="{00000000-0005-0000-0000-00004E000000}"/>
    <cellStyle name="20% - Accent5 2 3 2" xfId="1754" xr:uid="{00000000-0005-0000-0000-00004F000000}"/>
    <cellStyle name="20% - Accent5 2 3 3" xfId="1549" xr:uid="{00000000-0005-0000-0000-000050000000}"/>
    <cellStyle name="20% - Accent5 3" xfId="295" xr:uid="{00000000-0005-0000-0000-000051000000}"/>
    <cellStyle name="20% - Accent5 3 2" xfId="1187" xr:uid="{00000000-0005-0000-0000-000052000000}"/>
    <cellStyle name="20% - Accent5 3 2 2" xfId="1755" xr:uid="{00000000-0005-0000-0000-000053000000}"/>
    <cellStyle name="20% - Accent5 3 2 3" xfId="1562" xr:uid="{00000000-0005-0000-0000-000054000000}"/>
    <cellStyle name="20% - Accent5 4" xfId="2143" xr:uid="{00000000-0005-0000-0000-000055000000}"/>
    <cellStyle name="20% - Accent6" xfId="39" builtinId="50" customBuiltin="1"/>
    <cellStyle name="20% - Accent6 2" xfId="296" xr:uid="{00000000-0005-0000-0000-000057000000}"/>
    <cellStyle name="20% - Accent6 2 2" xfId="297" xr:uid="{00000000-0005-0000-0000-000058000000}"/>
    <cellStyle name="20% - Accent6 2 2 2" xfId="1492" xr:uid="{00000000-0005-0000-0000-000059000000}"/>
    <cellStyle name="20% - Accent6 2 2 2 2" xfId="2100" xr:uid="{00000000-0005-0000-0000-00005A000000}"/>
    <cellStyle name="20% - Accent6 2 3" xfId="1188" xr:uid="{00000000-0005-0000-0000-00005B000000}"/>
    <cellStyle name="20% - Accent6 2 3 2" xfId="1756" xr:uid="{00000000-0005-0000-0000-00005C000000}"/>
    <cellStyle name="20% - Accent6 2 3 3" xfId="1743" xr:uid="{00000000-0005-0000-0000-00005D000000}"/>
    <cellStyle name="20% - Accent6 3" xfId="298" xr:uid="{00000000-0005-0000-0000-00005E000000}"/>
    <cellStyle name="20% - Accent6 3 2" xfId="1189" xr:uid="{00000000-0005-0000-0000-00005F000000}"/>
    <cellStyle name="20% - Accent6 3 2 2" xfId="1757" xr:uid="{00000000-0005-0000-0000-000060000000}"/>
    <cellStyle name="20% - Accent6 3 2 3" xfId="1538" xr:uid="{00000000-0005-0000-0000-000061000000}"/>
    <cellStyle name="20% - Accent6 4" xfId="2147" xr:uid="{00000000-0005-0000-0000-000062000000}"/>
    <cellStyle name="40% - Accent1" xfId="20" builtinId="31" customBuiltin="1"/>
    <cellStyle name="40% - Accent1 2" xfId="299" xr:uid="{00000000-0005-0000-0000-000064000000}"/>
    <cellStyle name="40% - Accent1 2 2" xfId="300" xr:uid="{00000000-0005-0000-0000-000065000000}"/>
    <cellStyle name="40% - Accent1 2 2 2" xfId="1483" xr:uid="{00000000-0005-0000-0000-000066000000}"/>
    <cellStyle name="40% - Accent1 2 2 2 2" xfId="2091" xr:uid="{00000000-0005-0000-0000-000067000000}"/>
    <cellStyle name="40% - Accent1 2 3" xfId="1190" xr:uid="{00000000-0005-0000-0000-000068000000}"/>
    <cellStyle name="40% - Accent1 2 3 2" xfId="1758" xr:uid="{00000000-0005-0000-0000-000069000000}"/>
    <cellStyle name="40% - Accent1 2 3 3" xfId="1635" xr:uid="{00000000-0005-0000-0000-00006A000000}"/>
    <cellStyle name="40% - Accent1 3" xfId="301" xr:uid="{00000000-0005-0000-0000-00006B000000}"/>
    <cellStyle name="40% - Accent1 3 2" xfId="1191" xr:uid="{00000000-0005-0000-0000-00006C000000}"/>
    <cellStyle name="40% - Accent1 3 2 2" xfId="1759" xr:uid="{00000000-0005-0000-0000-00006D000000}"/>
    <cellStyle name="40% - Accent1 3 2 3" xfId="1753" xr:uid="{00000000-0005-0000-0000-00006E000000}"/>
    <cellStyle name="40% - Accent1 4" xfId="2128" xr:uid="{00000000-0005-0000-0000-00006F000000}"/>
    <cellStyle name="40% - Accent2" xfId="24" builtinId="35" customBuiltin="1"/>
    <cellStyle name="40% - Accent2 2" xfId="302" xr:uid="{00000000-0005-0000-0000-000071000000}"/>
    <cellStyle name="40% - Accent2 2 2" xfId="303" xr:uid="{00000000-0005-0000-0000-000072000000}"/>
    <cellStyle name="40% - Accent2 2 2 2" xfId="1485" xr:uid="{00000000-0005-0000-0000-000073000000}"/>
    <cellStyle name="40% - Accent2 2 2 2 2" xfId="2093" xr:uid="{00000000-0005-0000-0000-000074000000}"/>
    <cellStyle name="40% - Accent2 2 3" xfId="1192" xr:uid="{00000000-0005-0000-0000-000075000000}"/>
    <cellStyle name="40% - Accent2 2 3 2" xfId="1760" xr:uid="{00000000-0005-0000-0000-000076000000}"/>
    <cellStyle name="40% - Accent2 2 3 3" xfId="1520" xr:uid="{00000000-0005-0000-0000-000077000000}"/>
    <cellStyle name="40% - Accent2 3" xfId="304" xr:uid="{00000000-0005-0000-0000-000078000000}"/>
    <cellStyle name="40% - Accent2 3 2" xfId="1193" xr:uid="{00000000-0005-0000-0000-000079000000}"/>
    <cellStyle name="40% - Accent2 3 2 2" xfId="1761" xr:uid="{00000000-0005-0000-0000-00007A000000}"/>
    <cellStyle name="40% - Accent2 3 2 3" xfId="1629" xr:uid="{00000000-0005-0000-0000-00007B000000}"/>
    <cellStyle name="40% - Accent2 4" xfId="2132" xr:uid="{00000000-0005-0000-0000-00007C000000}"/>
    <cellStyle name="40% - Accent3" xfId="28" builtinId="39" customBuiltin="1"/>
    <cellStyle name="40% - Accent3 2" xfId="305" xr:uid="{00000000-0005-0000-0000-00007E000000}"/>
    <cellStyle name="40% - Accent3 2 2" xfId="306" xr:uid="{00000000-0005-0000-0000-00007F000000}"/>
    <cellStyle name="40% - Accent3 2 2 2" xfId="1487" xr:uid="{00000000-0005-0000-0000-000080000000}"/>
    <cellStyle name="40% - Accent3 2 2 2 2" xfId="2095" xr:uid="{00000000-0005-0000-0000-000081000000}"/>
    <cellStyle name="40% - Accent3 2 3" xfId="1194" xr:uid="{00000000-0005-0000-0000-000082000000}"/>
    <cellStyle name="40% - Accent3 2 3 2" xfId="1762" xr:uid="{00000000-0005-0000-0000-000083000000}"/>
    <cellStyle name="40% - Accent3 2 3 3" xfId="1626" xr:uid="{00000000-0005-0000-0000-000084000000}"/>
    <cellStyle name="40% - Accent3 3" xfId="307" xr:uid="{00000000-0005-0000-0000-000085000000}"/>
    <cellStyle name="40% - Accent3 3 2" xfId="1195" xr:uid="{00000000-0005-0000-0000-000086000000}"/>
    <cellStyle name="40% - Accent3 3 2 2" xfId="1763" xr:uid="{00000000-0005-0000-0000-000087000000}"/>
    <cellStyle name="40% - Accent3 3 2 3" xfId="1588" xr:uid="{00000000-0005-0000-0000-000088000000}"/>
    <cellStyle name="40% - Accent3 4" xfId="2136" xr:uid="{00000000-0005-0000-0000-000089000000}"/>
    <cellStyle name="40% - Accent4" xfId="32" builtinId="43" customBuiltin="1"/>
    <cellStyle name="40% - Accent4 2" xfId="308" xr:uid="{00000000-0005-0000-0000-00008B000000}"/>
    <cellStyle name="40% - Accent4 2 2" xfId="309" xr:uid="{00000000-0005-0000-0000-00008C000000}"/>
    <cellStyle name="40% - Accent4 2 2 2" xfId="1489" xr:uid="{00000000-0005-0000-0000-00008D000000}"/>
    <cellStyle name="40% - Accent4 2 2 2 2" xfId="2097" xr:uid="{00000000-0005-0000-0000-00008E000000}"/>
    <cellStyle name="40% - Accent4 2 3" xfId="1196" xr:uid="{00000000-0005-0000-0000-00008F000000}"/>
    <cellStyle name="40% - Accent4 2 3 2" xfId="1764" xr:uid="{00000000-0005-0000-0000-000090000000}"/>
    <cellStyle name="40% - Accent4 2 3 3" xfId="1544" xr:uid="{00000000-0005-0000-0000-000091000000}"/>
    <cellStyle name="40% - Accent4 3" xfId="310" xr:uid="{00000000-0005-0000-0000-000092000000}"/>
    <cellStyle name="40% - Accent4 3 2" xfId="1197" xr:uid="{00000000-0005-0000-0000-000093000000}"/>
    <cellStyle name="40% - Accent4 3 2 2" xfId="1765" xr:uid="{00000000-0005-0000-0000-000094000000}"/>
    <cellStyle name="40% - Accent4 3 2 3" xfId="1615" xr:uid="{00000000-0005-0000-0000-000095000000}"/>
    <cellStyle name="40% - Accent4 4" xfId="2140" xr:uid="{00000000-0005-0000-0000-000096000000}"/>
    <cellStyle name="40% - Accent5" xfId="36" builtinId="47" customBuiltin="1"/>
    <cellStyle name="40% - Accent5 2" xfId="311" xr:uid="{00000000-0005-0000-0000-000098000000}"/>
    <cellStyle name="40% - Accent5 2 2" xfId="312" xr:uid="{00000000-0005-0000-0000-000099000000}"/>
    <cellStyle name="40% - Accent5 2 2 2" xfId="1491" xr:uid="{00000000-0005-0000-0000-00009A000000}"/>
    <cellStyle name="40% - Accent5 2 2 2 2" xfId="2099" xr:uid="{00000000-0005-0000-0000-00009B000000}"/>
    <cellStyle name="40% - Accent5 2 3" xfId="1198" xr:uid="{00000000-0005-0000-0000-00009C000000}"/>
    <cellStyle name="40% - Accent5 2 3 2" xfId="1766" xr:uid="{00000000-0005-0000-0000-00009D000000}"/>
    <cellStyle name="40% - Accent5 2 3 3" xfId="1603" xr:uid="{00000000-0005-0000-0000-00009E000000}"/>
    <cellStyle name="40% - Accent5 3" xfId="313" xr:uid="{00000000-0005-0000-0000-00009F000000}"/>
    <cellStyle name="40% - Accent5 3 2" xfId="1199" xr:uid="{00000000-0005-0000-0000-0000A0000000}"/>
    <cellStyle name="40% - Accent5 3 2 2" xfId="1767" xr:uid="{00000000-0005-0000-0000-0000A1000000}"/>
    <cellStyle name="40% - Accent5 3 2 3" xfId="1613" xr:uid="{00000000-0005-0000-0000-0000A2000000}"/>
    <cellStyle name="40% - Accent5 4" xfId="2144" xr:uid="{00000000-0005-0000-0000-0000A3000000}"/>
    <cellStyle name="40% - Accent6" xfId="40" builtinId="51" customBuiltin="1"/>
    <cellStyle name="40% - Accent6 2" xfId="314" xr:uid="{00000000-0005-0000-0000-0000A5000000}"/>
    <cellStyle name="40% - Accent6 2 2" xfId="315" xr:uid="{00000000-0005-0000-0000-0000A6000000}"/>
    <cellStyle name="40% - Accent6 2 2 2" xfId="1493" xr:uid="{00000000-0005-0000-0000-0000A7000000}"/>
    <cellStyle name="40% - Accent6 2 2 2 2" xfId="2101" xr:uid="{00000000-0005-0000-0000-0000A8000000}"/>
    <cellStyle name="40% - Accent6 2 3" xfId="1200" xr:uid="{00000000-0005-0000-0000-0000A9000000}"/>
    <cellStyle name="40% - Accent6 2 3 2" xfId="1768" xr:uid="{00000000-0005-0000-0000-0000AA000000}"/>
    <cellStyle name="40% - Accent6 2 3 3" xfId="1514" xr:uid="{00000000-0005-0000-0000-0000AB000000}"/>
    <cellStyle name="40% - Accent6 3" xfId="316" xr:uid="{00000000-0005-0000-0000-0000AC000000}"/>
    <cellStyle name="40% - Accent6 3 2" xfId="1201" xr:uid="{00000000-0005-0000-0000-0000AD000000}"/>
    <cellStyle name="40% - Accent6 3 2 2" xfId="1769" xr:uid="{00000000-0005-0000-0000-0000AE000000}"/>
    <cellStyle name="40% - Accent6 3 2 3" xfId="1537" xr:uid="{00000000-0005-0000-0000-0000AF000000}"/>
    <cellStyle name="40% - Accent6 4" xfId="2148" xr:uid="{00000000-0005-0000-0000-0000B0000000}"/>
    <cellStyle name="60% - Accent1" xfId="21" builtinId="32" customBuiltin="1"/>
    <cellStyle name="60% - Accent1 2" xfId="317" xr:uid="{00000000-0005-0000-0000-0000B2000000}"/>
    <cellStyle name="60% - Accent1 2 2" xfId="318" xr:uid="{00000000-0005-0000-0000-0000B3000000}"/>
    <cellStyle name="60% - Accent1 2 3" xfId="1202" xr:uid="{00000000-0005-0000-0000-0000B4000000}"/>
    <cellStyle name="60% - Accent1 2 3 2" xfId="1770" xr:uid="{00000000-0005-0000-0000-0000B5000000}"/>
    <cellStyle name="60% - Accent1 2 3 3" xfId="1555" xr:uid="{00000000-0005-0000-0000-0000B6000000}"/>
    <cellStyle name="60% - Accent1 3" xfId="319" xr:uid="{00000000-0005-0000-0000-0000B7000000}"/>
    <cellStyle name="60% - Accent1 4" xfId="2129" xr:uid="{00000000-0005-0000-0000-0000B8000000}"/>
    <cellStyle name="60% - Accent2" xfId="25" builtinId="36" customBuiltin="1"/>
    <cellStyle name="60% - Accent2 2" xfId="320" xr:uid="{00000000-0005-0000-0000-0000BA000000}"/>
    <cellStyle name="60% - Accent2 2 2" xfId="321" xr:uid="{00000000-0005-0000-0000-0000BB000000}"/>
    <cellStyle name="60% - Accent2 2 3" xfId="1203" xr:uid="{00000000-0005-0000-0000-0000BC000000}"/>
    <cellStyle name="60% - Accent2 2 3 2" xfId="1771" xr:uid="{00000000-0005-0000-0000-0000BD000000}"/>
    <cellStyle name="60% - Accent2 2 3 3" xfId="1543" xr:uid="{00000000-0005-0000-0000-0000BE000000}"/>
    <cellStyle name="60% - Accent2 3" xfId="322" xr:uid="{00000000-0005-0000-0000-0000BF000000}"/>
    <cellStyle name="60% - Accent2 4" xfId="2133" xr:uid="{00000000-0005-0000-0000-0000C0000000}"/>
    <cellStyle name="60% - Accent3" xfId="29" builtinId="40" customBuiltin="1"/>
    <cellStyle name="60% - Accent3 2" xfId="323" xr:uid="{00000000-0005-0000-0000-0000C2000000}"/>
    <cellStyle name="60% - Accent3 2 2" xfId="324" xr:uid="{00000000-0005-0000-0000-0000C3000000}"/>
    <cellStyle name="60% - Accent3 2 3" xfId="1204" xr:uid="{00000000-0005-0000-0000-0000C4000000}"/>
    <cellStyle name="60% - Accent3 2 3 2" xfId="1772" xr:uid="{00000000-0005-0000-0000-0000C5000000}"/>
    <cellStyle name="60% - Accent3 2 3 3" xfId="1745" xr:uid="{00000000-0005-0000-0000-0000C6000000}"/>
    <cellStyle name="60% - Accent3 3" xfId="325" xr:uid="{00000000-0005-0000-0000-0000C7000000}"/>
    <cellStyle name="60% - Accent3 4" xfId="2137" xr:uid="{00000000-0005-0000-0000-0000C8000000}"/>
    <cellStyle name="60% - Accent4" xfId="33" builtinId="44" customBuiltin="1"/>
    <cellStyle name="60% - Accent4 2" xfId="326" xr:uid="{00000000-0005-0000-0000-0000CA000000}"/>
    <cellStyle name="60% - Accent4 2 2" xfId="327" xr:uid="{00000000-0005-0000-0000-0000CB000000}"/>
    <cellStyle name="60% - Accent4 2 3" xfId="1205" xr:uid="{00000000-0005-0000-0000-0000CC000000}"/>
    <cellStyle name="60% - Accent4 2 3 2" xfId="1773" xr:uid="{00000000-0005-0000-0000-0000CD000000}"/>
    <cellStyle name="60% - Accent4 2 3 3" xfId="1577" xr:uid="{00000000-0005-0000-0000-0000CE000000}"/>
    <cellStyle name="60% - Accent4 3" xfId="328" xr:uid="{00000000-0005-0000-0000-0000CF000000}"/>
    <cellStyle name="60% - Accent4 4" xfId="2141" xr:uid="{00000000-0005-0000-0000-0000D0000000}"/>
    <cellStyle name="60% - Accent5" xfId="37" builtinId="48" customBuiltin="1"/>
    <cellStyle name="60% - Accent5 2" xfId="329" xr:uid="{00000000-0005-0000-0000-0000D2000000}"/>
    <cellStyle name="60% - Accent5 2 2" xfId="330" xr:uid="{00000000-0005-0000-0000-0000D3000000}"/>
    <cellStyle name="60% - Accent5 2 3" xfId="1206" xr:uid="{00000000-0005-0000-0000-0000D4000000}"/>
    <cellStyle name="60% - Accent5 2 3 2" xfId="1774" xr:uid="{00000000-0005-0000-0000-0000D5000000}"/>
    <cellStyle name="60% - Accent5 2 3 3" xfId="1515" xr:uid="{00000000-0005-0000-0000-0000D6000000}"/>
    <cellStyle name="60% - Accent5 3" xfId="331" xr:uid="{00000000-0005-0000-0000-0000D7000000}"/>
    <cellStyle name="60% - Accent5 4" xfId="2145" xr:uid="{00000000-0005-0000-0000-0000D8000000}"/>
    <cellStyle name="60% - Accent6" xfId="41" builtinId="52" customBuiltin="1"/>
    <cellStyle name="60% - Accent6 2" xfId="332" xr:uid="{00000000-0005-0000-0000-0000DA000000}"/>
    <cellStyle name="60% - Accent6 2 2" xfId="333" xr:uid="{00000000-0005-0000-0000-0000DB000000}"/>
    <cellStyle name="60% - Accent6 2 3" xfId="1207" xr:uid="{00000000-0005-0000-0000-0000DC000000}"/>
    <cellStyle name="60% - Accent6 2 3 2" xfId="1775" xr:uid="{00000000-0005-0000-0000-0000DD000000}"/>
    <cellStyle name="60% - Accent6 2 3 3" xfId="1597" xr:uid="{00000000-0005-0000-0000-0000DE000000}"/>
    <cellStyle name="60% - Accent6 3" xfId="334" xr:uid="{00000000-0005-0000-0000-0000DF000000}"/>
    <cellStyle name="60% - Accent6 4" xfId="2149" xr:uid="{00000000-0005-0000-0000-0000E0000000}"/>
    <cellStyle name="Accent1" xfId="18" builtinId="29" customBuiltin="1"/>
    <cellStyle name="Accent1 2" xfId="335" xr:uid="{00000000-0005-0000-0000-0000E2000000}"/>
    <cellStyle name="Accent1 2 2" xfId="336" xr:uid="{00000000-0005-0000-0000-0000E3000000}"/>
    <cellStyle name="Accent1 2 3" xfId="1208" xr:uid="{00000000-0005-0000-0000-0000E4000000}"/>
    <cellStyle name="Accent1 2 3 2" xfId="1776" xr:uid="{00000000-0005-0000-0000-0000E5000000}"/>
    <cellStyle name="Accent1 2 3 3" xfId="1529" xr:uid="{00000000-0005-0000-0000-0000E6000000}"/>
    <cellStyle name="Accent1 3" xfId="337" xr:uid="{00000000-0005-0000-0000-0000E7000000}"/>
    <cellStyle name="Accent1 4" xfId="2126" xr:uid="{00000000-0005-0000-0000-0000E8000000}"/>
    <cellStyle name="Accent2" xfId="22" builtinId="33" customBuiltin="1"/>
    <cellStyle name="Accent2 2" xfId="338" xr:uid="{00000000-0005-0000-0000-0000EA000000}"/>
    <cellStyle name="Accent2 2 2" xfId="339" xr:uid="{00000000-0005-0000-0000-0000EB000000}"/>
    <cellStyle name="Accent2 2 3" xfId="1209" xr:uid="{00000000-0005-0000-0000-0000EC000000}"/>
    <cellStyle name="Accent2 2 3 2" xfId="1777" xr:uid="{00000000-0005-0000-0000-0000ED000000}"/>
    <cellStyle name="Accent2 2 3 3" xfId="1517" xr:uid="{00000000-0005-0000-0000-0000EE000000}"/>
    <cellStyle name="Accent2 3" xfId="340" xr:uid="{00000000-0005-0000-0000-0000EF000000}"/>
    <cellStyle name="Accent2 4" xfId="2130" xr:uid="{00000000-0005-0000-0000-0000F0000000}"/>
    <cellStyle name="Accent3" xfId="26" builtinId="37" customBuiltin="1"/>
    <cellStyle name="Accent3 2" xfId="175" xr:uid="{00000000-0005-0000-0000-0000F2000000}"/>
    <cellStyle name="Accent3 2 2" xfId="342" xr:uid="{00000000-0005-0000-0000-0000F3000000}"/>
    <cellStyle name="Accent3 2 3" xfId="341" xr:uid="{00000000-0005-0000-0000-0000F4000000}"/>
    <cellStyle name="Accent3 2 4" xfId="1210" xr:uid="{00000000-0005-0000-0000-0000F5000000}"/>
    <cellStyle name="Accent3 2 5" xfId="1609" xr:uid="{00000000-0005-0000-0000-0000F6000000}"/>
    <cellStyle name="Accent3 3" xfId="169" xr:uid="{00000000-0005-0000-0000-0000F7000000}"/>
    <cellStyle name="Accent3 3 2" xfId="343" xr:uid="{00000000-0005-0000-0000-0000F8000000}"/>
    <cellStyle name="Accent3 3 3" xfId="1568" xr:uid="{00000000-0005-0000-0000-0000F9000000}"/>
    <cellStyle name="Accent3 4" xfId="2134" xr:uid="{00000000-0005-0000-0000-0000FA000000}"/>
    <cellStyle name="Accent4" xfId="30" builtinId="41" customBuiltin="1"/>
    <cellStyle name="Accent4 2" xfId="344" xr:uid="{00000000-0005-0000-0000-0000FC000000}"/>
    <cellStyle name="Accent4 2 2" xfId="345" xr:uid="{00000000-0005-0000-0000-0000FD000000}"/>
    <cellStyle name="Accent4 2 3" xfId="1211" xr:uid="{00000000-0005-0000-0000-0000FE000000}"/>
    <cellStyle name="Accent4 2 3 2" xfId="1778" xr:uid="{00000000-0005-0000-0000-0000FF000000}"/>
    <cellStyle name="Accent4 2 3 3" xfId="1589" xr:uid="{00000000-0005-0000-0000-000000010000}"/>
    <cellStyle name="Accent4 3" xfId="346" xr:uid="{00000000-0005-0000-0000-000001010000}"/>
    <cellStyle name="Accent4 4" xfId="2138" xr:uid="{00000000-0005-0000-0000-000002010000}"/>
    <cellStyle name="Accent5" xfId="34" builtinId="45" customBuiltin="1"/>
    <cellStyle name="Accent5 2" xfId="347" xr:uid="{00000000-0005-0000-0000-000004010000}"/>
    <cellStyle name="Accent5 2 2" xfId="348" xr:uid="{00000000-0005-0000-0000-000005010000}"/>
    <cellStyle name="Accent5 2 3" xfId="1212" xr:uid="{00000000-0005-0000-0000-000006010000}"/>
    <cellStyle name="Accent5 2 3 2" xfId="1779" xr:uid="{00000000-0005-0000-0000-000007010000}"/>
    <cellStyle name="Accent5 2 3 3" xfId="1525" xr:uid="{00000000-0005-0000-0000-000008010000}"/>
    <cellStyle name="Accent5 3" xfId="349" xr:uid="{00000000-0005-0000-0000-000009010000}"/>
    <cellStyle name="Accent5 4" xfId="2142" xr:uid="{00000000-0005-0000-0000-00000A010000}"/>
    <cellStyle name="Accent6" xfId="38" builtinId="49" customBuiltin="1"/>
    <cellStyle name="Accent6 2" xfId="176" xr:uid="{00000000-0005-0000-0000-00000C010000}"/>
    <cellStyle name="Accent6 2 2" xfId="351" xr:uid="{00000000-0005-0000-0000-00000D010000}"/>
    <cellStyle name="Accent6 2 3" xfId="350" xr:uid="{00000000-0005-0000-0000-00000E010000}"/>
    <cellStyle name="Accent6 2 4" xfId="1213" xr:uid="{00000000-0005-0000-0000-00000F010000}"/>
    <cellStyle name="Accent6 2 5" xfId="1572" xr:uid="{00000000-0005-0000-0000-000010010000}"/>
    <cellStyle name="Accent6 3" xfId="170" xr:uid="{00000000-0005-0000-0000-000011010000}"/>
    <cellStyle name="Accent6 3 2" xfId="352" xr:uid="{00000000-0005-0000-0000-000012010000}"/>
    <cellStyle name="Accent6 3 3" xfId="1532" xr:uid="{00000000-0005-0000-0000-000013010000}"/>
    <cellStyle name="Accent6 4" xfId="2146" xr:uid="{00000000-0005-0000-0000-000014010000}"/>
    <cellStyle name="Bad" xfId="7" builtinId="27" customBuiltin="1"/>
    <cellStyle name="Bad 2" xfId="353" xr:uid="{00000000-0005-0000-0000-000016010000}"/>
    <cellStyle name="Bad 2 2" xfId="354" xr:uid="{00000000-0005-0000-0000-000017010000}"/>
    <cellStyle name="Bad 2 3" xfId="1214" xr:uid="{00000000-0005-0000-0000-000018010000}"/>
    <cellStyle name="Bad 2 3 2" xfId="1780" xr:uid="{00000000-0005-0000-0000-000019010000}"/>
    <cellStyle name="Bad 2 3 3" xfId="1600" xr:uid="{00000000-0005-0000-0000-00001A010000}"/>
    <cellStyle name="Bad 2 4" xfId="1815" xr:uid="{00000000-0005-0000-0000-00001B010000}"/>
    <cellStyle name="Bad 3" xfId="355" xr:uid="{00000000-0005-0000-0000-00001C010000}"/>
    <cellStyle name="Bad 3 2" xfId="1215" xr:uid="{00000000-0005-0000-0000-00001D010000}"/>
    <cellStyle name="Bad 3 2 2" xfId="1781" xr:uid="{00000000-0005-0000-0000-00001E010000}"/>
    <cellStyle name="Bad 3 2 3" xfId="1559" xr:uid="{00000000-0005-0000-0000-00001F010000}"/>
    <cellStyle name="Bad 4" xfId="2115" xr:uid="{00000000-0005-0000-0000-000020010000}"/>
    <cellStyle name="Calculation" xfId="11" builtinId="22" customBuiltin="1"/>
    <cellStyle name="Calculation 2" xfId="217" xr:uid="{00000000-0005-0000-0000-000022010000}"/>
    <cellStyle name="Calculation 2 2" xfId="357" xr:uid="{00000000-0005-0000-0000-000023010000}"/>
    <cellStyle name="Calculation 2 2 2" xfId="986" xr:uid="{00000000-0005-0000-0000-000024010000}"/>
    <cellStyle name="Calculation 2 2 2 2" xfId="1098" xr:uid="{00000000-0005-0000-0000-000025010000}"/>
    <cellStyle name="Calculation 2 2 3" xfId="1027" xr:uid="{00000000-0005-0000-0000-000026010000}"/>
    <cellStyle name="Calculation 2 2 3 2" xfId="1081" xr:uid="{00000000-0005-0000-0000-000027010000}"/>
    <cellStyle name="Calculation 2 2 4" xfId="1038" xr:uid="{00000000-0005-0000-0000-000028010000}"/>
    <cellStyle name="Calculation 2 2 4 2" xfId="1157" xr:uid="{00000000-0005-0000-0000-000029010000}"/>
    <cellStyle name="Calculation 2 2 5" xfId="1047" xr:uid="{00000000-0005-0000-0000-00002A010000}"/>
    <cellStyle name="Calculation 2 2 5 2" xfId="1158" xr:uid="{00000000-0005-0000-0000-00002B010000}"/>
    <cellStyle name="Calculation 2 2 6" xfId="988" xr:uid="{00000000-0005-0000-0000-00002C010000}"/>
    <cellStyle name="Calculation 2 2 6 2" xfId="1096" xr:uid="{00000000-0005-0000-0000-00002D010000}"/>
    <cellStyle name="Calculation 2 2 7" xfId="1110" xr:uid="{00000000-0005-0000-0000-00002E010000}"/>
    <cellStyle name="Calculation 2 2 8" xfId="1216" xr:uid="{00000000-0005-0000-0000-00002F010000}"/>
    <cellStyle name="Calculation 2 2 8 2" xfId="1782" xr:uid="{00000000-0005-0000-0000-000030010000}"/>
    <cellStyle name="Calculation 2 2 8 3" xfId="1605" xr:uid="{00000000-0005-0000-0000-000031010000}"/>
    <cellStyle name="Calculation 2 3" xfId="985" xr:uid="{00000000-0005-0000-0000-000032010000}"/>
    <cellStyle name="Calculation 2 3 2" xfId="1099" xr:uid="{00000000-0005-0000-0000-000033010000}"/>
    <cellStyle name="Calculation 2 4" xfId="999" xr:uid="{00000000-0005-0000-0000-000034010000}"/>
    <cellStyle name="Calculation 2 4 2" xfId="1088" xr:uid="{00000000-0005-0000-0000-000035010000}"/>
    <cellStyle name="Calculation 2 5" xfId="1058" xr:uid="{00000000-0005-0000-0000-000036010000}"/>
    <cellStyle name="Calculation 2 5 2" xfId="1162" xr:uid="{00000000-0005-0000-0000-000037010000}"/>
    <cellStyle name="Calculation 2 6" xfId="1006" xr:uid="{00000000-0005-0000-0000-000038010000}"/>
    <cellStyle name="Calculation 2 6 2" xfId="1085" xr:uid="{00000000-0005-0000-0000-000039010000}"/>
    <cellStyle name="Calculation 2 7" xfId="1059" xr:uid="{00000000-0005-0000-0000-00003A010000}"/>
    <cellStyle name="Calculation 2 7 2" xfId="1163" xr:uid="{00000000-0005-0000-0000-00003B010000}"/>
    <cellStyle name="Calculation 2 8" xfId="1112" xr:uid="{00000000-0005-0000-0000-00003C010000}"/>
    <cellStyle name="Calculation 2 9" xfId="356" xr:uid="{00000000-0005-0000-0000-00003D010000}"/>
    <cellStyle name="Calculation 3" xfId="358" xr:uid="{00000000-0005-0000-0000-00003E010000}"/>
    <cellStyle name="Calculation 3 2" xfId="987" xr:uid="{00000000-0005-0000-0000-00003F010000}"/>
    <cellStyle name="Calculation 3 2 2" xfId="1097" xr:uid="{00000000-0005-0000-0000-000040010000}"/>
    <cellStyle name="Calculation 3 3" xfId="1034" xr:uid="{00000000-0005-0000-0000-000041010000}"/>
    <cellStyle name="Calculation 3 3 2" xfId="1156" xr:uid="{00000000-0005-0000-0000-000042010000}"/>
    <cellStyle name="Calculation 3 4" xfId="993" xr:uid="{00000000-0005-0000-0000-000043010000}"/>
    <cellStyle name="Calculation 3 4 2" xfId="1094" xr:uid="{00000000-0005-0000-0000-000044010000}"/>
    <cellStyle name="Calculation 3 5" xfId="1061" xr:uid="{00000000-0005-0000-0000-000045010000}"/>
    <cellStyle name="Calculation 3 5 2" xfId="1164" xr:uid="{00000000-0005-0000-0000-000046010000}"/>
    <cellStyle name="Calculation 3 6" xfId="1000" xr:uid="{00000000-0005-0000-0000-000047010000}"/>
    <cellStyle name="Calculation 3 6 2" xfId="1087" xr:uid="{00000000-0005-0000-0000-000048010000}"/>
    <cellStyle name="Calculation 3 7" xfId="1108" xr:uid="{00000000-0005-0000-0000-000049010000}"/>
    <cellStyle name="Calculation 4" xfId="2119" xr:uid="{00000000-0005-0000-0000-00004A010000}"/>
    <cellStyle name="Check Cell" xfId="13" builtinId="23" customBuiltin="1"/>
    <cellStyle name="Check Cell 2" xfId="359" xr:uid="{00000000-0005-0000-0000-00004C010000}"/>
    <cellStyle name="Check Cell 2 2" xfId="360" xr:uid="{00000000-0005-0000-0000-00004D010000}"/>
    <cellStyle name="Check Cell 2 3" xfId="1217" xr:uid="{00000000-0005-0000-0000-00004E010000}"/>
    <cellStyle name="Check Cell 2 3 2" xfId="1783" xr:uid="{00000000-0005-0000-0000-00004F010000}"/>
    <cellStyle name="Check Cell 2 3 3" xfId="1750" xr:uid="{00000000-0005-0000-0000-000050010000}"/>
    <cellStyle name="Check Cell 3" xfId="361" xr:uid="{00000000-0005-0000-0000-000051010000}"/>
    <cellStyle name="Check Cell 4" xfId="2121" xr:uid="{00000000-0005-0000-0000-000052010000}"/>
    <cellStyle name="Comma 10" xfId="522" xr:uid="{00000000-0005-0000-0000-000053010000}"/>
    <cellStyle name="Comma 10 2" xfId="534" xr:uid="{00000000-0005-0000-0000-000054010000}"/>
    <cellStyle name="Comma 10 2 2" xfId="584" xr:uid="{00000000-0005-0000-0000-000055010000}"/>
    <cellStyle name="Comma 10 2 2 2" xfId="696" xr:uid="{00000000-0005-0000-0000-000056010000}"/>
    <cellStyle name="Comma 10 2 2 2 2" xfId="923" xr:uid="{00000000-0005-0000-0000-000057010000}"/>
    <cellStyle name="Comma 10 2 2 2 2 2" xfId="1963" xr:uid="{00000000-0005-0000-0000-000058010000}"/>
    <cellStyle name="Comma 10 2 2 2 3" xfId="1896" xr:uid="{00000000-0005-0000-0000-000059010000}"/>
    <cellStyle name="Comma 10 2 2 3" xfId="810" xr:uid="{00000000-0005-0000-0000-00005A010000}"/>
    <cellStyle name="Comma 10 2 2 3 2" xfId="1929" xr:uid="{00000000-0005-0000-0000-00005B010000}"/>
    <cellStyle name="Comma 10 2 2 4" xfId="1863" xr:uid="{00000000-0005-0000-0000-00005C010000}"/>
    <cellStyle name="Comma 10 2 3" xfId="621" xr:uid="{00000000-0005-0000-0000-00005D010000}"/>
    <cellStyle name="Comma 10 2 3 2" xfId="733" xr:uid="{00000000-0005-0000-0000-00005E010000}"/>
    <cellStyle name="Comma 10 2 3 2 2" xfId="960" xr:uid="{00000000-0005-0000-0000-00005F010000}"/>
    <cellStyle name="Comma 10 2 3 2 2 2" xfId="1974" xr:uid="{00000000-0005-0000-0000-000060010000}"/>
    <cellStyle name="Comma 10 2 3 2 3" xfId="1907" xr:uid="{00000000-0005-0000-0000-000061010000}"/>
    <cellStyle name="Comma 10 2 3 3" xfId="847" xr:uid="{00000000-0005-0000-0000-000062010000}"/>
    <cellStyle name="Comma 10 2 3 3 2" xfId="1940" xr:uid="{00000000-0005-0000-0000-000063010000}"/>
    <cellStyle name="Comma 10 2 3 4" xfId="1874" xr:uid="{00000000-0005-0000-0000-000064010000}"/>
    <cellStyle name="Comma 10 2 4" xfId="660" xr:uid="{00000000-0005-0000-0000-000065010000}"/>
    <cellStyle name="Comma 10 2 4 2" xfId="886" xr:uid="{00000000-0005-0000-0000-000066010000}"/>
    <cellStyle name="Comma 10 2 4 2 2" xfId="1951" xr:uid="{00000000-0005-0000-0000-000067010000}"/>
    <cellStyle name="Comma 10 2 4 3" xfId="1885" xr:uid="{00000000-0005-0000-0000-000068010000}"/>
    <cellStyle name="Comma 10 2 5" xfId="773" xr:uid="{00000000-0005-0000-0000-000069010000}"/>
    <cellStyle name="Comma 10 2 5 2" xfId="1918" xr:uid="{00000000-0005-0000-0000-00006A010000}"/>
    <cellStyle name="Comma 10 2 6" xfId="1851" xr:uid="{00000000-0005-0000-0000-00006B010000}"/>
    <cellStyle name="Comma 10 3" xfId="1807" xr:uid="{00000000-0005-0000-0000-00006C010000}"/>
    <cellStyle name="Comma 11" xfId="533" xr:uid="{00000000-0005-0000-0000-00006D010000}"/>
    <cellStyle name="Comma 11 2" xfId="1850" xr:uid="{00000000-0005-0000-0000-00006E010000}"/>
    <cellStyle name="Comma 12" xfId="535" xr:uid="{00000000-0005-0000-0000-00006F010000}"/>
    <cellStyle name="Comma 12 2" xfId="585" xr:uid="{00000000-0005-0000-0000-000070010000}"/>
    <cellStyle name="Comma 12 2 2" xfId="697" xr:uid="{00000000-0005-0000-0000-000071010000}"/>
    <cellStyle name="Comma 12 2 2 2" xfId="924" xr:uid="{00000000-0005-0000-0000-000072010000}"/>
    <cellStyle name="Comma 12 2 3" xfId="811" xr:uid="{00000000-0005-0000-0000-000073010000}"/>
    <cellStyle name="Comma 12 3" xfId="622" xr:uid="{00000000-0005-0000-0000-000074010000}"/>
    <cellStyle name="Comma 12 3 2" xfId="734" xr:uid="{00000000-0005-0000-0000-000075010000}"/>
    <cellStyle name="Comma 12 3 2 2" xfId="961" xr:uid="{00000000-0005-0000-0000-000076010000}"/>
    <cellStyle name="Comma 12 3 3" xfId="848" xr:uid="{00000000-0005-0000-0000-000077010000}"/>
    <cellStyle name="Comma 12 4" xfId="661" xr:uid="{00000000-0005-0000-0000-000078010000}"/>
    <cellStyle name="Comma 12 4 2" xfId="887" xr:uid="{00000000-0005-0000-0000-000079010000}"/>
    <cellStyle name="Comma 12 5" xfId="774" xr:uid="{00000000-0005-0000-0000-00007A010000}"/>
    <cellStyle name="Comma 13" xfId="536" xr:uid="{00000000-0005-0000-0000-00007B010000}"/>
    <cellStyle name="Comma 13 2" xfId="586" xr:uid="{00000000-0005-0000-0000-00007C010000}"/>
    <cellStyle name="Comma 13 2 2" xfId="698" xr:uid="{00000000-0005-0000-0000-00007D010000}"/>
    <cellStyle name="Comma 13 2 2 2" xfId="925" xr:uid="{00000000-0005-0000-0000-00007E010000}"/>
    <cellStyle name="Comma 13 2 3" xfId="812" xr:uid="{00000000-0005-0000-0000-00007F010000}"/>
    <cellStyle name="Comma 13 3" xfId="623" xr:uid="{00000000-0005-0000-0000-000080010000}"/>
    <cellStyle name="Comma 13 3 2" xfId="735" xr:uid="{00000000-0005-0000-0000-000081010000}"/>
    <cellStyle name="Comma 13 3 2 2" xfId="962" xr:uid="{00000000-0005-0000-0000-000082010000}"/>
    <cellStyle name="Comma 13 3 3" xfId="849" xr:uid="{00000000-0005-0000-0000-000083010000}"/>
    <cellStyle name="Comma 13 4" xfId="662" xr:uid="{00000000-0005-0000-0000-000084010000}"/>
    <cellStyle name="Comma 13 4 2" xfId="888" xr:uid="{00000000-0005-0000-0000-000085010000}"/>
    <cellStyle name="Comma 13 5" xfId="775" xr:uid="{00000000-0005-0000-0000-000086010000}"/>
    <cellStyle name="Comma 14" xfId="1068" xr:uid="{00000000-0005-0000-0000-000087010000}"/>
    <cellStyle name="Comma 14 2" xfId="1077" xr:uid="{00000000-0005-0000-0000-000088010000}"/>
    <cellStyle name="Comma 14 2 2" xfId="1980" xr:uid="{00000000-0005-0000-0000-000089010000}"/>
    <cellStyle name="Comma 14 3" xfId="1979" xr:uid="{00000000-0005-0000-0000-00008A010000}"/>
    <cellStyle name="Comma 15" xfId="1079" xr:uid="{00000000-0005-0000-0000-00008B010000}"/>
    <cellStyle name="Comma 15 2" xfId="1981" xr:uid="{00000000-0005-0000-0000-00008C010000}"/>
    <cellStyle name="Comma 16" xfId="1504" xr:uid="{00000000-0005-0000-0000-00008D010000}"/>
    <cellStyle name="Comma 17" xfId="1506" xr:uid="{00000000-0005-0000-0000-00008E010000}"/>
    <cellStyle name="Comma 2" xfId="44" xr:uid="{00000000-0005-0000-0000-00008F010000}"/>
    <cellStyle name="Comma 2 2" xfId="201" xr:uid="{00000000-0005-0000-0000-000090010000}"/>
    <cellStyle name="Comma 2 2 2" xfId="218" xr:uid="{00000000-0005-0000-0000-000091010000}"/>
    <cellStyle name="Comma 2 2 2 2" xfId="219" xr:uid="{00000000-0005-0000-0000-000092010000}"/>
    <cellStyle name="Comma 2 2 2 2 2" xfId="1830" xr:uid="{00000000-0005-0000-0000-000093010000}"/>
    <cellStyle name="Comma 2 2 2 3" xfId="1474" xr:uid="{00000000-0005-0000-0000-000094010000}"/>
    <cellStyle name="Comma 2 2 2 3 2" xfId="2023" xr:uid="{00000000-0005-0000-0000-000095010000}"/>
    <cellStyle name="Comma 2 2 2 3 2 2" xfId="2082" xr:uid="{00000000-0005-0000-0000-000096010000}"/>
    <cellStyle name="Comma 2 2 2 3 3" xfId="1842" xr:uid="{00000000-0005-0000-0000-000097010000}"/>
    <cellStyle name="Comma 2 2 2 3 4" xfId="1596" xr:uid="{00000000-0005-0000-0000-000098010000}"/>
    <cellStyle name="Comma 2 2 2 4" xfId="1801" xr:uid="{00000000-0005-0000-0000-000099010000}"/>
    <cellStyle name="Comma 2 2 2 5" xfId="1829" xr:uid="{00000000-0005-0000-0000-00009A010000}"/>
    <cellStyle name="Comma 2 2 2 6" xfId="1547" xr:uid="{00000000-0005-0000-0000-00009B010000}"/>
    <cellStyle name="Comma 2 2 3" xfId="257" xr:uid="{00000000-0005-0000-0000-00009C010000}"/>
    <cellStyle name="Comma 2 2 4" xfId="1173" xr:uid="{00000000-0005-0000-0000-00009D010000}"/>
    <cellStyle name="Comma 2 2 4 2" xfId="1985" xr:uid="{00000000-0005-0000-0000-00009E010000}"/>
    <cellStyle name="Comma 2 2 5" xfId="2037" xr:uid="{00000000-0005-0000-0000-00009F010000}"/>
    <cellStyle name="Comma 2 2 5 2" xfId="2056" xr:uid="{00000000-0005-0000-0000-0000A0010000}"/>
    <cellStyle name="Comma 2 2 6" xfId="1828" xr:uid="{00000000-0005-0000-0000-0000A1010000}"/>
    <cellStyle name="Comma 2 3" xfId="172" xr:uid="{00000000-0005-0000-0000-0000A2010000}"/>
    <cellStyle name="Comma 2 3 2" xfId="220" xr:uid="{00000000-0005-0000-0000-0000A3010000}"/>
    <cellStyle name="Comma 2 3 2 2" xfId="1496" xr:uid="{00000000-0005-0000-0000-0000A4010000}"/>
    <cellStyle name="Comma 2 3 2 2 2" xfId="2027" xr:uid="{00000000-0005-0000-0000-0000A5010000}"/>
    <cellStyle name="Comma 2 3 2 2 2 2" xfId="2103" xr:uid="{00000000-0005-0000-0000-0000A6010000}"/>
    <cellStyle name="Comma 2 3 2 2 3" xfId="1856" xr:uid="{00000000-0005-0000-0000-0000A7010000}"/>
    <cellStyle name="Comma 2 3 2 2 4" xfId="1632" xr:uid="{00000000-0005-0000-0000-0000A8010000}"/>
    <cellStyle name="Comma 2 3 2 3" xfId="1803" xr:uid="{00000000-0005-0000-0000-0000A9010000}"/>
    <cellStyle name="Comma 2 3 2 4" xfId="1831" xr:uid="{00000000-0005-0000-0000-0000AA010000}"/>
    <cellStyle name="Comma 2 3 2 5" xfId="1560" xr:uid="{00000000-0005-0000-0000-0000AB010000}"/>
    <cellStyle name="Comma 2 3 3" xfId="248" xr:uid="{00000000-0005-0000-0000-0000AC010000}"/>
    <cellStyle name="Comma 2 3 3 2" xfId="1278" xr:uid="{00000000-0005-0000-0000-0000AD010000}"/>
    <cellStyle name="Comma 2 3 3 2 2" xfId="1995" xr:uid="{00000000-0005-0000-0000-0000AE010000}"/>
    <cellStyle name="Comma 2 3 3 3" xfId="1280" xr:uid="{00000000-0005-0000-0000-0000AF010000}"/>
    <cellStyle name="Comma 2 3 4" xfId="1170" xr:uid="{00000000-0005-0000-0000-0000B0010000}"/>
    <cellStyle name="Comma 2 3 4 2" xfId="1983" xr:uid="{00000000-0005-0000-0000-0000B1010000}"/>
    <cellStyle name="Comma 2 3 4 2 2" xfId="2060" xr:uid="{00000000-0005-0000-0000-0000B2010000}"/>
    <cellStyle name="Comma 2 3 5" xfId="1534" xr:uid="{00000000-0005-0000-0000-0000B3010000}"/>
    <cellStyle name="Comma 2 3 6" xfId="1813" xr:uid="{00000000-0005-0000-0000-0000B4010000}"/>
    <cellStyle name="Comma 2 3 7" xfId="1819" xr:uid="{00000000-0005-0000-0000-0000B5010000}"/>
    <cellStyle name="Comma 2 4" xfId="206" xr:uid="{00000000-0005-0000-0000-0000B6010000}"/>
    <cellStyle name="Comma 2 4 2" xfId="1218" xr:uid="{00000000-0005-0000-0000-0000B7010000}"/>
    <cellStyle name="Comma 2 4 2 2" xfId="1986" xr:uid="{00000000-0005-0000-0000-0000B8010000}"/>
    <cellStyle name="Comma 2 4 2 2 2" xfId="2064" xr:uid="{00000000-0005-0000-0000-0000B9010000}"/>
    <cellStyle name="Comma 2 4 3" xfId="1576" xr:uid="{00000000-0005-0000-0000-0000BA010000}"/>
    <cellStyle name="Comma 2 5" xfId="166" xr:uid="{00000000-0005-0000-0000-0000BB010000}"/>
    <cellStyle name="Comma 2 5 2" xfId="1219" xr:uid="{00000000-0005-0000-0000-0000BC010000}"/>
    <cellStyle name="Comma 2 5 2 2" xfId="1987" xr:uid="{00000000-0005-0000-0000-0000BD010000}"/>
    <cellStyle name="Comma 2 5 3" xfId="1612" xr:uid="{00000000-0005-0000-0000-0000BE010000}"/>
    <cellStyle name="Comma 2 5 4" xfId="1818" xr:uid="{00000000-0005-0000-0000-0000BF010000}"/>
    <cellStyle name="Comma 2 6" xfId="47" xr:uid="{00000000-0005-0000-0000-0000C0010000}"/>
    <cellStyle name="Comma 2 6 2" xfId="1220" xr:uid="{00000000-0005-0000-0000-0000C1010000}"/>
    <cellStyle name="Comma 2 6 3" xfId="1528" xr:uid="{00000000-0005-0000-0000-0000C2010000}"/>
    <cellStyle name="Comma 2 7" xfId="1297" xr:uid="{00000000-0005-0000-0000-0000C3010000}"/>
    <cellStyle name="Comma 2 7 2" xfId="1997" xr:uid="{00000000-0005-0000-0000-0000C4010000}"/>
    <cellStyle name="Comma 2 8" xfId="1503" xr:uid="{00000000-0005-0000-0000-0000C5010000}"/>
    <cellStyle name="Comma 2 9" xfId="1505" xr:uid="{00000000-0005-0000-0000-0000C6010000}"/>
    <cellStyle name="Comma 2_Rates project" xfId="362" xr:uid="{00000000-0005-0000-0000-0000C7010000}"/>
    <cellStyle name="Comma 3" xfId="48" xr:uid="{00000000-0005-0000-0000-0000C8010000}"/>
    <cellStyle name="Comma 3 2" xfId="188" xr:uid="{00000000-0005-0000-0000-0000C9010000}"/>
    <cellStyle name="Comma 3 2 2" xfId="1298" xr:uid="{00000000-0005-0000-0000-0000CA010000}"/>
    <cellStyle name="Comma 3 2 2 2" xfId="1998" xr:uid="{00000000-0005-0000-0000-0000CB010000}"/>
    <cellStyle name="Comma 3 2 2 3" xfId="1817" xr:uid="{00000000-0005-0000-0000-0000CC010000}"/>
    <cellStyle name="Comma 3 2 2 4" xfId="1628" xr:uid="{00000000-0005-0000-0000-0000CD010000}"/>
    <cellStyle name="Comma 3 2 3" xfId="1823" xr:uid="{00000000-0005-0000-0000-0000CE010000}"/>
    <cellStyle name="Comma 3 3" xfId="187" xr:uid="{00000000-0005-0000-0000-0000CF010000}"/>
    <cellStyle name="Comma 3 3 2" xfId="537" xr:uid="{00000000-0005-0000-0000-0000D0010000}"/>
    <cellStyle name="Comma 3 3 3" xfId="1516" xr:uid="{00000000-0005-0000-0000-0000D1010000}"/>
    <cellStyle name="Comma 3 4" xfId="180" xr:uid="{00000000-0005-0000-0000-0000D2010000}"/>
    <cellStyle name="Comma 3 4 2" xfId="1617" xr:uid="{00000000-0005-0000-0000-0000D3010000}"/>
    <cellStyle name="Comma 3 4 3" xfId="1518" xr:uid="{00000000-0005-0000-0000-0000D4010000}"/>
    <cellStyle name="Comma 3 5" xfId="1811" xr:uid="{00000000-0005-0000-0000-0000D5010000}"/>
    <cellStyle name="Comma 3 5 2" xfId="2036" xr:uid="{00000000-0005-0000-0000-0000D6010000}"/>
    <cellStyle name="Comma 4" xfId="46" xr:uid="{00000000-0005-0000-0000-0000D7010000}"/>
    <cellStyle name="Comma 4 2" xfId="189" xr:uid="{00000000-0005-0000-0000-0000D8010000}"/>
    <cellStyle name="Comma 4 2 2" xfId="266" xr:uid="{00000000-0005-0000-0000-0000D9010000}"/>
    <cellStyle name="Comma 4 2 2 2" xfId="1835" xr:uid="{00000000-0005-0000-0000-0000DA010000}"/>
    <cellStyle name="Comma 4 2 3" xfId="1221" xr:uid="{00000000-0005-0000-0000-0000DB010000}"/>
    <cellStyle name="Comma 4 2 3 2" xfId="1988" xr:uid="{00000000-0005-0000-0000-0000DC010000}"/>
    <cellStyle name="Comma 4 2 4" xfId="1624" xr:uid="{00000000-0005-0000-0000-0000DD010000}"/>
    <cellStyle name="Comma 4 2 5" xfId="1824" xr:uid="{00000000-0005-0000-0000-0000DE010000}"/>
    <cellStyle name="Comma 4 3" xfId="179" xr:uid="{00000000-0005-0000-0000-0000DF010000}"/>
    <cellStyle name="Comma 4 3 2" xfId="267" xr:uid="{00000000-0005-0000-0000-0000E0010000}"/>
    <cellStyle name="Comma 4 3 2 2" xfId="1836" xr:uid="{00000000-0005-0000-0000-0000E1010000}"/>
    <cellStyle name="Comma 4 3 3" xfId="1821" xr:uid="{00000000-0005-0000-0000-0000E2010000}"/>
    <cellStyle name="Comma 4 4" xfId="1168" xr:uid="{00000000-0005-0000-0000-0000E3010000}"/>
    <cellStyle name="Comma 4 4 2" xfId="1982" xr:uid="{00000000-0005-0000-0000-0000E4010000}"/>
    <cellStyle name="Comma 4 5" xfId="1809" xr:uid="{00000000-0005-0000-0000-0000E5010000}"/>
    <cellStyle name="Comma 4 6" xfId="1816" xr:uid="{00000000-0005-0000-0000-0000E6010000}"/>
    <cellStyle name="Comma 5" xfId="190" xr:uid="{00000000-0005-0000-0000-0000E7010000}"/>
    <cellStyle name="Comma 5 10" xfId="1742" xr:uid="{00000000-0005-0000-0000-0000E8010000}"/>
    <cellStyle name="Comma 5 11" xfId="1825" xr:uid="{00000000-0005-0000-0000-0000E9010000}"/>
    <cellStyle name="Comma 5 2" xfId="364" xr:uid="{00000000-0005-0000-0000-0000EA010000}"/>
    <cellStyle name="Comma 5 2 2" xfId="1468" xr:uid="{00000000-0005-0000-0000-0000EB010000}"/>
    <cellStyle name="Comma 5 2 2 2" xfId="2021" xr:uid="{00000000-0005-0000-0000-0000EC010000}"/>
    <cellStyle name="Comma 5 2 2 3" xfId="1956" xr:uid="{00000000-0005-0000-0000-0000ED010000}"/>
    <cellStyle name="Comma 5 2 2 4" xfId="1508" xr:uid="{00000000-0005-0000-0000-0000EE010000}"/>
    <cellStyle name="Comma 5 3" xfId="524" xr:uid="{00000000-0005-0000-0000-0000EF010000}"/>
    <cellStyle name="Comma 5 3 2" xfId="576" xr:uid="{00000000-0005-0000-0000-0000F0010000}"/>
    <cellStyle name="Comma 5 3 2 2" xfId="688" xr:uid="{00000000-0005-0000-0000-0000F1010000}"/>
    <cellStyle name="Comma 5 3 2 2 2" xfId="915" xr:uid="{00000000-0005-0000-0000-0000F2010000}"/>
    <cellStyle name="Comma 5 3 2 2 2 2" xfId="1960" xr:uid="{00000000-0005-0000-0000-0000F3010000}"/>
    <cellStyle name="Comma 5 3 2 2 3" xfId="1893" xr:uid="{00000000-0005-0000-0000-0000F4010000}"/>
    <cellStyle name="Comma 5 3 2 3" xfId="802" xr:uid="{00000000-0005-0000-0000-0000F5010000}"/>
    <cellStyle name="Comma 5 3 2 3 2" xfId="1926" xr:uid="{00000000-0005-0000-0000-0000F6010000}"/>
    <cellStyle name="Comma 5 3 2 4" xfId="1860" xr:uid="{00000000-0005-0000-0000-0000F7010000}"/>
    <cellStyle name="Comma 5 3 3" xfId="613" xr:uid="{00000000-0005-0000-0000-0000F8010000}"/>
    <cellStyle name="Comma 5 3 3 2" xfId="725" xr:uid="{00000000-0005-0000-0000-0000F9010000}"/>
    <cellStyle name="Comma 5 3 3 2 2" xfId="952" xr:uid="{00000000-0005-0000-0000-0000FA010000}"/>
    <cellStyle name="Comma 5 3 3 2 2 2" xfId="1971" xr:uid="{00000000-0005-0000-0000-0000FB010000}"/>
    <cellStyle name="Comma 5 3 3 2 3" xfId="1904" xr:uid="{00000000-0005-0000-0000-0000FC010000}"/>
    <cellStyle name="Comma 5 3 3 3" xfId="839" xr:uid="{00000000-0005-0000-0000-0000FD010000}"/>
    <cellStyle name="Comma 5 3 3 3 2" xfId="1937" xr:uid="{00000000-0005-0000-0000-0000FE010000}"/>
    <cellStyle name="Comma 5 3 3 4" xfId="1871" xr:uid="{00000000-0005-0000-0000-0000FF010000}"/>
    <cellStyle name="Comma 5 3 4" xfId="652" xr:uid="{00000000-0005-0000-0000-000000020000}"/>
    <cellStyle name="Comma 5 3 4 2" xfId="878" xr:uid="{00000000-0005-0000-0000-000001020000}"/>
    <cellStyle name="Comma 5 3 4 2 2" xfId="1948" xr:uid="{00000000-0005-0000-0000-000002020000}"/>
    <cellStyle name="Comma 5 3 4 3" xfId="1882" xr:uid="{00000000-0005-0000-0000-000003020000}"/>
    <cellStyle name="Comma 5 3 5" xfId="765" xr:uid="{00000000-0005-0000-0000-000004020000}"/>
    <cellStyle name="Comma 5 3 5 2" xfId="1915" xr:uid="{00000000-0005-0000-0000-000005020000}"/>
    <cellStyle name="Comma 5 3 6" xfId="1847" xr:uid="{00000000-0005-0000-0000-000006020000}"/>
    <cellStyle name="Comma 5 4" xfId="538" xr:uid="{00000000-0005-0000-0000-000007020000}"/>
    <cellStyle name="Comma 5 4 2" xfId="587" xr:uid="{00000000-0005-0000-0000-000008020000}"/>
    <cellStyle name="Comma 5 4 2 2" xfId="699" xr:uid="{00000000-0005-0000-0000-000009020000}"/>
    <cellStyle name="Comma 5 4 2 2 2" xfId="926" xr:uid="{00000000-0005-0000-0000-00000A020000}"/>
    <cellStyle name="Comma 5 4 2 2 2 2" xfId="1964" xr:uid="{00000000-0005-0000-0000-00000B020000}"/>
    <cellStyle name="Comma 5 4 2 2 3" xfId="1897" xr:uid="{00000000-0005-0000-0000-00000C020000}"/>
    <cellStyle name="Comma 5 4 2 3" xfId="813" xr:uid="{00000000-0005-0000-0000-00000D020000}"/>
    <cellStyle name="Comma 5 4 2 3 2" xfId="1930" xr:uid="{00000000-0005-0000-0000-00000E020000}"/>
    <cellStyle name="Comma 5 4 2 4" xfId="1864" xr:uid="{00000000-0005-0000-0000-00000F020000}"/>
    <cellStyle name="Comma 5 4 3" xfId="624" xr:uid="{00000000-0005-0000-0000-000010020000}"/>
    <cellStyle name="Comma 5 4 3 2" xfId="736" xr:uid="{00000000-0005-0000-0000-000011020000}"/>
    <cellStyle name="Comma 5 4 3 2 2" xfId="963" xr:uid="{00000000-0005-0000-0000-000012020000}"/>
    <cellStyle name="Comma 5 4 3 2 2 2" xfId="1975" xr:uid="{00000000-0005-0000-0000-000013020000}"/>
    <cellStyle name="Comma 5 4 3 2 3" xfId="1908" xr:uid="{00000000-0005-0000-0000-000014020000}"/>
    <cellStyle name="Comma 5 4 3 3" xfId="850" xr:uid="{00000000-0005-0000-0000-000015020000}"/>
    <cellStyle name="Comma 5 4 3 3 2" xfId="1941" xr:uid="{00000000-0005-0000-0000-000016020000}"/>
    <cellStyle name="Comma 5 4 3 4" xfId="1875" xr:uid="{00000000-0005-0000-0000-000017020000}"/>
    <cellStyle name="Comma 5 4 4" xfId="663" xr:uid="{00000000-0005-0000-0000-000018020000}"/>
    <cellStyle name="Comma 5 4 4 2" xfId="889" xr:uid="{00000000-0005-0000-0000-000019020000}"/>
    <cellStyle name="Comma 5 4 4 2 2" xfId="1952" xr:uid="{00000000-0005-0000-0000-00001A020000}"/>
    <cellStyle name="Comma 5 4 4 3" xfId="1886" xr:uid="{00000000-0005-0000-0000-00001B020000}"/>
    <cellStyle name="Comma 5 4 5" xfId="776" xr:uid="{00000000-0005-0000-0000-00001C020000}"/>
    <cellStyle name="Comma 5 4 5 2" xfId="1919" xr:uid="{00000000-0005-0000-0000-00001D020000}"/>
    <cellStyle name="Comma 5 4 6" xfId="1852" xr:uid="{00000000-0005-0000-0000-00001E020000}"/>
    <cellStyle name="Comma 5 5" xfId="568" xr:uid="{00000000-0005-0000-0000-00001F020000}"/>
    <cellStyle name="Comma 5 5 2" xfId="680" xr:uid="{00000000-0005-0000-0000-000020020000}"/>
    <cellStyle name="Comma 5 5 2 2" xfId="907" xr:uid="{00000000-0005-0000-0000-000021020000}"/>
    <cellStyle name="Comma 5 5 2 2 2" xfId="1957" xr:uid="{00000000-0005-0000-0000-000022020000}"/>
    <cellStyle name="Comma 5 5 2 3" xfId="1890" xr:uid="{00000000-0005-0000-0000-000023020000}"/>
    <cellStyle name="Comma 5 5 3" xfId="794" xr:uid="{00000000-0005-0000-0000-000024020000}"/>
    <cellStyle name="Comma 5 5 3 2" xfId="1923" xr:uid="{00000000-0005-0000-0000-000025020000}"/>
    <cellStyle name="Comma 5 5 4" xfId="1857" xr:uid="{00000000-0005-0000-0000-000026020000}"/>
    <cellStyle name="Comma 5 6" xfId="605" xr:uid="{00000000-0005-0000-0000-000027020000}"/>
    <cellStyle name="Comma 5 6 2" xfId="717" xr:uid="{00000000-0005-0000-0000-000028020000}"/>
    <cellStyle name="Comma 5 6 2 2" xfId="944" xr:uid="{00000000-0005-0000-0000-000029020000}"/>
    <cellStyle name="Comma 5 6 2 2 2" xfId="1968" xr:uid="{00000000-0005-0000-0000-00002A020000}"/>
    <cellStyle name="Comma 5 6 2 3" xfId="1901" xr:uid="{00000000-0005-0000-0000-00002B020000}"/>
    <cellStyle name="Comma 5 6 3" xfId="831" xr:uid="{00000000-0005-0000-0000-00002C020000}"/>
    <cellStyle name="Comma 5 6 3 2" xfId="1934" xr:uid="{00000000-0005-0000-0000-00002D020000}"/>
    <cellStyle name="Comma 5 6 4" xfId="1868" xr:uid="{00000000-0005-0000-0000-00002E020000}"/>
    <cellStyle name="Comma 5 7" xfId="644" xr:uid="{00000000-0005-0000-0000-00002F020000}"/>
    <cellStyle name="Comma 5 7 2" xfId="870" xr:uid="{00000000-0005-0000-0000-000030020000}"/>
    <cellStyle name="Comma 5 7 2 2" xfId="1945" xr:uid="{00000000-0005-0000-0000-000031020000}"/>
    <cellStyle name="Comma 5 7 3" xfId="1879" xr:uid="{00000000-0005-0000-0000-000032020000}"/>
    <cellStyle name="Comma 5 8" xfId="757" xr:uid="{00000000-0005-0000-0000-000033020000}"/>
    <cellStyle name="Comma 5 8 2" xfId="1912" xr:uid="{00000000-0005-0000-0000-000034020000}"/>
    <cellStyle name="Comma 5 9" xfId="363" xr:uid="{00000000-0005-0000-0000-000035020000}"/>
    <cellStyle name="Comma 5 9 2" xfId="1843" xr:uid="{00000000-0005-0000-0000-000036020000}"/>
    <cellStyle name="Comma 6" xfId="191" xr:uid="{00000000-0005-0000-0000-000037020000}"/>
    <cellStyle name="Comma 6 10" xfId="1826" xr:uid="{00000000-0005-0000-0000-000038020000}"/>
    <cellStyle name="Comma 6 2" xfId="366" xr:uid="{00000000-0005-0000-0000-000039020000}"/>
    <cellStyle name="Comma 6 2 2" xfId="1222" xr:uid="{00000000-0005-0000-0000-00003A020000}"/>
    <cellStyle name="Comma 6 2 2 2" xfId="1784" xr:uid="{00000000-0005-0000-0000-00003B020000}"/>
    <cellStyle name="Comma 6 2 2 3" xfId="1989" xr:uid="{00000000-0005-0000-0000-00003C020000}"/>
    <cellStyle name="Comma 6 2 2 4" xfId="1602" xr:uid="{00000000-0005-0000-0000-00003D020000}"/>
    <cellStyle name="Comma 6 3" xfId="525" xr:uid="{00000000-0005-0000-0000-00003E020000}"/>
    <cellStyle name="Comma 6 3 2" xfId="577" xr:uid="{00000000-0005-0000-0000-00003F020000}"/>
    <cellStyle name="Comma 6 3 2 2" xfId="689" xr:uid="{00000000-0005-0000-0000-000040020000}"/>
    <cellStyle name="Comma 6 3 2 2 2" xfId="916" xr:uid="{00000000-0005-0000-0000-000041020000}"/>
    <cellStyle name="Comma 6 3 2 2 2 2" xfId="1961" xr:uid="{00000000-0005-0000-0000-000042020000}"/>
    <cellStyle name="Comma 6 3 2 2 3" xfId="1894" xr:uid="{00000000-0005-0000-0000-000043020000}"/>
    <cellStyle name="Comma 6 3 2 3" xfId="803" xr:uid="{00000000-0005-0000-0000-000044020000}"/>
    <cellStyle name="Comma 6 3 2 3 2" xfId="1927" xr:uid="{00000000-0005-0000-0000-000045020000}"/>
    <cellStyle name="Comma 6 3 2 4" xfId="1861" xr:uid="{00000000-0005-0000-0000-000046020000}"/>
    <cellStyle name="Comma 6 3 3" xfId="614" xr:uid="{00000000-0005-0000-0000-000047020000}"/>
    <cellStyle name="Comma 6 3 3 2" xfId="726" xr:uid="{00000000-0005-0000-0000-000048020000}"/>
    <cellStyle name="Comma 6 3 3 2 2" xfId="953" xr:uid="{00000000-0005-0000-0000-000049020000}"/>
    <cellStyle name="Comma 6 3 3 2 2 2" xfId="1972" xr:uid="{00000000-0005-0000-0000-00004A020000}"/>
    <cellStyle name="Comma 6 3 3 2 3" xfId="1905" xr:uid="{00000000-0005-0000-0000-00004B020000}"/>
    <cellStyle name="Comma 6 3 3 3" xfId="840" xr:uid="{00000000-0005-0000-0000-00004C020000}"/>
    <cellStyle name="Comma 6 3 3 3 2" xfId="1938" xr:uid="{00000000-0005-0000-0000-00004D020000}"/>
    <cellStyle name="Comma 6 3 3 4" xfId="1872" xr:uid="{00000000-0005-0000-0000-00004E020000}"/>
    <cellStyle name="Comma 6 3 4" xfId="653" xr:uid="{00000000-0005-0000-0000-00004F020000}"/>
    <cellStyle name="Comma 6 3 4 2" xfId="879" xr:uid="{00000000-0005-0000-0000-000050020000}"/>
    <cellStyle name="Comma 6 3 4 2 2" xfId="1949" xr:uid="{00000000-0005-0000-0000-000051020000}"/>
    <cellStyle name="Comma 6 3 4 3" xfId="1883" xr:uid="{00000000-0005-0000-0000-000052020000}"/>
    <cellStyle name="Comma 6 3 5" xfId="766" xr:uid="{00000000-0005-0000-0000-000053020000}"/>
    <cellStyle name="Comma 6 3 5 2" xfId="1916" xr:uid="{00000000-0005-0000-0000-000054020000}"/>
    <cellStyle name="Comma 6 3 6" xfId="1709" xr:uid="{00000000-0005-0000-0000-000055020000}"/>
    <cellStyle name="Comma 6 3 6 2" xfId="2045" xr:uid="{00000000-0005-0000-0000-000056020000}"/>
    <cellStyle name="Comma 6 3 6 3" xfId="1848" xr:uid="{00000000-0005-0000-0000-000057020000}"/>
    <cellStyle name="Comma 6 4" xfId="539" xr:uid="{00000000-0005-0000-0000-000058020000}"/>
    <cellStyle name="Comma 6 4 2" xfId="588" xr:uid="{00000000-0005-0000-0000-000059020000}"/>
    <cellStyle name="Comma 6 4 2 2" xfId="700" xr:uid="{00000000-0005-0000-0000-00005A020000}"/>
    <cellStyle name="Comma 6 4 2 2 2" xfId="927" xr:uid="{00000000-0005-0000-0000-00005B020000}"/>
    <cellStyle name="Comma 6 4 2 3" xfId="814" xr:uid="{00000000-0005-0000-0000-00005C020000}"/>
    <cellStyle name="Comma 6 4 3" xfId="625" xr:uid="{00000000-0005-0000-0000-00005D020000}"/>
    <cellStyle name="Comma 6 4 3 2" xfId="737" xr:uid="{00000000-0005-0000-0000-00005E020000}"/>
    <cellStyle name="Comma 6 4 3 2 2" xfId="964" xr:uid="{00000000-0005-0000-0000-00005F020000}"/>
    <cellStyle name="Comma 6 4 3 3" xfId="851" xr:uid="{00000000-0005-0000-0000-000060020000}"/>
    <cellStyle name="Comma 6 4 4" xfId="664" xr:uid="{00000000-0005-0000-0000-000061020000}"/>
    <cellStyle name="Comma 6 4 4 2" xfId="890" xr:uid="{00000000-0005-0000-0000-000062020000}"/>
    <cellStyle name="Comma 6 4 5" xfId="777" xr:uid="{00000000-0005-0000-0000-000063020000}"/>
    <cellStyle name="Comma 6 5" xfId="569" xr:uid="{00000000-0005-0000-0000-000064020000}"/>
    <cellStyle name="Comma 6 5 2" xfId="681" xr:uid="{00000000-0005-0000-0000-000065020000}"/>
    <cellStyle name="Comma 6 5 2 2" xfId="908" xr:uid="{00000000-0005-0000-0000-000066020000}"/>
    <cellStyle name="Comma 6 5 2 2 2" xfId="1958" xr:uid="{00000000-0005-0000-0000-000067020000}"/>
    <cellStyle name="Comma 6 5 2 3" xfId="1891" xr:uid="{00000000-0005-0000-0000-000068020000}"/>
    <cellStyle name="Comma 6 5 3" xfId="795" xr:uid="{00000000-0005-0000-0000-000069020000}"/>
    <cellStyle name="Comma 6 5 3 2" xfId="1924" xr:uid="{00000000-0005-0000-0000-00006A020000}"/>
    <cellStyle name="Comma 6 5 4" xfId="1858" xr:uid="{00000000-0005-0000-0000-00006B020000}"/>
    <cellStyle name="Comma 6 6" xfId="606" xr:uid="{00000000-0005-0000-0000-00006C020000}"/>
    <cellStyle name="Comma 6 6 2" xfId="718" xr:uid="{00000000-0005-0000-0000-00006D020000}"/>
    <cellStyle name="Comma 6 6 2 2" xfId="945" xr:uid="{00000000-0005-0000-0000-00006E020000}"/>
    <cellStyle name="Comma 6 6 2 2 2" xfId="1969" xr:uid="{00000000-0005-0000-0000-00006F020000}"/>
    <cellStyle name="Comma 6 6 2 3" xfId="1902" xr:uid="{00000000-0005-0000-0000-000070020000}"/>
    <cellStyle name="Comma 6 6 3" xfId="832" xr:uid="{00000000-0005-0000-0000-000071020000}"/>
    <cellStyle name="Comma 6 6 3 2" xfId="1935" xr:uid="{00000000-0005-0000-0000-000072020000}"/>
    <cellStyle name="Comma 6 6 4" xfId="1869" xr:uid="{00000000-0005-0000-0000-000073020000}"/>
    <cellStyle name="Comma 6 7" xfId="645" xr:uid="{00000000-0005-0000-0000-000074020000}"/>
    <cellStyle name="Comma 6 7 2" xfId="871" xr:uid="{00000000-0005-0000-0000-000075020000}"/>
    <cellStyle name="Comma 6 7 2 2" xfId="1946" xr:uid="{00000000-0005-0000-0000-000076020000}"/>
    <cellStyle name="Comma 6 7 3" xfId="1880" xr:uid="{00000000-0005-0000-0000-000077020000}"/>
    <cellStyle name="Comma 6 8" xfId="758" xr:uid="{00000000-0005-0000-0000-000078020000}"/>
    <cellStyle name="Comma 6 8 2" xfId="1913" xr:uid="{00000000-0005-0000-0000-000079020000}"/>
    <cellStyle name="Comma 6 9" xfId="365" xr:uid="{00000000-0005-0000-0000-00007A020000}"/>
    <cellStyle name="Comma 6 9 2" xfId="1844" xr:uid="{00000000-0005-0000-0000-00007B020000}"/>
    <cellStyle name="Comma 7" xfId="192" xr:uid="{00000000-0005-0000-0000-00007C020000}"/>
    <cellStyle name="Comma 7 2" xfId="367" xr:uid="{00000000-0005-0000-0000-00007D020000}"/>
    <cellStyle name="Comma 7 2 2" xfId="1478" xr:uid="{00000000-0005-0000-0000-00007E020000}"/>
    <cellStyle name="Comma 7 2 2 2" xfId="2024" xr:uid="{00000000-0005-0000-0000-00007F020000}"/>
    <cellStyle name="Comma 7 2 2 2 2" xfId="2086" xr:uid="{00000000-0005-0000-0000-000080020000}"/>
    <cellStyle name="Comma 7 3" xfId="1223" xr:uid="{00000000-0005-0000-0000-000081020000}"/>
    <cellStyle name="Comma 7 3 2" xfId="1990" xr:uid="{00000000-0005-0000-0000-000082020000}"/>
    <cellStyle name="Comma 7 3 2 2" xfId="2065" xr:uid="{00000000-0005-0000-0000-000083020000}"/>
    <cellStyle name="Comma 7 4" xfId="1569" xr:uid="{00000000-0005-0000-0000-000084020000}"/>
    <cellStyle name="Comma 7 5" xfId="1827" xr:uid="{00000000-0005-0000-0000-000085020000}"/>
    <cellStyle name="Comma 8" xfId="186" xr:uid="{00000000-0005-0000-0000-000086020000}"/>
    <cellStyle name="Comma 8 2" xfId="368" xr:uid="{00000000-0005-0000-0000-000087020000}"/>
    <cellStyle name="Comma 8 3" xfId="1224" xr:uid="{00000000-0005-0000-0000-000088020000}"/>
    <cellStyle name="Comma 8 3 2" xfId="1991" xr:uid="{00000000-0005-0000-0000-000089020000}"/>
    <cellStyle name="Comma 8 4" xfId="1631" xr:uid="{00000000-0005-0000-0000-00008A020000}"/>
    <cellStyle name="Comma 8 5" xfId="1822" xr:uid="{00000000-0005-0000-0000-00008B020000}"/>
    <cellStyle name="Comma 9" xfId="523" xr:uid="{00000000-0005-0000-0000-00008C020000}"/>
    <cellStyle name="Comma 9 2" xfId="540" xr:uid="{00000000-0005-0000-0000-00008D020000}"/>
    <cellStyle name="Comma 9 3" xfId="1225" xr:uid="{00000000-0005-0000-0000-00008E020000}"/>
    <cellStyle name="Comma 9 3 2" xfId="1785" xr:uid="{00000000-0005-0000-0000-00008F020000}"/>
    <cellStyle name="Comma 9 3 3" xfId="1510" xr:uid="{00000000-0005-0000-0000-000090020000}"/>
    <cellStyle name="Comma 9 4" xfId="1846" xr:uid="{00000000-0005-0000-0000-000091020000}"/>
    <cellStyle name="Currency 2" xfId="167" xr:uid="{00000000-0005-0000-0000-000092020000}"/>
    <cellStyle name="Currency 2 10" xfId="1226" xr:uid="{00000000-0005-0000-0000-000093020000}"/>
    <cellStyle name="Currency 2 2" xfId="185" xr:uid="{00000000-0005-0000-0000-000094020000}"/>
    <cellStyle name="Currency 2 2 2" xfId="268" xr:uid="{00000000-0005-0000-0000-000095020000}"/>
    <cellStyle name="Currency 2 2 2 2" xfId="690" xr:uid="{00000000-0005-0000-0000-000096020000}"/>
    <cellStyle name="Currency 2 2 2 2 2" xfId="917" xr:uid="{00000000-0005-0000-0000-000097020000}"/>
    <cellStyle name="Currency 2 2 2 2 2 2" xfId="1962" xr:uid="{00000000-0005-0000-0000-000098020000}"/>
    <cellStyle name="Currency 2 2 2 2 3" xfId="1895" xr:uid="{00000000-0005-0000-0000-000099020000}"/>
    <cellStyle name="Currency 2 2 2 3" xfId="804" xr:uid="{00000000-0005-0000-0000-00009A020000}"/>
    <cellStyle name="Currency 2 2 2 3 2" xfId="1928" xr:uid="{00000000-0005-0000-0000-00009B020000}"/>
    <cellStyle name="Currency 2 2 2 4" xfId="578" xr:uid="{00000000-0005-0000-0000-00009C020000}"/>
    <cellStyle name="Currency 2 2 2 4 2" xfId="1862" xr:uid="{00000000-0005-0000-0000-00009D020000}"/>
    <cellStyle name="Currency 2 2 2 5" xfId="1563" xr:uid="{00000000-0005-0000-0000-00009E020000}"/>
    <cellStyle name="Currency 2 2 2 6" xfId="1837" xr:uid="{00000000-0005-0000-0000-00009F020000}"/>
    <cellStyle name="Currency 2 2 3" xfId="615" xr:uid="{00000000-0005-0000-0000-0000A0020000}"/>
    <cellStyle name="Currency 2 2 3 2" xfId="727" xr:uid="{00000000-0005-0000-0000-0000A1020000}"/>
    <cellStyle name="Currency 2 2 3 2 2" xfId="954" xr:uid="{00000000-0005-0000-0000-0000A2020000}"/>
    <cellStyle name="Currency 2 2 3 2 2 2" xfId="1973" xr:uid="{00000000-0005-0000-0000-0000A3020000}"/>
    <cellStyle name="Currency 2 2 3 2 3" xfId="1906" xr:uid="{00000000-0005-0000-0000-0000A4020000}"/>
    <cellStyle name="Currency 2 2 3 3" xfId="841" xr:uid="{00000000-0005-0000-0000-0000A5020000}"/>
    <cellStyle name="Currency 2 2 3 3 2" xfId="1939" xr:uid="{00000000-0005-0000-0000-0000A6020000}"/>
    <cellStyle name="Currency 2 2 3 4" xfId="1873" xr:uid="{00000000-0005-0000-0000-0000A7020000}"/>
    <cellStyle name="Currency 2 2 4" xfId="654" xr:uid="{00000000-0005-0000-0000-0000A8020000}"/>
    <cellStyle name="Currency 2 2 4 2" xfId="880" xr:uid="{00000000-0005-0000-0000-0000A9020000}"/>
    <cellStyle name="Currency 2 2 4 2 2" xfId="1950" xr:uid="{00000000-0005-0000-0000-0000AA020000}"/>
    <cellStyle name="Currency 2 2 4 3" xfId="1884" xr:uid="{00000000-0005-0000-0000-0000AB020000}"/>
    <cellStyle name="Currency 2 2 5" xfId="767" xr:uid="{00000000-0005-0000-0000-0000AC020000}"/>
    <cellStyle name="Currency 2 2 5 2" xfId="1917" xr:uid="{00000000-0005-0000-0000-0000AD020000}"/>
    <cellStyle name="Currency 2 2 6" xfId="526" xr:uid="{00000000-0005-0000-0000-0000AE020000}"/>
    <cellStyle name="Currency 2 2 6 2" xfId="1849" xr:uid="{00000000-0005-0000-0000-0000AF020000}"/>
    <cellStyle name="Currency 2 3" xfId="173" xr:uid="{00000000-0005-0000-0000-0000B0020000}"/>
    <cellStyle name="Currency 2 3 2" xfId="589" xr:uid="{00000000-0005-0000-0000-0000B1020000}"/>
    <cellStyle name="Currency 2 3 2 2" xfId="701" xr:uid="{00000000-0005-0000-0000-0000B2020000}"/>
    <cellStyle name="Currency 2 3 2 2 2" xfId="928" xr:uid="{00000000-0005-0000-0000-0000B3020000}"/>
    <cellStyle name="Currency 2 3 2 2 2 2" xfId="1965" xr:uid="{00000000-0005-0000-0000-0000B4020000}"/>
    <cellStyle name="Currency 2 3 2 2 3" xfId="1898" xr:uid="{00000000-0005-0000-0000-0000B5020000}"/>
    <cellStyle name="Currency 2 3 2 3" xfId="815" xr:uid="{00000000-0005-0000-0000-0000B6020000}"/>
    <cellStyle name="Currency 2 3 2 3 2" xfId="1931" xr:uid="{00000000-0005-0000-0000-0000B7020000}"/>
    <cellStyle name="Currency 2 3 2 4" xfId="1865" xr:uid="{00000000-0005-0000-0000-0000B8020000}"/>
    <cellStyle name="Currency 2 3 3" xfId="626" xr:uid="{00000000-0005-0000-0000-0000B9020000}"/>
    <cellStyle name="Currency 2 3 3 2" xfId="738" xr:uid="{00000000-0005-0000-0000-0000BA020000}"/>
    <cellStyle name="Currency 2 3 3 2 2" xfId="965" xr:uid="{00000000-0005-0000-0000-0000BB020000}"/>
    <cellStyle name="Currency 2 3 3 2 2 2" xfId="1976" xr:uid="{00000000-0005-0000-0000-0000BC020000}"/>
    <cellStyle name="Currency 2 3 3 2 3" xfId="1909" xr:uid="{00000000-0005-0000-0000-0000BD020000}"/>
    <cellStyle name="Currency 2 3 3 3" xfId="852" xr:uid="{00000000-0005-0000-0000-0000BE020000}"/>
    <cellStyle name="Currency 2 3 3 3 2" xfId="1942" xr:uid="{00000000-0005-0000-0000-0000BF020000}"/>
    <cellStyle name="Currency 2 3 3 4" xfId="1876" xr:uid="{00000000-0005-0000-0000-0000C0020000}"/>
    <cellStyle name="Currency 2 3 4" xfId="665" xr:uid="{00000000-0005-0000-0000-0000C1020000}"/>
    <cellStyle name="Currency 2 3 4 2" xfId="891" xr:uid="{00000000-0005-0000-0000-0000C2020000}"/>
    <cellStyle name="Currency 2 3 4 2 2" xfId="1953" xr:uid="{00000000-0005-0000-0000-0000C3020000}"/>
    <cellStyle name="Currency 2 3 4 3" xfId="1887" xr:uid="{00000000-0005-0000-0000-0000C4020000}"/>
    <cellStyle name="Currency 2 3 5" xfId="778" xr:uid="{00000000-0005-0000-0000-0000C5020000}"/>
    <cellStyle name="Currency 2 3 5 2" xfId="1920" xr:uid="{00000000-0005-0000-0000-0000C6020000}"/>
    <cellStyle name="Currency 2 3 6" xfId="541" xr:uid="{00000000-0005-0000-0000-0000C7020000}"/>
    <cellStyle name="Currency 2 3 6 2" xfId="1853" xr:uid="{00000000-0005-0000-0000-0000C8020000}"/>
    <cellStyle name="Currency 2 3 7" xfId="1820" xr:uid="{00000000-0005-0000-0000-0000C9020000}"/>
    <cellStyle name="Currency 2 4" xfId="253" xr:uid="{00000000-0005-0000-0000-0000CA020000}"/>
    <cellStyle name="Currency 2 4 2" xfId="682" xr:uid="{00000000-0005-0000-0000-0000CB020000}"/>
    <cellStyle name="Currency 2 4 2 2" xfId="909" xr:uid="{00000000-0005-0000-0000-0000CC020000}"/>
    <cellStyle name="Currency 2 4 2 2 2" xfId="1959" xr:uid="{00000000-0005-0000-0000-0000CD020000}"/>
    <cellStyle name="Currency 2 4 2 3" xfId="1892" xr:uid="{00000000-0005-0000-0000-0000CE020000}"/>
    <cellStyle name="Currency 2 4 3" xfId="796" xr:uid="{00000000-0005-0000-0000-0000CF020000}"/>
    <cellStyle name="Currency 2 4 3 2" xfId="1925" xr:uid="{00000000-0005-0000-0000-0000D0020000}"/>
    <cellStyle name="Currency 2 4 4" xfId="570" xr:uid="{00000000-0005-0000-0000-0000D1020000}"/>
    <cellStyle name="Currency 2 4 4 2" xfId="1859" xr:uid="{00000000-0005-0000-0000-0000D2020000}"/>
    <cellStyle name="Currency 2 4 5" xfId="1710" xr:uid="{00000000-0005-0000-0000-0000D3020000}"/>
    <cellStyle name="Currency 2 4 5 2" xfId="2046" xr:uid="{00000000-0005-0000-0000-0000D4020000}"/>
    <cellStyle name="Currency 2 4 5 3" xfId="1530" xr:uid="{00000000-0005-0000-0000-0000D5020000}"/>
    <cellStyle name="Currency 2 4 6" xfId="1832" xr:uid="{00000000-0005-0000-0000-0000D6020000}"/>
    <cellStyle name="Currency 2 5" xfId="607" xr:uid="{00000000-0005-0000-0000-0000D7020000}"/>
    <cellStyle name="Currency 2 5 2" xfId="719" xr:uid="{00000000-0005-0000-0000-0000D8020000}"/>
    <cellStyle name="Currency 2 5 2 2" xfId="946" xr:uid="{00000000-0005-0000-0000-0000D9020000}"/>
    <cellStyle name="Currency 2 5 2 2 2" xfId="1970" xr:uid="{00000000-0005-0000-0000-0000DA020000}"/>
    <cellStyle name="Currency 2 5 2 3" xfId="1903" xr:uid="{00000000-0005-0000-0000-0000DB020000}"/>
    <cellStyle name="Currency 2 5 3" xfId="833" xr:uid="{00000000-0005-0000-0000-0000DC020000}"/>
    <cellStyle name="Currency 2 5 3 2" xfId="1936" xr:uid="{00000000-0005-0000-0000-0000DD020000}"/>
    <cellStyle name="Currency 2 5 4" xfId="1870" xr:uid="{00000000-0005-0000-0000-0000DE020000}"/>
    <cellStyle name="Currency 2 6" xfId="646" xr:uid="{00000000-0005-0000-0000-0000DF020000}"/>
    <cellStyle name="Currency 2 6 2" xfId="872" xr:uid="{00000000-0005-0000-0000-0000E0020000}"/>
    <cellStyle name="Currency 2 6 2 2" xfId="1947" xr:uid="{00000000-0005-0000-0000-0000E1020000}"/>
    <cellStyle name="Currency 2 6 3" xfId="1881" xr:uid="{00000000-0005-0000-0000-0000E2020000}"/>
    <cellStyle name="Currency 2 7" xfId="759" xr:uid="{00000000-0005-0000-0000-0000E3020000}"/>
    <cellStyle name="Currency 2 7 2" xfId="1914" xr:uid="{00000000-0005-0000-0000-0000E4020000}"/>
    <cellStyle name="Currency 2 8" xfId="369" xr:uid="{00000000-0005-0000-0000-0000E5020000}"/>
    <cellStyle name="Currency 2 8 2" xfId="1845" xr:uid="{00000000-0005-0000-0000-0000E6020000}"/>
    <cellStyle name="Currency 2 9" xfId="1165" xr:uid="{00000000-0005-0000-0000-0000E7020000}"/>
    <cellStyle name="Currency 3" xfId="183" xr:uid="{00000000-0005-0000-0000-0000E8020000}"/>
    <cellStyle name="Currency 3 2" xfId="261" xr:uid="{00000000-0005-0000-0000-0000E9020000}"/>
    <cellStyle name="Currency 3 2 2" xfId="269" xr:uid="{00000000-0005-0000-0000-0000EA020000}"/>
    <cellStyle name="Currency 3 2 2 2" xfId="929" xr:uid="{00000000-0005-0000-0000-0000EB020000}"/>
    <cellStyle name="Currency 3 2 2 2 2" xfId="1966" xr:uid="{00000000-0005-0000-0000-0000EC020000}"/>
    <cellStyle name="Currency 3 2 2 3" xfId="702" xr:uid="{00000000-0005-0000-0000-0000ED020000}"/>
    <cellStyle name="Currency 3 2 2 3 2" xfId="1899" xr:uid="{00000000-0005-0000-0000-0000EE020000}"/>
    <cellStyle name="Currency 3 2 2 4" xfId="1744" xr:uid="{00000000-0005-0000-0000-0000EF020000}"/>
    <cellStyle name="Currency 3 2 2 5" xfId="1838" xr:uid="{00000000-0005-0000-0000-0000F0020000}"/>
    <cellStyle name="Currency 3 2 3" xfId="816" xr:uid="{00000000-0005-0000-0000-0000F1020000}"/>
    <cellStyle name="Currency 3 2 3 2" xfId="1932" xr:uid="{00000000-0005-0000-0000-0000F2020000}"/>
    <cellStyle name="Currency 3 2 4" xfId="590" xr:uid="{00000000-0005-0000-0000-0000F3020000}"/>
    <cellStyle name="Currency 3 2 4 2" xfId="1866" xr:uid="{00000000-0005-0000-0000-0000F4020000}"/>
    <cellStyle name="Currency 3 2 5" xfId="1711" xr:uid="{00000000-0005-0000-0000-0000F5020000}"/>
    <cellStyle name="Currency 3 2 5 2" xfId="2047" xr:uid="{00000000-0005-0000-0000-0000F6020000}"/>
    <cellStyle name="Currency 3 2 5 3" xfId="1580" xr:uid="{00000000-0005-0000-0000-0000F7020000}"/>
    <cellStyle name="Currency 3 2 6" xfId="1834" xr:uid="{00000000-0005-0000-0000-0000F8020000}"/>
    <cellStyle name="Currency 3 3" xfId="270" xr:uid="{00000000-0005-0000-0000-0000F9020000}"/>
    <cellStyle name="Currency 3 3 2" xfId="739" xr:uid="{00000000-0005-0000-0000-0000FA020000}"/>
    <cellStyle name="Currency 3 3 2 2" xfId="966" xr:uid="{00000000-0005-0000-0000-0000FB020000}"/>
    <cellStyle name="Currency 3 3 2 2 2" xfId="1977" xr:uid="{00000000-0005-0000-0000-0000FC020000}"/>
    <cellStyle name="Currency 3 3 2 3" xfId="1910" xr:uid="{00000000-0005-0000-0000-0000FD020000}"/>
    <cellStyle name="Currency 3 3 3" xfId="853" xr:uid="{00000000-0005-0000-0000-0000FE020000}"/>
    <cellStyle name="Currency 3 3 3 2" xfId="1943" xr:uid="{00000000-0005-0000-0000-0000FF020000}"/>
    <cellStyle name="Currency 3 3 4" xfId="627" xr:uid="{00000000-0005-0000-0000-000000030000}"/>
    <cellStyle name="Currency 3 3 4 2" xfId="1877" xr:uid="{00000000-0005-0000-0000-000001030000}"/>
    <cellStyle name="Currency 3 3 5" xfId="1565" xr:uid="{00000000-0005-0000-0000-000002030000}"/>
    <cellStyle name="Currency 3 3 6" xfId="1839" xr:uid="{00000000-0005-0000-0000-000003030000}"/>
    <cellStyle name="Currency 3 4" xfId="260" xr:uid="{00000000-0005-0000-0000-000004030000}"/>
    <cellStyle name="Currency 3 4 2" xfId="892" xr:uid="{00000000-0005-0000-0000-000005030000}"/>
    <cellStyle name="Currency 3 4 2 2" xfId="1954" xr:uid="{00000000-0005-0000-0000-000006030000}"/>
    <cellStyle name="Currency 3 4 3" xfId="666" xr:uid="{00000000-0005-0000-0000-000007030000}"/>
    <cellStyle name="Currency 3 4 3 2" xfId="1888" xr:uid="{00000000-0005-0000-0000-000008030000}"/>
    <cellStyle name="Currency 3 4 4" xfId="1601" xr:uid="{00000000-0005-0000-0000-000009030000}"/>
    <cellStyle name="Currency 3 4 5" xfId="1833" xr:uid="{00000000-0005-0000-0000-00000A030000}"/>
    <cellStyle name="Currency 3 5" xfId="779" xr:uid="{00000000-0005-0000-0000-00000B030000}"/>
    <cellStyle name="Currency 3 5 2" xfId="1921" xr:uid="{00000000-0005-0000-0000-00000C030000}"/>
    <cellStyle name="Currency 3 6" xfId="542" xr:uid="{00000000-0005-0000-0000-00000D030000}"/>
    <cellStyle name="Currency 3 6 2" xfId="1854" xr:uid="{00000000-0005-0000-0000-00000E030000}"/>
    <cellStyle name="Currency 4" xfId="196" xr:uid="{00000000-0005-0000-0000-00000F030000}"/>
    <cellStyle name="Currency 4 2" xfId="272" xr:uid="{00000000-0005-0000-0000-000010030000}"/>
    <cellStyle name="Currency 4 2 2" xfId="703" xr:uid="{00000000-0005-0000-0000-000011030000}"/>
    <cellStyle name="Currency 4 2 2 2" xfId="930" xr:uid="{00000000-0005-0000-0000-000012030000}"/>
    <cellStyle name="Currency 4 2 2 2 2" xfId="1967" xr:uid="{00000000-0005-0000-0000-000013030000}"/>
    <cellStyle name="Currency 4 2 2 3" xfId="1900" xr:uid="{00000000-0005-0000-0000-000014030000}"/>
    <cellStyle name="Currency 4 2 3" xfId="817" xr:uid="{00000000-0005-0000-0000-000015030000}"/>
    <cellStyle name="Currency 4 2 3 2" xfId="1933" xr:uid="{00000000-0005-0000-0000-000016030000}"/>
    <cellStyle name="Currency 4 2 4" xfId="591" xr:uid="{00000000-0005-0000-0000-000017030000}"/>
    <cellStyle name="Currency 4 2 4 2" xfId="1867" xr:uid="{00000000-0005-0000-0000-000018030000}"/>
    <cellStyle name="Currency 4 2 5" xfId="1551" xr:uid="{00000000-0005-0000-0000-000019030000}"/>
    <cellStyle name="Currency 4 2 6" xfId="1841" xr:uid="{00000000-0005-0000-0000-00001A030000}"/>
    <cellStyle name="Currency 4 3" xfId="271" xr:uid="{00000000-0005-0000-0000-00001B030000}"/>
    <cellStyle name="Currency 4 3 2" xfId="740" xr:uid="{00000000-0005-0000-0000-00001C030000}"/>
    <cellStyle name="Currency 4 3 2 2" xfId="967" xr:uid="{00000000-0005-0000-0000-00001D030000}"/>
    <cellStyle name="Currency 4 3 2 2 2" xfId="1978" xr:uid="{00000000-0005-0000-0000-00001E030000}"/>
    <cellStyle name="Currency 4 3 2 3" xfId="1911" xr:uid="{00000000-0005-0000-0000-00001F030000}"/>
    <cellStyle name="Currency 4 3 3" xfId="854" xr:uid="{00000000-0005-0000-0000-000020030000}"/>
    <cellStyle name="Currency 4 3 3 2" xfId="1944" xr:uid="{00000000-0005-0000-0000-000021030000}"/>
    <cellStyle name="Currency 4 3 4" xfId="628" xr:uid="{00000000-0005-0000-0000-000022030000}"/>
    <cellStyle name="Currency 4 3 4 2" xfId="1878" xr:uid="{00000000-0005-0000-0000-000023030000}"/>
    <cellStyle name="Currency 4 3 5" xfId="1536" xr:uid="{00000000-0005-0000-0000-000024030000}"/>
    <cellStyle name="Currency 4 3 6" xfId="1840" xr:uid="{00000000-0005-0000-0000-000025030000}"/>
    <cellStyle name="Currency 4 4" xfId="667" xr:uid="{00000000-0005-0000-0000-000026030000}"/>
    <cellStyle name="Currency 4 4 2" xfId="893" xr:uid="{00000000-0005-0000-0000-000027030000}"/>
    <cellStyle name="Currency 4 4 2 2" xfId="1955" xr:uid="{00000000-0005-0000-0000-000028030000}"/>
    <cellStyle name="Currency 4 4 3" xfId="1889" xr:uid="{00000000-0005-0000-0000-000029030000}"/>
    <cellStyle name="Currency 4 5" xfId="780" xr:uid="{00000000-0005-0000-0000-00002A030000}"/>
    <cellStyle name="Currency 4 5 2" xfId="1922" xr:uid="{00000000-0005-0000-0000-00002B030000}"/>
    <cellStyle name="Currency 4 6" xfId="543" xr:uid="{00000000-0005-0000-0000-00002C030000}"/>
    <cellStyle name="Currency 4 6 2" xfId="1855" xr:uid="{00000000-0005-0000-0000-00002D030000}"/>
    <cellStyle name="Currency 5" xfId="1171" xr:uid="{00000000-0005-0000-0000-00002E030000}"/>
    <cellStyle name="Currency 5 2" xfId="1984" xr:uid="{00000000-0005-0000-0000-00002F030000}"/>
    <cellStyle name="Currency 6" xfId="1227" xr:uid="{00000000-0005-0000-0000-000030030000}"/>
    <cellStyle name="Currency 6 2" xfId="1992" xr:uid="{00000000-0005-0000-0000-000031030000}"/>
    <cellStyle name="Currency 7" xfId="1228" xr:uid="{00000000-0005-0000-0000-000032030000}"/>
    <cellStyle name="Currency 7 2" xfId="1479" xr:uid="{00000000-0005-0000-0000-000033030000}"/>
    <cellStyle name="Currency 7 2 2" xfId="2025" xr:uid="{00000000-0005-0000-0000-000034030000}"/>
    <cellStyle name="Currency 7 2 2 2" xfId="2087" xr:uid="{00000000-0005-0000-0000-000035030000}"/>
    <cellStyle name="Currency 7 3" xfId="1993" xr:uid="{00000000-0005-0000-0000-000036030000}"/>
    <cellStyle name="Currency 7 3 2" xfId="2066" xr:uid="{00000000-0005-0000-0000-000037030000}"/>
    <cellStyle name="Currency 8" xfId="1229" xr:uid="{00000000-0005-0000-0000-000038030000}"/>
    <cellStyle name="Currency 8 2" xfId="1994" xr:uid="{00000000-0005-0000-0000-000039030000}"/>
    <cellStyle name="Currency 9" xfId="1230" xr:uid="{00000000-0005-0000-0000-00003A030000}"/>
    <cellStyle name="Date" xfId="1315" xr:uid="{00000000-0005-0000-0000-00003B030000}"/>
    <cellStyle name="Date [ham]" xfId="1316" xr:uid="{00000000-0005-0000-0000-00003C030000}"/>
    <cellStyle name="Date [ham] 2" xfId="1351" xr:uid="{00000000-0005-0000-0000-00003D030000}"/>
    <cellStyle name="Date 2" xfId="1350" xr:uid="{00000000-0005-0000-0000-00003E030000}"/>
    <cellStyle name="Date 3" xfId="1381" xr:uid="{00000000-0005-0000-0000-00003F030000}"/>
    <cellStyle name="Date 4" xfId="1408" xr:uid="{00000000-0005-0000-0000-000040030000}"/>
    <cellStyle name="Date 5" xfId="1435" xr:uid="{00000000-0005-0000-0000-000041030000}"/>
    <cellStyle name="Date 6" xfId="1645" xr:uid="{00000000-0005-0000-0000-000042030000}"/>
    <cellStyle name="Date 7" xfId="1646" xr:uid="{00000000-0005-0000-0000-000043030000}"/>
    <cellStyle name="Date 8" xfId="1647" xr:uid="{00000000-0005-0000-0000-000044030000}"/>
    <cellStyle name="Date 9" xfId="1651" xr:uid="{00000000-0005-0000-0000-000045030000}"/>
    <cellStyle name="days" xfId="1317" xr:uid="{00000000-0005-0000-0000-000046030000}"/>
    <cellStyle name="days 2" xfId="1352" xr:uid="{00000000-0005-0000-0000-000047030000}"/>
    <cellStyle name="days 3" xfId="1382" xr:uid="{00000000-0005-0000-0000-000048030000}"/>
    <cellStyle name="days 4" xfId="1409" xr:uid="{00000000-0005-0000-0000-000049030000}"/>
    <cellStyle name="days 5" xfId="1436" xr:uid="{00000000-0005-0000-0000-00004A030000}"/>
    <cellStyle name="days 6" xfId="1652" xr:uid="{00000000-0005-0000-0000-00004B030000}"/>
    <cellStyle name="days 6 2" xfId="1685" xr:uid="{00000000-0005-0000-0000-00004C030000}"/>
    <cellStyle name="Explanatory Text" xfId="16" builtinId="53" customBuiltin="1"/>
    <cellStyle name="Explanatory Text 2" xfId="370" xr:uid="{00000000-0005-0000-0000-00004E030000}"/>
    <cellStyle name="Explanatory Text 2 2" xfId="371" xr:uid="{00000000-0005-0000-0000-00004F030000}"/>
    <cellStyle name="Explanatory Text 2 3" xfId="1231" xr:uid="{00000000-0005-0000-0000-000050030000}"/>
    <cellStyle name="Explanatory Text 2 3 2" xfId="1786" xr:uid="{00000000-0005-0000-0000-000051030000}"/>
    <cellStyle name="Explanatory Text 2 3 3" xfId="1578" xr:uid="{00000000-0005-0000-0000-000052030000}"/>
    <cellStyle name="Explanatory Text 3" xfId="372" xr:uid="{00000000-0005-0000-0000-000053030000}"/>
    <cellStyle name="Explanatory Text 4" xfId="2124" xr:uid="{00000000-0005-0000-0000-000054030000}"/>
    <cellStyle name="GL" xfId="1318" xr:uid="{00000000-0005-0000-0000-000055030000}"/>
    <cellStyle name="GL 2" xfId="1353" xr:uid="{00000000-0005-0000-0000-000056030000}"/>
    <cellStyle name="GL 3" xfId="1383" xr:uid="{00000000-0005-0000-0000-000057030000}"/>
    <cellStyle name="GL 4" xfId="1410" xr:uid="{00000000-0005-0000-0000-000058030000}"/>
    <cellStyle name="GL 5" xfId="1437" xr:uid="{00000000-0005-0000-0000-000059030000}"/>
    <cellStyle name="GL 6" xfId="1653" xr:uid="{00000000-0005-0000-0000-00005A030000}"/>
    <cellStyle name="GL 6 2" xfId="1686" xr:uid="{00000000-0005-0000-0000-00005B030000}"/>
    <cellStyle name="GL/y" xfId="1319" xr:uid="{00000000-0005-0000-0000-00005C030000}"/>
    <cellStyle name="GL/y 2" xfId="1354" xr:uid="{00000000-0005-0000-0000-00005D030000}"/>
    <cellStyle name="GL/y 3" xfId="1384" xr:uid="{00000000-0005-0000-0000-00005E030000}"/>
    <cellStyle name="GL/y 4" xfId="1411" xr:uid="{00000000-0005-0000-0000-00005F030000}"/>
    <cellStyle name="GL/y 5" xfId="1438" xr:uid="{00000000-0005-0000-0000-000060030000}"/>
    <cellStyle name="GL/y 6" xfId="1654" xr:uid="{00000000-0005-0000-0000-000061030000}"/>
    <cellStyle name="GL/y 6 2" xfId="1687" xr:uid="{00000000-0005-0000-0000-000062030000}"/>
    <cellStyle name="Good" xfId="6" builtinId="26" customBuiltin="1"/>
    <cellStyle name="Good 2" xfId="221" xr:uid="{00000000-0005-0000-0000-000064030000}"/>
    <cellStyle name="Good 2 2" xfId="374" xr:uid="{00000000-0005-0000-0000-000065030000}"/>
    <cellStyle name="Good 2 2 2" xfId="1232" xr:uid="{00000000-0005-0000-0000-000066030000}"/>
    <cellStyle name="Good 2 2 2 2" xfId="1787" xr:uid="{00000000-0005-0000-0000-000067030000}"/>
    <cellStyle name="Good 2 2 2 3" xfId="1582" xr:uid="{00000000-0005-0000-0000-000068030000}"/>
    <cellStyle name="Good 2 3" xfId="373" xr:uid="{00000000-0005-0000-0000-000069030000}"/>
    <cellStyle name="Good 3" xfId="375" xr:uid="{00000000-0005-0000-0000-00006A030000}"/>
    <cellStyle name="Good 4" xfId="2114" xr:uid="{00000000-0005-0000-0000-00006B030000}"/>
    <cellStyle name="Heading" xfId="1233" xr:uid="{00000000-0005-0000-0000-00006C030000}"/>
    <cellStyle name="Heading 1" xfId="2" builtinId="16" customBuiltin="1"/>
    <cellStyle name="Heading 1 2" xfId="222" xr:uid="{00000000-0005-0000-0000-00006E030000}"/>
    <cellStyle name="Heading 1 2 2" xfId="377" xr:uid="{00000000-0005-0000-0000-00006F030000}"/>
    <cellStyle name="Heading 1 2 2 2" xfId="1320" xr:uid="{00000000-0005-0000-0000-000070030000}"/>
    <cellStyle name="Heading 1 2 2 2 2" xfId="2011" xr:uid="{00000000-0005-0000-0000-000071030000}"/>
    <cellStyle name="Heading 1 2 2 2 3" xfId="1590" xr:uid="{00000000-0005-0000-0000-000072030000}"/>
    <cellStyle name="Heading 1 2 3" xfId="376" xr:uid="{00000000-0005-0000-0000-000073030000}"/>
    <cellStyle name="Heading 1 2 3 2" xfId="1712" xr:uid="{00000000-0005-0000-0000-000074030000}"/>
    <cellStyle name="Heading 1 2 4" xfId="1294" xr:uid="{00000000-0005-0000-0000-000075030000}"/>
    <cellStyle name="Heading 1 3" xfId="378" xr:uid="{00000000-0005-0000-0000-000076030000}"/>
    <cellStyle name="Heading 1 4" xfId="2110" xr:uid="{00000000-0005-0000-0000-000077030000}"/>
    <cellStyle name="Heading 2" xfId="3" builtinId="17" customBuiltin="1"/>
    <cellStyle name="Heading 2 2" xfId="223" xr:uid="{00000000-0005-0000-0000-000079030000}"/>
    <cellStyle name="Heading 2 2 2" xfId="380" xr:uid="{00000000-0005-0000-0000-00007A030000}"/>
    <cellStyle name="Heading 2 2 2 2" xfId="1321" xr:uid="{00000000-0005-0000-0000-00007B030000}"/>
    <cellStyle name="Heading 2 2 2 2 2" xfId="2012" xr:uid="{00000000-0005-0000-0000-00007C030000}"/>
    <cellStyle name="Heading 2 2 2 2 3" xfId="1594" xr:uid="{00000000-0005-0000-0000-00007D030000}"/>
    <cellStyle name="Heading 2 2 3" xfId="379" xr:uid="{00000000-0005-0000-0000-00007E030000}"/>
    <cellStyle name="Heading 2 2 3 2" xfId="1713" xr:uid="{00000000-0005-0000-0000-00007F030000}"/>
    <cellStyle name="Heading 2 2 4" xfId="1293" xr:uid="{00000000-0005-0000-0000-000080030000}"/>
    <cellStyle name="Heading 2 3" xfId="381" xr:uid="{00000000-0005-0000-0000-000081030000}"/>
    <cellStyle name="Heading 2 4" xfId="2111" xr:uid="{00000000-0005-0000-0000-000082030000}"/>
    <cellStyle name="Heading 3" xfId="4" builtinId="18" customBuiltin="1"/>
    <cellStyle name="Heading 3 2" xfId="382" xr:uid="{00000000-0005-0000-0000-000084030000}"/>
    <cellStyle name="Heading 3 2 2" xfId="383" xr:uid="{00000000-0005-0000-0000-000085030000}"/>
    <cellStyle name="Heading 3 2 2 2" xfId="1322" xr:uid="{00000000-0005-0000-0000-000086030000}"/>
    <cellStyle name="Heading 3 2 2 2 2" xfId="2013" xr:uid="{00000000-0005-0000-0000-000087030000}"/>
    <cellStyle name="Heading 3 2 2 2 3" xfId="1523" xr:uid="{00000000-0005-0000-0000-000088030000}"/>
    <cellStyle name="Heading 3 2 3" xfId="1234" xr:uid="{00000000-0005-0000-0000-000089030000}"/>
    <cellStyle name="Heading 3 2 3 2" xfId="1788" xr:uid="{00000000-0005-0000-0000-00008A030000}"/>
    <cellStyle name="Heading 3 2 3 3" xfId="1623" xr:uid="{00000000-0005-0000-0000-00008B030000}"/>
    <cellStyle name="Heading 3 3" xfId="384" xr:uid="{00000000-0005-0000-0000-00008C030000}"/>
    <cellStyle name="Heading 3 3 2" xfId="1291" xr:uid="{00000000-0005-0000-0000-00008D030000}"/>
    <cellStyle name="Heading 3 4" xfId="2112" xr:uid="{00000000-0005-0000-0000-00008E030000}"/>
    <cellStyle name="Heading 4" xfId="5" builtinId="19" customBuiltin="1"/>
    <cellStyle name="Heading 4 2" xfId="385" xr:uid="{00000000-0005-0000-0000-000090030000}"/>
    <cellStyle name="Heading 4 2 2" xfId="386" xr:uid="{00000000-0005-0000-0000-000091030000}"/>
    <cellStyle name="Heading 4 2 3" xfId="1292" xr:uid="{00000000-0005-0000-0000-000092030000}"/>
    <cellStyle name="Heading 4 3" xfId="387" xr:uid="{00000000-0005-0000-0000-000093030000}"/>
    <cellStyle name="Heading 4 4" xfId="2113" xr:uid="{00000000-0005-0000-0000-000094030000}"/>
    <cellStyle name="hrs" xfId="1323" xr:uid="{00000000-0005-0000-0000-000095030000}"/>
    <cellStyle name="hrs 2" xfId="1355" xr:uid="{00000000-0005-0000-0000-000096030000}"/>
    <cellStyle name="hrs 3" xfId="1385" xr:uid="{00000000-0005-0000-0000-000097030000}"/>
    <cellStyle name="hrs 4" xfId="1412" xr:uid="{00000000-0005-0000-0000-000098030000}"/>
    <cellStyle name="hrs 5" xfId="1439" xr:uid="{00000000-0005-0000-0000-000099030000}"/>
    <cellStyle name="hrs 6" xfId="1655" xr:uid="{00000000-0005-0000-0000-00009A030000}"/>
    <cellStyle name="hrs 6 2" xfId="1688" xr:uid="{00000000-0005-0000-0000-00009B030000}"/>
    <cellStyle name="Hyperlink" xfId="2157" builtinId="8"/>
    <cellStyle name="Hyperlink 2" xfId="50" xr:uid="{00000000-0005-0000-0000-00009D030000}"/>
    <cellStyle name="Hyperlink 2 2" xfId="203" xr:uid="{00000000-0005-0000-0000-00009E030000}"/>
    <cellStyle name="Hyperlink 2 2 2" xfId="224" xr:uid="{00000000-0005-0000-0000-00009F030000}"/>
    <cellStyle name="Hyperlink 2 2 3" xfId="1272" xr:uid="{00000000-0005-0000-0000-0000A0030000}"/>
    <cellStyle name="Hyperlink 2 3" xfId="177" xr:uid="{00000000-0005-0000-0000-0000A1030000}"/>
    <cellStyle name="Hyperlink 2 4" xfId="1256" xr:uid="{00000000-0005-0000-0000-0000A2030000}"/>
    <cellStyle name="Hyperlink 2 5" xfId="1808" xr:uid="{00000000-0005-0000-0000-0000A3030000}"/>
    <cellStyle name="Hyperlink 3" xfId="51" xr:uid="{00000000-0005-0000-0000-0000A4030000}"/>
    <cellStyle name="Hyperlink 3 2" xfId="205" xr:uid="{00000000-0005-0000-0000-0000A5030000}"/>
    <cellStyle name="Hyperlink 3 2 2" xfId="225" xr:uid="{00000000-0005-0000-0000-0000A6030000}"/>
    <cellStyle name="Hyperlink 3 2 3" xfId="1274" xr:uid="{00000000-0005-0000-0000-0000A7030000}"/>
    <cellStyle name="Hyperlink 3 3" xfId="178" xr:uid="{00000000-0005-0000-0000-0000A8030000}"/>
    <cellStyle name="Hyperlink 3 4" xfId="1257" xr:uid="{00000000-0005-0000-0000-0000A9030000}"/>
    <cellStyle name="Hyperlink 4" xfId="204" xr:uid="{00000000-0005-0000-0000-0000AA030000}"/>
    <cellStyle name="Hyperlink 4 2" xfId="226" xr:uid="{00000000-0005-0000-0000-0000AB030000}"/>
    <cellStyle name="Hyperlink 4 3" xfId="1273" xr:uid="{00000000-0005-0000-0000-0000AC030000}"/>
    <cellStyle name="Hyperlink 5" xfId="164" xr:uid="{00000000-0005-0000-0000-0000AD030000}"/>
    <cellStyle name="Hyperlink 5 2" xfId="227" xr:uid="{00000000-0005-0000-0000-0000AE030000}"/>
    <cellStyle name="Hyperlink 5 3" xfId="1271" xr:uid="{00000000-0005-0000-0000-0000AF030000}"/>
    <cellStyle name="Hyperlink 5 4" xfId="1644" xr:uid="{00000000-0005-0000-0000-0000B0030000}"/>
    <cellStyle name="Hyperlink 6" xfId="228" xr:uid="{00000000-0005-0000-0000-0000B1030000}"/>
    <cellStyle name="Hyperlink 7" xfId="229" xr:uid="{00000000-0005-0000-0000-0000B2030000}"/>
    <cellStyle name="Hyperlink 8" xfId="49" xr:uid="{00000000-0005-0000-0000-0000B3030000}"/>
    <cellStyle name="Input" xfId="9" builtinId="20" customBuiltin="1"/>
    <cellStyle name="Input 2" xfId="388" xr:uid="{00000000-0005-0000-0000-0000B5030000}"/>
    <cellStyle name="Input 2 2" xfId="389" xr:uid="{00000000-0005-0000-0000-0000B6030000}"/>
    <cellStyle name="Input 2 2 2" xfId="995" xr:uid="{00000000-0005-0000-0000-0000B7030000}"/>
    <cellStyle name="Input 2 2 2 2" xfId="1092" xr:uid="{00000000-0005-0000-0000-0000B8030000}"/>
    <cellStyle name="Input 2 2 3" xfId="997" xr:uid="{00000000-0005-0000-0000-0000B9030000}"/>
    <cellStyle name="Input 2 2 3 2" xfId="1090" xr:uid="{00000000-0005-0000-0000-0000BA030000}"/>
    <cellStyle name="Input 2 2 4" xfId="984" xr:uid="{00000000-0005-0000-0000-0000BB030000}"/>
    <cellStyle name="Input 2 2 4 2" xfId="1100" xr:uid="{00000000-0005-0000-0000-0000BC030000}"/>
    <cellStyle name="Input 2 2 5" xfId="998" xr:uid="{00000000-0005-0000-0000-0000BD030000}"/>
    <cellStyle name="Input 2 2 5 2" xfId="1089" xr:uid="{00000000-0005-0000-0000-0000BE030000}"/>
    <cellStyle name="Input 2 2 6" xfId="990" xr:uid="{00000000-0005-0000-0000-0000BF030000}"/>
    <cellStyle name="Input 2 2 6 2" xfId="1095" xr:uid="{00000000-0005-0000-0000-0000C0030000}"/>
    <cellStyle name="Input 2 2 7" xfId="1111" xr:uid="{00000000-0005-0000-0000-0000C1030000}"/>
    <cellStyle name="Input 2 3" xfId="994" xr:uid="{00000000-0005-0000-0000-0000C2030000}"/>
    <cellStyle name="Input 2 3 2" xfId="1093" xr:uid="{00000000-0005-0000-0000-0000C3030000}"/>
    <cellStyle name="Input 2 4" xfId="1055" xr:uid="{00000000-0005-0000-0000-0000C4030000}"/>
    <cellStyle name="Input 2 4 2" xfId="1161" xr:uid="{00000000-0005-0000-0000-0000C5030000}"/>
    <cellStyle name="Input 2 5" xfId="1013" xr:uid="{00000000-0005-0000-0000-0000C6030000}"/>
    <cellStyle name="Input 2 5 2" xfId="1083" xr:uid="{00000000-0005-0000-0000-0000C7030000}"/>
    <cellStyle name="Input 2 6" xfId="1002" xr:uid="{00000000-0005-0000-0000-0000C8030000}"/>
    <cellStyle name="Input 2 6 2" xfId="1086" xr:uid="{00000000-0005-0000-0000-0000C9030000}"/>
    <cellStyle name="Input 2 7" xfId="1049" xr:uid="{00000000-0005-0000-0000-0000CA030000}"/>
    <cellStyle name="Input 2 7 2" xfId="1159" xr:uid="{00000000-0005-0000-0000-0000CB030000}"/>
    <cellStyle name="Input 2 8" xfId="1113" xr:uid="{00000000-0005-0000-0000-0000CC030000}"/>
    <cellStyle name="Input 2 9" xfId="1235" xr:uid="{00000000-0005-0000-0000-0000CD030000}"/>
    <cellStyle name="Input 2 9 2" xfId="1789" xr:uid="{00000000-0005-0000-0000-0000CE030000}"/>
    <cellStyle name="Input 2 9 3" xfId="1553" xr:uid="{00000000-0005-0000-0000-0000CF030000}"/>
    <cellStyle name="Input 3" xfId="390" xr:uid="{00000000-0005-0000-0000-0000D0030000}"/>
    <cellStyle name="Input 3 2" xfId="996" xr:uid="{00000000-0005-0000-0000-0000D1030000}"/>
    <cellStyle name="Input 3 2 2" xfId="1091" xr:uid="{00000000-0005-0000-0000-0000D2030000}"/>
    <cellStyle name="Input 3 3" xfId="1029" xr:uid="{00000000-0005-0000-0000-0000D3030000}"/>
    <cellStyle name="Input 3 3 2" xfId="1080" xr:uid="{00000000-0005-0000-0000-0000D4030000}"/>
    <cellStyle name="Input 3 4" xfId="1010" xr:uid="{00000000-0005-0000-0000-0000D5030000}"/>
    <cellStyle name="Input 3 4 2" xfId="1084" xr:uid="{00000000-0005-0000-0000-0000D6030000}"/>
    <cellStyle name="Input 3 5" xfId="1050" xr:uid="{00000000-0005-0000-0000-0000D7030000}"/>
    <cellStyle name="Input 3 5 2" xfId="1160" xr:uid="{00000000-0005-0000-0000-0000D8030000}"/>
    <cellStyle name="Input 3 6" xfId="1025" xr:uid="{00000000-0005-0000-0000-0000D9030000}"/>
    <cellStyle name="Input 3 6 2" xfId="1082" xr:uid="{00000000-0005-0000-0000-0000DA030000}"/>
    <cellStyle name="Input 3 7" xfId="1109" xr:uid="{00000000-0005-0000-0000-0000DB030000}"/>
    <cellStyle name="Input 4" xfId="2117" xr:uid="{00000000-0005-0000-0000-0000DC030000}"/>
    <cellStyle name="kg" xfId="1324" xr:uid="{00000000-0005-0000-0000-0000DD030000}"/>
    <cellStyle name="kg 2" xfId="1356" xr:uid="{00000000-0005-0000-0000-0000DE030000}"/>
    <cellStyle name="kg 3" xfId="1386" xr:uid="{00000000-0005-0000-0000-0000DF030000}"/>
    <cellStyle name="kg 4" xfId="1413" xr:uid="{00000000-0005-0000-0000-0000E0030000}"/>
    <cellStyle name="kg 5" xfId="1440" xr:uid="{00000000-0005-0000-0000-0000E1030000}"/>
    <cellStyle name="kg 6" xfId="1656" xr:uid="{00000000-0005-0000-0000-0000E2030000}"/>
    <cellStyle name="kg 6 2" xfId="1689" xr:uid="{00000000-0005-0000-0000-0000E3030000}"/>
    <cellStyle name="kL" xfId="1325" xr:uid="{00000000-0005-0000-0000-0000E4030000}"/>
    <cellStyle name="kL 2" xfId="1357" xr:uid="{00000000-0005-0000-0000-0000E5030000}"/>
    <cellStyle name="kL 3" xfId="1387" xr:uid="{00000000-0005-0000-0000-0000E6030000}"/>
    <cellStyle name="kL 4" xfId="1414" xr:uid="{00000000-0005-0000-0000-0000E7030000}"/>
    <cellStyle name="kL 5" xfId="1441" xr:uid="{00000000-0005-0000-0000-0000E8030000}"/>
    <cellStyle name="kL 6" xfId="1657" xr:uid="{00000000-0005-0000-0000-0000E9030000}"/>
    <cellStyle name="kL 6 2" xfId="1690" xr:uid="{00000000-0005-0000-0000-0000EA030000}"/>
    <cellStyle name="kL/h" xfId="1326" xr:uid="{00000000-0005-0000-0000-0000EB030000}"/>
    <cellStyle name="kL/h 2" xfId="1358" xr:uid="{00000000-0005-0000-0000-0000EC030000}"/>
    <cellStyle name="kL/ser/d" xfId="1327" xr:uid="{00000000-0005-0000-0000-0000ED030000}"/>
    <cellStyle name="kL/ser/d 2" xfId="1359" xr:uid="{00000000-0005-0000-0000-0000EE030000}"/>
    <cellStyle name="kL/ser/d 3" xfId="1388" xr:uid="{00000000-0005-0000-0000-0000EF030000}"/>
    <cellStyle name="kL/ser/d 4" xfId="1415" xr:uid="{00000000-0005-0000-0000-0000F0030000}"/>
    <cellStyle name="kL/ser/d 5" xfId="1442" xr:uid="{00000000-0005-0000-0000-0000F1030000}"/>
    <cellStyle name="kL/ser/d 6" xfId="1658" xr:uid="{00000000-0005-0000-0000-0000F2030000}"/>
    <cellStyle name="kL/ser/d 6 2" xfId="1691" xr:uid="{00000000-0005-0000-0000-0000F3030000}"/>
    <cellStyle name="km" xfId="1328" xr:uid="{00000000-0005-0000-0000-0000F4030000}"/>
    <cellStyle name="km 2" xfId="1360" xr:uid="{00000000-0005-0000-0000-0000F5030000}"/>
    <cellStyle name="km 3" xfId="1389" xr:uid="{00000000-0005-0000-0000-0000F6030000}"/>
    <cellStyle name="km 4" xfId="1416" xr:uid="{00000000-0005-0000-0000-0000F7030000}"/>
    <cellStyle name="km 5" xfId="1443" xr:uid="{00000000-0005-0000-0000-0000F8030000}"/>
    <cellStyle name="km 6" xfId="1659" xr:uid="{00000000-0005-0000-0000-0000F9030000}"/>
    <cellStyle name="km 6 2" xfId="1692" xr:uid="{00000000-0005-0000-0000-0000FA030000}"/>
    <cellStyle name="kPa" xfId="1329" xr:uid="{00000000-0005-0000-0000-0000FB030000}"/>
    <cellStyle name="kPa 2" xfId="1361" xr:uid="{00000000-0005-0000-0000-0000FC030000}"/>
    <cellStyle name="kPa 3" xfId="1390" xr:uid="{00000000-0005-0000-0000-0000FD030000}"/>
    <cellStyle name="kPa 4" xfId="1417" xr:uid="{00000000-0005-0000-0000-0000FE030000}"/>
    <cellStyle name="kPa 5" xfId="1444" xr:uid="{00000000-0005-0000-0000-0000FF030000}"/>
    <cellStyle name="kPa 6" xfId="1660" xr:uid="{00000000-0005-0000-0000-000000040000}"/>
    <cellStyle name="kPa 6 2" xfId="1693" xr:uid="{00000000-0005-0000-0000-000001040000}"/>
    <cellStyle name="kW" xfId="1330" xr:uid="{00000000-0005-0000-0000-000002040000}"/>
    <cellStyle name="kW 2" xfId="1362" xr:uid="{00000000-0005-0000-0000-000003040000}"/>
    <cellStyle name="kW 3" xfId="1391" xr:uid="{00000000-0005-0000-0000-000004040000}"/>
    <cellStyle name="kW 4" xfId="1418" xr:uid="{00000000-0005-0000-0000-000005040000}"/>
    <cellStyle name="kW 5" xfId="1445" xr:uid="{00000000-0005-0000-0000-000006040000}"/>
    <cellStyle name="kW 6" xfId="1661" xr:uid="{00000000-0005-0000-0000-000007040000}"/>
    <cellStyle name="kW 6 2" xfId="1694" xr:uid="{00000000-0005-0000-0000-000008040000}"/>
    <cellStyle name="kWh" xfId="1331" xr:uid="{00000000-0005-0000-0000-000009040000}"/>
    <cellStyle name="kWh 2" xfId="1363" xr:uid="{00000000-0005-0000-0000-00000A040000}"/>
    <cellStyle name="kWh 3" xfId="1392" xr:uid="{00000000-0005-0000-0000-00000B040000}"/>
    <cellStyle name="kWh 4" xfId="1419" xr:uid="{00000000-0005-0000-0000-00000C040000}"/>
    <cellStyle name="kWh 5" xfId="1446" xr:uid="{00000000-0005-0000-0000-00000D040000}"/>
    <cellStyle name="kWh 6" xfId="1662" xr:uid="{00000000-0005-0000-0000-00000E040000}"/>
    <cellStyle name="kWh 6 2" xfId="1695" xr:uid="{00000000-0005-0000-0000-00000F040000}"/>
    <cellStyle name="L" xfId="1332" xr:uid="{00000000-0005-0000-0000-000010040000}"/>
    <cellStyle name="L 2" xfId="1364" xr:uid="{00000000-0005-0000-0000-000011040000}"/>
    <cellStyle name="L 3" xfId="1393" xr:uid="{00000000-0005-0000-0000-000012040000}"/>
    <cellStyle name="L 4" xfId="1420" xr:uid="{00000000-0005-0000-0000-000013040000}"/>
    <cellStyle name="L 5" xfId="1447" xr:uid="{00000000-0005-0000-0000-000014040000}"/>
    <cellStyle name="L 6" xfId="1663" xr:uid="{00000000-0005-0000-0000-000015040000}"/>
    <cellStyle name="L 6 2" xfId="1696" xr:uid="{00000000-0005-0000-0000-000016040000}"/>
    <cellStyle name="L/min" xfId="1333" xr:uid="{00000000-0005-0000-0000-000017040000}"/>
    <cellStyle name="L/min 2" xfId="1365" xr:uid="{00000000-0005-0000-0000-000018040000}"/>
    <cellStyle name="L/s" xfId="1334" xr:uid="{00000000-0005-0000-0000-000019040000}"/>
    <cellStyle name="L/s 2" xfId="1366" xr:uid="{00000000-0005-0000-0000-00001A040000}"/>
    <cellStyle name="L/s 3" xfId="1394" xr:uid="{00000000-0005-0000-0000-00001B040000}"/>
    <cellStyle name="L/s 4" xfId="1421" xr:uid="{00000000-0005-0000-0000-00001C040000}"/>
    <cellStyle name="L/s 5" xfId="1448" xr:uid="{00000000-0005-0000-0000-00001D040000}"/>
    <cellStyle name="L/s 6" xfId="1664" xr:uid="{00000000-0005-0000-0000-00001E040000}"/>
    <cellStyle name="L/s 6 2" xfId="1697" xr:uid="{00000000-0005-0000-0000-00001F040000}"/>
    <cellStyle name="Linked Cell" xfId="12" builtinId="24" customBuiltin="1"/>
    <cellStyle name="Linked Cell 2" xfId="391" xr:uid="{00000000-0005-0000-0000-000021040000}"/>
    <cellStyle name="Linked Cell 2 2" xfId="392" xr:uid="{00000000-0005-0000-0000-000022040000}"/>
    <cellStyle name="Linked Cell 2 3" xfId="1236" xr:uid="{00000000-0005-0000-0000-000023040000}"/>
    <cellStyle name="Linked Cell 2 3 2" xfId="1790" xr:uid="{00000000-0005-0000-0000-000024040000}"/>
    <cellStyle name="Linked Cell 2 3 3" xfId="1611" xr:uid="{00000000-0005-0000-0000-000025040000}"/>
    <cellStyle name="Linked Cell 3" xfId="393" xr:uid="{00000000-0005-0000-0000-000026040000}"/>
    <cellStyle name="Linked Cell 4" xfId="2120" xr:uid="{00000000-0005-0000-0000-000027040000}"/>
    <cellStyle name="m" xfId="1335" xr:uid="{00000000-0005-0000-0000-000028040000}"/>
    <cellStyle name="m 2" xfId="1367" xr:uid="{00000000-0005-0000-0000-000029040000}"/>
    <cellStyle name="m 3" xfId="1395" xr:uid="{00000000-0005-0000-0000-00002A040000}"/>
    <cellStyle name="m 4" xfId="1422" xr:uid="{00000000-0005-0000-0000-00002B040000}"/>
    <cellStyle name="m 5" xfId="1449" xr:uid="{00000000-0005-0000-0000-00002C040000}"/>
    <cellStyle name="m 6" xfId="1665" xr:uid="{00000000-0005-0000-0000-00002D040000}"/>
    <cellStyle name="m 6 2" xfId="1698" xr:uid="{00000000-0005-0000-0000-00002E040000}"/>
    <cellStyle name="m/km" xfId="1336" xr:uid="{00000000-0005-0000-0000-00002F040000}"/>
    <cellStyle name="m/km 2" xfId="1368" xr:uid="{00000000-0005-0000-0000-000030040000}"/>
    <cellStyle name="m/km 3" xfId="1396" xr:uid="{00000000-0005-0000-0000-000031040000}"/>
    <cellStyle name="m/km 4" xfId="1423" xr:uid="{00000000-0005-0000-0000-000032040000}"/>
    <cellStyle name="m/km 5" xfId="1450" xr:uid="{00000000-0005-0000-0000-000033040000}"/>
    <cellStyle name="m/km 6" xfId="1666" xr:uid="{00000000-0005-0000-0000-000034040000}"/>
    <cellStyle name="m/km 6 2" xfId="1699" xr:uid="{00000000-0005-0000-0000-000035040000}"/>
    <cellStyle name="m/s" xfId="1337" xr:uid="{00000000-0005-0000-0000-000036040000}"/>
    <cellStyle name="m/s 2" xfId="1369" xr:uid="{00000000-0005-0000-0000-000037040000}"/>
    <cellStyle name="m/s 3" xfId="1397" xr:uid="{00000000-0005-0000-0000-000038040000}"/>
    <cellStyle name="m/s 4" xfId="1424" xr:uid="{00000000-0005-0000-0000-000039040000}"/>
    <cellStyle name="m/s 5" xfId="1451" xr:uid="{00000000-0005-0000-0000-00003A040000}"/>
    <cellStyle name="m/s 6" xfId="1667" xr:uid="{00000000-0005-0000-0000-00003B040000}"/>
    <cellStyle name="m/s 6 2" xfId="1700" xr:uid="{00000000-0005-0000-0000-00003C040000}"/>
    <cellStyle name="mAHD" xfId="1338" xr:uid="{00000000-0005-0000-0000-00003D040000}"/>
    <cellStyle name="mAHD 2" xfId="1370" xr:uid="{00000000-0005-0000-0000-00003E040000}"/>
    <cellStyle name="mAHD 3" xfId="1398" xr:uid="{00000000-0005-0000-0000-00003F040000}"/>
    <cellStyle name="mAHD 4" xfId="1425" xr:uid="{00000000-0005-0000-0000-000040040000}"/>
    <cellStyle name="mAHD 5" xfId="1452" xr:uid="{00000000-0005-0000-0000-000041040000}"/>
    <cellStyle name="mAHD 6" xfId="1668" xr:uid="{00000000-0005-0000-0000-000042040000}"/>
    <cellStyle name="mAHD 6 2" xfId="1701" xr:uid="{00000000-0005-0000-0000-000043040000}"/>
    <cellStyle name="MJ" xfId="1339" xr:uid="{00000000-0005-0000-0000-000044040000}"/>
    <cellStyle name="MJ 2" xfId="1371" xr:uid="{00000000-0005-0000-0000-000045040000}"/>
    <cellStyle name="MJ 3" xfId="1399" xr:uid="{00000000-0005-0000-0000-000046040000}"/>
    <cellStyle name="MJ 4" xfId="1426" xr:uid="{00000000-0005-0000-0000-000047040000}"/>
    <cellStyle name="MJ 5" xfId="1453" xr:uid="{00000000-0005-0000-0000-000048040000}"/>
    <cellStyle name="MJ 6" xfId="1669" xr:uid="{00000000-0005-0000-0000-000049040000}"/>
    <cellStyle name="MJ 6 2" xfId="1702" xr:uid="{00000000-0005-0000-0000-00004A040000}"/>
    <cellStyle name="ML" xfId="1340" xr:uid="{00000000-0005-0000-0000-00004B040000}"/>
    <cellStyle name="ML 2" xfId="1372" xr:uid="{00000000-0005-0000-0000-00004C040000}"/>
    <cellStyle name="ML 3" xfId="1400" xr:uid="{00000000-0005-0000-0000-00004D040000}"/>
    <cellStyle name="ML 4" xfId="1427" xr:uid="{00000000-0005-0000-0000-00004E040000}"/>
    <cellStyle name="ML 5" xfId="1454" xr:uid="{00000000-0005-0000-0000-00004F040000}"/>
    <cellStyle name="ML 6" xfId="1670" xr:uid="{00000000-0005-0000-0000-000050040000}"/>
    <cellStyle name="ML 6 2" xfId="1703" xr:uid="{00000000-0005-0000-0000-000051040000}"/>
    <cellStyle name="ML/d" xfId="1341" xr:uid="{00000000-0005-0000-0000-000052040000}"/>
    <cellStyle name="ML/d 2" xfId="1373" xr:uid="{00000000-0005-0000-0000-000053040000}"/>
    <cellStyle name="ML/d 3" xfId="1401" xr:uid="{00000000-0005-0000-0000-000054040000}"/>
    <cellStyle name="ML/d 4" xfId="1428" xr:uid="{00000000-0005-0000-0000-000055040000}"/>
    <cellStyle name="ML/d 5" xfId="1455" xr:uid="{00000000-0005-0000-0000-000056040000}"/>
    <cellStyle name="ML/d 6" xfId="1671" xr:uid="{00000000-0005-0000-0000-000057040000}"/>
    <cellStyle name="ML/d 6 2" xfId="1704" xr:uid="{00000000-0005-0000-0000-000058040000}"/>
    <cellStyle name="mm" xfId="1342" xr:uid="{00000000-0005-0000-0000-000059040000}"/>
    <cellStyle name="mm 2" xfId="1374" xr:uid="{00000000-0005-0000-0000-00005A040000}"/>
    <cellStyle name="mm 3" xfId="1402" xr:uid="{00000000-0005-0000-0000-00005B040000}"/>
    <cellStyle name="mm 4" xfId="1429" xr:uid="{00000000-0005-0000-0000-00005C040000}"/>
    <cellStyle name="mm 5" xfId="1456" xr:uid="{00000000-0005-0000-0000-00005D040000}"/>
    <cellStyle name="mm 6" xfId="1672" xr:uid="{00000000-0005-0000-0000-00005E040000}"/>
    <cellStyle name="mm 6 2" xfId="1705" xr:uid="{00000000-0005-0000-0000-00005F040000}"/>
    <cellStyle name="mNCD" xfId="1343" xr:uid="{00000000-0005-0000-0000-000060040000}"/>
    <cellStyle name="mNCD 2" xfId="1375" xr:uid="{00000000-0005-0000-0000-000061040000}"/>
    <cellStyle name="Neutral" xfId="8" builtinId="28" customBuiltin="1"/>
    <cellStyle name="Neutral 2" xfId="394" xr:uid="{00000000-0005-0000-0000-000063040000}"/>
    <cellStyle name="Neutral 2 2" xfId="395" xr:uid="{00000000-0005-0000-0000-000064040000}"/>
    <cellStyle name="Neutral 2 3" xfId="1237" xr:uid="{00000000-0005-0000-0000-000065040000}"/>
    <cellStyle name="Neutral 2 3 2" xfId="1791" xr:uid="{00000000-0005-0000-0000-000066040000}"/>
    <cellStyle name="Neutral 2 3 3" xfId="1746" xr:uid="{00000000-0005-0000-0000-000067040000}"/>
    <cellStyle name="Neutral 3" xfId="396" xr:uid="{00000000-0005-0000-0000-000068040000}"/>
    <cellStyle name="Neutral 4" xfId="2116" xr:uid="{00000000-0005-0000-0000-000069040000}"/>
    <cellStyle name="Normal" xfId="0" builtinId="0"/>
    <cellStyle name="Normal 10" xfId="397" xr:uid="{00000000-0005-0000-0000-00006B040000}"/>
    <cellStyle name="Normal 10 10" xfId="1637" xr:uid="{00000000-0005-0000-0000-00006C040000}"/>
    <cellStyle name="Normal 10 2" xfId="52" xr:uid="{00000000-0005-0000-0000-00006D040000}"/>
    <cellStyle name="Normal 10 2 2" xfId="399" xr:uid="{00000000-0005-0000-0000-00006E040000}"/>
    <cellStyle name="Normal 10 2 2 2" xfId="400" xr:uid="{00000000-0005-0000-0000-00006F040000}"/>
    <cellStyle name="Normal 10 2 3" xfId="401" xr:uid="{00000000-0005-0000-0000-000070040000}"/>
    <cellStyle name="Normal 10 2 4" xfId="398" xr:uid="{00000000-0005-0000-0000-000071040000}"/>
    <cellStyle name="Normal 10 2 5" xfId="1477" xr:uid="{00000000-0005-0000-0000-000072040000}"/>
    <cellStyle name="Normal 10 2 5 2" xfId="2085" xr:uid="{00000000-0005-0000-0000-000073040000}"/>
    <cellStyle name="Normal 10 3" xfId="53" xr:uid="{00000000-0005-0000-0000-000074040000}"/>
    <cellStyle name="Normal 10 3 2" xfId="403" xr:uid="{00000000-0005-0000-0000-000075040000}"/>
    <cellStyle name="Normal 10 3 3" xfId="402" xr:uid="{00000000-0005-0000-0000-000076040000}"/>
    <cellStyle name="Normal 10 4" xfId="54" xr:uid="{00000000-0005-0000-0000-000077040000}"/>
    <cellStyle name="Normal 10 4 2" xfId="404" xr:uid="{00000000-0005-0000-0000-000078040000}"/>
    <cellStyle name="Normal 10 5" xfId="55" xr:uid="{00000000-0005-0000-0000-000079040000}"/>
    <cellStyle name="Normal 10 5 2" xfId="544" xr:uid="{00000000-0005-0000-0000-00007A040000}"/>
    <cellStyle name="Normal 10 6" xfId="56" xr:uid="{00000000-0005-0000-0000-00007B040000}"/>
    <cellStyle name="Normal 10 6 2" xfId="545" xr:uid="{00000000-0005-0000-0000-00007C040000}"/>
    <cellStyle name="Normal 10 7" xfId="57" xr:uid="{00000000-0005-0000-0000-00007D040000}"/>
    <cellStyle name="Normal 10 8" xfId="1238" xr:uid="{00000000-0005-0000-0000-00007E040000}"/>
    <cellStyle name="Normal 10 8 2" xfId="1295" xr:uid="{00000000-0005-0000-0000-00007F040000}"/>
    <cellStyle name="Normal 10 8 2 2" xfId="1734" xr:uid="{00000000-0005-0000-0000-000080040000}"/>
    <cellStyle name="Normal 10 8 2 3" xfId="1792" xr:uid="{00000000-0005-0000-0000-000081040000}"/>
    <cellStyle name="Normal 10 8 2 3 2" xfId="2151" xr:uid="{00000000-0005-0000-0000-000082040000}"/>
    <cellStyle name="Normal 10 8 3" xfId="1676" xr:uid="{00000000-0005-0000-0000-000083040000}"/>
    <cellStyle name="Normal 10 8 3 2" xfId="2067" xr:uid="{00000000-0005-0000-0000-000084040000}"/>
    <cellStyle name="Normal 10 9" xfId="1714" xr:uid="{00000000-0005-0000-0000-000085040000}"/>
    <cellStyle name="Normal 10 9 2" xfId="2048" xr:uid="{00000000-0005-0000-0000-000086040000}"/>
    <cellStyle name="Normal 10 9 3" xfId="1571" xr:uid="{00000000-0005-0000-0000-000087040000}"/>
    <cellStyle name="Normal 11" xfId="405" xr:uid="{00000000-0005-0000-0000-000088040000}"/>
    <cellStyle name="Normal 11 2" xfId="58" xr:uid="{00000000-0005-0000-0000-000089040000}"/>
    <cellStyle name="Normal 11 2 2" xfId="407" xr:uid="{00000000-0005-0000-0000-00008A040000}"/>
    <cellStyle name="Normal 11 2 2 2" xfId="408" xr:uid="{00000000-0005-0000-0000-00008B040000}"/>
    <cellStyle name="Normal 11 2 3" xfId="409" xr:uid="{00000000-0005-0000-0000-00008C040000}"/>
    <cellStyle name="Normal 11 2 4" xfId="406" xr:uid="{00000000-0005-0000-0000-00008D040000}"/>
    <cellStyle name="Normal 11 2 5" xfId="1499" xr:uid="{00000000-0005-0000-0000-00008E040000}"/>
    <cellStyle name="Normal 11 2 5 2" xfId="2105" xr:uid="{00000000-0005-0000-0000-00008F040000}"/>
    <cellStyle name="Normal 11 3" xfId="59" xr:uid="{00000000-0005-0000-0000-000090040000}"/>
    <cellStyle name="Normal 11 3 2" xfId="411" xr:uid="{00000000-0005-0000-0000-000091040000}"/>
    <cellStyle name="Normal 11 3 3" xfId="410" xr:uid="{00000000-0005-0000-0000-000092040000}"/>
    <cellStyle name="Normal 11 4" xfId="60" xr:uid="{00000000-0005-0000-0000-000093040000}"/>
    <cellStyle name="Normal 11 4 2" xfId="412" xr:uid="{00000000-0005-0000-0000-000094040000}"/>
    <cellStyle name="Normal 11 5" xfId="1239" xr:uid="{00000000-0005-0000-0000-000095040000}"/>
    <cellStyle name="Normal 11 5 2" xfId="1460" xr:uid="{00000000-0005-0000-0000-000096040000}"/>
    <cellStyle name="Normal 11 5 2 2" xfId="1735" xr:uid="{00000000-0005-0000-0000-000097040000}"/>
    <cellStyle name="Normal 11 5 2 3" xfId="1793" xr:uid="{00000000-0005-0000-0000-000098040000}"/>
    <cellStyle name="Normal 11 5 2 3 2" xfId="2152" xr:uid="{00000000-0005-0000-0000-000099040000}"/>
    <cellStyle name="Normal 11 5 3" xfId="1677" xr:uid="{00000000-0005-0000-0000-00009A040000}"/>
    <cellStyle name="Normal 11 5 3 2" xfId="2068" xr:uid="{00000000-0005-0000-0000-00009B040000}"/>
    <cellStyle name="Normal 11 6" xfId="1715" xr:uid="{00000000-0005-0000-0000-00009C040000}"/>
    <cellStyle name="Normal 11 6 2" xfId="2049" xr:uid="{00000000-0005-0000-0000-00009D040000}"/>
    <cellStyle name="Normal 11 6 3" xfId="1545" xr:uid="{00000000-0005-0000-0000-00009E040000}"/>
    <cellStyle name="Normal 11 7" xfId="1638" xr:uid="{00000000-0005-0000-0000-00009F040000}"/>
    <cellStyle name="Normal 12" xfId="413" xr:uid="{00000000-0005-0000-0000-0000A0040000}"/>
    <cellStyle name="Normal 12 2" xfId="414" xr:uid="{00000000-0005-0000-0000-0000A1040000}"/>
    <cellStyle name="Normal 12 2 2" xfId="415" xr:uid="{00000000-0005-0000-0000-0000A2040000}"/>
    <cellStyle name="Normal 12 2 2 2" xfId="416" xr:uid="{00000000-0005-0000-0000-0000A3040000}"/>
    <cellStyle name="Normal 12 2 3" xfId="417" xr:uid="{00000000-0005-0000-0000-0000A4040000}"/>
    <cellStyle name="Normal 12 2 4" xfId="1679" xr:uid="{00000000-0005-0000-0000-0000A5040000}"/>
    <cellStyle name="Normal 12 3" xfId="418" xr:uid="{00000000-0005-0000-0000-0000A6040000}"/>
    <cellStyle name="Normal 12 3 2" xfId="419" xr:uid="{00000000-0005-0000-0000-0000A7040000}"/>
    <cellStyle name="Normal 12 4" xfId="420" xr:uid="{00000000-0005-0000-0000-0000A8040000}"/>
    <cellStyle name="Normal 12 5" xfId="1467" xr:uid="{00000000-0005-0000-0000-0000A9040000}"/>
    <cellStyle name="Normal 12 5 2" xfId="2020" xr:uid="{00000000-0005-0000-0000-0000AA040000}"/>
    <cellStyle name="Normal 12 5 3" xfId="1579" xr:uid="{00000000-0005-0000-0000-0000AB040000}"/>
    <cellStyle name="Normal 12 6" xfId="1806" xr:uid="{00000000-0005-0000-0000-0000AC040000}"/>
    <cellStyle name="Normal 13" xfId="421" xr:uid="{00000000-0005-0000-0000-0000AD040000}"/>
    <cellStyle name="Normal 13 2" xfId="422" xr:uid="{00000000-0005-0000-0000-0000AE040000}"/>
    <cellStyle name="Normal 13 2 2" xfId="423" xr:uid="{00000000-0005-0000-0000-0000AF040000}"/>
    <cellStyle name="Normal 13 2 2 2" xfId="424" xr:uid="{00000000-0005-0000-0000-0000B0040000}"/>
    <cellStyle name="Normal 13 2 3" xfId="425" xr:uid="{00000000-0005-0000-0000-0000B1040000}"/>
    <cellStyle name="Normal 13 2 4" xfId="1680" xr:uid="{00000000-0005-0000-0000-0000B2040000}"/>
    <cellStyle name="Normal 13 3" xfId="426" xr:uid="{00000000-0005-0000-0000-0000B3040000}"/>
    <cellStyle name="Normal 13 3 2" xfId="427" xr:uid="{00000000-0005-0000-0000-0000B4040000}"/>
    <cellStyle name="Normal 13 3 3" xfId="1737" xr:uid="{00000000-0005-0000-0000-0000B5040000}"/>
    <cellStyle name="Normal 13 4" xfId="428" xr:uid="{00000000-0005-0000-0000-0000B6040000}"/>
    <cellStyle name="Normal 13 5" xfId="1469" xr:uid="{00000000-0005-0000-0000-0000B7040000}"/>
    <cellStyle name="Normal 13 5 2" xfId="2022" xr:uid="{00000000-0005-0000-0000-0000B8040000}"/>
    <cellStyle name="Normal 13 5 3" xfId="1507" xr:uid="{00000000-0005-0000-0000-0000B9040000}"/>
    <cellStyle name="Normal 13 5 3 2" xfId="2154" xr:uid="{00000000-0005-0000-0000-0000BA040000}"/>
    <cellStyle name="Normal 13 6" xfId="1640" xr:uid="{00000000-0005-0000-0000-0000BB040000}"/>
    <cellStyle name="Normal 14" xfId="429" xr:uid="{00000000-0005-0000-0000-0000BC040000}"/>
    <cellStyle name="Normal 14 2" xfId="430" xr:uid="{00000000-0005-0000-0000-0000BD040000}"/>
    <cellStyle name="Normal 14 2 2" xfId="431" xr:uid="{00000000-0005-0000-0000-0000BE040000}"/>
    <cellStyle name="Normal 14 2 2 2" xfId="432" xr:uid="{00000000-0005-0000-0000-0000BF040000}"/>
    <cellStyle name="Normal 14 2 3" xfId="433" xr:uid="{00000000-0005-0000-0000-0000C0040000}"/>
    <cellStyle name="Normal 14 2 4" xfId="1681" xr:uid="{00000000-0005-0000-0000-0000C1040000}"/>
    <cellStyle name="Normal 14 3" xfId="434" xr:uid="{00000000-0005-0000-0000-0000C2040000}"/>
    <cellStyle name="Normal 14 3 2" xfId="435" xr:uid="{00000000-0005-0000-0000-0000C3040000}"/>
    <cellStyle name="Normal 14 4" xfId="436" xr:uid="{00000000-0005-0000-0000-0000C4040000}"/>
    <cellStyle name="Normal 14 5" xfId="1641" xr:uid="{00000000-0005-0000-0000-0000C5040000}"/>
    <cellStyle name="Normal 15" xfId="437" xr:uid="{00000000-0005-0000-0000-0000C6040000}"/>
    <cellStyle name="Normal 15 2" xfId="438" xr:uid="{00000000-0005-0000-0000-0000C7040000}"/>
    <cellStyle name="Normal 15 2 2" xfId="439" xr:uid="{00000000-0005-0000-0000-0000C8040000}"/>
    <cellStyle name="Normal 15 2 2 2" xfId="440" xr:uid="{00000000-0005-0000-0000-0000C9040000}"/>
    <cellStyle name="Normal 15 2 3" xfId="441" xr:uid="{00000000-0005-0000-0000-0000CA040000}"/>
    <cellStyle name="Normal 15 3" xfId="442" xr:uid="{00000000-0005-0000-0000-0000CB040000}"/>
    <cellStyle name="Normal 15 3 2" xfId="443" xr:uid="{00000000-0005-0000-0000-0000CC040000}"/>
    <cellStyle name="Normal 15 4" xfId="444" xr:uid="{00000000-0005-0000-0000-0000CD040000}"/>
    <cellStyle name="Normal 15 5" xfId="1643" xr:uid="{00000000-0005-0000-0000-0000CE040000}"/>
    <cellStyle name="Normal 16" xfId="445" xr:uid="{00000000-0005-0000-0000-0000CF040000}"/>
    <cellStyle name="Normal 16 2" xfId="446" xr:uid="{00000000-0005-0000-0000-0000D0040000}"/>
    <cellStyle name="Normal 16 2 2" xfId="447" xr:uid="{00000000-0005-0000-0000-0000D1040000}"/>
    <cellStyle name="Normal 16 2 2 2" xfId="448" xr:uid="{00000000-0005-0000-0000-0000D2040000}"/>
    <cellStyle name="Normal 16 2 3" xfId="449" xr:uid="{00000000-0005-0000-0000-0000D3040000}"/>
    <cellStyle name="Normal 16 3" xfId="450" xr:uid="{00000000-0005-0000-0000-0000D4040000}"/>
    <cellStyle name="Normal 16 3 2" xfId="451" xr:uid="{00000000-0005-0000-0000-0000D5040000}"/>
    <cellStyle name="Normal 16 4" xfId="452" xr:uid="{00000000-0005-0000-0000-0000D6040000}"/>
    <cellStyle name="Normal 16 5" xfId="1675" xr:uid="{00000000-0005-0000-0000-0000D7040000}"/>
    <cellStyle name="Normal 17" xfId="453" xr:uid="{00000000-0005-0000-0000-0000D8040000}"/>
    <cellStyle name="Normal 17 2" xfId="454" xr:uid="{00000000-0005-0000-0000-0000D9040000}"/>
    <cellStyle name="Normal 17 2 2" xfId="455" xr:uid="{00000000-0005-0000-0000-0000DA040000}"/>
    <cellStyle name="Normal 17 2 2 2" xfId="456" xr:uid="{00000000-0005-0000-0000-0000DB040000}"/>
    <cellStyle name="Normal 17 2 3" xfId="457" xr:uid="{00000000-0005-0000-0000-0000DC040000}"/>
    <cellStyle name="Normal 17 3" xfId="458" xr:uid="{00000000-0005-0000-0000-0000DD040000}"/>
    <cellStyle name="Normal 17 3 2" xfId="459" xr:uid="{00000000-0005-0000-0000-0000DE040000}"/>
    <cellStyle name="Normal 17 4" xfId="460" xr:uid="{00000000-0005-0000-0000-0000DF040000}"/>
    <cellStyle name="Normal 18" xfId="461" xr:uid="{00000000-0005-0000-0000-0000E0040000}"/>
    <cellStyle name="Normal 18 2" xfId="462" xr:uid="{00000000-0005-0000-0000-0000E1040000}"/>
    <cellStyle name="Normal 19" xfId="463" xr:uid="{00000000-0005-0000-0000-0000E2040000}"/>
    <cellStyle name="Normal 2" xfId="42" xr:uid="{00000000-0005-0000-0000-0000E3040000}"/>
    <cellStyle name="Normal 2 10" xfId="62" xr:uid="{00000000-0005-0000-0000-0000E4040000}"/>
    <cellStyle name="Normal 2 11" xfId="63" xr:uid="{00000000-0005-0000-0000-0000E5040000}"/>
    <cellStyle name="Normal 2 12" xfId="207" xr:uid="{00000000-0005-0000-0000-0000E6040000}"/>
    <cellStyle name="Normal 2 12 2" xfId="1463" xr:uid="{00000000-0005-0000-0000-0000E7040000}"/>
    <cellStyle name="Normal 2 12 2 2" xfId="2017" xr:uid="{00000000-0005-0000-0000-0000E8040000}"/>
    <cellStyle name="Normal 2 12 2 3" xfId="1620" xr:uid="{00000000-0005-0000-0000-0000E9040000}"/>
    <cellStyle name="Normal 2 13" xfId="165" xr:uid="{00000000-0005-0000-0000-0000EA040000}"/>
    <cellStyle name="Normal 2 13 2" xfId="1299" xr:uid="{00000000-0005-0000-0000-0000EB040000}"/>
    <cellStyle name="Normal 2 13 2 2" xfId="1999" xr:uid="{00000000-0005-0000-0000-0000EC040000}"/>
    <cellStyle name="Normal 2 13 2 3" xfId="1633" xr:uid="{00000000-0005-0000-0000-0000ED040000}"/>
    <cellStyle name="Normal 2 14" xfId="61" xr:uid="{00000000-0005-0000-0000-0000EE040000}"/>
    <cellStyle name="Normal 2 2" xfId="64" xr:uid="{00000000-0005-0000-0000-0000EF040000}"/>
    <cellStyle name="Normal 2 2 10" xfId="1812" xr:uid="{00000000-0005-0000-0000-0000F0040000}"/>
    <cellStyle name="Normal 2 2 2" xfId="65" xr:uid="{00000000-0005-0000-0000-0000F1040000}"/>
    <cellStyle name="Normal 2 2 2 2" xfId="66" xr:uid="{00000000-0005-0000-0000-0000F2040000}"/>
    <cellStyle name="Normal 2 2 2 2 2" xfId="67" xr:uid="{00000000-0005-0000-0000-0000F3040000}"/>
    <cellStyle name="Normal 2 2 2 2 3" xfId="68" xr:uid="{00000000-0005-0000-0000-0000F4040000}"/>
    <cellStyle name="Normal 2 2 2 2 4" xfId="69" xr:uid="{00000000-0005-0000-0000-0000F5040000}"/>
    <cellStyle name="Normal 2 2 2 3" xfId="70" xr:uid="{00000000-0005-0000-0000-0000F6040000}"/>
    <cellStyle name="Normal 2 2 2 4" xfId="71" xr:uid="{00000000-0005-0000-0000-0000F7040000}"/>
    <cellStyle name="Normal 2 2 2 5" xfId="1240" xr:uid="{00000000-0005-0000-0000-0000F8040000}"/>
    <cellStyle name="Normal 2 2 2 5 2" xfId="1301" xr:uid="{00000000-0005-0000-0000-0000F9040000}"/>
    <cellStyle name="Normal 2 2 2 5 2 2" xfId="2001" xr:uid="{00000000-0005-0000-0000-0000FA040000}"/>
    <cellStyle name="Normal 2 2 2 5 2 3" xfId="1794" xr:uid="{00000000-0005-0000-0000-0000FB040000}"/>
    <cellStyle name="Normal 2 2 2 6" xfId="1717" xr:uid="{00000000-0005-0000-0000-0000FC040000}"/>
    <cellStyle name="Normal 2 2 3" xfId="72" xr:uid="{00000000-0005-0000-0000-0000FD040000}"/>
    <cellStyle name="Normal 2 2 3 2" xfId="208" xr:uid="{00000000-0005-0000-0000-0000FE040000}"/>
    <cellStyle name="Normal 2 2 3 3" xfId="200" xr:uid="{00000000-0005-0000-0000-0000FF040000}"/>
    <cellStyle name="Normal 2 2 3 4" xfId="1258" xr:uid="{00000000-0005-0000-0000-000000050000}"/>
    <cellStyle name="Normal 2 2 4" xfId="73" xr:uid="{00000000-0005-0000-0000-000001050000}"/>
    <cellStyle name="Normal 2 2 4 2" xfId="209" xr:uid="{00000000-0005-0000-0000-000002050000}"/>
    <cellStyle name="Normal 2 2 4 2 2" xfId="230" xr:uid="{00000000-0005-0000-0000-000003050000}"/>
    <cellStyle name="Normal 2 2 4 2 3" xfId="1275" xr:uid="{00000000-0005-0000-0000-000004050000}"/>
    <cellStyle name="Normal 2 2 4 3" xfId="171" xr:uid="{00000000-0005-0000-0000-000005050000}"/>
    <cellStyle name="Normal 2 2 4 4" xfId="1259" xr:uid="{00000000-0005-0000-0000-000006050000}"/>
    <cellStyle name="Normal 2 2 4 5" xfId="1279" xr:uid="{00000000-0005-0000-0000-000007050000}"/>
    <cellStyle name="Normal 2 2 5" xfId="74" xr:uid="{00000000-0005-0000-0000-000008050000}"/>
    <cellStyle name="Normal 2 2 6" xfId="75" xr:uid="{00000000-0005-0000-0000-000009050000}"/>
    <cellStyle name="Normal 2 2 7" xfId="76" xr:uid="{00000000-0005-0000-0000-00000A050000}"/>
    <cellStyle name="Normal 2 2 8" xfId="259" xr:uid="{00000000-0005-0000-0000-00000B050000}"/>
    <cellStyle name="Normal 2 2 8 2" xfId="1300" xr:uid="{00000000-0005-0000-0000-00000C050000}"/>
    <cellStyle name="Normal 2 2 8 2 2" xfId="2000" xr:uid="{00000000-0005-0000-0000-00000D050000}"/>
    <cellStyle name="Normal 2 2 8 2 3" xfId="1526" xr:uid="{00000000-0005-0000-0000-00000E050000}"/>
    <cellStyle name="Normal 2 2 9" xfId="1716" xr:uid="{00000000-0005-0000-0000-00000F050000}"/>
    <cellStyle name="Normal 2 2 9 2" xfId="2050" xr:uid="{00000000-0005-0000-0000-000010050000}"/>
    <cellStyle name="Normal 2 2 9 3" xfId="1546" xr:uid="{00000000-0005-0000-0000-000011050000}"/>
    <cellStyle name="Normal 2 3" xfId="77" xr:uid="{00000000-0005-0000-0000-000012050000}"/>
    <cellStyle name="Normal 2 3 2" xfId="210" xr:uid="{00000000-0005-0000-0000-000013050000}"/>
    <cellStyle name="Normal 2 3 2 2" xfId="231" xr:uid="{00000000-0005-0000-0000-000014050000}"/>
    <cellStyle name="Normal 2 3 2 2 2" xfId="1634" xr:uid="{00000000-0005-0000-0000-000015050000}"/>
    <cellStyle name="Normal 2 3 2 2 3" xfId="1566" xr:uid="{00000000-0005-0000-0000-000016050000}"/>
    <cellStyle name="Normal 2 3 2 3" xfId="546" xr:uid="{00000000-0005-0000-0000-000017050000}"/>
    <cellStyle name="Normal 2 3 2 3 2" xfId="1276" xr:uid="{00000000-0005-0000-0000-000018050000}"/>
    <cellStyle name="Normal 2 3 2 3 3" xfId="1284" xr:uid="{00000000-0005-0000-0000-000019050000}"/>
    <cellStyle name="Normal 2 3 3" xfId="202" xr:uid="{00000000-0005-0000-0000-00001A050000}"/>
    <cellStyle name="Normal 2 3 3 2" xfId="1718" xr:uid="{00000000-0005-0000-0000-00001B050000}"/>
    <cellStyle name="Normal 2 3 3 2 2" xfId="2057" xr:uid="{00000000-0005-0000-0000-00001C050000}"/>
    <cellStyle name="Normal 2 3 4" xfId="1260" xr:uid="{00000000-0005-0000-0000-00001D050000}"/>
    <cellStyle name="Normal 2 4" xfId="78" xr:uid="{00000000-0005-0000-0000-00001E050000}"/>
    <cellStyle name="Normal 2 4 2" xfId="233" xr:uid="{00000000-0005-0000-0000-00001F050000}"/>
    <cellStyle name="Normal 2 4 2 2" xfId="465" xr:uid="{00000000-0005-0000-0000-000020050000}"/>
    <cellStyle name="Normal 2 4 2 3" xfId="1302" xr:uid="{00000000-0005-0000-0000-000021050000}"/>
    <cellStyle name="Normal 2 4 2 3 2" xfId="2002" xr:uid="{00000000-0005-0000-0000-000022050000}"/>
    <cellStyle name="Normal 2 4 2 3 3" xfId="1573" xr:uid="{00000000-0005-0000-0000-000023050000}"/>
    <cellStyle name="Normal 2 4 2 4" xfId="1473" xr:uid="{00000000-0005-0000-0000-000024050000}"/>
    <cellStyle name="Normal 2 4 2 4 2" xfId="2081" xr:uid="{00000000-0005-0000-0000-000025050000}"/>
    <cellStyle name="Normal 2 4 3" xfId="232" xr:uid="{00000000-0005-0000-0000-000026050000}"/>
    <cellStyle name="Normal 2 4 3 2" xfId="1719" xr:uid="{00000000-0005-0000-0000-000027050000}"/>
    <cellStyle name="Normal 2 4 3 2 2" xfId="2051" xr:uid="{00000000-0005-0000-0000-000028050000}"/>
    <cellStyle name="Normal 2 4 3 2 3" xfId="1625" xr:uid="{00000000-0005-0000-0000-000029050000}"/>
    <cellStyle name="Normal 2 4 3 3" xfId="1558" xr:uid="{00000000-0005-0000-0000-00002A050000}"/>
    <cellStyle name="Normal 2 4 4" xfId="464" xr:uid="{00000000-0005-0000-0000-00002B050000}"/>
    <cellStyle name="Normal 2 4 4 2" xfId="1261" xr:uid="{00000000-0005-0000-0000-00002C050000}"/>
    <cellStyle name="Normal 2 4 4 3" xfId="1282" xr:uid="{00000000-0005-0000-0000-00002D050000}"/>
    <cellStyle name="Normal 2 4 5" xfId="1169" xr:uid="{00000000-0005-0000-0000-00002E050000}"/>
    <cellStyle name="Normal 2 4 5 2" xfId="2059" xr:uid="{00000000-0005-0000-0000-00002F050000}"/>
    <cellStyle name="Normal 2 5" xfId="79" xr:uid="{00000000-0005-0000-0000-000030050000}"/>
    <cellStyle name="Normal 2 5 2" xfId="235" xr:uid="{00000000-0005-0000-0000-000031050000}"/>
    <cellStyle name="Normal 2 5 2 2" xfId="1065" xr:uid="{00000000-0005-0000-0000-000032050000}"/>
    <cellStyle name="Normal 2 5 2 3" xfId="1495" xr:uid="{00000000-0005-0000-0000-000033050000}"/>
    <cellStyle name="Normal 2 5 2 3 2" xfId="2026" xr:uid="{00000000-0005-0000-0000-000034050000}"/>
    <cellStyle name="Normal 2 5 2 3 3" xfId="1519" xr:uid="{00000000-0005-0000-0000-000035050000}"/>
    <cellStyle name="Normal 2 5 2 4" xfId="1802" xr:uid="{00000000-0005-0000-0000-000036050000}"/>
    <cellStyle name="Normal 2 5 3" xfId="234" xr:uid="{00000000-0005-0000-0000-000037050000}"/>
    <cellStyle name="Normal 2 5 3 2" xfId="1066" xr:uid="{00000000-0005-0000-0000-000038050000}"/>
    <cellStyle name="Normal 2 5 3 3" xfId="1720" xr:uid="{00000000-0005-0000-0000-000039050000}"/>
    <cellStyle name="Normal 2 5 3 3 2" xfId="2052" xr:uid="{00000000-0005-0000-0000-00003A050000}"/>
    <cellStyle name="Normal 2 5 3 3 3" xfId="1604" xr:uid="{00000000-0005-0000-0000-00003B050000}"/>
    <cellStyle name="Normal 2 5 4" xfId="1241" xr:uid="{00000000-0005-0000-0000-00003C050000}"/>
    <cellStyle name="Normal 2 5 4 2" xfId="1262" xr:uid="{00000000-0005-0000-0000-00003D050000}"/>
    <cellStyle name="Normal 2 5 4 3" xfId="1290" xr:uid="{00000000-0005-0000-0000-00003E050000}"/>
    <cellStyle name="Normal 2 5 4 3 2" xfId="2077" xr:uid="{00000000-0005-0000-0000-00003F050000}"/>
    <cellStyle name="Normal 2 5 4 4" xfId="2069" xr:uid="{00000000-0005-0000-0000-000040050000}"/>
    <cellStyle name="Normal 2 6" xfId="80" xr:uid="{00000000-0005-0000-0000-000041050000}"/>
    <cellStyle name="Normal 2 6 2" xfId="237" xr:uid="{00000000-0005-0000-0000-000042050000}"/>
    <cellStyle name="Normal 2 6 2 2" xfId="1500" xr:uid="{00000000-0005-0000-0000-000043050000}"/>
    <cellStyle name="Normal 2 6 2 2 2" xfId="2106" xr:uid="{00000000-0005-0000-0000-000044050000}"/>
    <cellStyle name="Normal 2 6 3" xfId="236" xr:uid="{00000000-0005-0000-0000-000045050000}"/>
    <cellStyle name="Normal 2 6 3 2" xfId="1721" xr:uid="{00000000-0005-0000-0000-000046050000}"/>
    <cellStyle name="Normal 2 6 4" xfId="1242" xr:uid="{00000000-0005-0000-0000-000047050000}"/>
    <cellStyle name="Normal 2 6 4 2" xfId="2070" xr:uid="{00000000-0005-0000-0000-000048050000}"/>
    <cellStyle name="Normal 2 7" xfId="81" xr:uid="{00000000-0005-0000-0000-000049050000}"/>
    <cellStyle name="Normal 2 7 2" xfId="82" xr:uid="{00000000-0005-0000-0000-00004A050000}"/>
    <cellStyle name="Normal 2 7 2 2" xfId="83" xr:uid="{00000000-0005-0000-0000-00004B050000}"/>
    <cellStyle name="Normal 2 7 2 3" xfId="84" xr:uid="{00000000-0005-0000-0000-00004C050000}"/>
    <cellStyle name="Normal 2 7 2 4" xfId="85" xr:uid="{00000000-0005-0000-0000-00004D050000}"/>
    <cellStyle name="Normal 2 7 3" xfId="86" xr:uid="{00000000-0005-0000-0000-00004E050000}"/>
    <cellStyle name="Normal 2 7 4" xfId="87" xr:uid="{00000000-0005-0000-0000-00004F050000}"/>
    <cellStyle name="Normal 2 8" xfId="88" xr:uid="{00000000-0005-0000-0000-000050050000}"/>
    <cellStyle name="Normal 2 9" xfId="89" xr:uid="{00000000-0005-0000-0000-000051050000}"/>
    <cellStyle name="Normal 2_Capital Exp Received for 2013_2014" xfId="466" xr:uid="{00000000-0005-0000-0000-000052050000}"/>
    <cellStyle name="Normal 20" xfId="532" xr:uid="{00000000-0005-0000-0000-000053050000}"/>
    <cellStyle name="Normal 21" xfId="547" xr:uid="{00000000-0005-0000-0000-000054050000}"/>
    <cellStyle name="Normal 21 2" xfId="592" xr:uid="{00000000-0005-0000-0000-000055050000}"/>
    <cellStyle name="Normal 21 2 2" xfId="704" xr:uid="{00000000-0005-0000-0000-000056050000}"/>
    <cellStyle name="Normal 21 2 2 2" xfId="931" xr:uid="{00000000-0005-0000-0000-000057050000}"/>
    <cellStyle name="Normal 21 2 3" xfId="818" xr:uid="{00000000-0005-0000-0000-000058050000}"/>
    <cellStyle name="Normal 21 3" xfId="629" xr:uid="{00000000-0005-0000-0000-000059050000}"/>
    <cellStyle name="Normal 21 3 2" xfId="741" xr:uid="{00000000-0005-0000-0000-00005A050000}"/>
    <cellStyle name="Normal 21 3 2 2" xfId="968" xr:uid="{00000000-0005-0000-0000-00005B050000}"/>
    <cellStyle name="Normal 21 3 3" xfId="855" xr:uid="{00000000-0005-0000-0000-00005C050000}"/>
    <cellStyle name="Normal 21 4" xfId="668" xr:uid="{00000000-0005-0000-0000-00005D050000}"/>
    <cellStyle name="Normal 21 4 2" xfId="894" xr:uid="{00000000-0005-0000-0000-00005E050000}"/>
    <cellStyle name="Normal 21 5" xfId="781" xr:uid="{00000000-0005-0000-0000-00005F050000}"/>
    <cellStyle name="Normal 22" xfId="548" xr:uid="{00000000-0005-0000-0000-000060050000}"/>
    <cellStyle name="Normal 22 2" xfId="593" xr:uid="{00000000-0005-0000-0000-000061050000}"/>
    <cellStyle name="Normal 22 2 2" xfId="705" xr:uid="{00000000-0005-0000-0000-000062050000}"/>
    <cellStyle name="Normal 22 2 2 2" xfId="932" xr:uid="{00000000-0005-0000-0000-000063050000}"/>
    <cellStyle name="Normal 22 2 3" xfId="819" xr:uid="{00000000-0005-0000-0000-000064050000}"/>
    <cellStyle name="Normal 22 3" xfId="630" xr:uid="{00000000-0005-0000-0000-000065050000}"/>
    <cellStyle name="Normal 22 3 2" xfId="742" xr:uid="{00000000-0005-0000-0000-000066050000}"/>
    <cellStyle name="Normal 22 3 2 2" xfId="969" xr:uid="{00000000-0005-0000-0000-000067050000}"/>
    <cellStyle name="Normal 22 3 3" xfId="856" xr:uid="{00000000-0005-0000-0000-000068050000}"/>
    <cellStyle name="Normal 22 4" xfId="669" xr:uid="{00000000-0005-0000-0000-000069050000}"/>
    <cellStyle name="Normal 22 4 2" xfId="895" xr:uid="{00000000-0005-0000-0000-00006A050000}"/>
    <cellStyle name="Normal 22 5" xfId="782" xr:uid="{00000000-0005-0000-0000-00006B050000}"/>
    <cellStyle name="Normal 23" xfId="549" xr:uid="{00000000-0005-0000-0000-00006C050000}"/>
    <cellStyle name="Normal 23 2" xfId="594" xr:uid="{00000000-0005-0000-0000-00006D050000}"/>
    <cellStyle name="Normal 23 2 2" xfId="706" xr:uid="{00000000-0005-0000-0000-00006E050000}"/>
    <cellStyle name="Normal 23 2 2 2" xfId="933" xr:uid="{00000000-0005-0000-0000-00006F050000}"/>
    <cellStyle name="Normal 23 2 3" xfId="820" xr:uid="{00000000-0005-0000-0000-000070050000}"/>
    <cellStyle name="Normal 23 3" xfId="631" xr:uid="{00000000-0005-0000-0000-000071050000}"/>
    <cellStyle name="Normal 23 3 2" xfId="743" xr:uid="{00000000-0005-0000-0000-000072050000}"/>
    <cellStyle name="Normal 23 3 2 2" xfId="970" xr:uid="{00000000-0005-0000-0000-000073050000}"/>
    <cellStyle name="Normal 23 3 3" xfId="857" xr:uid="{00000000-0005-0000-0000-000074050000}"/>
    <cellStyle name="Normal 23 4" xfId="670" xr:uid="{00000000-0005-0000-0000-000075050000}"/>
    <cellStyle name="Normal 23 4 2" xfId="896" xr:uid="{00000000-0005-0000-0000-000076050000}"/>
    <cellStyle name="Normal 23 5" xfId="783" xr:uid="{00000000-0005-0000-0000-000077050000}"/>
    <cellStyle name="Normal 24" xfId="550" xr:uid="{00000000-0005-0000-0000-000078050000}"/>
    <cellStyle name="Normal 24 2" xfId="595" xr:uid="{00000000-0005-0000-0000-000079050000}"/>
    <cellStyle name="Normal 24 2 2" xfId="707" xr:uid="{00000000-0005-0000-0000-00007A050000}"/>
    <cellStyle name="Normal 24 2 2 2" xfId="934" xr:uid="{00000000-0005-0000-0000-00007B050000}"/>
    <cellStyle name="Normal 24 2 3" xfId="821" xr:uid="{00000000-0005-0000-0000-00007C050000}"/>
    <cellStyle name="Normal 24 3" xfId="632" xr:uid="{00000000-0005-0000-0000-00007D050000}"/>
    <cellStyle name="Normal 24 3 2" xfId="744" xr:uid="{00000000-0005-0000-0000-00007E050000}"/>
    <cellStyle name="Normal 24 3 2 2" xfId="971" xr:uid="{00000000-0005-0000-0000-00007F050000}"/>
    <cellStyle name="Normal 24 3 3" xfId="858" xr:uid="{00000000-0005-0000-0000-000080050000}"/>
    <cellStyle name="Normal 24 4" xfId="671" xr:uid="{00000000-0005-0000-0000-000081050000}"/>
    <cellStyle name="Normal 24 4 2" xfId="897" xr:uid="{00000000-0005-0000-0000-000082050000}"/>
    <cellStyle name="Normal 24 5" xfId="784" xr:uid="{00000000-0005-0000-0000-000083050000}"/>
    <cellStyle name="Normal 25" xfId="551" xr:uid="{00000000-0005-0000-0000-000084050000}"/>
    <cellStyle name="Normal 26" xfId="552" xr:uid="{00000000-0005-0000-0000-000085050000}"/>
    <cellStyle name="Normal 26 2" xfId="596" xr:uid="{00000000-0005-0000-0000-000086050000}"/>
    <cellStyle name="Normal 26 2 2" xfId="708" xr:uid="{00000000-0005-0000-0000-000087050000}"/>
    <cellStyle name="Normal 26 2 2 2" xfId="935" xr:uid="{00000000-0005-0000-0000-000088050000}"/>
    <cellStyle name="Normal 26 2 3" xfId="822" xr:uid="{00000000-0005-0000-0000-000089050000}"/>
    <cellStyle name="Normal 26 3" xfId="633" xr:uid="{00000000-0005-0000-0000-00008A050000}"/>
    <cellStyle name="Normal 26 3 2" xfId="745" xr:uid="{00000000-0005-0000-0000-00008B050000}"/>
    <cellStyle name="Normal 26 3 2 2" xfId="972" xr:uid="{00000000-0005-0000-0000-00008C050000}"/>
    <cellStyle name="Normal 26 3 3" xfId="859" xr:uid="{00000000-0005-0000-0000-00008D050000}"/>
    <cellStyle name="Normal 26 4" xfId="672" xr:uid="{00000000-0005-0000-0000-00008E050000}"/>
    <cellStyle name="Normal 26 4 2" xfId="898" xr:uid="{00000000-0005-0000-0000-00008F050000}"/>
    <cellStyle name="Normal 26 5" xfId="785" xr:uid="{00000000-0005-0000-0000-000090050000}"/>
    <cellStyle name="Normal 27" xfId="642" xr:uid="{00000000-0005-0000-0000-000091050000}"/>
    <cellStyle name="Normal 27 2" xfId="868" xr:uid="{00000000-0005-0000-0000-000092050000}"/>
    <cellStyle name="Normal 27 3" xfId="1067" xr:uid="{00000000-0005-0000-0000-000093050000}"/>
    <cellStyle name="Normal 27 3 2" xfId="1076" xr:uid="{00000000-0005-0000-0000-000094050000}"/>
    <cellStyle name="Normal 28" xfId="753" xr:uid="{00000000-0005-0000-0000-000095050000}"/>
    <cellStyle name="Normal 28 2" xfId="980" xr:uid="{00000000-0005-0000-0000-000096050000}"/>
    <cellStyle name="Normal 29" xfId="641" xr:uid="{00000000-0005-0000-0000-000097050000}"/>
    <cellStyle name="Normal 29 2" xfId="867" xr:uid="{00000000-0005-0000-0000-000098050000}"/>
    <cellStyle name="Normal 3" xfId="43" xr:uid="{00000000-0005-0000-0000-000099050000}"/>
    <cellStyle name="Normal 3 10" xfId="90" xr:uid="{00000000-0005-0000-0000-00009A050000}"/>
    <cellStyle name="Normal 3 10 2" xfId="1461" xr:uid="{00000000-0005-0000-0000-00009B050000}"/>
    <cellStyle name="Normal 3 10 2 2" xfId="2015" xr:uid="{00000000-0005-0000-0000-00009C050000}"/>
    <cellStyle name="Normal 3 10 2 3" xfId="1531" xr:uid="{00000000-0005-0000-0000-00009D050000}"/>
    <cellStyle name="Normal 3 11" xfId="1303" xr:uid="{00000000-0005-0000-0000-00009E050000}"/>
    <cellStyle name="Normal 3 12" xfId="1708" xr:uid="{00000000-0005-0000-0000-00009F050000}"/>
    <cellStyle name="Normal 3 2" xfId="91" xr:uid="{00000000-0005-0000-0000-0000A0050000}"/>
    <cellStyle name="Normal 3 2 2" xfId="238" xr:uid="{00000000-0005-0000-0000-0000A1050000}"/>
    <cellStyle name="Normal 3 2 2 2" xfId="239" xr:uid="{00000000-0005-0000-0000-0000A2050000}"/>
    <cellStyle name="Normal 3 3" xfId="92" xr:uid="{00000000-0005-0000-0000-0000A3050000}"/>
    <cellStyle name="Normal 3 3 2" xfId="212" xr:uid="{00000000-0005-0000-0000-0000A4050000}"/>
    <cellStyle name="Normal 3 3 2 2" xfId="240" xr:uid="{00000000-0005-0000-0000-0000A5050000}"/>
    <cellStyle name="Normal 3 3 2 2 2" xfId="1739" xr:uid="{00000000-0005-0000-0000-0000A6050000}"/>
    <cellStyle name="Normal 3 3 2 2 3" xfId="1585" xr:uid="{00000000-0005-0000-0000-0000A7050000}"/>
    <cellStyle name="Normal 3 3 2 3" xfId="553" xr:uid="{00000000-0005-0000-0000-0000A8050000}"/>
    <cellStyle name="Normal 3 3 2 3 2" xfId="1277" xr:uid="{00000000-0005-0000-0000-0000A9050000}"/>
    <cellStyle name="Normal 3 3 2 3 3" xfId="1285" xr:uid="{00000000-0005-0000-0000-0000AA050000}"/>
    <cellStyle name="Normal 3 3 2 4" xfId="1472" xr:uid="{00000000-0005-0000-0000-0000AB050000}"/>
    <cellStyle name="Normal 3 3 2 4 2" xfId="2080" xr:uid="{00000000-0005-0000-0000-0000AC050000}"/>
    <cellStyle name="Normal 3 3 3" xfId="198" xr:uid="{00000000-0005-0000-0000-0000AD050000}"/>
    <cellStyle name="Normal 3 3 3 2" xfId="687" xr:uid="{00000000-0005-0000-0000-0000AE050000}"/>
    <cellStyle name="Normal 3 3 3 2 2" xfId="914" xr:uid="{00000000-0005-0000-0000-0000AF050000}"/>
    <cellStyle name="Normal 3 3 3 3" xfId="801" xr:uid="{00000000-0005-0000-0000-0000B0050000}"/>
    <cellStyle name="Normal 3 3 3 4" xfId="575" xr:uid="{00000000-0005-0000-0000-0000B1050000}"/>
    <cellStyle name="Normal 3 3 3 5" xfId="1521" xr:uid="{00000000-0005-0000-0000-0000B2050000}"/>
    <cellStyle name="Normal 3 3 4" xfId="612" xr:uid="{00000000-0005-0000-0000-0000B3050000}"/>
    <cellStyle name="Normal 3 3 4 2" xfId="724" xr:uid="{00000000-0005-0000-0000-0000B4050000}"/>
    <cellStyle name="Normal 3 3 4 2 2" xfId="951" xr:uid="{00000000-0005-0000-0000-0000B5050000}"/>
    <cellStyle name="Normal 3 3 4 3" xfId="838" xr:uid="{00000000-0005-0000-0000-0000B6050000}"/>
    <cellStyle name="Normal 3 3 4 4" xfId="1263" xr:uid="{00000000-0005-0000-0000-0000B7050000}"/>
    <cellStyle name="Normal 3 3 4 5" xfId="1286" xr:uid="{00000000-0005-0000-0000-0000B8050000}"/>
    <cellStyle name="Normal 3 3 5" xfId="651" xr:uid="{00000000-0005-0000-0000-0000B9050000}"/>
    <cellStyle name="Normal 3 3 5 2" xfId="877" xr:uid="{00000000-0005-0000-0000-0000BA050000}"/>
    <cellStyle name="Normal 3 3 6" xfId="764" xr:uid="{00000000-0005-0000-0000-0000BB050000}"/>
    <cellStyle name="Normal 3 3 7" xfId="521" xr:uid="{00000000-0005-0000-0000-0000BC050000}"/>
    <cellStyle name="Normal 3 4" xfId="93" xr:uid="{00000000-0005-0000-0000-0000BD050000}"/>
    <cellStyle name="Normal 3 4 2" xfId="241" xr:uid="{00000000-0005-0000-0000-0000BE050000}"/>
    <cellStyle name="Normal 3 4 2 2" xfId="906" xr:uid="{00000000-0005-0000-0000-0000BF050000}"/>
    <cellStyle name="Normal 3 4 2 3" xfId="1304" xr:uid="{00000000-0005-0000-0000-0000C0050000}"/>
    <cellStyle name="Normal 3 4 2 3 2" xfId="2003" xr:uid="{00000000-0005-0000-0000-0000C1050000}"/>
    <cellStyle name="Normal 3 4 2 3 3" xfId="1564" xr:uid="{00000000-0005-0000-0000-0000C2050000}"/>
    <cellStyle name="Normal 3 4 2 4" xfId="1494" xr:uid="{00000000-0005-0000-0000-0000C3050000}"/>
    <cellStyle name="Normal 3 4 2 4 2" xfId="2102" xr:uid="{00000000-0005-0000-0000-0000C4050000}"/>
    <cellStyle name="Normal 3 4 3" xfId="793" xr:uid="{00000000-0005-0000-0000-0000C5050000}"/>
    <cellStyle name="Normal 3 4 3 2" xfId="1264" xr:uid="{00000000-0005-0000-0000-0000C6050000}"/>
    <cellStyle name="Normal 3 4 3 3" xfId="1287" xr:uid="{00000000-0005-0000-0000-0000C7050000}"/>
    <cellStyle name="Normal 3 4 3 4" xfId="1722" xr:uid="{00000000-0005-0000-0000-0000C8050000}"/>
    <cellStyle name="Normal 3 4 4" xfId="1172" xr:uid="{00000000-0005-0000-0000-0000C9050000}"/>
    <cellStyle name="Normal 3 4 4 2" xfId="1751" xr:uid="{00000000-0005-0000-0000-0000CA050000}"/>
    <cellStyle name="Normal 3 4 4 3" xfId="1740" xr:uid="{00000000-0005-0000-0000-0000CB050000}"/>
    <cellStyle name="Normal 3 5" xfId="94" xr:uid="{00000000-0005-0000-0000-0000CC050000}"/>
    <cellStyle name="Normal 3 5 2" xfId="716" xr:uid="{00000000-0005-0000-0000-0000CD050000}"/>
    <cellStyle name="Normal 3 5 2 2" xfId="943" xr:uid="{00000000-0005-0000-0000-0000CE050000}"/>
    <cellStyle name="Normal 3 5 2 3" xfId="1305" xr:uid="{00000000-0005-0000-0000-0000CF050000}"/>
    <cellStyle name="Normal 3 5 2 3 2" xfId="2004" xr:uid="{00000000-0005-0000-0000-0000D0050000}"/>
    <cellStyle name="Normal 3 5 2 3 3" xfId="1607" xr:uid="{00000000-0005-0000-0000-0000D1050000}"/>
    <cellStyle name="Normal 3 5 2 4" xfId="1501" xr:uid="{00000000-0005-0000-0000-0000D2050000}"/>
    <cellStyle name="Normal 3 5 2 4 2" xfId="2107" xr:uid="{00000000-0005-0000-0000-0000D3050000}"/>
    <cellStyle name="Normal 3 5 3" xfId="830" xr:uid="{00000000-0005-0000-0000-0000D4050000}"/>
    <cellStyle name="Normal 3 5 3 2" xfId="1723" xr:uid="{00000000-0005-0000-0000-0000D5050000}"/>
    <cellStyle name="Normal 3 5 4" xfId="604" xr:uid="{00000000-0005-0000-0000-0000D6050000}"/>
    <cellStyle name="Normal 3 5 5" xfId="1243" xr:uid="{00000000-0005-0000-0000-0000D7050000}"/>
    <cellStyle name="Normal 3 5 5 2" xfId="2071" xr:uid="{00000000-0005-0000-0000-0000D8050000}"/>
    <cellStyle name="Normal 3 6" xfId="95" xr:uid="{00000000-0005-0000-0000-0000D9050000}"/>
    <cellStyle name="Normal 3 6 2" xfId="869" xr:uid="{00000000-0005-0000-0000-0000DA050000}"/>
    <cellStyle name="Normal 3 6 3" xfId="643" xr:uid="{00000000-0005-0000-0000-0000DB050000}"/>
    <cellStyle name="Normal 3 7" xfId="96" xr:uid="{00000000-0005-0000-0000-0000DC050000}"/>
    <cellStyle name="Normal 3 7 2" xfId="756" xr:uid="{00000000-0005-0000-0000-0000DD050000}"/>
    <cellStyle name="Normal 3 8" xfId="97" xr:uid="{00000000-0005-0000-0000-0000DE050000}"/>
    <cellStyle name="Normal 3 9" xfId="211" xr:uid="{00000000-0005-0000-0000-0000DF050000}"/>
    <cellStyle name="Normal 3 9 2" xfId="1459" xr:uid="{00000000-0005-0000-0000-0000E0050000}"/>
    <cellStyle name="Normal 3 9 2 2" xfId="2014" xr:uid="{00000000-0005-0000-0000-0000E1050000}"/>
    <cellStyle name="Normal 3 9 2 3" xfId="1598" xr:uid="{00000000-0005-0000-0000-0000E2050000}"/>
    <cellStyle name="Normal 3_Capital Exp Received for 2013_2014" xfId="467" xr:uid="{00000000-0005-0000-0000-0000E3050000}"/>
    <cellStyle name="Normal 30" xfId="755" xr:uid="{00000000-0005-0000-0000-0000E4050000}"/>
    <cellStyle name="Normal 31" xfId="981" xr:uid="{00000000-0005-0000-0000-0000E5050000}"/>
    <cellStyle name="Normal 32" xfId="1022" xr:uid="{00000000-0005-0000-0000-0000E6050000}"/>
    <cellStyle name="Normal 33" xfId="1001" xr:uid="{00000000-0005-0000-0000-0000E7050000}"/>
    <cellStyle name="Normal 34" xfId="1044" xr:uid="{00000000-0005-0000-0000-0000E8050000}"/>
    <cellStyle name="Normal 35" xfId="991" xr:uid="{00000000-0005-0000-0000-0000E9050000}"/>
    <cellStyle name="Normal 36" xfId="1043" xr:uid="{00000000-0005-0000-0000-0000EA050000}"/>
    <cellStyle name="Normal 37" xfId="992" xr:uid="{00000000-0005-0000-0000-0000EB050000}"/>
    <cellStyle name="Normal 38" xfId="1026" xr:uid="{00000000-0005-0000-0000-0000EC050000}"/>
    <cellStyle name="Normal 39" xfId="1004" xr:uid="{00000000-0005-0000-0000-0000ED050000}"/>
    <cellStyle name="Normal 4" xfId="98" xr:uid="{00000000-0005-0000-0000-0000EE050000}"/>
    <cellStyle name="Normal 4 10" xfId="99" xr:uid="{00000000-0005-0000-0000-0000EF050000}"/>
    <cellStyle name="Normal 4 11" xfId="100" xr:uid="{00000000-0005-0000-0000-0000F0050000}"/>
    <cellStyle name="Normal 4 12" xfId="101" xr:uid="{00000000-0005-0000-0000-0000F1050000}"/>
    <cellStyle name="Normal 4 13" xfId="213" xr:uid="{00000000-0005-0000-0000-0000F2050000}"/>
    <cellStyle name="Normal 4 13 2" xfId="1465" xr:uid="{00000000-0005-0000-0000-0000F3050000}"/>
    <cellStyle name="Normal 4 13 2 2" xfId="1678" xr:uid="{00000000-0005-0000-0000-0000F4050000}"/>
    <cellStyle name="Normal 4 13 2 3" xfId="1583" xr:uid="{00000000-0005-0000-0000-0000F5050000}"/>
    <cellStyle name="Normal 4 13 2 3 2" xfId="2153" xr:uid="{00000000-0005-0000-0000-0000F6050000}"/>
    <cellStyle name="Normal 4 13 3" xfId="1736" xr:uid="{00000000-0005-0000-0000-0000F7050000}"/>
    <cellStyle name="Normal 4 13 4" xfId="1639" xr:uid="{00000000-0005-0000-0000-0000F8050000}"/>
    <cellStyle name="Normal 4 14" xfId="193" xr:uid="{00000000-0005-0000-0000-0000F9050000}"/>
    <cellStyle name="Normal 4 15" xfId="258" xr:uid="{00000000-0005-0000-0000-0000FA050000}"/>
    <cellStyle name="Normal 4 15 2" xfId="1265" xr:uid="{00000000-0005-0000-0000-0000FB050000}"/>
    <cellStyle name="Normal 4 15 3" xfId="1281" xr:uid="{00000000-0005-0000-0000-0000FC050000}"/>
    <cellStyle name="Normal 4 16" xfId="1642" xr:uid="{00000000-0005-0000-0000-0000FD050000}"/>
    <cellStyle name="Normal 4 16 2" xfId="2030" xr:uid="{00000000-0005-0000-0000-0000FE050000}"/>
    <cellStyle name="Normal 4 16 3" xfId="2044" xr:uid="{00000000-0005-0000-0000-0000FF050000}"/>
    <cellStyle name="Normal 4 16 4" xfId="1586" xr:uid="{00000000-0005-0000-0000-000000060000}"/>
    <cellStyle name="Normal 4 17" xfId="1724" xr:uid="{00000000-0005-0000-0000-000001060000}"/>
    <cellStyle name="Normal 4 17 2" xfId="2053" xr:uid="{00000000-0005-0000-0000-000002060000}"/>
    <cellStyle name="Normal 4 17 3" xfId="1814" xr:uid="{00000000-0005-0000-0000-000003060000}"/>
    <cellStyle name="Normal 4 2" xfId="102" xr:uid="{00000000-0005-0000-0000-000004060000}"/>
    <cellStyle name="Normal 4 2 2" xfId="103" xr:uid="{00000000-0005-0000-0000-000005060000}"/>
    <cellStyle name="Normal 4 2 2 2" xfId="104" xr:uid="{00000000-0005-0000-0000-000006060000}"/>
    <cellStyle name="Normal 4 2 2 2 2" xfId="105" xr:uid="{00000000-0005-0000-0000-000007060000}"/>
    <cellStyle name="Normal 4 2 2 2 3" xfId="106" xr:uid="{00000000-0005-0000-0000-000008060000}"/>
    <cellStyle name="Normal 4 2 2 2 4" xfId="107" xr:uid="{00000000-0005-0000-0000-000009060000}"/>
    <cellStyle name="Normal 4 2 2 3" xfId="108" xr:uid="{00000000-0005-0000-0000-00000A060000}"/>
    <cellStyle name="Normal 4 2 2 4" xfId="109" xr:uid="{00000000-0005-0000-0000-00000B060000}"/>
    <cellStyle name="Normal 4 2 2 5" xfId="243" xr:uid="{00000000-0005-0000-0000-00000C060000}"/>
    <cellStyle name="Normal 4 2 2 6" xfId="1267" xr:uid="{00000000-0005-0000-0000-00000D060000}"/>
    <cellStyle name="Normal 4 2 3" xfId="110" xr:uid="{00000000-0005-0000-0000-00000E060000}"/>
    <cellStyle name="Normal 4 2 4" xfId="111" xr:uid="{00000000-0005-0000-0000-00000F060000}"/>
    <cellStyle name="Normal 4 2 5" xfId="112" xr:uid="{00000000-0005-0000-0000-000010060000}"/>
    <cellStyle name="Normal 4 2 6" xfId="113" xr:uid="{00000000-0005-0000-0000-000011060000}"/>
    <cellStyle name="Normal 4 2 7" xfId="114" xr:uid="{00000000-0005-0000-0000-000012060000}"/>
    <cellStyle name="Normal 4 2 8" xfId="242" xr:uid="{00000000-0005-0000-0000-000013060000}"/>
    <cellStyle name="Normal 4 2 8 2" xfId="1306" xr:uid="{00000000-0005-0000-0000-000014060000}"/>
    <cellStyle name="Normal 4 2 8 2 2" xfId="2005" xr:uid="{00000000-0005-0000-0000-000015060000}"/>
    <cellStyle name="Normal 4 2 8 2 3" xfId="1593" xr:uid="{00000000-0005-0000-0000-000016060000}"/>
    <cellStyle name="Normal 4 2 9" xfId="1175" xr:uid="{00000000-0005-0000-0000-000017060000}"/>
    <cellStyle name="Normal 4 2 9 2" xfId="1266" xr:uid="{00000000-0005-0000-0000-000018060000}"/>
    <cellStyle name="Normal 4 2 9 3" xfId="1288" xr:uid="{00000000-0005-0000-0000-000019060000}"/>
    <cellStyle name="Normal 4 2 9 3 2" xfId="2075" xr:uid="{00000000-0005-0000-0000-00001A060000}"/>
    <cellStyle name="Normal 4 2 9 4" xfId="1725" xr:uid="{00000000-0005-0000-0000-00001B060000}"/>
    <cellStyle name="Normal 4 2 9 4 2" xfId="2061" xr:uid="{00000000-0005-0000-0000-00001C060000}"/>
    <cellStyle name="Normal 4 3" xfId="115" xr:uid="{00000000-0005-0000-0000-00001D060000}"/>
    <cellStyle name="Normal 4 3 2" xfId="554" xr:uid="{00000000-0005-0000-0000-00001E060000}"/>
    <cellStyle name="Normal 4 4" xfId="116" xr:uid="{00000000-0005-0000-0000-00001F060000}"/>
    <cellStyle name="Normal 4 4 2" xfId="555" xr:uid="{00000000-0005-0000-0000-000020060000}"/>
    <cellStyle name="Normal 4 5" xfId="117" xr:uid="{00000000-0005-0000-0000-000021060000}"/>
    <cellStyle name="Normal 4 6" xfId="118" xr:uid="{00000000-0005-0000-0000-000022060000}"/>
    <cellStyle name="Normal 4 7" xfId="119" xr:uid="{00000000-0005-0000-0000-000023060000}"/>
    <cellStyle name="Normal 4 7 2" xfId="120" xr:uid="{00000000-0005-0000-0000-000024060000}"/>
    <cellStyle name="Normal 4 7 2 2" xfId="121" xr:uid="{00000000-0005-0000-0000-000025060000}"/>
    <cellStyle name="Normal 4 7 2 3" xfId="122" xr:uid="{00000000-0005-0000-0000-000026060000}"/>
    <cellStyle name="Normal 4 7 2 4" xfId="123" xr:uid="{00000000-0005-0000-0000-000027060000}"/>
    <cellStyle name="Normal 4 7 3" xfId="124" xr:uid="{00000000-0005-0000-0000-000028060000}"/>
    <cellStyle name="Normal 4 7 4" xfId="125" xr:uid="{00000000-0005-0000-0000-000029060000}"/>
    <cellStyle name="Normal 4 8" xfId="126" xr:uid="{00000000-0005-0000-0000-00002A060000}"/>
    <cellStyle name="Normal 4 9" xfId="127" xr:uid="{00000000-0005-0000-0000-00002B060000}"/>
    <cellStyle name="Normal 40" xfId="1032" xr:uid="{00000000-0005-0000-0000-00002C060000}"/>
    <cellStyle name="Normal 41" xfId="754" xr:uid="{00000000-0005-0000-0000-00002D060000}"/>
    <cellStyle name="Normal 42" xfId="1064" xr:uid="{00000000-0005-0000-0000-00002E060000}"/>
    <cellStyle name="Normal 43" xfId="1063" xr:uid="{00000000-0005-0000-0000-00002F060000}"/>
    <cellStyle name="Normal 44" xfId="1078" xr:uid="{00000000-0005-0000-0000-000030060000}"/>
    <cellStyle name="Normal 45" xfId="2031" xr:uid="{00000000-0005-0000-0000-000031060000}"/>
    <cellStyle name="Normal 45 2" xfId="2109" xr:uid="{00000000-0005-0000-0000-000032060000}"/>
    <cellStyle name="Normal 46" xfId="2032" xr:uid="{00000000-0005-0000-0000-000033060000}"/>
    <cellStyle name="Normal 46 2" xfId="2108" xr:uid="{00000000-0005-0000-0000-000034060000}"/>
    <cellStyle name="Normal 47" xfId="2034" xr:uid="{00000000-0005-0000-0000-000035060000}"/>
    <cellStyle name="Normal 47 2" xfId="2150" xr:uid="{00000000-0005-0000-0000-000036060000}"/>
    <cellStyle name="Normal 48" xfId="2035" xr:uid="{00000000-0005-0000-0000-000037060000}"/>
    <cellStyle name="Normal 49" xfId="2038" xr:uid="{00000000-0005-0000-0000-000038060000}"/>
    <cellStyle name="Normal 5" xfId="128" xr:uid="{00000000-0005-0000-0000-000039060000}"/>
    <cellStyle name="Normal 5 10" xfId="1268" xr:uid="{00000000-0005-0000-0000-00003A060000}"/>
    <cellStyle name="Normal 5 10 2" xfId="1726" xr:uid="{00000000-0005-0000-0000-00003B060000}"/>
    <cellStyle name="Normal 5 10 2 2" xfId="2054" xr:uid="{00000000-0005-0000-0000-00003C060000}"/>
    <cellStyle name="Normal 5 10 2 3" xfId="1800" xr:uid="{00000000-0005-0000-0000-00003D060000}"/>
    <cellStyle name="Normal 5 10 3" xfId="1614" xr:uid="{00000000-0005-0000-0000-00003E060000}"/>
    <cellStyle name="Normal 5 11" xfId="1810" xr:uid="{00000000-0005-0000-0000-00003F060000}"/>
    <cellStyle name="Normal 5 2" xfId="129" xr:uid="{00000000-0005-0000-0000-000040060000}"/>
    <cellStyle name="Normal 5 2 2" xfId="215" xr:uid="{00000000-0005-0000-0000-000041060000}"/>
    <cellStyle name="Normal 5 2 2 2" xfId="1581" xr:uid="{00000000-0005-0000-0000-000042060000}"/>
    <cellStyle name="Normal 5 2 2 3" xfId="1552" xr:uid="{00000000-0005-0000-0000-000043060000}"/>
    <cellStyle name="Normal 5 2 3" xfId="195" xr:uid="{00000000-0005-0000-0000-000044060000}"/>
    <cellStyle name="Normal 5 2 3 2" xfId="1570" xr:uid="{00000000-0005-0000-0000-000045060000}"/>
    <cellStyle name="Normal 5 2 3 3" xfId="1574" xr:uid="{00000000-0005-0000-0000-000046060000}"/>
    <cellStyle name="Normal 5 2 4" xfId="1176" xr:uid="{00000000-0005-0000-0000-000047060000}"/>
    <cellStyle name="Normal 5 2 4 2" xfId="1269" xr:uid="{00000000-0005-0000-0000-000048060000}"/>
    <cellStyle name="Normal 5 2 4 3" xfId="1289" xr:uid="{00000000-0005-0000-0000-000049060000}"/>
    <cellStyle name="Normal 5 2 4 3 2" xfId="2076" xr:uid="{00000000-0005-0000-0000-00004A060000}"/>
    <cellStyle name="Normal 5 2 4 4" xfId="2062" xr:uid="{00000000-0005-0000-0000-00004B060000}"/>
    <cellStyle name="Normal 5 3" xfId="130" xr:uid="{00000000-0005-0000-0000-00004C060000}"/>
    <cellStyle name="Normal 5 3 2" xfId="216" xr:uid="{00000000-0005-0000-0000-00004D060000}"/>
    <cellStyle name="Normal 5 3 2 2" xfId="1550" xr:uid="{00000000-0005-0000-0000-00004E060000}"/>
    <cellStyle name="Normal 5 3 2 3" xfId="1619" xr:uid="{00000000-0005-0000-0000-00004F060000}"/>
    <cellStyle name="Normal 5 3 3" xfId="199" xr:uid="{00000000-0005-0000-0000-000050060000}"/>
    <cellStyle name="Normal 5 3 4" xfId="468" xr:uid="{00000000-0005-0000-0000-000051060000}"/>
    <cellStyle name="Normal 5 3 4 2" xfId="1270" xr:uid="{00000000-0005-0000-0000-000052060000}"/>
    <cellStyle name="Normal 5 3 4 3" xfId="1283" xr:uid="{00000000-0005-0000-0000-000053060000}"/>
    <cellStyle name="Normal 5 4" xfId="131" xr:uid="{00000000-0005-0000-0000-000054060000}"/>
    <cellStyle name="Normal 5 4 2" xfId="556" xr:uid="{00000000-0005-0000-0000-000055060000}"/>
    <cellStyle name="Normal 5 4 2 2" xfId="597" xr:uid="{00000000-0005-0000-0000-000056060000}"/>
    <cellStyle name="Normal 5 4 2 2 2" xfId="709" xr:uid="{00000000-0005-0000-0000-000057060000}"/>
    <cellStyle name="Normal 5 4 2 2 2 2" xfId="936" xr:uid="{00000000-0005-0000-0000-000058060000}"/>
    <cellStyle name="Normal 5 4 2 2 3" xfId="823" xr:uid="{00000000-0005-0000-0000-000059060000}"/>
    <cellStyle name="Normal 5 4 2 3" xfId="634" xr:uid="{00000000-0005-0000-0000-00005A060000}"/>
    <cellStyle name="Normal 5 4 2 3 2" xfId="746" xr:uid="{00000000-0005-0000-0000-00005B060000}"/>
    <cellStyle name="Normal 5 4 2 3 2 2" xfId="973" xr:uid="{00000000-0005-0000-0000-00005C060000}"/>
    <cellStyle name="Normal 5 4 2 3 3" xfId="860" xr:uid="{00000000-0005-0000-0000-00005D060000}"/>
    <cellStyle name="Normal 5 4 2 4" xfId="673" xr:uid="{00000000-0005-0000-0000-00005E060000}"/>
    <cellStyle name="Normal 5 4 2 4 2" xfId="899" xr:uid="{00000000-0005-0000-0000-00005F060000}"/>
    <cellStyle name="Normal 5 4 2 5" xfId="786" xr:uid="{00000000-0005-0000-0000-000060060000}"/>
    <cellStyle name="Normal 5 4 3" xfId="469" xr:uid="{00000000-0005-0000-0000-000061060000}"/>
    <cellStyle name="Normal 5 5" xfId="132" xr:uid="{00000000-0005-0000-0000-000062060000}"/>
    <cellStyle name="Normal 5 6" xfId="133" xr:uid="{00000000-0005-0000-0000-000063060000}"/>
    <cellStyle name="Normal 5 7" xfId="134" xr:uid="{00000000-0005-0000-0000-000064060000}"/>
    <cellStyle name="Normal 5 8" xfId="214" xr:uid="{00000000-0005-0000-0000-000065060000}"/>
    <cellStyle name="Normal 5 8 2" xfId="1464" xr:uid="{00000000-0005-0000-0000-000066060000}"/>
    <cellStyle name="Normal 5 8 2 2" xfId="2018" xr:uid="{00000000-0005-0000-0000-000067060000}"/>
    <cellStyle name="Normal 5 8 2 3" xfId="1591" xr:uid="{00000000-0005-0000-0000-000068060000}"/>
    <cellStyle name="Normal 5 9" xfId="194" xr:uid="{00000000-0005-0000-0000-000069060000}"/>
    <cellStyle name="Normal 5 9 2" xfId="1307" xr:uid="{00000000-0005-0000-0000-00006A060000}"/>
    <cellStyle name="Normal 5 9 2 2" xfId="2006" xr:uid="{00000000-0005-0000-0000-00006B060000}"/>
    <cellStyle name="Normal 5 9 2 3" xfId="1567" xr:uid="{00000000-0005-0000-0000-00006C060000}"/>
    <cellStyle name="Normal 5_Capital Exp Received for 2013_2014" xfId="470" xr:uid="{00000000-0005-0000-0000-00006D060000}"/>
    <cellStyle name="Normal 50" xfId="2039" xr:uid="{00000000-0005-0000-0000-00006E060000}"/>
    <cellStyle name="Normal 51" xfId="2040" xr:uid="{00000000-0005-0000-0000-00006F060000}"/>
    <cellStyle name="Normal 52" xfId="2041" xr:uid="{00000000-0005-0000-0000-000070060000}"/>
    <cellStyle name="Normal 53" xfId="2042" xr:uid="{00000000-0005-0000-0000-000071060000}"/>
    <cellStyle name="Normal 54" xfId="2043" xr:uid="{00000000-0005-0000-0000-000072060000}"/>
    <cellStyle name="Normal 55" xfId="135" xr:uid="{00000000-0005-0000-0000-000073060000}"/>
    <cellStyle name="Normal 56" xfId="136" xr:uid="{00000000-0005-0000-0000-000074060000}"/>
    <cellStyle name="Normal 6" xfId="137" xr:uid="{00000000-0005-0000-0000-000075060000}"/>
    <cellStyle name="Normal 6 10" xfId="1522" xr:uid="{00000000-0005-0000-0000-000076060000}"/>
    <cellStyle name="Normal 6 2" xfId="138" xr:uid="{00000000-0005-0000-0000-000077060000}"/>
    <cellStyle name="Normal 6 2 2" xfId="472" xr:uid="{00000000-0005-0000-0000-000078060000}"/>
    <cellStyle name="Normal 6 2 2 2" xfId="473" xr:uid="{00000000-0005-0000-0000-000079060000}"/>
    <cellStyle name="Normal 6 2 2 3" xfId="1309" xr:uid="{00000000-0005-0000-0000-00007A060000}"/>
    <cellStyle name="Normal 6 2 2 3 2" xfId="2008" xr:uid="{00000000-0005-0000-0000-00007B060000}"/>
    <cellStyle name="Normal 6 2 2 3 3" xfId="1622" xr:uid="{00000000-0005-0000-0000-00007C060000}"/>
    <cellStyle name="Normal 6 2 3" xfId="474" xr:uid="{00000000-0005-0000-0000-00007D060000}"/>
    <cellStyle name="Normal 6 2 3 2" xfId="1727" xr:uid="{00000000-0005-0000-0000-00007E060000}"/>
    <cellStyle name="Normal 6 2 4" xfId="557" xr:uid="{00000000-0005-0000-0000-00007F060000}"/>
    <cellStyle name="Normal 6 2 5" xfId="471" xr:uid="{00000000-0005-0000-0000-000080060000}"/>
    <cellStyle name="Normal 6 2 6" xfId="1177" xr:uid="{00000000-0005-0000-0000-000081060000}"/>
    <cellStyle name="Normal 6 2 6 2" xfId="2063" xr:uid="{00000000-0005-0000-0000-000082060000}"/>
    <cellStyle name="Normal 6 2 7" xfId="1244" xr:uid="{00000000-0005-0000-0000-000083060000}"/>
    <cellStyle name="Normal 6 2_Capital Exp Received for 2013_2014" xfId="475" xr:uid="{00000000-0005-0000-0000-000084060000}"/>
    <cellStyle name="Normal 6 3" xfId="139" xr:uid="{00000000-0005-0000-0000-000085060000}"/>
    <cellStyle name="Normal 6 3 2" xfId="477" xr:uid="{00000000-0005-0000-0000-000086060000}"/>
    <cellStyle name="Normal 6 3 3" xfId="558" xr:uid="{00000000-0005-0000-0000-000087060000}"/>
    <cellStyle name="Normal 6 3 3 2" xfId="598" xr:uid="{00000000-0005-0000-0000-000088060000}"/>
    <cellStyle name="Normal 6 3 3 2 2" xfId="710" xr:uid="{00000000-0005-0000-0000-000089060000}"/>
    <cellStyle name="Normal 6 3 3 2 2 2" xfId="937" xr:uid="{00000000-0005-0000-0000-00008A060000}"/>
    <cellStyle name="Normal 6 3 3 2 3" xfId="824" xr:uid="{00000000-0005-0000-0000-00008B060000}"/>
    <cellStyle name="Normal 6 3 3 3" xfId="635" xr:uid="{00000000-0005-0000-0000-00008C060000}"/>
    <cellStyle name="Normal 6 3 3 3 2" xfId="747" xr:uid="{00000000-0005-0000-0000-00008D060000}"/>
    <cellStyle name="Normal 6 3 3 3 2 2" xfId="974" xr:uid="{00000000-0005-0000-0000-00008E060000}"/>
    <cellStyle name="Normal 6 3 3 3 3" xfId="861" xr:uid="{00000000-0005-0000-0000-00008F060000}"/>
    <cellStyle name="Normal 6 3 3 4" xfId="674" xr:uid="{00000000-0005-0000-0000-000090060000}"/>
    <cellStyle name="Normal 6 3 3 4 2" xfId="900" xr:uid="{00000000-0005-0000-0000-000091060000}"/>
    <cellStyle name="Normal 6 3 3 5" xfId="787" xr:uid="{00000000-0005-0000-0000-000092060000}"/>
    <cellStyle name="Normal 6 3 4" xfId="476" xr:uid="{00000000-0005-0000-0000-000093060000}"/>
    <cellStyle name="Normal 6 4" xfId="140" xr:uid="{00000000-0005-0000-0000-000094060000}"/>
    <cellStyle name="Normal 6 4 2" xfId="478" xr:uid="{00000000-0005-0000-0000-000095060000}"/>
    <cellStyle name="Normal 6 5" xfId="141" xr:uid="{00000000-0005-0000-0000-000096060000}"/>
    <cellStyle name="Normal 6 6" xfId="142" xr:uid="{00000000-0005-0000-0000-000097060000}"/>
    <cellStyle name="Normal 6 7" xfId="143" xr:uid="{00000000-0005-0000-0000-000098060000}"/>
    <cellStyle name="Normal 6 8" xfId="281" xr:uid="{00000000-0005-0000-0000-000099060000}"/>
    <cellStyle name="Normal 6 8 2" xfId="1308" xr:uid="{00000000-0005-0000-0000-00009A060000}"/>
    <cellStyle name="Normal 6 8 2 2" xfId="2007" xr:uid="{00000000-0005-0000-0000-00009B060000}"/>
    <cellStyle name="Normal 6 8 2 3" xfId="1509" xr:uid="{00000000-0005-0000-0000-00009C060000}"/>
    <cellStyle name="Normal 6 9" xfId="1167" xr:uid="{00000000-0005-0000-0000-00009D060000}"/>
    <cellStyle name="Normal 6 9 2" xfId="1561" xr:uid="{00000000-0005-0000-0000-00009E060000}"/>
    <cellStyle name="Normal 6 9 3" xfId="1752" xr:uid="{00000000-0005-0000-0000-00009F060000}"/>
    <cellStyle name="Normal 6_Capital Exp Received for 2013_2014" xfId="479" xr:uid="{00000000-0005-0000-0000-0000A0060000}"/>
    <cellStyle name="Normal 7" xfId="144" xr:uid="{00000000-0005-0000-0000-0000A1060000}"/>
    <cellStyle name="Normal 7 10" xfId="760" xr:uid="{00000000-0005-0000-0000-0000A2060000}"/>
    <cellStyle name="Normal 7 11" xfId="1069" xr:uid="{00000000-0005-0000-0000-0000A3060000}"/>
    <cellStyle name="Normal 7 12" xfId="1070" xr:uid="{00000000-0005-0000-0000-0000A4060000}"/>
    <cellStyle name="Normal 7 13" xfId="1071" xr:uid="{00000000-0005-0000-0000-0000A5060000}"/>
    <cellStyle name="Normal 7 13 2" xfId="1072" xr:uid="{00000000-0005-0000-0000-0000A6060000}"/>
    <cellStyle name="Normal 7 14" xfId="1073" xr:uid="{00000000-0005-0000-0000-0000A7060000}"/>
    <cellStyle name="Normal 7 15" xfId="1074" xr:uid="{00000000-0005-0000-0000-0000A8060000}"/>
    <cellStyle name="Normal 7 16" xfId="1075" xr:uid="{00000000-0005-0000-0000-0000A9060000}"/>
    <cellStyle name="Normal 7 2" xfId="145" xr:uid="{00000000-0005-0000-0000-0000AA060000}"/>
    <cellStyle name="Normal 7 2 2" xfId="481" xr:uid="{00000000-0005-0000-0000-0000AB060000}"/>
    <cellStyle name="Normal 7 2 2 2" xfId="482" xr:uid="{00000000-0005-0000-0000-0000AC060000}"/>
    <cellStyle name="Normal 7 2 3" xfId="483" xr:uid="{00000000-0005-0000-0000-0000AD060000}"/>
    <cellStyle name="Normal 7 2 4" xfId="559" xr:uid="{00000000-0005-0000-0000-0000AE060000}"/>
    <cellStyle name="Normal 7 2 5" xfId="480" xr:uid="{00000000-0005-0000-0000-0000AF060000}"/>
    <cellStyle name="Normal 7 3" xfId="146" xr:uid="{00000000-0005-0000-0000-0000B0060000}"/>
    <cellStyle name="Normal 7 3 2" xfId="485" xr:uid="{00000000-0005-0000-0000-0000B1060000}"/>
    <cellStyle name="Normal 7 3 3" xfId="560" xr:uid="{00000000-0005-0000-0000-0000B2060000}"/>
    <cellStyle name="Normal 7 3 4" xfId="484" xr:uid="{00000000-0005-0000-0000-0000B3060000}"/>
    <cellStyle name="Normal 7 4" xfId="147" xr:uid="{00000000-0005-0000-0000-0000B4060000}"/>
    <cellStyle name="Normal 7 4 2" xfId="561" xr:uid="{00000000-0005-0000-0000-0000B5060000}"/>
    <cellStyle name="Normal 7 4 2 2" xfId="599" xr:uid="{00000000-0005-0000-0000-0000B6060000}"/>
    <cellStyle name="Normal 7 4 2 2 2" xfId="711" xr:uid="{00000000-0005-0000-0000-0000B7060000}"/>
    <cellStyle name="Normal 7 4 2 2 2 2" xfId="938" xr:uid="{00000000-0005-0000-0000-0000B8060000}"/>
    <cellStyle name="Normal 7 4 2 2 3" xfId="825" xr:uid="{00000000-0005-0000-0000-0000B9060000}"/>
    <cellStyle name="Normal 7 4 2 3" xfId="636" xr:uid="{00000000-0005-0000-0000-0000BA060000}"/>
    <cellStyle name="Normal 7 4 2 3 2" xfId="748" xr:uid="{00000000-0005-0000-0000-0000BB060000}"/>
    <cellStyle name="Normal 7 4 2 3 2 2" xfId="975" xr:uid="{00000000-0005-0000-0000-0000BC060000}"/>
    <cellStyle name="Normal 7 4 2 3 3" xfId="862" xr:uid="{00000000-0005-0000-0000-0000BD060000}"/>
    <cellStyle name="Normal 7 4 2 4" xfId="675" xr:uid="{00000000-0005-0000-0000-0000BE060000}"/>
    <cellStyle name="Normal 7 4 2 4 2" xfId="901" xr:uid="{00000000-0005-0000-0000-0000BF060000}"/>
    <cellStyle name="Normal 7 4 2 5" xfId="788" xr:uid="{00000000-0005-0000-0000-0000C0060000}"/>
    <cellStyle name="Normal 7 4 3" xfId="486" xr:uid="{00000000-0005-0000-0000-0000C1060000}"/>
    <cellStyle name="Normal 7 5" xfId="148" xr:uid="{00000000-0005-0000-0000-0000C2060000}"/>
    <cellStyle name="Normal 7 5 2" xfId="579" xr:uid="{00000000-0005-0000-0000-0000C3060000}"/>
    <cellStyle name="Normal 7 5 2 2" xfId="691" xr:uid="{00000000-0005-0000-0000-0000C4060000}"/>
    <cellStyle name="Normal 7 5 2 2 2" xfId="918" xr:uid="{00000000-0005-0000-0000-0000C5060000}"/>
    <cellStyle name="Normal 7 5 2 3" xfId="805" xr:uid="{00000000-0005-0000-0000-0000C6060000}"/>
    <cellStyle name="Normal 7 5 3" xfId="616" xr:uid="{00000000-0005-0000-0000-0000C7060000}"/>
    <cellStyle name="Normal 7 5 3 2" xfId="728" xr:uid="{00000000-0005-0000-0000-0000C8060000}"/>
    <cellStyle name="Normal 7 5 3 2 2" xfId="955" xr:uid="{00000000-0005-0000-0000-0000C9060000}"/>
    <cellStyle name="Normal 7 5 3 3" xfId="842" xr:uid="{00000000-0005-0000-0000-0000CA060000}"/>
    <cellStyle name="Normal 7 5 4" xfId="655" xr:uid="{00000000-0005-0000-0000-0000CB060000}"/>
    <cellStyle name="Normal 7 5 4 2" xfId="881" xr:uid="{00000000-0005-0000-0000-0000CC060000}"/>
    <cellStyle name="Normal 7 5 5" xfId="768" xr:uid="{00000000-0005-0000-0000-0000CD060000}"/>
    <cellStyle name="Normal 7 5 6" xfId="527" xr:uid="{00000000-0005-0000-0000-0000CE060000}"/>
    <cellStyle name="Normal 7 6" xfId="149" xr:uid="{00000000-0005-0000-0000-0000CF060000}"/>
    <cellStyle name="Normal 7 6 2" xfId="583" xr:uid="{00000000-0005-0000-0000-0000D0060000}"/>
    <cellStyle name="Normal 7 6 2 2" xfId="695" xr:uid="{00000000-0005-0000-0000-0000D1060000}"/>
    <cellStyle name="Normal 7 6 2 2 2" xfId="922" xr:uid="{00000000-0005-0000-0000-0000D2060000}"/>
    <cellStyle name="Normal 7 6 2 3" xfId="809" xr:uid="{00000000-0005-0000-0000-0000D3060000}"/>
    <cellStyle name="Normal 7 6 3" xfId="620" xr:uid="{00000000-0005-0000-0000-0000D4060000}"/>
    <cellStyle name="Normal 7 6 3 2" xfId="732" xr:uid="{00000000-0005-0000-0000-0000D5060000}"/>
    <cellStyle name="Normal 7 6 3 2 2" xfId="959" xr:uid="{00000000-0005-0000-0000-0000D6060000}"/>
    <cellStyle name="Normal 7 6 3 3" xfId="846" xr:uid="{00000000-0005-0000-0000-0000D7060000}"/>
    <cellStyle name="Normal 7 6 4" xfId="659" xr:uid="{00000000-0005-0000-0000-0000D8060000}"/>
    <cellStyle name="Normal 7 6 4 2" xfId="885" xr:uid="{00000000-0005-0000-0000-0000D9060000}"/>
    <cellStyle name="Normal 7 6 5" xfId="772" xr:uid="{00000000-0005-0000-0000-0000DA060000}"/>
    <cellStyle name="Normal 7 6 6" xfId="531" xr:uid="{00000000-0005-0000-0000-0000DB060000}"/>
    <cellStyle name="Normal 7 7" xfId="150" xr:uid="{00000000-0005-0000-0000-0000DC060000}"/>
    <cellStyle name="Normal 7 7 2" xfId="683" xr:uid="{00000000-0005-0000-0000-0000DD060000}"/>
    <cellStyle name="Normal 7 7 2 2" xfId="910" xr:uid="{00000000-0005-0000-0000-0000DE060000}"/>
    <cellStyle name="Normal 7 7 3" xfId="797" xr:uid="{00000000-0005-0000-0000-0000DF060000}"/>
    <cellStyle name="Normal 7 7 4" xfId="571" xr:uid="{00000000-0005-0000-0000-0000E0060000}"/>
    <cellStyle name="Normal 7 8" xfId="249" xr:uid="{00000000-0005-0000-0000-0000E1060000}"/>
    <cellStyle name="Normal 7 8 2" xfId="720" xr:uid="{00000000-0005-0000-0000-0000E2060000}"/>
    <cellStyle name="Normal 7 8 2 2" xfId="947" xr:uid="{00000000-0005-0000-0000-0000E3060000}"/>
    <cellStyle name="Normal 7 8 3" xfId="834" xr:uid="{00000000-0005-0000-0000-0000E4060000}"/>
    <cellStyle name="Normal 7 8 4" xfId="608" xr:uid="{00000000-0005-0000-0000-0000E5060000}"/>
    <cellStyle name="Normal 7 8 5" xfId="1618" xr:uid="{00000000-0005-0000-0000-0000E6060000}"/>
    <cellStyle name="Normal 7 9" xfId="647" xr:uid="{00000000-0005-0000-0000-0000E7060000}"/>
    <cellStyle name="Normal 7 9 2" xfId="873" xr:uid="{00000000-0005-0000-0000-0000E8060000}"/>
    <cellStyle name="Normal 7_Capital Exp Received for 2013_2014" xfId="487" xr:uid="{00000000-0005-0000-0000-0000E9060000}"/>
    <cellStyle name="Normal 8" xfId="151" xr:uid="{00000000-0005-0000-0000-0000EA060000}"/>
    <cellStyle name="Normal 8 10" xfId="761" xr:uid="{00000000-0005-0000-0000-0000EB060000}"/>
    <cellStyle name="Normal 8 11" xfId="488" xr:uid="{00000000-0005-0000-0000-0000EC060000}"/>
    <cellStyle name="Normal 8 12" xfId="1245" xr:uid="{00000000-0005-0000-0000-0000ED060000}"/>
    <cellStyle name="Normal 8 2" xfId="152" xr:uid="{00000000-0005-0000-0000-0000EE060000}"/>
    <cellStyle name="Normal 8 2 2" xfId="490" xr:uid="{00000000-0005-0000-0000-0000EF060000}"/>
    <cellStyle name="Normal 8 2 2 2" xfId="491" xr:uid="{00000000-0005-0000-0000-0000F0060000}"/>
    <cellStyle name="Normal 8 2 2 3" xfId="1311" xr:uid="{00000000-0005-0000-0000-0000F1060000}"/>
    <cellStyle name="Normal 8 2 2 3 2" xfId="2010" xr:uid="{00000000-0005-0000-0000-0000F2060000}"/>
    <cellStyle name="Normal 8 2 2 3 3" xfId="1511" xr:uid="{00000000-0005-0000-0000-0000F3060000}"/>
    <cellStyle name="Normal 8 2 3" xfId="492" xr:uid="{00000000-0005-0000-0000-0000F4060000}"/>
    <cellStyle name="Normal 8 2 3 2" xfId="1729" xr:uid="{00000000-0005-0000-0000-0000F5060000}"/>
    <cellStyle name="Normal 8 2 4" xfId="489" xr:uid="{00000000-0005-0000-0000-0000F6060000}"/>
    <cellStyle name="Normal 8 2 5" xfId="1246" xr:uid="{00000000-0005-0000-0000-0000F7060000}"/>
    <cellStyle name="Normal 8 3" xfId="153" xr:uid="{00000000-0005-0000-0000-0000F8060000}"/>
    <cellStyle name="Normal 8 3 2" xfId="494" xr:uid="{00000000-0005-0000-0000-0000F9060000}"/>
    <cellStyle name="Normal 8 3 3" xfId="493" xr:uid="{00000000-0005-0000-0000-0000FA060000}"/>
    <cellStyle name="Normal 8 4" xfId="154" xr:uid="{00000000-0005-0000-0000-0000FB060000}"/>
    <cellStyle name="Normal 8 4 2" xfId="495" xr:uid="{00000000-0005-0000-0000-0000FC060000}"/>
    <cellStyle name="Normal 8 5" xfId="155" xr:uid="{00000000-0005-0000-0000-0000FD060000}"/>
    <cellStyle name="Normal 8 5 2" xfId="580" xr:uid="{00000000-0005-0000-0000-0000FE060000}"/>
    <cellStyle name="Normal 8 5 2 2" xfId="692" xr:uid="{00000000-0005-0000-0000-0000FF060000}"/>
    <cellStyle name="Normal 8 5 2 2 2" xfId="919" xr:uid="{00000000-0005-0000-0000-000000070000}"/>
    <cellStyle name="Normal 8 5 2 3" xfId="806" xr:uid="{00000000-0005-0000-0000-000001070000}"/>
    <cellStyle name="Normal 8 5 3" xfId="617" xr:uid="{00000000-0005-0000-0000-000002070000}"/>
    <cellStyle name="Normal 8 5 3 2" xfId="729" xr:uid="{00000000-0005-0000-0000-000003070000}"/>
    <cellStyle name="Normal 8 5 3 2 2" xfId="956" xr:uid="{00000000-0005-0000-0000-000004070000}"/>
    <cellStyle name="Normal 8 5 3 3" xfId="843" xr:uid="{00000000-0005-0000-0000-000005070000}"/>
    <cellStyle name="Normal 8 5 4" xfId="656" xr:uid="{00000000-0005-0000-0000-000006070000}"/>
    <cellStyle name="Normal 8 5 4 2" xfId="882" xr:uid="{00000000-0005-0000-0000-000007070000}"/>
    <cellStyle name="Normal 8 5 5" xfId="769" xr:uid="{00000000-0005-0000-0000-000008070000}"/>
    <cellStyle name="Normal 8 5 6" xfId="528" xr:uid="{00000000-0005-0000-0000-000009070000}"/>
    <cellStyle name="Normal 8 6" xfId="156" xr:uid="{00000000-0005-0000-0000-00000A070000}"/>
    <cellStyle name="Normal 8 6 2" xfId="600" xr:uid="{00000000-0005-0000-0000-00000B070000}"/>
    <cellStyle name="Normal 8 6 2 2" xfId="712" xr:uid="{00000000-0005-0000-0000-00000C070000}"/>
    <cellStyle name="Normal 8 6 2 2 2" xfId="939" xr:uid="{00000000-0005-0000-0000-00000D070000}"/>
    <cellStyle name="Normal 8 6 2 3" xfId="826" xr:uid="{00000000-0005-0000-0000-00000E070000}"/>
    <cellStyle name="Normal 8 6 3" xfId="637" xr:uid="{00000000-0005-0000-0000-00000F070000}"/>
    <cellStyle name="Normal 8 6 3 2" xfId="749" xr:uid="{00000000-0005-0000-0000-000010070000}"/>
    <cellStyle name="Normal 8 6 3 2 2" xfId="976" xr:uid="{00000000-0005-0000-0000-000011070000}"/>
    <cellStyle name="Normal 8 6 3 3" xfId="863" xr:uid="{00000000-0005-0000-0000-000012070000}"/>
    <cellStyle name="Normal 8 6 4" xfId="676" xr:uid="{00000000-0005-0000-0000-000013070000}"/>
    <cellStyle name="Normal 8 6 4 2" xfId="902" xr:uid="{00000000-0005-0000-0000-000014070000}"/>
    <cellStyle name="Normal 8 6 5" xfId="789" xr:uid="{00000000-0005-0000-0000-000015070000}"/>
    <cellStyle name="Normal 8 6 6" xfId="562" xr:uid="{00000000-0005-0000-0000-000016070000}"/>
    <cellStyle name="Normal 8 7" xfId="157" xr:uid="{00000000-0005-0000-0000-000017070000}"/>
    <cellStyle name="Normal 8 7 2" xfId="684" xr:uid="{00000000-0005-0000-0000-000018070000}"/>
    <cellStyle name="Normal 8 7 2 2" xfId="911" xr:uid="{00000000-0005-0000-0000-000019070000}"/>
    <cellStyle name="Normal 8 7 3" xfId="798" xr:uid="{00000000-0005-0000-0000-00001A070000}"/>
    <cellStyle name="Normal 8 7 4" xfId="572" xr:uid="{00000000-0005-0000-0000-00001B070000}"/>
    <cellStyle name="Normal 8 8" xfId="609" xr:uid="{00000000-0005-0000-0000-00001C070000}"/>
    <cellStyle name="Normal 8 8 2" xfId="721" xr:uid="{00000000-0005-0000-0000-00001D070000}"/>
    <cellStyle name="Normal 8 8 2 2" xfId="948" xr:uid="{00000000-0005-0000-0000-00001E070000}"/>
    <cellStyle name="Normal 8 8 3" xfId="835" xr:uid="{00000000-0005-0000-0000-00001F070000}"/>
    <cellStyle name="Normal 8 8 4" xfId="1310" xr:uid="{00000000-0005-0000-0000-000020070000}"/>
    <cellStyle name="Normal 8 8 4 2" xfId="2009" xr:uid="{00000000-0005-0000-0000-000021070000}"/>
    <cellStyle name="Normal 8 8 4 3" xfId="1741" xr:uid="{00000000-0005-0000-0000-000022070000}"/>
    <cellStyle name="Normal 8 9" xfId="648" xr:uid="{00000000-0005-0000-0000-000023070000}"/>
    <cellStyle name="Normal 8 9 2" xfId="874" xr:uid="{00000000-0005-0000-0000-000024070000}"/>
    <cellStyle name="Normal 8 9 3" xfId="1728" xr:uid="{00000000-0005-0000-0000-000025070000}"/>
    <cellStyle name="Normal 8_Capital Exp Received for 2013_2014" xfId="496" xr:uid="{00000000-0005-0000-0000-000026070000}"/>
    <cellStyle name="Normal 9" xfId="45" xr:uid="{00000000-0005-0000-0000-000027070000}"/>
    <cellStyle name="Normal 9 10" xfId="762" xr:uid="{00000000-0005-0000-0000-000028070000}"/>
    <cellStyle name="Normal 9 11" xfId="497" xr:uid="{00000000-0005-0000-0000-000029070000}"/>
    <cellStyle name="Normal 9 12" xfId="1166" xr:uid="{00000000-0005-0000-0000-00002A070000}"/>
    <cellStyle name="Normal 9 12 2" xfId="2058" xr:uid="{00000000-0005-0000-0000-00002B070000}"/>
    <cellStyle name="Normal 9 2" xfId="158" xr:uid="{00000000-0005-0000-0000-00002C070000}"/>
    <cellStyle name="Normal 9 2 2" xfId="499" xr:uid="{00000000-0005-0000-0000-00002D070000}"/>
    <cellStyle name="Normal 9 2 2 2" xfId="500" xr:uid="{00000000-0005-0000-0000-00002E070000}"/>
    <cellStyle name="Normal 9 2 3" xfId="501" xr:uid="{00000000-0005-0000-0000-00002F070000}"/>
    <cellStyle name="Normal 9 2 4" xfId="563" xr:uid="{00000000-0005-0000-0000-000030070000}"/>
    <cellStyle name="Normal 9 2 5" xfId="498" xr:uid="{00000000-0005-0000-0000-000031070000}"/>
    <cellStyle name="Normal 9 2 6" xfId="1470" xr:uid="{00000000-0005-0000-0000-000032070000}"/>
    <cellStyle name="Normal 9 2 6 2" xfId="2078" xr:uid="{00000000-0005-0000-0000-000033070000}"/>
    <cellStyle name="Normal 9 3" xfId="159" xr:uid="{00000000-0005-0000-0000-000034070000}"/>
    <cellStyle name="Normal 9 3 2" xfId="503" xr:uid="{00000000-0005-0000-0000-000035070000}"/>
    <cellStyle name="Normal 9 3 3" xfId="502" xr:uid="{00000000-0005-0000-0000-000036070000}"/>
    <cellStyle name="Normal 9 4" xfId="160" xr:uid="{00000000-0005-0000-0000-000037070000}"/>
    <cellStyle name="Normal 9 4 2" xfId="504" xr:uid="{00000000-0005-0000-0000-000038070000}"/>
    <cellStyle name="Normal 9 5" xfId="161" xr:uid="{00000000-0005-0000-0000-000039070000}"/>
    <cellStyle name="Normal 9 5 2" xfId="581" xr:uid="{00000000-0005-0000-0000-00003A070000}"/>
    <cellStyle name="Normal 9 5 2 2" xfId="693" xr:uid="{00000000-0005-0000-0000-00003B070000}"/>
    <cellStyle name="Normal 9 5 2 2 2" xfId="920" xr:uid="{00000000-0005-0000-0000-00003C070000}"/>
    <cellStyle name="Normal 9 5 2 3" xfId="807" xr:uid="{00000000-0005-0000-0000-00003D070000}"/>
    <cellStyle name="Normal 9 5 3" xfId="618" xr:uid="{00000000-0005-0000-0000-00003E070000}"/>
    <cellStyle name="Normal 9 5 3 2" xfId="730" xr:uid="{00000000-0005-0000-0000-00003F070000}"/>
    <cellStyle name="Normal 9 5 3 2 2" xfId="957" xr:uid="{00000000-0005-0000-0000-000040070000}"/>
    <cellStyle name="Normal 9 5 3 3" xfId="844" xr:uid="{00000000-0005-0000-0000-000041070000}"/>
    <cellStyle name="Normal 9 5 4" xfId="657" xr:uid="{00000000-0005-0000-0000-000042070000}"/>
    <cellStyle name="Normal 9 5 4 2" xfId="883" xr:uid="{00000000-0005-0000-0000-000043070000}"/>
    <cellStyle name="Normal 9 5 5" xfId="770" xr:uid="{00000000-0005-0000-0000-000044070000}"/>
    <cellStyle name="Normal 9 5 6" xfId="529" xr:uid="{00000000-0005-0000-0000-000045070000}"/>
    <cellStyle name="Normal 9 6" xfId="162" xr:uid="{00000000-0005-0000-0000-000046070000}"/>
    <cellStyle name="Normal 9 6 2" xfId="564" xr:uid="{00000000-0005-0000-0000-000047070000}"/>
    <cellStyle name="Normal 9 7" xfId="163" xr:uid="{00000000-0005-0000-0000-000048070000}"/>
    <cellStyle name="Normal 9 7 2" xfId="685" xr:uid="{00000000-0005-0000-0000-000049070000}"/>
    <cellStyle name="Normal 9 7 2 2" xfId="912" xr:uid="{00000000-0005-0000-0000-00004A070000}"/>
    <cellStyle name="Normal 9 7 3" xfId="799" xr:uid="{00000000-0005-0000-0000-00004B070000}"/>
    <cellStyle name="Normal 9 7 4" xfId="573" xr:uid="{00000000-0005-0000-0000-00004C070000}"/>
    <cellStyle name="Normal 9 8" xfId="610" xr:uid="{00000000-0005-0000-0000-00004D070000}"/>
    <cellStyle name="Normal 9 8 2" xfId="722" xr:uid="{00000000-0005-0000-0000-00004E070000}"/>
    <cellStyle name="Normal 9 8 2 2" xfId="949" xr:uid="{00000000-0005-0000-0000-00004F070000}"/>
    <cellStyle name="Normal 9 8 3" xfId="836" xr:uid="{00000000-0005-0000-0000-000050070000}"/>
    <cellStyle name="Normal 9 8 4" xfId="1296" xr:uid="{00000000-0005-0000-0000-000051070000}"/>
    <cellStyle name="Normal 9 8 4 2" xfId="1996" xr:uid="{00000000-0005-0000-0000-000052070000}"/>
    <cellStyle name="Normal 9 8 4 3" xfId="1584" xr:uid="{00000000-0005-0000-0000-000053070000}"/>
    <cellStyle name="Normal 9 9" xfId="649" xr:uid="{00000000-0005-0000-0000-000054070000}"/>
    <cellStyle name="Normal 9 9 2" xfId="875" xr:uid="{00000000-0005-0000-0000-000055070000}"/>
    <cellStyle name="Normal 9 9 3" xfId="1730" xr:uid="{00000000-0005-0000-0000-000056070000}"/>
    <cellStyle name="Normal 9_Capital Exp Received for 2013_2014" xfId="505" xr:uid="{00000000-0005-0000-0000-000057070000}"/>
    <cellStyle name="Note" xfId="15" builtinId="10" customBuiltin="1"/>
    <cellStyle name="Note 2" xfId="506" xr:uid="{00000000-0005-0000-0000-000059070000}"/>
    <cellStyle name="Note 2 10" xfId="1247" xr:uid="{00000000-0005-0000-0000-00005A070000}"/>
    <cellStyle name="Note 2 10 2" xfId="1795" xr:uid="{00000000-0005-0000-0000-00005B070000}"/>
    <cellStyle name="Note 2 10 3" xfId="1542" xr:uid="{00000000-0005-0000-0000-00005C070000}"/>
    <cellStyle name="Note 2 2" xfId="1014" xr:uid="{00000000-0005-0000-0000-00005D070000}"/>
    <cellStyle name="Note 2 2 2" xfId="1124" xr:uid="{00000000-0005-0000-0000-00005E070000}"/>
    <cellStyle name="Note 2 2 3" xfId="1471" xr:uid="{00000000-0005-0000-0000-00005F070000}"/>
    <cellStyle name="Note 2 2 3 2" xfId="2079" xr:uid="{00000000-0005-0000-0000-000060070000}"/>
    <cellStyle name="Note 2 3" xfId="1056" xr:uid="{00000000-0005-0000-0000-000061070000}"/>
    <cellStyle name="Note 2 3 2" xfId="1152" xr:uid="{00000000-0005-0000-0000-000062070000}"/>
    <cellStyle name="Note 2 4" xfId="1048" xr:uid="{00000000-0005-0000-0000-000063070000}"/>
    <cellStyle name="Note 2 4 2" xfId="1147" xr:uid="{00000000-0005-0000-0000-000064070000}"/>
    <cellStyle name="Note 2 5" xfId="1011" xr:uid="{00000000-0005-0000-0000-000065070000}"/>
    <cellStyle name="Note 2 5 2" xfId="1122" xr:uid="{00000000-0005-0000-0000-000066070000}"/>
    <cellStyle name="Note 2 6" xfId="1051" xr:uid="{00000000-0005-0000-0000-000067070000}"/>
    <cellStyle name="Note 2 6 2" xfId="1148" xr:uid="{00000000-0005-0000-0000-000068070000}"/>
    <cellStyle name="Note 2 7" xfId="1036" xr:uid="{00000000-0005-0000-0000-000069070000}"/>
    <cellStyle name="Note 2 7 2" xfId="1139" xr:uid="{00000000-0005-0000-0000-00006A070000}"/>
    <cellStyle name="Note 2 8" xfId="1101" xr:uid="{00000000-0005-0000-0000-00006B070000}"/>
    <cellStyle name="Note 2 9" xfId="1174" xr:uid="{00000000-0005-0000-0000-00006C070000}"/>
    <cellStyle name="Note 2 9 2" xfId="1587" xr:uid="{00000000-0005-0000-0000-00006D070000}"/>
    <cellStyle name="Note 2 9 3" xfId="1621" xr:uid="{00000000-0005-0000-0000-00006E070000}"/>
    <cellStyle name="Note 3" xfId="1248" xr:uid="{00000000-0005-0000-0000-00006F070000}"/>
    <cellStyle name="Note 3 2" xfId="1481" xr:uid="{00000000-0005-0000-0000-000070070000}"/>
    <cellStyle name="Note 3 2 2" xfId="2089" xr:uid="{00000000-0005-0000-0000-000071070000}"/>
    <cellStyle name="Note 3 3" xfId="2072" xr:uid="{00000000-0005-0000-0000-000072070000}"/>
    <cellStyle name="Note 4" xfId="2123" xr:uid="{00000000-0005-0000-0000-000073070000}"/>
    <cellStyle name="OrigenAccount" xfId="280" xr:uid="{00000000-0005-0000-0000-000074070000}"/>
    <cellStyle name="OrigenActivity" xfId="264" xr:uid="{00000000-0005-0000-0000-000075070000}"/>
    <cellStyle name="OrigenColumnHdg" xfId="265" xr:uid="{00000000-0005-0000-0000-000076070000}"/>
    <cellStyle name="OrigenCostCentre" xfId="279" xr:uid="{00000000-0005-0000-0000-000077070000}"/>
    <cellStyle name="OrigenEntity" xfId="255" xr:uid="{00000000-0005-0000-0000-000078070000}"/>
    <cellStyle name="OrigenGroup" xfId="273" xr:uid="{00000000-0005-0000-0000-000079070000}"/>
    <cellStyle name="OrigenJob" xfId="278" xr:uid="{00000000-0005-0000-0000-00007A070000}"/>
    <cellStyle name="OrigenLevel" xfId="277" xr:uid="{00000000-0005-0000-0000-00007B070000}"/>
    <cellStyle name="OrigenPeriod" xfId="254" xr:uid="{00000000-0005-0000-0000-00007C070000}"/>
    <cellStyle name="OrigenPostingCode" xfId="256" xr:uid="{00000000-0005-0000-0000-00007D070000}"/>
    <cellStyle name="OrigenPostingCode 2" xfId="252" xr:uid="{00000000-0005-0000-0000-00007E070000}"/>
    <cellStyle name="OrigenPostingCode_Capital Exp Received for 2013_2014" xfId="507" xr:uid="{00000000-0005-0000-0000-00007F070000}"/>
    <cellStyle name="OrigenSubJob" xfId="262" xr:uid="{00000000-0005-0000-0000-000080070000}"/>
    <cellStyle name="OrigenTitle" xfId="263" xr:uid="{00000000-0005-0000-0000-000081070000}"/>
    <cellStyle name="OrigenTotals" xfId="251" xr:uid="{00000000-0005-0000-0000-000082070000}"/>
    <cellStyle name="Output" xfId="10" builtinId="21" customBuiltin="1"/>
    <cellStyle name="Output 2" xfId="508" xr:uid="{00000000-0005-0000-0000-000084070000}"/>
    <cellStyle name="Output 2 10" xfId="1249" xr:uid="{00000000-0005-0000-0000-000085070000}"/>
    <cellStyle name="Output 2 10 2" xfId="1796" xr:uid="{00000000-0005-0000-0000-000086070000}"/>
    <cellStyle name="Output 2 10 3" xfId="1524" xr:uid="{00000000-0005-0000-0000-000087070000}"/>
    <cellStyle name="Output 2 2" xfId="509" xr:uid="{00000000-0005-0000-0000-000088070000}"/>
    <cellStyle name="Output 2 2 2" xfId="1016" xr:uid="{00000000-0005-0000-0000-000089070000}"/>
    <cellStyle name="Output 2 2 2 2" xfId="1126" xr:uid="{00000000-0005-0000-0000-00008A070000}"/>
    <cellStyle name="Output 2 2 3" xfId="1057" xr:uid="{00000000-0005-0000-0000-00008B070000}"/>
    <cellStyle name="Output 2 2 3 2" xfId="1153" xr:uid="{00000000-0005-0000-0000-00008C070000}"/>
    <cellStyle name="Output 2 2 4" xfId="982" xr:uid="{00000000-0005-0000-0000-00008D070000}"/>
    <cellStyle name="Output 2 2 4 2" xfId="1114" xr:uid="{00000000-0005-0000-0000-00008E070000}"/>
    <cellStyle name="Output 2 2 5" xfId="1012" xr:uid="{00000000-0005-0000-0000-00008F070000}"/>
    <cellStyle name="Output 2 2 5 2" xfId="1123" xr:uid="{00000000-0005-0000-0000-000090070000}"/>
    <cellStyle name="Output 2 2 6" xfId="1018" xr:uid="{00000000-0005-0000-0000-000091070000}"/>
    <cellStyle name="Output 2 2 6 2" xfId="1128" xr:uid="{00000000-0005-0000-0000-000092070000}"/>
    <cellStyle name="Output 2 2 7" xfId="1003" xr:uid="{00000000-0005-0000-0000-000093070000}"/>
    <cellStyle name="Output 2 2 7 2" xfId="1117" xr:uid="{00000000-0005-0000-0000-000094070000}"/>
    <cellStyle name="Output 2 2 8" xfId="1103" xr:uid="{00000000-0005-0000-0000-000095070000}"/>
    <cellStyle name="Output 2 3" xfId="1015" xr:uid="{00000000-0005-0000-0000-000096070000}"/>
    <cellStyle name="Output 2 3 2" xfId="1125" xr:uid="{00000000-0005-0000-0000-000097070000}"/>
    <cellStyle name="Output 2 4" xfId="1040" xr:uid="{00000000-0005-0000-0000-000098070000}"/>
    <cellStyle name="Output 2 4 2" xfId="1142" xr:uid="{00000000-0005-0000-0000-000099070000}"/>
    <cellStyle name="Output 2 5" xfId="1054" xr:uid="{00000000-0005-0000-0000-00009A070000}"/>
    <cellStyle name="Output 2 5 2" xfId="1151" xr:uid="{00000000-0005-0000-0000-00009B070000}"/>
    <cellStyle name="Output 2 6" xfId="1005" xr:uid="{00000000-0005-0000-0000-00009C070000}"/>
    <cellStyle name="Output 2 6 2" xfId="1118" xr:uid="{00000000-0005-0000-0000-00009D070000}"/>
    <cellStyle name="Output 2 7" xfId="989" xr:uid="{00000000-0005-0000-0000-00009E070000}"/>
    <cellStyle name="Output 2 7 2" xfId="1116" xr:uid="{00000000-0005-0000-0000-00009F070000}"/>
    <cellStyle name="Output 2 8" xfId="1053" xr:uid="{00000000-0005-0000-0000-0000A0070000}"/>
    <cellStyle name="Output 2 8 2" xfId="1150" xr:uid="{00000000-0005-0000-0000-0000A1070000}"/>
    <cellStyle name="Output 2 9" xfId="1102" xr:uid="{00000000-0005-0000-0000-0000A2070000}"/>
    <cellStyle name="Output 3" xfId="510" xr:uid="{00000000-0005-0000-0000-0000A3070000}"/>
    <cellStyle name="Output 3 2" xfId="1017" xr:uid="{00000000-0005-0000-0000-0000A4070000}"/>
    <cellStyle name="Output 3 2 2" xfId="1127" xr:uid="{00000000-0005-0000-0000-0000A5070000}"/>
    <cellStyle name="Output 3 3" xfId="1039" xr:uid="{00000000-0005-0000-0000-0000A6070000}"/>
    <cellStyle name="Output 3 3 2" xfId="1141" xr:uid="{00000000-0005-0000-0000-0000A7070000}"/>
    <cellStyle name="Output 3 4" xfId="1041" xr:uid="{00000000-0005-0000-0000-0000A8070000}"/>
    <cellStyle name="Output 3 4 2" xfId="1143" xr:uid="{00000000-0005-0000-0000-0000A9070000}"/>
    <cellStyle name="Output 3 5" xfId="1023" xr:uid="{00000000-0005-0000-0000-0000AA070000}"/>
    <cellStyle name="Output 3 5 2" xfId="1132" xr:uid="{00000000-0005-0000-0000-0000AB070000}"/>
    <cellStyle name="Output 3 6" xfId="1007" xr:uid="{00000000-0005-0000-0000-0000AC070000}"/>
    <cellStyle name="Output 3 6 2" xfId="1119" xr:uid="{00000000-0005-0000-0000-0000AD070000}"/>
    <cellStyle name="Output 3 7" xfId="983" xr:uid="{00000000-0005-0000-0000-0000AE070000}"/>
    <cellStyle name="Output 3 7 2" xfId="1115" xr:uid="{00000000-0005-0000-0000-0000AF070000}"/>
    <cellStyle name="Output 3 8" xfId="1104" xr:uid="{00000000-0005-0000-0000-0000B0070000}"/>
    <cellStyle name="Output 4" xfId="2118" xr:uid="{00000000-0005-0000-0000-0000B1070000}"/>
    <cellStyle name="Percent 2" xfId="168" xr:uid="{00000000-0005-0000-0000-0000B2070000}"/>
    <cellStyle name="Percent 2 2" xfId="182" xr:uid="{00000000-0005-0000-0000-0000B3070000}"/>
    <cellStyle name="Percent 2 2 2" xfId="274" xr:uid="{00000000-0005-0000-0000-0000B4070000}"/>
    <cellStyle name="Percent 2 2 2 2" xfId="1462" xr:uid="{00000000-0005-0000-0000-0000B5070000}"/>
    <cellStyle name="Percent 2 2 2 2 2" xfId="2016" xr:uid="{00000000-0005-0000-0000-0000B6070000}"/>
    <cellStyle name="Percent 2 2 2 2 3" xfId="1636" xr:uid="{00000000-0005-0000-0000-0000B7070000}"/>
    <cellStyle name="Percent 2 2 2 3" xfId="1497" xr:uid="{00000000-0005-0000-0000-0000B8070000}"/>
    <cellStyle name="Percent 2 2 2 3 2" xfId="2104" xr:uid="{00000000-0005-0000-0000-0000B9070000}"/>
    <cellStyle name="Percent 2 2 3" xfId="1732" xr:uid="{00000000-0005-0000-0000-0000BA070000}"/>
    <cellStyle name="Percent 2 3" xfId="174" xr:uid="{00000000-0005-0000-0000-0000BB070000}"/>
    <cellStyle name="Percent 2 3 2" xfId="1250" xr:uid="{00000000-0005-0000-0000-0000BC070000}"/>
    <cellStyle name="Percent 2 3 2 2" xfId="2073" xr:uid="{00000000-0005-0000-0000-0000BD070000}"/>
    <cellStyle name="Percent 2 3 3" xfId="1606" xr:uid="{00000000-0005-0000-0000-0000BE070000}"/>
    <cellStyle name="Percent 2 4" xfId="1344" xr:uid="{00000000-0005-0000-0000-0000BF070000}"/>
    <cellStyle name="Percent 2 4 2" xfId="1475" xr:uid="{00000000-0005-0000-0000-0000C0070000}"/>
    <cellStyle name="Percent 2 4 2 2" xfId="2083" xr:uid="{00000000-0005-0000-0000-0000C1070000}"/>
    <cellStyle name="Percent 2 5" xfId="1731" xr:uid="{00000000-0005-0000-0000-0000C2070000}"/>
    <cellStyle name="Percent 3" xfId="181" xr:uid="{00000000-0005-0000-0000-0000C3070000}"/>
    <cellStyle name="Percent 3 2" xfId="184" xr:uid="{00000000-0005-0000-0000-0000C4070000}"/>
    <cellStyle name="Percent 3 2 2" xfId="275" xr:uid="{00000000-0005-0000-0000-0000C5070000}"/>
    <cellStyle name="Percent 3 2 2 2" xfId="694" xr:uid="{00000000-0005-0000-0000-0000C6070000}"/>
    <cellStyle name="Percent 3 2 2 2 2" xfId="921" xr:uid="{00000000-0005-0000-0000-0000C7070000}"/>
    <cellStyle name="Percent 3 2 2 3" xfId="808" xr:uid="{00000000-0005-0000-0000-0000C8070000}"/>
    <cellStyle name="Percent 3 2 2 4" xfId="582" xr:uid="{00000000-0005-0000-0000-0000C9070000}"/>
    <cellStyle name="Percent 3 2 2 5" xfId="1498" xr:uid="{00000000-0005-0000-0000-0000CA070000}"/>
    <cellStyle name="Percent 3 2 2 5 2" xfId="2028" xr:uid="{00000000-0005-0000-0000-0000CB070000}"/>
    <cellStyle name="Percent 3 2 2 5 3" xfId="1535" xr:uid="{00000000-0005-0000-0000-0000CC070000}"/>
    <cellStyle name="Percent 3 2 2 6" xfId="1804" xr:uid="{00000000-0005-0000-0000-0000CD070000}"/>
    <cellStyle name="Percent 3 2 3" xfId="619" xr:uid="{00000000-0005-0000-0000-0000CE070000}"/>
    <cellStyle name="Percent 3 2 3 2" xfId="731" xr:uid="{00000000-0005-0000-0000-0000CF070000}"/>
    <cellStyle name="Percent 3 2 3 2 2" xfId="958" xr:uid="{00000000-0005-0000-0000-0000D0070000}"/>
    <cellStyle name="Percent 3 2 3 3" xfId="845" xr:uid="{00000000-0005-0000-0000-0000D1070000}"/>
    <cellStyle name="Percent 3 2 4" xfId="658" xr:uid="{00000000-0005-0000-0000-0000D2070000}"/>
    <cellStyle name="Percent 3 2 4 2" xfId="884" xr:uid="{00000000-0005-0000-0000-0000D3070000}"/>
    <cellStyle name="Percent 3 2 5" xfId="771" xr:uid="{00000000-0005-0000-0000-0000D4070000}"/>
    <cellStyle name="Percent 3 2 6" xfId="530" xr:uid="{00000000-0005-0000-0000-0000D5070000}"/>
    <cellStyle name="Percent 3 2 7" xfId="1251" xr:uid="{00000000-0005-0000-0000-0000D6070000}"/>
    <cellStyle name="Percent 3 2 7 2" xfId="2074" xr:uid="{00000000-0005-0000-0000-0000D7070000}"/>
    <cellStyle name="Percent 3 2 8" xfId="1533" xr:uid="{00000000-0005-0000-0000-0000D8070000}"/>
    <cellStyle name="Percent 3 3" xfId="197" xr:uid="{00000000-0005-0000-0000-0000D9070000}"/>
    <cellStyle name="Percent 3 3 2" xfId="276" xr:uid="{00000000-0005-0000-0000-0000DA070000}"/>
    <cellStyle name="Percent 3 3 2 2" xfId="713" xr:uid="{00000000-0005-0000-0000-0000DB070000}"/>
    <cellStyle name="Percent 3 3 2 2 2" xfId="940" xr:uid="{00000000-0005-0000-0000-0000DC070000}"/>
    <cellStyle name="Percent 3 3 2 3" xfId="827" xr:uid="{00000000-0005-0000-0000-0000DD070000}"/>
    <cellStyle name="Percent 3 3 2 4" xfId="601" xr:uid="{00000000-0005-0000-0000-0000DE070000}"/>
    <cellStyle name="Percent 3 3 2 5" xfId="1502" xr:uid="{00000000-0005-0000-0000-0000DF070000}"/>
    <cellStyle name="Percent 3 3 2 5 2" xfId="2029" xr:uid="{00000000-0005-0000-0000-0000E0070000}"/>
    <cellStyle name="Percent 3 3 2 5 3" xfId="1747" xr:uid="{00000000-0005-0000-0000-0000E1070000}"/>
    <cellStyle name="Percent 3 3 2 6" xfId="1805" xr:uid="{00000000-0005-0000-0000-0000E2070000}"/>
    <cellStyle name="Percent 3 3 3" xfId="638" xr:uid="{00000000-0005-0000-0000-0000E3070000}"/>
    <cellStyle name="Percent 3 3 3 2" xfId="750" xr:uid="{00000000-0005-0000-0000-0000E4070000}"/>
    <cellStyle name="Percent 3 3 3 2 2" xfId="977" xr:uid="{00000000-0005-0000-0000-0000E5070000}"/>
    <cellStyle name="Percent 3 3 3 3" xfId="864" xr:uid="{00000000-0005-0000-0000-0000E6070000}"/>
    <cellStyle name="Percent 3 3 4" xfId="677" xr:uid="{00000000-0005-0000-0000-0000E7070000}"/>
    <cellStyle name="Percent 3 3 4 2" xfId="903" xr:uid="{00000000-0005-0000-0000-0000E8070000}"/>
    <cellStyle name="Percent 3 3 5" xfId="790" xr:uid="{00000000-0005-0000-0000-0000E9070000}"/>
    <cellStyle name="Percent 3 3 6" xfId="565" xr:uid="{00000000-0005-0000-0000-0000EA070000}"/>
    <cellStyle name="Percent 3 3 7" xfId="2055" xr:uid="{00000000-0005-0000-0000-0000EB070000}"/>
    <cellStyle name="Percent 3 4" xfId="574" xr:uid="{00000000-0005-0000-0000-0000EC070000}"/>
    <cellStyle name="Percent 3 4 2" xfId="686" xr:uid="{00000000-0005-0000-0000-0000ED070000}"/>
    <cellStyle name="Percent 3 4 2 2" xfId="913" xr:uid="{00000000-0005-0000-0000-0000EE070000}"/>
    <cellStyle name="Percent 3 4 3" xfId="800" xr:uid="{00000000-0005-0000-0000-0000EF070000}"/>
    <cellStyle name="Percent 3 4 4" xfId="1466" xr:uid="{00000000-0005-0000-0000-0000F0070000}"/>
    <cellStyle name="Percent 3 4 4 2" xfId="2019" xr:uid="{00000000-0005-0000-0000-0000F1070000}"/>
    <cellStyle name="Percent 3 4 4 3" xfId="1630" xr:uid="{00000000-0005-0000-0000-0000F2070000}"/>
    <cellStyle name="Percent 3 4 5" xfId="1476" xr:uid="{00000000-0005-0000-0000-0000F3070000}"/>
    <cellStyle name="Percent 3 4 5 2" xfId="2084" xr:uid="{00000000-0005-0000-0000-0000F4070000}"/>
    <cellStyle name="Percent 3 5" xfId="611" xr:uid="{00000000-0005-0000-0000-0000F5070000}"/>
    <cellStyle name="Percent 3 5 2" xfId="723" xr:uid="{00000000-0005-0000-0000-0000F6070000}"/>
    <cellStyle name="Percent 3 5 2 2" xfId="950" xr:uid="{00000000-0005-0000-0000-0000F7070000}"/>
    <cellStyle name="Percent 3 5 3" xfId="837" xr:uid="{00000000-0005-0000-0000-0000F8070000}"/>
    <cellStyle name="Percent 3 5 4" xfId="1733" xr:uid="{00000000-0005-0000-0000-0000F9070000}"/>
    <cellStyle name="Percent 3 6" xfId="650" xr:uid="{00000000-0005-0000-0000-0000FA070000}"/>
    <cellStyle name="Percent 3 6 2" xfId="876" xr:uid="{00000000-0005-0000-0000-0000FB070000}"/>
    <cellStyle name="Percent 3 7" xfId="763" xr:uid="{00000000-0005-0000-0000-0000FC070000}"/>
    <cellStyle name="Percent 3 8" xfId="511" xr:uid="{00000000-0005-0000-0000-0000FD070000}"/>
    <cellStyle name="Percent 3 9" xfId="1539" xr:uid="{00000000-0005-0000-0000-0000FE070000}"/>
    <cellStyle name="Percent 4" xfId="566" xr:uid="{00000000-0005-0000-0000-0000FF070000}"/>
    <cellStyle name="Percent 4 2" xfId="602" xr:uid="{00000000-0005-0000-0000-000000080000}"/>
    <cellStyle name="Percent 4 2 2" xfId="714" xr:uid="{00000000-0005-0000-0000-000001080000}"/>
    <cellStyle name="Percent 4 2 2 2" xfId="941" xr:uid="{00000000-0005-0000-0000-000002080000}"/>
    <cellStyle name="Percent 4 2 3" xfId="828" xr:uid="{00000000-0005-0000-0000-000003080000}"/>
    <cellStyle name="Percent 4 3" xfId="639" xr:uid="{00000000-0005-0000-0000-000004080000}"/>
    <cellStyle name="Percent 4 3 2" xfId="751" xr:uid="{00000000-0005-0000-0000-000005080000}"/>
    <cellStyle name="Percent 4 3 2 2" xfId="978" xr:uid="{00000000-0005-0000-0000-000006080000}"/>
    <cellStyle name="Percent 4 3 3" xfId="865" xr:uid="{00000000-0005-0000-0000-000007080000}"/>
    <cellStyle name="Percent 4 4" xfId="678" xr:uid="{00000000-0005-0000-0000-000008080000}"/>
    <cellStyle name="Percent 4 4 2" xfId="904" xr:uid="{00000000-0005-0000-0000-000009080000}"/>
    <cellStyle name="Percent 4 5" xfId="791" xr:uid="{00000000-0005-0000-0000-00000A080000}"/>
    <cellStyle name="Percent 5" xfId="567" xr:uid="{00000000-0005-0000-0000-00000B080000}"/>
    <cellStyle name="Percent 5 2" xfId="603" xr:uid="{00000000-0005-0000-0000-00000C080000}"/>
    <cellStyle name="Percent 5 2 2" xfId="715" xr:uid="{00000000-0005-0000-0000-00000D080000}"/>
    <cellStyle name="Percent 5 2 2 2" xfId="942" xr:uid="{00000000-0005-0000-0000-00000E080000}"/>
    <cellStyle name="Percent 5 2 3" xfId="829" xr:uid="{00000000-0005-0000-0000-00000F080000}"/>
    <cellStyle name="Percent 5 2 4" xfId="1480" xr:uid="{00000000-0005-0000-0000-000010080000}"/>
    <cellStyle name="Percent 5 2 4 2" xfId="2088" xr:uid="{00000000-0005-0000-0000-000011080000}"/>
    <cellStyle name="Percent 5 3" xfId="640" xr:uid="{00000000-0005-0000-0000-000012080000}"/>
    <cellStyle name="Percent 5 3 2" xfId="752" xr:uid="{00000000-0005-0000-0000-000013080000}"/>
    <cellStyle name="Percent 5 3 2 2" xfId="979" xr:uid="{00000000-0005-0000-0000-000014080000}"/>
    <cellStyle name="Percent 5 3 3" xfId="866" xr:uid="{00000000-0005-0000-0000-000015080000}"/>
    <cellStyle name="Percent 5 4" xfId="679" xr:uid="{00000000-0005-0000-0000-000016080000}"/>
    <cellStyle name="Percent 5 4 2" xfId="905" xr:uid="{00000000-0005-0000-0000-000017080000}"/>
    <cellStyle name="Percent 5 5" xfId="792" xr:uid="{00000000-0005-0000-0000-000018080000}"/>
    <cellStyle name="Percent 5 6" xfId="1252" xr:uid="{00000000-0005-0000-0000-000019080000}"/>
    <cellStyle name="Percent 5 6 2" xfId="1797" xr:uid="{00000000-0005-0000-0000-00001A080000}"/>
    <cellStyle name="Percent 5 6 3" xfId="1556" xr:uid="{00000000-0005-0000-0000-00001B080000}"/>
    <cellStyle name="Percent 6" xfId="2033" xr:uid="{00000000-0005-0000-0000-00001C080000}"/>
    <cellStyle name="Percent 7" xfId="2155" xr:uid="{00000000-0005-0000-0000-00001D080000}"/>
    <cellStyle name="Referenced" xfId="1345" xr:uid="{00000000-0005-0000-0000-00001E080000}"/>
    <cellStyle name="Referenced 2" xfId="1376" xr:uid="{00000000-0005-0000-0000-00001F080000}"/>
    <cellStyle name="Referenced 3" xfId="1403" xr:uid="{00000000-0005-0000-0000-000020080000}"/>
    <cellStyle name="Referenced 4" xfId="1430" xr:uid="{00000000-0005-0000-0000-000021080000}"/>
    <cellStyle name="Referenced 5" xfId="1457" xr:uid="{00000000-0005-0000-0000-000022080000}"/>
    <cellStyle name="Referenced 6" xfId="1673" xr:uid="{00000000-0005-0000-0000-000023080000}"/>
    <cellStyle name="Referenced 6 2" xfId="1706" xr:uid="{00000000-0005-0000-0000-000024080000}"/>
    <cellStyle name="rpm" xfId="1346" xr:uid="{00000000-0005-0000-0000-000025080000}"/>
    <cellStyle name="rpm 2" xfId="1377" xr:uid="{00000000-0005-0000-0000-000026080000}"/>
    <cellStyle name="rpm 3" xfId="1404" xr:uid="{00000000-0005-0000-0000-000027080000}"/>
    <cellStyle name="rpm 4" xfId="1431" xr:uid="{00000000-0005-0000-0000-000028080000}"/>
    <cellStyle name="rpm 5" xfId="1458" xr:uid="{00000000-0005-0000-0000-000029080000}"/>
    <cellStyle name="rpm 6" xfId="1674" xr:uid="{00000000-0005-0000-0000-00002A080000}"/>
    <cellStyle name="rpm 6 2" xfId="1707" xr:uid="{00000000-0005-0000-0000-00002B080000}"/>
    <cellStyle name="RWDTA_DESCR" xfId="2156" xr:uid="{00000000-0005-0000-0000-00002C080000}"/>
    <cellStyle name="Style1" xfId="244" xr:uid="{00000000-0005-0000-0000-00002D080000}"/>
    <cellStyle name="Style3" xfId="245" xr:uid="{00000000-0005-0000-0000-00002E080000}"/>
    <cellStyle name="Style5" xfId="246" xr:uid="{00000000-0005-0000-0000-00002F080000}"/>
    <cellStyle name="Style7" xfId="247" xr:uid="{00000000-0005-0000-0000-000030080000}"/>
    <cellStyle name="Style7 2" xfId="1253" xr:uid="{00000000-0005-0000-0000-000031080000}"/>
    <cellStyle name="Style7 3" xfId="1738" xr:uid="{00000000-0005-0000-0000-000032080000}"/>
    <cellStyle name="Title" xfId="1" builtinId="15" customBuiltin="1"/>
    <cellStyle name="Title 2" xfId="512" xr:uid="{00000000-0005-0000-0000-000034080000}"/>
    <cellStyle name="Title 2 2" xfId="513" xr:uid="{00000000-0005-0000-0000-000035080000}"/>
    <cellStyle name="Title 3" xfId="514" xr:uid="{00000000-0005-0000-0000-000036080000}"/>
    <cellStyle name="Total" xfId="17" builtinId="25" customBuiltin="1"/>
    <cellStyle name="Total 2" xfId="515" xr:uid="{00000000-0005-0000-0000-000038080000}"/>
    <cellStyle name="Total 2 10" xfId="1254" xr:uid="{00000000-0005-0000-0000-000039080000}"/>
    <cellStyle name="Total 2 10 2" xfId="1798" xr:uid="{00000000-0005-0000-0000-00003A080000}"/>
    <cellStyle name="Total 2 10 3" xfId="1608" xr:uid="{00000000-0005-0000-0000-00003B080000}"/>
    <cellStyle name="Total 2 2" xfId="516" xr:uid="{00000000-0005-0000-0000-00003C080000}"/>
    <cellStyle name="Total 2 2 2" xfId="1020" xr:uid="{00000000-0005-0000-0000-00003D080000}"/>
    <cellStyle name="Total 2 2 2 2" xfId="1130" xr:uid="{00000000-0005-0000-0000-00003E080000}"/>
    <cellStyle name="Total 2 2 3" xfId="1033" xr:uid="{00000000-0005-0000-0000-00003F080000}"/>
    <cellStyle name="Total 2 2 3 2" xfId="1137" xr:uid="{00000000-0005-0000-0000-000040080000}"/>
    <cellStyle name="Total 2 2 4" xfId="1028" xr:uid="{00000000-0005-0000-0000-000041080000}"/>
    <cellStyle name="Total 2 2 4 2" xfId="1134" xr:uid="{00000000-0005-0000-0000-000042080000}"/>
    <cellStyle name="Total 2 2 5" xfId="1037" xr:uid="{00000000-0005-0000-0000-000043080000}"/>
    <cellStyle name="Total 2 2 5 2" xfId="1140" xr:uid="{00000000-0005-0000-0000-000044080000}"/>
    <cellStyle name="Total 2 2 6" xfId="1030" xr:uid="{00000000-0005-0000-0000-000045080000}"/>
    <cellStyle name="Total 2 2 6 2" xfId="1135" xr:uid="{00000000-0005-0000-0000-000046080000}"/>
    <cellStyle name="Total 2 2 7" xfId="1060" xr:uid="{00000000-0005-0000-0000-000047080000}"/>
    <cellStyle name="Total 2 2 7 2" xfId="1154" xr:uid="{00000000-0005-0000-0000-000048080000}"/>
    <cellStyle name="Total 2 2 8" xfId="1106" xr:uid="{00000000-0005-0000-0000-000049080000}"/>
    <cellStyle name="Total 2 3" xfId="1019" xr:uid="{00000000-0005-0000-0000-00004A080000}"/>
    <cellStyle name="Total 2 3 2" xfId="1129" xr:uid="{00000000-0005-0000-0000-00004B080000}"/>
    <cellStyle name="Total 2 4" xfId="1046" xr:uid="{00000000-0005-0000-0000-00004C080000}"/>
    <cellStyle name="Total 2 4 2" xfId="1146" xr:uid="{00000000-0005-0000-0000-00004D080000}"/>
    <cellStyle name="Total 2 5" xfId="1031" xr:uid="{00000000-0005-0000-0000-00004E080000}"/>
    <cellStyle name="Total 2 5 2" xfId="1136" xr:uid="{00000000-0005-0000-0000-00004F080000}"/>
    <cellStyle name="Total 2 6" xfId="1035" xr:uid="{00000000-0005-0000-0000-000050080000}"/>
    <cellStyle name="Total 2 6 2" xfId="1138" xr:uid="{00000000-0005-0000-0000-000051080000}"/>
    <cellStyle name="Total 2 7" xfId="1024" xr:uid="{00000000-0005-0000-0000-000052080000}"/>
    <cellStyle name="Total 2 7 2" xfId="1133" xr:uid="{00000000-0005-0000-0000-000053080000}"/>
    <cellStyle name="Total 2 8" xfId="1042" xr:uid="{00000000-0005-0000-0000-000054080000}"/>
    <cellStyle name="Total 2 8 2" xfId="1144" xr:uid="{00000000-0005-0000-0000-000055080000}"/>
    <cellStyle name="Total 2 9" xfId="1105" xr:uid="{00000000-0005-0000-0000-000056080000}"/>
    <cellStyle name="Total 3" xfId="517" xr:uid="{00000000-0005-0000-0000-000057080000}"/>
    <cellStyle name="Total 3 2" xfId="1021" xr:uid="{00000000-0005-0000-0000-000058080000}"/>
    <cellStyle name="Total 3 2 2" xfId="1131" xr:uid="{00000000-0005-0000-0000-000059080000}"/>
    <cellStyle name="Total 3 3" xfId="1052" xr:uid="{00000000-0005-0000-0000-00005A080000}"/>
    <cellStyle name="Total 3 3 2" xfId="1149" xr:uid="{00000000-0005-0000-0000-00005B080000}"/>
    <cellStyle name="Total 3 4" xfId="1008" xr:uid="{00000000-0005-0000-0000-00005C080000}"/>
    <cellStyle name="Total 3 4 2" xfId="1120" xr:uid="{00000000-0005-0000-0000-00005D080000}"/>
    <cellStyle name="Total 3 5" xfId="1009" xr:uid="{00000000-0005-0000-0000-00005E080000}"/>
    <cellStyle name="Total 3 5 2" xfId="1121" xr:uid="{00000000-0005-0000-0000-00005F080000}"/>
    <cellStyle name="Total 3 6" xfId="1045" xr:uid="{00000000-0005-0000-0000-000060080000}"/>
    <cellStyle name="Total 3 6 2" xfId="1145" xr:uid="{00000000-0005-0000-0000-000061080000}"/>
    <cellStyle name="Total 3 7" xfId="1062" xr:uid="{00000000-0005-0000-0000-000062080000}"/>
    <cellStyle name="Total 3 7 2" xfId="1155" xr:uid="{00000000-0005-0000-0000-000063080000}"/>
    <cellStyle name="Total 3 8" xfId="1107" xr:uid="{00000000-0005-0000-0000-000064080000}"/>
    <cellStyle name="Total 4" xfId="2125" xr:uid="{00000000-0005-0000-0000-000065080000}"/>
    <cellStyle name="Warning Text" xfId="14" builtinId="11" customBuiltin="1"/>
    <cellStyle name="Warning Text 2" xfId="518" xr:uid="{00000000-0005-0000-0000-000067080000}"/>
    <cellStyle name="Warning Text 2 2" xfId="519" xr:uid="{00000000-0005-0000-0000-000068080000}"/>
    <cellStyle name="Warning Text 2 3" xfId="1255" xr:uid="{00000000-0005-0000-0000-000069080000}"/>
    <cellStyle name="Warning Text 2 3 2" xfId="1799" xr:uid="{00000000-0005-0000-0000-00006A080000}"/>
    <cellStyle name="Warning Text 2 3 3" xfId="1527" xr:uid="{00000000-0005-0000-0000-00006B080000}"/>
    <cellStyle name="Warning Text 3" xfId="520" xr:uid="{00000000-0005-0000-0000-00006C080000}"/>
    <cellStyle name="Warning Text 4" xfId="2122" xr:uid="{00000000-0005-0000-0000-00006D080000}"/>
  </cellStyles>
  <dxfs count="1">
    <dxf>
      <numFmt numFmtId="204"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Lesley Smith" id="{988316C7-3923-4648-9F71-E7E776165778}" userId="S::lesley.smith@waternz.org.nz::2dfedb7e-b3e9-499f-b13a-4cdd9e6462cb" providerId="AD"/>
  <person displayName="Karelia Gonzalez" id="{630FEA57-083D-42BB-A041-DCDF75C31462}" userId="S::Karelia.Gonzalez@qldc.govt.nz::9cd2c4fa-6530-4916-8c8c-cf3c402714e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H8" dT="2022-09-21T22:27:26.40" personId="{630FEA57-083D-42BB-A041-DCDF75C31462}" id="{40FCC828-2370-4137-9F24-15A625A200AD}">
    <text>Taken from - DIA Report -  General-Level2-Report excluding: General Rate commercial, General Rate CBD Commercial, Genera Rate - Primary Ind, General rate 50% comm</text>
  </threadedComment>
</ThreadedComments>
</file>

<file path=xl/threadedComments/threadedComment2.xml><?xml version="1.0" encoding="utf-8"?>
<ThreadedComments xmlns="http://schemas.microsoft.com/office/spreadsheetml/2018/threadedcomments" xmlns:x="http://schemas.openxmlformats.org/spreadsheetml/2006/main">
  <threadedComment ref="J26" dT="2022-07-15T04:30:26.08" personId="{988316C7-3923-4648-9F71-E7E776165778}" id="{7AB8B952-BBB9-4F90-865A-97C9F9A539A1}">
    <text>Why did we not ask about unplanned interruptions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enable-or-disable-macros-in-office-files-12b036fd-d140-4e74-b45e-16fed1a7e5c6?ui=en-us&amp;rs=en-us&amp;ad=us" TargetMode="External"/><Relationship Id="rId2" Type="http://schemas.openxmlformats.org/officeDocument/2006/relationships/hyperlink" Target="https://support.office.com/en-us/article/enable-or-disable-macros-in-office-files-12b036fd-d140-4e74-b45e-16fed1a7e5c6" TargetMode="External"/><Relationship Id="rId1" Type="http://schemas.openxmlformats.org/officeDocument/2006/relationships/hyperlink" Target="mailto:Lesley.smith@waternz.org.nz" TargetMode="External"/><Relationship Id="rId6" Type="http://schemas.openxmlformats.org/officeDocument/2006/relationships/printerSettings" Target="../printerSettings/printerSettings1.bin"/><Relationship Id="rId5" Type="http://schemas.openxmlformats.org/officeDocument/2006/relationships/hyperlink" Target="https://www.waternz.org.nz/DefinitionsGuide" TargetMode="External"/><Relationship Id="rId4" Type="http://schemas.openxmlformats.org/officeDocument/2006/relationships/hyperlink" Target="https://www.taumataarowai.govt.nz/assets/Uploads/Network-Performance/Drinking-water-network-environmental-performance-measures-and-guidance-material.pdf"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L20"/>
  <sheetViews>
    <sheetView showGridLines="0" topLeftCell="A5" zoomScaleNormal="100" workbookViewId="0">
      <selection activeCell="B11" sqref="B11:J11"/>
    </sheetView>
  </sheetViews>
  <sheetFormatPr defaultRowHeight="15"/>
  <cols>
    <col min="1" max="1" width="5.42578125" style="115" customWidth="1"/>
    <col min="2" max="2" width="13.5703125" customWidth="1"/>
    <col min="3" max="3" width="17" customWidth="1"/>
    <col min="4" max="4" width="18.42578125" customWidth="1"/>
    <col min="5" max="11" width="18.7109375" customWidth="1"/>
  </cols>
  <sheetData>
    <row r="1" spans="2:12" s="115" customFormat="1"/>
    <row r="2" spans="2:12" ht="19.5">
      <c r="B2" s="5" t="s">
        <v>1140</v>
      </c>
      <c r="C2" s="5"/>
    </row>
    <row r="3" spans="2:12" ht="24" thickBot="1">
      <c r="B3" s="14" t="s">
        <v>968</v>
      </c>
      <c r="C3" s="14"/>
      <c r="D3" s="14"/>
      <c r="E3" s="14"/>
      <c r="F3" s="14"/>
      <c r="G3" s="14"/>
      <c r="H3" s="14"/>
      <c r="I3" s="14"/>
      <c r="J3" s="14"/>
      <c r="K3" s="115"/>
    </row>
    <row r="4" spans="2:12" s="115" customFormat="1" ht="20.25" thickTop="1">
      <c r="B4" s="5"/>
      <c r="C4" s="5"/>
      <c r="D4" s="5"/>
      <c r="E4" s="5"/>
      <c r="F4" s="5"/>
      <c r="G4" s="5"/>
      <c r="H4" s="5"/>
    </row>
    <row r="5" spans="2:12" ht="66" customHeight="1">
      <c r="B5" s="600" t="s">
        <v>1297</v>
      </c>
      <c r="C5" s="600"/>
      <c r="D5" s="600"/>
      <c r="E5" s="600"/>
      <c r="F5" s="600"/>
      <c r="G5" s="600"/>
      <c r="H5" s="600"/>
      <c r="I5" s="600"/>
      <c r="J5" s="600"/>
    </row>
    <row r="6" spans="2:12" s="2" customFormat="1" ht="45" customHeight="1">
      <c r="B6" s="605" t="s">
        <v>1309</v>
      </c>
      <c r="C6" s="606"/>
      <c r="D6" s="606"/>
      <c r="E6" s="606"/>
      <c r="F6" s="606"/>
      <c r="G6" s="606"/>
      <c r="H6" s="606"/>
      <c r="I6" s="606"/>
      <c r="J6" s="606"/>
    </row>
    <row r="7" spans="2:12" s="201" customFormat="1" ht="70.5" customHeight="1">
      <c r="B7" s="607" t="s">
        <v>1308</v>
      </c>
      <c r="C7" s="607"/>
      <c r="D7" s="607"/>
      <c r="E7" s="607"/>
      <c r="F7" s="607"/>
      <c r="G7" s="607"/>
      <c r="H7" s="607"/>
      <c r="I7" s="607"/>
      <c r="J7" s="607"/>
    </row>
    <row r="8" spans="2:12" s="202" customFormat="1" ht="83.25" customHeight="1">
      <c r="B8" s="608" t="s">
        <v>1306</v>
      </c>
      <c r="C8" s="608"/>
      <c r="D8" s="608"/>
      <c r="E8" s="608"/>
      <c r="F8" s="608"/>
      <c r="G8" s="608"/>
      <c r="H8" s="608"/>
      <c r="I8" s="608"/>
      <c r="J8" s="608"/>
    </row>
    <row r="9" spans="2:12" s="115" customFormat="1" ht="100.5" customHeight="1">
      <c r="B9" s="604" t="s">
        <v>1305</v>
      </c>
      <c r="C9" s="604"/>
      <c r="D9" s="604"/>
      <c r="E9" s="604"/>
      <c r="F9" s="604"/>
      <c r="G9" s="604"/>
      <c r="H9" s="604"/>
      <c r="I9" s="604"/>
      <c r="J9" s="604"/>
    </row>
    <row r="10" spans="2:12" ht="43.5" customHeight="1">
      <c r="B10" s="603" t="s">
        <v>1307</v>
      </c>
      <c r="C10" s="604"/>
      <c r="D10" s="604"/>
      <c r="E10" s="604"/>
      <c r="F10" s="604"/>
      <c r="G10" s="604"/>
      <c r="H10" s="604"/>
      <c r="I10" s="604"/>
      <c r="J10" s="604"/>
    </row>
    <row r="11" spans="2:12" ht="88.5" customHeight="1">
      <c r="B11" s="601" t="s">
        <v>1301</v>
      </c>
      <c r="C11" s="602"/>
      <c r="D11" s="602"/>
      <c r="E11" s="602"/>
      <c r="F11" s="602"/>
      <c r="G11" s="602"/>
      <c r="H11" s="602"/>
      <c r="I11" s="602"/>
      <c r="J11" s="602"/>
    </row>
    <row r="12" spans="2:12" s="115" customFormat="1" ht="15.75">
      <c r="B12" s="125"/>
    </row>
    <row r="13" spans="2:12" s="115" customFormat="1">
      <c r="B13" s="15" t="s">
        <v>0</v>
      </c>
      <c r="C13" s="15" t="s">
        <v>1300</v>
      </c>
      <c r="D13" s="15" t="s">
        <v>1</v>
      </c>
      <c r="E13" s="15" t="s">
        <v>2</v>
      </c>
      <c r="F13" s="15" t="s">
        <v>1303</v>
      </c>
      <c r="G13" s="113" t="s">
        <v>1298</v>
      </c>
      <c r="H13" s="113" t="s">
        <v>3</v>
      </c>
      <c r="I13" s="113" t="s">
        <v>4</v>
      </c>
      <c r="J13" s="113" t="s">
        <v>5</v>
      </c>
      <c r="K13" s="113" t="s">
        <v>185</v>
      </c>
      <c r="L13" s="113" t="s">
        <v>184</v>
      </c>
    </row>
    <row r="14" spans="2:12" s="115" customFormat="1" ht="196.5" customHeight="1">
      <c r="B14" s="132" t="s">
        <v>1059</v>
      </c>
      <c r="C14" s="132" t="s">
        <v>1302</v>
      </c>
      <c r="D14" s="132" t="s">
        <v>1060</v>
      </c>
      <c r="E14" s="132" t="s">
        <v>987</v>
      </c>
      <c r="F14" s="132" t="s">
        <v>1304</v>
      </c>
      <c r="G14" s="132" t="s">
        <v>1066</v>
      </c>
      <c r="H14" s="165" t="s">
        <v>1299</v>
      </c>
      <c r="I14" s="134" t="s">
        <v>969</v>
      </c>
      <c r="J14" s="134" t="s">
        <v>984</v>
      </c>
      <c r="K14" s="134" t="s">
        <v>985</v>
      </c>
      <c r="L14" s="134" t="s">
        <v>986</v>
      </c>
    </row>
    <row r="15" spans="2:12" s="115" customFormat="1">
      <c r="B15" s="122"/>
      <c r="C15" s="122"/>
      <c r="D15" s="122"/>
      <c r="E15" s="122"/>
      <c r="F15" s="122"/>
      <c r="G15" s="128"/>
      <c r="H15" s="128"/>
      <c r="I15" s="128"/>
      <c r="J15" s="128"/>
    </row>
    <row r="16" spans="2:12" ht="24.75" customHeight="1">
      <c r="B16" s="600" t="s">
        <v>969</v>
      </c>
      <c r="C16" s="600"/>
      <c r="D16" s="600"/>
      <c r="E16" s="600"/>
      <c r="F16" s="600"/>
      <c r="G16" s="600"/>
      <c r="H16" s="600"/>
      <c r="I16" s="600"/>
      <c r="J16" s="600"/>
    </row>
    <row r="17" spans="2:10" s="115" customFormat="1" ht="32.25" customHeight="1">
      <c r="B17" s="133"/>
      <c r="C17" s="131" t="s">
        <v>970</v>
      </c>
      <c r="D17" s="131" t="s">
        <v>971</v>
      </c>
      <c r="E17" s="131" t="s">
        <v>843</v>
      </c>
      <c r="F17" s="131" t="s">
        <v>844</v>
      </c>
      <c r="G17" s="131" t="s">
        <v>845</v>
      </c>
      <c r="H17" s="129"/>
      <c r="I17" s="126"/>
    </row>
    <row r="18" spans="2:10" s="115" customFormat="1" ht="78" customHeight="1">
      <c r="B18" s="133" t="s">
        <v>982</v>
      </c>
      <c r="C18" s="130" t="s">
        <v>980</v>
      </c>
      <c r="D18" s="130" t="s">
        <v>972</v>
      </c>
      <c r="E18" s="130" t="s">
        <v>973</v>
      </c>
      <c r="F18" s="130" t="s">
        <v>974</v>
      </c>
      <c r="G18" s="130" t="s">
        <v>975</v>
      </c>
      <c r="H18" s="129"/>
      <c r="I18" s="126"/>
    </row>
    <row r="19" spans="2:10" s="115" customFormat="1" ht="124.5" customHeight="1">
      <c r="B19" s="133" t="s">
        <v>983</v>
      </c>
      <c r="C19" s="130" t="s">
        <v>976</v>
      </c>
      <c r="D19" s="130" t="s">
        <v>977</v>
      </c>
      <c r="E19" s="130" t="s">
        <v>981</v>
      </c>
      <c r="F19" s="130" t="s">
        <v>978</v>
      </c>
      <c r="G19" s="130" t="s">
        <v>979</v>
      </c>
      <c r="H19" s="129"/>
      <c r="I19" s="126"/>
    </row>
    <row r="20" spans="2:10" s="115" customFormat="1" ht="15.75">
      <c r="B20" s="126"/>
      <c r="C20" s="127"/>
      <c r="D20" s="127"/>
      <c r="E20" s="127"/>
      <c r="F20" s="127"/>
      <c r="G20" s="127"/>
      <c r="H20" s="127"/>
      <c r="I20" s="127"/>
      <c r="J20" s="127"/>
    </row>
  </sheetData>
  <mergeCells count="8">
    <mergeCell ref="B5:J5"/>
    <mergeCell ref="B11:J11"/>
    <mergeCell ref="B16:J16"/>
    <mergeCell ref="B10:J10"/>
    <mergeCell ref="B9:J9"/>
    <mergeCell ref="B6:J6"/>
    <mergeCell ref="B7:J7"/>
    <mergeCell ref="B8:J8"/>
  </mergeCells>
  <dataValidations count="2">
    <dataValidation allowBlank="1" showInputMessage="1" showErrorMessage="1" prompt="Near misses reported by staff and contractors working on drinking, waste and stormwater networks. Further detail is included in defintioins guidelines." sqref="F15 H14" xr:uid="{00000000-0002-0000-0000-000000000000}"/>
    <dataValidation type="list" allowBlank="1" showInputMessage="1" showErrorMessage="1" sqref="G15 I14" xr:uid="{00000000-0002-0000-0000-000001000000}">
      <formula1>Data_confidence</formula1>
    </dataValidation>
  </dataValidations>
  <hyperlinks>
    <hyperlink ref="B5" r:id="rId1" display="mailto:Lesley.smith@waternz.org.nz" xr:uid="{00000000-0004-0000-0000-000000000000}"/>
    <hyperlink ref="B10:J10" r:id="rId2" display="https://support.office.com/en-us/article/enable-or-disable-macros-in-office-files-12b036fd-d140-4e74-b45e-16fed1a7e5c6" xr:uid="{00000000-0004-0000-0000-000001000000}"/>
    <hyperlink ref="B9:J9" r:id="rId3" display="https://support.microsoft.com/en-us/office/enable-or-disable-macros-in-office-files-12b036fd-d140-4e74-b45e-16fed1a7e5c6?ui=en-us&amp;rs=en-us&amp;ad=us" xr:uid="{00000000-0004-0000-0000-000002000000}"/>
    <hyperlink ref="B7:J7" r:id="rId4" display="Changes have been made to align measures with Taumata Arowai's Network Environmental Performance Measures. Taumata Arowai measure codes have been used to cross-reference measures. Further information on the Taumata Arowai measures is available here: https://www.taumataarowai.govt.nz/for-water-suppliers/network-environmental-performance-measures/" xr:uid="{00000000-0004-0000-0000-000003000000}"/>
    <hyperlink ref="B6:J6" r:id="rId5" display="https://www.waternz.org.nz/DefinitionsGuide" xr:uid="{00000000-0004-0000-0000-000004000000}"/>
  </hyperlinks>
  <pageMargins left="0.25" right="0.25" top="0.75" bottom="0.75" header="0.3" footer="0.3"/>
  <pageSetup paperSize="9" orientation="portrait" verticalDpi="0"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5"/>
  </sheetPr>
  <dimension ref="A1:N27"/>
  <sheetViews>
    <sheetView showGridLines="0" zoomScale="85" zoomScaleNormal="85" workbookViewId="0">
      <pane xSplit="7" ySplit="5" topLeftCell="H6" activePane="bottomRight" state="frozen"/>
      <selection pane="topRight" activeCell="H1" sqref="H1"/>
      <selection pane="bottomLeft" activeCell="A6" sqref="A6"/>
      <selection pane="bottomRight" activeCell="J8" sqref="J8:J9"/>
    </sheetView>
  </sheetViews>
  <sheetFormatPr defaultRowHeight="15"/>
  <cols>
    <col min="1" max="1" width="9.140625" style="56"/>
    <col min="2" max="2" width="55.5703125" style="52" hidden="1" customWidth="1"/>
    <col min="3" max="3" width="14.140625" customWidth="1"/>
    <col min="4" max="4" width="15.7109375" customWidth="1"/>
    <col min="5" max="5" width="53.42578125" customWidth="1"/>
    <col min="6" max="6" width="15.7109375" customWidth="1"/>
    <col min="7" max="7" width="15.7109375" style="1" customWidth="1"/>
    <col min="8" max="8" width="15.7109375" customWidth="1"/>
    <col min="9" max="9" width="15.7109375" style="115" customWidth="1"/>
    <col min="10" max="10" width="30.7109375" customWidth="1"/>
    <col min="11" max="11" width="17.5703125" customWidth="1"/>
    <col min="12" max="12" width="30.7109375" customWidth="1"/>
    <col min="13" max="14" width="33.85546875" style="115" hidden="1" customWidth="1"/>
  </cols>
  <sheetData>
    <row r="1" spans="2:14">
      <c r="C1" s="4"/>
      <c r="D1" s="2"/>
      <c r="E1" s="2"/>
      <c r="F1" s="2"/>
      <c r="H1" s="1"/>
      <c r="I1" s="1"/>
      <c r="J1" s="1"/>
      <c r="K1" s="1"/>
      <c r="L1" s="1"/>
      <c r="M1" s="1"/>
      <c r="N1" s="1"/>
    </row>
    <row r="2" spans="2:14" ht="19.5">
      <c r="C2" s="5" t="s">
        <v>1140</v>
      </c>
      <c r="D2" s="2"/>
      <c r="E2" s="2"/>
      <c r="F2" s="2"/>
      <c r="H2" s="1"/>
      <c r="I2" s="1"/>
      <c r="J2" s="1"/>
      <c r="K2" s="1"/>
      <c r="L2" s="1"/>
      <c r="M2" s="1"/>
      <c r="N2" s="1"/>
    </row>
    <row r="3" spans="2:14" ht="24" thickBot="1">
      <c r="C3" s="14" t="s">
        <v>967</v>
      </c>
      <c r="D3" s="13"/>
      <c r="E3" s="14" t="s">
        <v>1611</v>
      </c>
      <c r="H3" s="1"/>
      <c r="I3" s="1"/>
      <c r="J3" s="1"/>
      <c r="K3" s="1"/>
      <c r="L3" s="1"/>
      <c r="M3" s="1"/>
      <c r="N3" s="1"/>
    </row>
    <row r="4" spans="2:14" ht="15.75" thickTop="1">
      <c r="C4" s="4"/>
      <c r="D4" s="2"/>
      <c r="E4" s="2"/>
      <c r="F4" s="2"/>
      <c r="H4" s="1"/>
      <c r="I4" s="1"/>
      <c r="J4" s="1"/>
      <c r="K4" s="1"/>
      <c r="L4" s="1"/>
      <c r="M4" s="1"/>
      <c r="N4" s="1"/>
    </row>
    <row r="5" spans="2:14" s="2" customFormat="1" ht="20.100000000000001" customHeight="1">
      <c r="B5" s="52" t="s">
        <v>564</v>
      </c>
      <c r="C5" s="276" t="s">
        <v>471</v>
      </c>
      <c r="D5" s="15" t="s">
        <v>0</v>
      </c>
      <c r="E5" s="15" t="s">
        <v>1</v>
      </c>
      <c r="F5" s="15" t="s">
        <v>2</v>
      </c>
      <c r="G5" s="113" t="s">
        <v>1298</v>
      </c>
      <c r="H5" s="275" t="s">
        <v>3</v>
      </c>
      <c r="I5" s="275" t="s">
        <v>4</v>
      </c>
      <c r="J5" s="16" t="s">
        <v>185</v>
      </c>
      <c r="K5" s="16" t="s">
        <v>5</v>
      </c>
      <c r="L5" s="16" t="s">
        <v>184</v>
      </c>
      <c r="M5" s="113" t="s">
        <v>891</v>
      </c>
      <c r="N5" s="113" t="s">
        <v>892</v>
      </c>
    </row>
    <row r="6" spans="2:14" ht="20.100000000000001" customHeight="1">
      <c r="B6" s="124" t="str">
        <f>E6&amp;" ["&amp;D6&amp;"]"</f>
        <v>Total Area [CB1]</v>
      </c>
      <c r="C6" s="277" t="s">
        <v>214</v>
      </c>
      <c r="D6" s="22" t="s">
        <v>188</v>
      </c>
      <c r="E6" s="22" t="s">
        <v>199</v>
      </c>
      <c r="F6" s="101" t="s">
        <v>846</v>
      </c>
      <c r="G6" s="156">
        <f>IF(ISBLANK('Previous years'!B4),"",'Previous years'!B4)</f>
        <v>9375.1977179000005</v>
      </c>
      <c r="H6" s="368">
        <f>'Previous years'!C4</f>
        <v>9375.1977179000005</v>
      </c>
      <c r="I6" s="357"/>
      <c r="J6" s="24"/>
      <c r="K6" s="26" t="s">
        <v>988</v>
      </c>
      <c r="L6" s="262"/>
      <c r="M6" s="270"/>
      <c r="N6" s="138"/>
    </row>
    <row r="7" spans="2:14" ht="20.100000000000001" customHeight="1">
      <c r="B7" s="124" t="str">
        <f t="shared" ref="B7:B27" si="0">E7&amp;" ["&amp;D7&amp;"]"</f>
        <v>Total Population [CB2]</v>
      </c>
      <c r="C7" s="278" t="s">
        <v>214</v>
      </c>
      <c r="D7" s="23" t="s">
        <v>189</v>
      </c>
      <c r="E7" s="23" t="s">
        <v>200</v>
      </c>
      <c r="F7" s="23" t="s">
        <v>444</v>
      </c>
      <c r="G7" s="157">
        <f>IF(ISBLANK('Previous years'!B5),"",'Previous years'!B5)</f>
        <v>47400</v>
      </c>
      <c r="H7" s="369">
        <f>'Previous years'!C5</f>
        <v>48300</v>
      </c>
      <c r="I7" s="358"/>
      <c r="J7" s="25"/>
      <c r="K7" s="26" t="s">
        <v>988</v>
      </c>
      <c r="L7" s="263"/>
      <c r="M7" s="26"/>
      <c r="N7" s="25"/>
    </row>
    <row r="8" spans="2:14" ht="20.100000000000001" customHeight="1">
      <c r="B8" s="124" t="str">
        <f t="shared" si="0"/>
        <v>Residential properties [CB3]</v>
      </c>
      <c r="C8" s="278" t="s">
        <v>214</v>
      </c>
      <c r="D8" s="166" t="s">
        <v>190</v>
      </c>
      <c r="E8" s="176" t="s">
        <v>201</v>
      </c>
      <c r="F8" s="23" t="s">
        <v>444</v>
      </c>
      <c r="G8" s="157">
        <f>IF(ISBLANK('Previous years'!B6),"",'Previous years'!B6)</f>
        <v>28124</v>
      </c>
      <c r="H8" s="610">
        <v>28144</v>
      </c>
      <c r="I8" s="359"/>
      <c r="J8" s="611" t="s">
        <v>1940</v>
      </c>
      <c r="K8" s="12" t="s">
        <v>1962</v>
      </c>
      <c r="L8" s="609" t="s">
        <v>1970</v>
      </c>
      <c r="M8" s="11"/>
      <c r="N8" s="12"/>
    </row>
    <row r="9" spans="2:14" ht="20.100000000000001" customHeight="1">
      <c r="B9" s="124" t="str">
        <f t="shared" si="0"/>
        <v>Non-residential properties [CB4]</v>
      </c>
      <c r="C9" s="278" t="s">
        <v>214</v>
      </c>
      <c r="D9" s="23" t="s">
        <v>191</v>
      </c>
      <c r="E9" s="176" t="s">
        <v>202</v>
      </c>
      <c r="F9" s="23" t="s">
        <v>444</v>
      </c>
      <c r="G9" s="157">
        <f>IF(ISBLANK('Previous years'!B7),"",'Previous years'!B7)</f>
        <v>2939</v>
      </c>
      <c r="H9" s="610">
        <v>3040</v>
      </c>
      <c r="I9" s="359"/>
      <c r="J9" s="611" t="s">
        <v>1940</v>
      </c>
      <c r="K9" s="12" t="s">
        <v>1962</v>
      </c>
      <c r="L9" s="609" t="s">
        <v>1971</v>
      </c>
      <c r="M9" s="11"/>
      <c r="N9" s="12"/>
    </row>
    <row r="10" spans="2:14" ht="20.100000000000001" customHeight="1">
      <c r="B10" s="124" t="str">
        <f t="shared" si="0"/>
        <v>Total  Properties [CB5]</v>
      </c>
      <c r="C10" s="278" t="s">
        <v>214</v>
      </c>
      <c r="D10" s="23" t="s">
        <v>192</v>
      </c>
      <c r="E10" s="23" t="s">
        <v>203</v>
      </c>
      <c r="F10" s="23" t="s">
        <v>444</v>
      </c>
      <c r="G10" s="157">
        <f>IF(ISBLANK('Previous years'!B8),"",'Previous years'!B8)</f>
        <v>31063</v>
      </c>
      <c r="H10" s="369">
        <f>IF(SUM(H8,H9)=0,"",SUM(H8,H9))</f>
        <v>31184</v>
      </c>
      <c r="I10" s="358" t="s">
        <v>212</v>
      </c>
      <c r="J10" s="25">
        <v>0</v>
      </c>
      <c r="K10" s="26" t="s">
        <v>212</v>
      </c>
      <c r="L10" s="263"/>
      <c r="M10" s="26"/>
      <c r="N10" s="25"/>
    </row>
    <row r="11" spans="2:14" ht="20.100000000000001" customHeight="1" thickBot="1">
      <c r="B11" s="124" t="str">
        <f t="shared" si="0"/>
        <v>Household Occupancy  [CB6]</v>
      </c>
      <c r="C11" s="279" t="s">
        <v>214</v>
      </c>
      <c r="D11" s="135" t="s">
        <v>193</v>
      </c>
      <c r="E11" s="135" t="s">
        <v>204</v>
      </c>
      <c r="F11" s="135" t="s">
        <v>444</v>
      </c>
      <c r="G11" s="158">
        <f>IF(ISBLANK('Previous years'!B9),"",'Previous years'!B9)</f>
        <v>1.6853932584269662</v>
      </c>
      <c r="H11" s="370">
        <f>IFERROR(H7/H8,"")</f>
        <v>1.7161739624786811</v>
      </c>
      <c r="I11" s="360" t="s">
        <v>212</v>
      </c>
      <c r="J11" s="136">
        <v>0</v>
      </c>
      <c r="K11" s="137" t="s">
        <v>212</v>
      </c>
      <c r="L11" s="265"/>
      <c r="M11" s="271"/>
      <c r="N11" s="139"/>
    </row>
    <row r="12" spans="2:14" ht="20.100000000000001" customHeight="1">
      <c r="B12" s="124" t="str">
        <f t="shared" si="0"/>
        <v>Internal staff [CB10]</v>
      </c>
      <c r="C12" s="277" t="s">
        <v>458</v>
      </c>
      <c r="D12" s="175" t="s">
        <v>194</v>
      </c>
      <c r="E12" s="175" t="s">
        <v>206</v>
      </c>
      <c r="F12" s="22" t="s">
        <v>210</v>
      </c>
      <c r="G12" s="159">
        <f>IF(ISBLANK('Previous years'!B10),"",'Previous years'!B10)</f>
        <v>19.5</v>
      </c>
      <c r="H12" s="371"/>
      <c r="I12" s="361"/>
      <c r="J12" s="10" t="s">
        <v>1937</v>
      </c>
      <c r="K12" s="10">
        <v>0</v>
      </c>
      <c r="L12" s="266"/>
      <c r="M12" s="251"/>
      <c r="N12" s="100"/>
    </row>
    <row r="13" spans="2:14" ht="20.100000000000001" customHeight="1">
      <c r="B13" s="124" t="str">
        <f t="shared" si="0"/>
        <v>Staff vacancies [CB10a]</v>
      </c>
      <c r="C13" s="278" t="s">
        <v>458</v>
      </c>
      <c r="D13" s="23" t="s">
        <v>195</v>
      </c>
      <c r="E13" s="23" t="s">
        <v>207</v>
      </c>
      <c r="F13" s="23" t="s">
        <v>210</v>
      </c>
      <c r="G13" s="159">
        <f>IF(ISBLANK('Previous years'!B11),"",'Previous years'!B11)</f>
        <v>2</v>
      </c>
      <c r="H13" s="372"/>
      <c r="I13" s="362"/>
      <c r="J13" s="12" t="s">
        <v>1937</v>
      </c>
      <c r="K13" s="12">
        <v>0</v>
      </c>
      <c r="L13" s="264"/>
      <c r="M13" s="249"/>
      <c r="N13" s="99"/>
    </row>
    <row r="14" spans="2:14" s="115" customFormat="1" ht="20.100000000000001" customHeight="1">
      <c r="B14" s="124" t="str">
        <f t="shared" si="0"/>
        <v>Contracted staff [CB11]</v>
      </c>
      <c r="C14" s="278" t="s">
        <v>458</v>
      </c>
      <c r="D14" s="176" t="s">
        <v>196</v>
      </c>
      <c r="E14" s="176" t="s">
        <v>208</v>
      </c>
      <c r="F14" s="57" t="s">
        <v>210</v>
      </c>
      <c r="G14" s="159">
        <f>IF(ISBLANK('Previous years'!B12),"",'Previous years'!B12)</f>
        <v>37</v>
      </c>
      <c r="H14" s="373"/>
      <c r="I14" s="363"/>
      <c r="J14" s="119" t="s">
        <v>1938</v>
      </c>
      <c r="K14" s="119">
        <v>0</v>
      </c>
      <c r="L14" s="267"/>
      <c r="M14" s="272"/>
      <c r="N14" s="118"/>
    </row>
    <row r="15" spans="2:14" s="115" customFormat="1" ht="20.100000000000001" customHeight="1">
      <c r="B15" s="124" t="str">
        <f t="shared" si="0"/>
        <v>Near miss reports [CB12]</v>
      </c>
      <c r="C15" s="278" t="s">
        <v>458</v>
      </c>
      <c r="D15" s="23" t="s">
        <v>197</v>
      </c>
      <c r="E15" s="23" t="s">
        <v>209</v>
      </c>
      <c r="F15" s="23" t="s">
        <v>444</v>
      </c>
      <c r="G15" s="159" t="str">
        <f>IF(ISBLANK('Previous years'!B13),"",'Previous years'!B13)</f>
        <v/>
      </c>
      <c r="H15" s="373"/>
      <c r="I15" s="363"/>
      <c r="J15" s="119" t="s">
        <v>1938</v>
      </c>
      <c r="K15" s="119">
        <v>0</v>
      </c>
      <c r="L15" s="267"/>
      <c r="M15" s="272"/>
      <c r="N15" s="118"/>
    </row>
    <row r="16" spans="2:14" s="115" customFormat="1" ht="20.100000000000001" customHeight="1">
      <c r="B16" s="124" t="str">
        <f t="shared" si="0"/>
        <v>Lost time injuries [CB13]</v>
      </c>
      <c r="C16" s="278" t="s">
        <v>458</v>
      </c>
      <c r="D16" s="23" t="s">
        <v>198</v>
      </c>
      <c r="E16" s="23" t="s">
        <v>519</v>
      </c>
      <c r="F16" s="23" t="s">
        <v>211</v>
      </c>
      <c r="G16" s="159" t="str">
        <f>IF(ISBLANK('Previous years'!B14),"",'Previous years'!B14)</f>
        <v/>
      </c>
      <c r="H16" s="373"/>
      <c r="I16" s="363"/>
      <c r="J16" s="119" t="s">
        <v>1938</v>
      </c>
      <c r="K16" s="119">
        <v>0</v>
      </c>
      <c r="L16" s="267"/>
      <c r="M16" s="272"/>
      <c r="N16" s="118"/>
    </row>
    <row r="17" spans="2:14" s="115" customFormat="1" ht="20.100000000000001" customHeight="1">
      <c r="B17" s="124" t="str">
        <f t="shared" si="0"/>
        <v>Staff training hours [CB14a]</v>
      </c>
      <c r="C17" s="278" t="s">
        <v>458</v>
      </c>
      <c r="D17" s="183" t="s">
        <v>1093</v>
      </c>
      <c r="E17" s="176" t="s">
        <v>1092</v>
      </c>
      <c r="F17" s="57" t="s">
        <v>911</v>
      </c>
      <c r="G17" s="159" t="str">
        <f>IF(ISBLANK('Previous years'!B15),"",'Previous years'!B15)</f>
        <v/>
      </c>
      <c r="H17" s="373"/>
      <c r="I17" s="363"/>
      <c r="J17" s="119" t="s">
        <v>1936</v>
      </c>
      <c r="K17" s="119" t="e">
        <v>#N/A</v>
      </c>
      <c r="L17" s="267"/>
      <c r="M17" s="272"/>
      <c r="N17" s="118"/>
    </row>
    <row r="18" spans="2:14" s="115" customFormat="1" ht="20.100000000000001" customHeight="1">
      <c r="B18" s="124" t="str">
        <f t="shared" si="0"/>
        <v>Staff training enrolments [CB14b]</v>
      </c>
      <c r="C18" s="278"/>
      <c r="D18" s="183" t="s">
        <v>1094</v>
      </c>
      <c r="E18" s="183" t="s">
        <v>1095</v>
      </c>
      <c r="F18" s="183" t="s">
        <v>444</v>
      </c>
      <c r="G18" s="159" t="str">
        <f>IF(ISBLANK('Previous years'!B16),"",'Previous years'!B16)</f>
        <v/>
      </c>
      <c r="H18" s="373"/>
      <c r="I18" s="363"/>
      <c r="J18" s="119" t="s">
        <v>1936</v>
      </c>
      <c r="K18" s="119">
        <v>0</v>
      </c>
      <c r="L18" s="267"/>
      <c r="M18" s="272"/>
      <c r="N18" s="118"/>
    </row>
    <row r="19" spans="2:14" s="115" customFormat="1" ht="20.100000000000001" customHeight="1">
      <c r="B19" s="124" t="str">
        <f t="shared" si="0"/>
        <v>Staff with a relevant Bachelors degree [CB15a]</v>
      </c>
      <c r="C19" s="278" t="s">
        <v>458</v>
      </c>
      <c r="D19" s="183" t="s">
        <v>913</v>
      </c>
      <c r="E19" s="183" t="s">
        <v>1096</v>
      </c>
      <c r="F19" s="121" t="s">
        <v>444</v>
      </c>
      <c r="G19" s="160" t="str">
        <f>IF(ISBLANK('Previous years'!B17),"",'Previous years'!B17)</f>
        <v/>
      </c>
      <c r="H19" s="373"/>
      <c r="I19" s="363"/>
      <c r="J19" s="119" t="s">
        <v>1936</v>
      </c>
      <c r="K19" s="119" t="e">
        <v>#N/A</v>
      </c>
      <c r="L19" s="267"/>
      <c r="M19" s="272"/>
      <c r="N19" s="118"/>
    </row>
    <row r="20" spans="2:14" s="115" customFormat="1" ht="20.100000000000001" customHeight="1">
      <c r="B20" s="124" t="str">
        <f t="shared" si="0"/>
        <v>Staff with a NZ Diploma [CB15c]</v>
      </c>
      <c r="C20" s="278" t="s">
        <v>458</v>
      </c>
      <c r="D20" s="183" t="s">
        <v>915</v>
      </c>
      <c r="E20" s="183" t="s">
        <v>939</v>
      </c>
      <c r="F20" s="121" t="s">
        <v>444</v>
      </c>
      <c r="G20" s="160" t="str">
        <f>IF(ISBLANK('Previous years'!B18),"",'Previous years'!B18)</f>
        <v/>
      </c>
      <c r="H20" s="373"/>
      <c r="I20" s="363"/>
      <c r="J20" s="119" t="s">
        <v>1936</v>
      </c>
      <c r="K20" s="119">
        <v>0</v>
      </c>
      <c r="L20" s="267"/>
      <c r="M20" s="272"/>
      <c r="N20" s="118"/>
    </row>
    <row r="21" spans="2:14" s="115" customFormat="1" ht="20.100000000000001" customHeight="1">
      <c r="B21" s="124" t="str">
        <f t="shared" si="0"/>
        <v>Staff with a NZ Certificate [CB15b]</v>
      </c>
      <c r="C21" s="278" t="s">
        <v>458</v>
      </c>
      <c r="D21" s="183" t="s">
        <v>914</v>
      </c>
      <c r="E21" s="183" t="s">
        <v>940</v>
      </c>
      <c r="F21" s="121" t="s">
        <v>444</v>
      </c>
      <c r="G21" s="160" t="str">
        <f>IF(ISBLANK('Previous years'!B19),"",'Previous years'!B19)</f>
        <v/>
      </c>
      <c r="H21" s="372"/>
      <c r="I21" s="362"/>
      <c r="J21" s="119" t="s">
        <v>1936</v>
      </c>
      <c r="K21" s="119">
        <v>0</v>
      </c>
      <c r="L21" s="267"/>
      <c r="M21" s="249"/>
      <c r="N21" s="99"/>
    </row>
    <row r="22" spans="2:14" s="115" customFormat="1" ht="20.100000000000001" customHeight="1">
      <c r="B22" s="124" t="str">
        <f t="shared" si="0"/>
        <v>Staff with completed apprenticeships [CB15d]</v>
      </c>
      <c r="C22" s="278" t="s">
        <v>458</v>
      </c>
      <c r="D22" s="183" t="s">
        <v>916</v>
      </c>
      <c r="E22" s="183" t="s">
        <v>1061</v>
      </c>
      <c r="F22" s="121" t="s">
        <v>444</v>
      </c>
      <c r="G22" s="160" t="str">
        <f>IF(ISBLANK('Previous years'!B20),"",'Previous years'!B20)</f>
        <v/>
      </c>
      <c r="H22" s="373"/>
      <c r="I22" s="363"/>
      <c r="J22" s="119" t="s">
        <v>1936</v>
      </c>
      <c r="K22" s="119">
        <v>0</v>
      </c>
      <c r="L22" s="267"/>
      <c r="M22" s="272"/>
      <c r="N22" s="118"/>
    </row>
    <row r="23" spans="2:14" ht="20.100000000000001" customHeight="1" thickBot="1">
      <c r="B23" s="124" t="str">
        <f t="shared" si="0"/>
        <v>Continuing professional development enrolments [CB16]</v>
      </c>
      <c r="C23" s="280" t="s">
        <v>458</v>
      </c>
      <c r="D23" s="71" t="s">
        <v>912</v>
      </c>
      <c r="E23" s="71" t="s">
        <v>1062</v>
      </c>
      <c r="F23" s="70" t="s">
        <v>444</v>
      </c>
      <c r="G23" s="161" t="str">
        <f>IF(ISBLANK('Previous years'!B21),"",'Previous years'!B21)</f>
        <v/>
      </c>
      <c r="H23" s="374"/>
      <c r="I23" s="364"/>
      <c r="J23" s="73" t="s">
        <v>1936</v>
      </c>
      <c r="K23" s="73">
        <v>0</v>
      </c>
      <c r="L23" s="268"/>
      <c r="M23" s="72"/>
      <c r="N23" s="73"/>
    </row>
    <row r="24" spans="2:14" ht="20.100000000000001" customHeight="1">
      <c r="B24" s="124" t="str">
        <f t="shared" si="0"/>
        <v>Analogue SCADA/telemetry [CB19a]</v>
      </c>
      <c r="C24" s="277" t="s">
        <v>451</v>
      </c>
      <c r="D24" s="175" t="s">
        <v>447</v>
      </c>
      <c r="E24" s="175" t="s">
        <v>1069</v>
      </c>
      <c r="F24" s="22" t="s">
        <v>10</v>
      </c>
      <c r="G24" s="162">
        <f>IF(ISBLANK('Previous years'!B22),"",'Previous years'!B22)</f>
        <v>0.3</v>
      </c>
      <c r="H24" s="375"/>
      <c r="I24" s="365"/>
      <c r="J24" s="10" t="s">
        <v>1938</v>
      </c>
      <c r="K24" s="10">
        <v>0</v>
      </c>
      <c r="L24" s="266"/>
      <c r="M24" s="273"/>
      <c r="N24" s="98"/>
    </row>
    <row r="25" spans="2:14" ht="20.100000000000001" customHeight="1">
      <c r="B25" s="124" t="str">
        <f t="shared" si="0"/>
        <v>Digital SCADA/telemetry [CB19b]</v>
      </c>
      <c r="C25" s="278" t="s">
        <v>451</v>
      </c>
      <c r="D25" s="176" t="s">
        <v>448</v>
      </c>
      <c r="E25" s="176" t="s">
        <v>1070</v>
      </c>
      <c r="F25" s="23" t="s">
        <v>10</v>
      </c>
      <c r="G25" s="163">
        <f>IF(ISBLANK('Previous years'!B23),"",'Previous years'!B23)</f>
        <v>0.7</v>
      </c>
      <c r="H25" s="376"/>
      <c r="I25" s="366"/>
      <c r="J25" s="12" t="s">
        <v>1938</v>
      </c>
      <c r="K25" s="12">
        <v>0</v>
      </c>
      <c r="L25" s="264"/>
      <c r="M25" s="114"/>
      <c r="N25" s="102"/>
    </row>
    <row r="26" spans="2:14" ht="20.100000000000001" customHeight="1">
      <c r="B26" s="124" t="str">
        <f t="shared" si="0"/>
        <v>SCADA/telemetry controls [CB19c]</v>
      </c>
      <c r="C26" s="278" t="s">
        <v>451</v>
      </c>
      <c r="D26" s="176" t="s">
        <v>449</v>
      </c>
      <c r="E26" s="176" t="s">
        <v>1068</v>
      </c>
      <c r="F26" s="23" t="s">
        <v>10</v>
      </c>
      <c r="G26" s="163">
        <f>IF(ISBLANK('Previous years'!B24),"",'Previous years'!B24)</f>
        <v>0.45</v>
      </c>
      <c r="H26" s="376"/>
      <c r="I26" s="366"/>
      <c r="J26" s="12" t="s">
        <v>1938</v>
      </c>
      <c r="K26" s="12">
        <v>0</v>
      </c>
      <c r="L26" s="264"/>
      <c r="M26" s="114"/>
      <c r="N26" s="102"/>
    </row>
    <row r="27" spans="2:14" ht="20.100000000000001" customHeight="1" thickBot="1">
      <c r="B27" s="124" t="str">
        <f t="shared" si="0"/>
        <v>SCADA/telemetry monitoring [CB19d]</v>
      </c>
      <c r="C27" s="281" t="s">
        <v>451</v>
      </c>
      <c r="D27" s="261" t="s">
        <v>450</v>
      </c>
      <c r="E27" s="261" t="s">
        <v>1067</v>
      </c>
      <c r="F27" s="95" t="s">
        <v>10</v>
      </c>
      <c r="G27" s="164">
        <f>IF(ISBLANK('Previous years'!B25),"",'Previous years'!B25)</f>
        <v>1</v>
      </c>
      <c r="H27" s="377"/>
      <c r="I27" s="367"/>
      <c r="J27" s="96" t="s">
        <v>1938</v>
      </c>
      <c r="K27" s="96">
        <v>0</v>
      </c>
      <c r="L27" s="269"/>
      <c r="M27" s="274"/>
      <c r="N27" s="97"/>
    </row>
  </sheetData>
  <dataValidations count="19">
    <dataValidation type="list" allowBlank="1" showInputMessage="1" showErrorMessage="1" sqref="I8:I9 I12:I27" xr:uid="{00000000-0002-0000-0100-000000000000}">
      <formula1>Data_confidence</formula1>
    </dataValidation>
    <dataValidation allowBlank="1" showInputMessage="1" showErrorMessage="1" prompt="Total number of properties other than residential including commercial properties and other public buildings (e.g. public schools and hospitals) in the area under the participants jurisdiction." sqref="H9" xr:uid="{00000000-0002-0000-0100-000001000000}"/>
    <dataValidation allowBlank="1" showInputMessage="1" showErrorMessage="1" prompt="The number of full time employees on the organisations payroll directly or indirectly involved in the delivery of 3 waters services. _x000a_Further details on staff providing overhead functions is included in the definitions guidelines." sqref="H12" xr:uid="{00000000-0002-0000-0100-000002000000}"/>
    <dataValidation allowBlank="1" showInputMessage="1" showErrorMessage="1" prompt="The number of vacancies in water, wastewater and stormwater services as time of reporting. " sqref="H13" xr:uid="{00000000-0002-0000-0100-000003000000}"/>
    <dataValidation allowBlank="1" showInputMessage="1" showErrorMessage="1" prompt="The number of full-time employees not on the organisations payroll but exclusively involved in the delivery of 3 waters services for the organisation. Further detail is included in defintioins guidelines." sqref="H14" xr:uid="{00000000-0002-0000-0100-000004000000}"/>
    <dataValidation allowBlank="1" showInputMessage="1" showErrorMessage="1" prompt="The approximate proportion of the SCADA system utilising analogue communications." sqref="H24" xr:uid="{00000000-0002-0000-0100-000005000000}"/>
    <dataValidation allowBlank="1" showInputMessage="1" showErrorMessage="1" prompt="The approximate proportion of the SCADA system utilising digital communications. Reference any “Industrial Internet of Things” applications in use in the comments field." sqref="H25" xr:uid="{00000000-0002-0000-0100-000006000000}"/>
    <dataValidation allowBlank="1" showInputMessage="1" showErrorMessage="1" prompt="The approximate proportion of assets (pump stations, treatment plants, bores, intakes, resevoirs etc) that have elements which can be controlled using SCADA." sqref="H26" xr:uid="{00000000-0002-0000-0100-000007000000}"/>
    <dataValidation allowBlank="1" showInputMessage="1" showErrorMessage="1" prompt="The approximate proportion of assets (pump stations, treatment plants, bores, intakes, resevoirs etc) in the network that can be monitored using the SCADA system." sqref="H27" xr:uid="{00000000-0002-0000-0100-000008000000}"/>
    <dataValidation allowBlank="1" showInputMessage="1" showErrorMessage="1" prompt="Number of staff holding an NZQA accredited Diploma in Water Treatment, Wastewater Treatment, Engineering or Drinking Water Assesment, or an equivalent overseas qualification (specify international qualifications in the comments field)" sqref="H20" xr:uid="{00000000-0002-0000-0100-000009000000}"/>
    <dataValidation allowBlank="1" showInputMessage="1" showErrorMessage="1" prompt="Number of staff with a Bachelor degree or higher in Engineering, Engineering Technology, Science, Health Science or Environmental Science. If a bachelors is held in another 3 waters related field, include this and list the degree in the comments field." sqref="H19" xr:uid="{00000000-0002-0000-0100-00000A000000}"/>
    <dataValidation allowBlank="1" showInputMessage="1" showErrorMessage="1" prompt="Number of staff holding an NZQA accredited Certificate in Water Treatment, Wastewater Treatment, Water Reticulation, Pipe Installations or Utilities maintenance (specify international qualifications in the comments field)" sqref="H21" xr:uid="{00000000-0002-0000-0100-00000B000000}"/>
    <dataValidation allowBlank="1" showInputMessage="1" showErrorMessage="1" prompt="Near misses reported by staff and contractors working on drinking, waste and stormwater networks. Further detail is included in defintion guidelines." sqref="H15" xr:uid="{00000000-0002-0000-0100-00000C000000}"/>
    <dataValidation allowBlank="1" showInputMessage="1" showErrorMessage="1" prompt="Loss of at least one complete shift or day off work (or more) by a staff or contractors as a result of a workplace incident causing illness or injury. Record as the number of days lost per full time employee. " sqref="H16" xr:uid="{00000000-0002-0000-0100-00000D000000}"/>
    <dataValidation allowBlank="1" showInputMessage="1" showErrorMessage="1" prompt="The average number of hours per year spent per staff member  in proffessional training or development activities. Further detail is included in definition guidelines." sqref="H17" xr:uid="{00000000-0002-0000-0100-00000E000000}"/>
    <dataValidation allowBlank="1" showInputMessage="1" showErrorMessage="1" prompt="The number of staff (included in field CB10) enrolled in a continuing professional development programme. List programmes in the comments field (e.g. Water Industry Professional Programme, Engineering New Zealand, New Zealand Planning Institute etc.)" sqref="H23" xr:uid="{00000000-0002-0000-0100-00000F000000}"/>
    <dataValidation allowBlank="1" showInputMessage="1" showErrorMessage="1" prompt="Number of staff having completed water treatment, wastewater treatment or pipeline construction and maintenance apprenticeships, registered on the NZQA framework." sqref="H22" xr:uid="{00000000-0002-0000-0100-000010000000}"/>
    <dataValidation allowBlank="1" showInputMessage="1" showErrorMessage="1" prompt="Residential properties including occupied and unoccupied dwellings.  Multi-unit premises should be counted based on the number of separately occupied dwellings. " sqref="H8" xr:uid="{00000000-0002-0000-0100-000011000000}"/>
    <dataValidation allowBlank="1" showInputMessage="1" showErrorMessage="1" prompt="The number of staff who are currently enrolled in training but have not yet completed any of the qualifications listed in CB15a-CB15d." sqref="H18" xr:uid="{00000000-0002-0000-0100-000012000000}"/>
  </dataValidations>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3"/>
    <pageSetUpPr fitToPage="1"/>
  </sheetPr>
  <dimension ref="A2:AJ109"/>
  <sheetViews>
    <sheetView showGridLines="0" zoomScale="85" zoomScaleNormal="85" workbookViewId="0">
      <pane xSplit="9" ySplit="5" topLeftCell="J6" activePane="bottomRight" state="frozen"/>
      <selection pane="topRight" activeCell="J1" sqref="J1"/>
      <selection pane="bottomLeft" activeCell="A6" sqref="A6"/>
      <selection pane="bottomRight" activeCell="N10" sqref="N10"/>
    </sheetView>
  </sheetViews>
  <sheetFormatPr defaultRowHeight="15"/>
  <cols>
    <col min="1" max="1" width="16.28515625" style="56" customWidth="1"/>
    <col min="2" max="2" width="66" style="124" hidden="1" customWidth="1"/>
    <col min="3" max="3" width="22.28515625" style="4" customWidth="1"/>
    <col min="4" max="4" width="17.28515625" style="1" customWidth="1"/>
    <col min="5" max="5" width="17.28515625" style="1" hidden="1" customWidth="1"/>
    <col min="6" max="6" width="78.5703125" style="2" bestFit="1" customWidth="1"/>
    <col min="7" max="7" width="17.28515625" style="1" customWidth="1"/>
    <col min="8" max="8" width="17.28515625" style="1" hidden="1" customWidth="1"/>
    <col min="9" max="9" width="17.28515625" style="1" customWidth="1"/>
    <col min="10" max="10" width="15.7109375" style="1" customWidth="1"/>
    <col min="11" max="11" width="17.7109375" style="1" customWidth="1"/>
    <col min="12" max="12" width="22.42578125" style="1" customWidth="1"/>
    <col min="13" max="13" width="27.140625" style="1" customWidth="1"/>
    <col min="14" max="14" width="63.28515625" style="1" bestFit="1" customWidth="1"/>
    <col min="15" max="34" width="15.7109375" hidden="1" customWidth="1"/>
    <col min="35" max="36" width="30.7109375" style="1" hidden="1" customWidth="1"/>
  </cols>
  <sheetData>
    <row r="2" spans="2:36" ht="19.5">
      <c r="C2" s="5" t="s">
        <v>1139</v>
      </c>
    </row>
    <row r="3" spans="2:36" ht="24" thickBot="1">
      <c r="C3" s="14" t="s">
        <v>1608</v>
      </c>
      <c r="D3" s="14" t="str">
        <f>Common!E3</f>
        <v>Queenstown-Lakes</v>
      </c>
      <c r="F3" s="14"/>
    </row>
    <row r="4" spans="2:36" ht="15.75" thickTop="1"/>
    <row r="5" spans="2:36" s="2" customFormat="1" ht="20.100000000000001" customHeight="1">
      <c r="B5" s="124" t="s">
        <v>564</v>
      </c>
      <c r="C5" s="53" t="s">
        <v>471</v>
      </c>
      <c r="D5" s="46" t="s">
        <v>0</v>
      </c>
      <c r="E5" s="46" t="s">
        <v>1300</v>
      </c>
      <c r="F5" s="47" t="s">
        <v>1</v>
      </c>
      <c r="G5" s="46" t="s">
        <v>2</v>
      </c>
      <c r="H5" s="46" t="s">
        <v>1310</v>
      </c>
      <c r="I5" s="46" t="s">
        <v>1298</v>
      </c>
      <c r="J5" s="225" t="s">
        <v>1376</v>
      </c>
      <c r="K5" s="341" t="s">
        <v>4</v>
      </c>
      <c r="L5" s="46" t="s">
        <v>185</v>
      </c>
      <c r="M5" s="46" t="s">
        <v>5</v>
      </c>
      <c r="N5" s="225" t="s">
        <v>184</v>
      </c>
      <c r="O5" s="238" t="s">
        <v>1355</v>
      </c>
      <c r="P5" s="238" t="s">
        <v>1356</v>
      </c>
      <c r="Q5" s="238" t="s">
        <v>1357</v>
      </c>
      <c r="R5" s="238" t="s">
        <v>1358</v>
      </c>
      <c r="S5" s="238" t="s">
        <v>1359</v>
      </c>
      <c r="T5" s="238" t="s">
        <v>1360</v>
      </c>
      <c r="U5" s="238" t="s">
        <v>1361</v>
      </c>
      <c r="V5" s="238" t="s">
        <v>1362</v>
      </c>
      <c r="W5" s="238" t="s">
        <v>1363</v>
      </c>
      <c r="X5" s="238" t="s">
        <v>1364</v>
      </c>
      <c r="Y5" s="238" t="s">
        <v>1365</v>
      </c>
      <c r="Z5" s="238" t="s">
        <v>1366</v>
      </c>
      <c r="AA5" s="238" t="s">
        <v>1367</v>
      </c>
      <c r="AB5" s="238" t="s">
        <v>1368</v>
      </c>
      <c r="AC5" s="238" t="s">
        <v>1369</v>
      </c>
      <c r="AD5" s="238" t="s">
        <v>1370</v>
      </c>
      <c r="AE5" s="238" t="s">
        <v>1371</v>
      </c>
      <c r="AF5" s="238" t="s">
        <v>1372</v>
      </c>
      <c r="AG5" s="46" t="s">
        <v>1437</v>
      </c>
      <c r="AH5" s="46" t="s">
        <v>1438</v>
      </c>
      <c r="AI5" s="225" t="s">
        <v>891</v>
      </c>
      <c r="AJ5" s="225" t="s">
        <v>892</v>
      </c>
    </row>
    <row r="6" spans="2:36" s="3" customFormat="1" ht="20.100000000000001" customHeight="1">
      <c r="B6" s="124" t="str">
        <f t="shared" ref="B6:B16" si="0">F6&amp;" ["&amp;D6&amp;"]"</f>
        <v>Drinking water networks [WST1]</v>
      </c>
      <c r="C6" s="28" t="s">
        <v>1311</v>
      </c>
      <c r="D6" s="563" t="s">
        <v>1329</v>
      </c>
      <c r="E6" s="563" t="s">
        <v>1149</v>
      </c>
      <c r="F6" s="564" t="s">
        <v>1385</v>
      </c>
      <c r="G6" s="565" t="s">
        <v>444</v>
      </c>
      <c r="H6" s="143" t="s">
        <v>1150</v>
      </c>
      <c r="I6" s="143"/>
      <c r="J6" s="615">
        <v>1</v>
      </c>
      <c r="K6" s="342"/>
      <c r="L6" s="9" t="s">
        <v>1940</v>
      </c>
      <c r="M6" s="9"/>
      <c r="N6" s="612" t="s">
        <v>1973</v>
      </c>
      <c r="AI6" s="252"/>
      <c r="AJ6" s="252"/>
    </row>
    <row r="7" spans="2:36" s="3" customFormat="1" ht="20.100000000000001" customHeight="1">
      <c r="B7" s="124" t="str">
        <f t="shared" si="0"/>
        <v>Water treatment plants [WSA4]</v>
      </c>
      <c r="C7" s="28" t="s">
        <v>1312</v>
      </c>
      <c r="D7" s="149" t="s">
        <v>44</v>
      </c>
      <c r="E7" s="149" t="s">
        <v>1152</v>
      </c>
      <c r="F7" s="7" t="s">
        <v>1386</v>
      </c>
      <c r="G7" s="149" t="s">
        <v>444</v>
      </c>
      <c r="H7" s="149" t="s">
        <v>1150</v>
      </c>
      <c r="I7" s="149">
        <f>'Previous years'!E5</f>
        <v>12</v>
      </c>
      <c r="J7" s="473">
        <v>12</v>
      </c>
      <c r="K7" s="343" t="s">
        <v>895</v>
      </c>
      <c r="L7" s="9" t="s">
        <v>1940</v>
      </c>
      <c r="M7" s="9" t="s">
        <v>1945</v>
      </c>
      <c r="N7" s="228"/>
      <c r="AI7" s="252"/>
      <c r="AJ7" s="252"/>
    </row>
    <row r="8" spans="2:36" s="3" customFormat="1" ht="20.100000000000001" customHeight="1">
      <c r="B8" s="124" t="str">
        <f t="shared" si="0"/>
        <v>Water reservoirs [WSA6]</v>
      </c>
      <c r="C8" s="28" t="s">
        <v>1314</v>
      </c>
      <c r="D8" s="145" t="s">
        <v>52</v>
      </c>
      <c r="E8" s="145" t="s">
        <v>1154</v>
      </c>
      <c r="F8" s="6" t="s">
        <v>1387</v>
      </c>
      <c r="G8" s="145" t="s">
        <v>444</v>
      </c>
      <c r="H8" s="145" t="s">
        <v>1155</v>
      </c>
      <c r="I8" s="145">
        <f>'Previous years'!E6</f>
        <v>47</v>
      </c>
      <c r="J8" s="613">
        <v>52</v>
      </c>
      <c r="K8" s="343" t="s">
        <v>895</v>
      </c>
      <c r="L8" s="11" t="s">
        <v>1940</v>
      </c>
      <c r="M8" s="11" t="s">
        <v>1945</v>
      </c>
      <c r="N8" s="611" t="s">
        <v>1972</v>
      </c>
      <c r="AI8" s="250"/>
      <c r="AJ8" s="250"/>
    </row>
    <row r="9" spans="2:36" s="3" customFormat="1" ht="20.100000000000001" customHeight="1">
      <c r="B9" s="124" t="str">
        <f t="shared" si="0"/>
        <v>Water pump stations [WSA5]</v>
      </c>
      <c r="C9" s="29"/>
      <c r="D9" s="145" t="s">
        <v>48</v>
      </c>
      <c r="E9" s="145" t="s">
        <v>1157</v>
      </c>
      <c r="F9" s="6" t="s">
        <v>1388</v>
      </c>
      <c r="G9" s="145" t="s">
        <v>444</v>
      </c>
      <c r="H9" s="145" t="s">
        <v>1150</v>
      </c>
      <c r="I9" s="145">
        <f>'Previous years'!E7</f>
        <v>33</v>
      </c>
      <c r="J9" s="613">
        <v>34</v>
      </c>
      <c r="K9" s="343" t="s">
        <v>895</v>
      </c>
      <c r="L9" s="11" t="s">
        <v>1940</v>
      </c>
      <c r="M9" s="11" t="s">
        <v>1945</v>
      </c>
      <c r="N9" s="229"/>
      <c r="AI9" s="250"/>
      <c r="AJ9" s="250"/>
    </row>
    <row r="10" spans="2:36" s="3" customFormat="1" ht="20.100000000000001" customHeight="1">
      <c r="B10" s="124" t="str">
        <f t="shared" si="0"/>
        <v>Water supply kilometres of pipe [WSA1a]</v>
      </c>
      <c r="C10" s="28"/>
      <c r="D10" s="149" t="s">
        <v>25</v>
      </c>
      <c r="E10" s="149" t="s">
        <v>1159</v>
      </c>
      <c r="F10" s="61" t="s">
        <v>1456</v>
      </c>
      <c r="G10" s="149" t="s">
        <v>27</v>
      </c>
      <c r="H10" s="149" t="s">
        <v>1150</v>
      </c>
      <c r="I10" s="149">
        <f>'Previous years'!E8</f>
        <v>701.33799999999997</v>
      </c>
      <c r="J10" s="615">
        <v>619.62</v>
      </c>
      <c r="K10" s="343" t="s">
        <v>895</v>
      </c>
      <c r="L10" s="9" t="s">
        <v>1940</v>
      </c>
      <c r="M10" s="9" t="s">
        <v>1945</v>
      </c>
      <c r="N10" s="614" t="s">
        <v>1974</v>
      </c>
      <c r="O10" s="238" t="s">
        <v>1355</v>
      </c>
      <c r="P10" s="238" t="s">
        <v>1356</v>
      </c>
      <c r="Q10" s="238" t="s">
        <v>1357</v>
      </c>
      <c r="R10" s="238" t="s">
        <v>1358</v>
      </c>
      <c r="S10" s="238" t="s">
        <v>1359</v>
      </c>
      <c r="T10" s="238" t="s">
        <v>1360</v>
      </c>
      <c r="U10" s="238" t="s">
        <v>1361</v>
      </c>
      <c r="V10" s="238" t="s">
        <v>1362</v>
      </c>
      <c r="W10" s="238" t="s">
        <v>1363</v>
      </c>
      <c r="X10" s="238" t="s">
        <v>1364</v>
      </c>
      <c r="Y10" s="238" t="s">
        <v>1365</v>
      </c>
      <c r="Z10" s="238" t="s">
        <v>1366</v>
      </c>
      <c r="AA10" s="238" t="s">
        <v>1367</v>
      </c>
      <c r="AB10" s="238" t="s">
        <v>1368</v>
      </c>
      <c r="AC10" s="238" t="s">
        <v>1369</v>
      </c>
      <c r="AD10" s="238" t="s">
        <v>1370</v>
      </c>
      <c r="AE10" s="238" t="s">
        <v>1371</v>
      </c>
      <c r="AF10" s="238" t="s">
        <v>1372</v>
      </c>
      <c r="AG10" s="46" t="s">
        <v>1437</v>
      </c>
      <c r="AH10" s="46" t="s">
        <v>1438</v>
      </c>
      <c r="AI10" s="252"/>
      <c r="AJ10" s="252"/>
    </row>
    <row r="11" spans="2:36" s="3" customFormat="1" ht="20.100000000000001" customHeight="1">
      <c r="B11" s="124" t="str">
        <f t="shared" si="0"/>
        <v>Network name [WST1a]</v>
      </c>
      <c r="C11" s="28"/>
      <c r="D11" s="565" t="s">
        <v>1373</v>
      </c>
      <c r="E11" s="565"/>
      <c r="F11" s="566" t="s">
        <v>1374</v>
      </c>
      <c r="G11" s="565" t="s">
        <v>40</v>
      </c>
      <c r="H11" s="149"/>
      <c r="I11" s="149" t="str">
        <f>'Previous years'!E9</f>
        <v/>
      </c>
      <c r="J11" s="475"/>
      <c r="K11" s="344"/>
      <c r="L11" s="9" t="s">
        <v>1939</v>
      </c>
      <c r="M11" s="9" t="s">
        <v>1944</v>
      </c>
      <c r="N11" s="228"/>
      <c r="O11" s="11"/>
      <c r="P11" s="12"/>
      <c r="Q11" s="12"/>
      <c r="R11" s="12"/>
      <c r="S11" s="12"/>
      <c r="T11" s="12"/>
      <c r="U11" s="12"/>
      <c r="V11" s="12"/>
      <c r="W11" s="12"/>
      <c r="X11" s="12"/>
      <c r="Y11" s="12"/>
      <c r="Z11" s="12"/>
      <c r="AA11" s="12"/>
      <c r="AB11" s="12"/>
      <c r="AC11" s="12"/>
      <c r="AD11" s="12"/>
      <c r="AE11" s="12"/>
      <c r="AF11" s="12"/>
      <c r="AG11" s="12"/>
      <c r="AH11" s="11"/>
      <c r="AI11" s="252"/>
      <c r="AJ11" s="252"/>
    </row>
    <row r="12" spans="2:36" s="3" customFormat="1" ht="20.100000000000001" customHeight="1">
      <c r="B12" s="124" t="str">
        <f t="shared" si="0"/>
        <v>Drinking water abstraction points [WST2]</v>
      </c>
      <c r="C12" s="28"/>
      <c r="D12" s="565" t="s">
        <v>1330</v>
      </c>
      <c r="E12" s="565" t="s">
        <v>1161</v>
      </c>
      <c r="F12" s="566" t="s">
        <v>1389</v>
      </c>
      <c r="G12" s="565" t="s">
        <v>444</v>
      </c>
      <c r="H12" s="149" t="s">
        <v>1162</v>
      </c>
      <c r="I12" s="149" t="str">
        <f>'Previous years'!E10</f>
        <v/>
      </c>
      <c r="J12" s="475" t="str">
        <f>IF(SUM(O12:AH12)=0,"",SUM(O12:AH12))</f>
        <v/>
      </c>
      <c r="K12" s="344"/>
      <c r="L12" s="9" t="s">
        <v>1939</v>
      </c>
      <c r="M12" s="9" t="s">
        <v>1944</v>
      </c>
      <c r="N12" s="228"/>
      <c r="O12" s="11"/>
      <c r="P12" s="12"/>
      <c r="Q12" s="12"/>
      <c r="R12" s="12"/>
      <c r="S12" s="12"/>
      <c r="T12" s="12"/>
      <c r="U12" s="12"/>
      <c r="V12" s="12"/>
      <c r="W12" s="12"/>
      <c r="X12" s="12"/>
      <c r="Y12" s="12"/>
      <c r="Z12" s="12"/>
      <c r="AA12" s="12"/>
      <c r="AB12" s="12"/>
      <c r="AC12" s="12"/>
      <c r="AD12" s="12"/>
      <c r="AE12" s="12"/>
      <c r="AF12" s="12"/>
      <c r="AG12" s="12"/>
      <c r="AH12" s="11"/>
      <c r="AI12" s="252"/>
      <c r="AJ12" s="252"/>
    </row>
    <row r="13" spans="2:36" s="3" customFormat="1" ht="20.100000000000001" customHeight="1" thickBot="1">
      <c r="B13" s="124" t="str">
        <f t="shared" si="0"/>
        <v>Drinking water network source type [WST3]</v>
      </c>
      <c r="C13" s="212"/>
      <c r="D13" s="567" t="s">
        <v>1331</v>
      </c>
      <c r="E13" s="567" t="s">
        <v>1164</v>
      </c>
      <c r="F13" s="568" t="s">
        <v>1163</v>
      </c>
      <c r="G13" s="567" t="s">
        <v>472</v>
      </c>
      <c r="H13" s="213" t="s">
        <v>1162</v>
      </c>
      <c r="I13" s="213" t="str">
        <f>'Previous years'!E11</f>
        <v/>
      </c>
      <c r="J13" s="474"/>
      <c r="K13" s="345"/>
      <c r="L13" s="215" t="s">
        <v>1939</v>
      </c>
      <c r="M13" s="215" t="s">
        <v>1944</v>
      </c>
      <c r="N13" s="230"/>
      <c r="O13" s="215"/>
      <c r="P13" s="215"/>
      <c r="Q13" s="215"/>
      <c r="R13" s="215"/>
      <c r="S13" s="215"/>
      <c r="T13" s="215"/>
      <c r="U13" s="215"/>
      <c r="V13" s="215"/>
      <c r="W13" s="215"/>
      <c r="X13" s="215"/>
      <c r="Y13" s="215"/>
      <c r="Z13" s="215"/>
      <c r="AA13" s="215"/>
      <c r="AB13" s="215"/>
      <c r="AC13" s="215"/>
      <c r="AD13" s="215"/>
      <c r="AE13" s="215"/>
      <c r="AF13" s="215"/>
      <c r="AG13" s="215"/>
      <c r="AH13" s="215"/>
      <c r="AI13" s="295"/>
      <c r="AJ13" s="295"/>
    </row>
    <row r="14" spans="2:36" s="3" customFormat="1" ht="20.100000000000001" customHeight="1">
      <c r="B14" s="124" t="str">
        <f t="shared" si="0"/>
        <v>Residential connections in the drinking water network [WSB2]</v>
      </c>
      <c r="C14" s="28" t="s">
        <v>1311</v>
      </c>
      <c r="D14" s="149" t="s">
        <v>11</v>
      </c>
      <c r="E14" s="149" t="s">
        <v>1167</v>
      </c>
      <c r="F14" s="7" t="s">
        <v>1390</v>
      </c>
      <c r="G14" s="149" t="s">
        <v>444</v>
      </c>
      <c r="H14" s="149" t="s">
        <v>1162</v>
      </c>
      <c r="I14" s="149">
        <f>'Previous years'!E12</f>
        <v>25582</v>
      </c>
      <c r="J14" s="475" t="str">
        <f>IF(SUM(O14:AH14)=0,"",SUM(O14:AH14))</f>
        <v/>
      </c>
      <c r="K14" s="344"/>
      <c r="L14" s="9" t="s">
        <v>1941</v>
      </c>
      <c r="M14" s="9" t="s">
        <v>1962</v>
      </c>
      <c r="N14" s="228"/>
      <c r="O14" s="11"/>
      <c r="P14" s="12"/>
      <c r="Q14" s="12"/>
      <c r="R14" s="12"/>
      <c r="S14" s="12"/>
      <c r="T14" s="12"/>
      <c r="U14" s="12"/>
      <c r="V14" s="12"/>
      <c r="W14" s="12"/>
      <c r="X14" s="12"/>
      <c r="Y14" s="12"/>
      <c r="Z14" s="12"/>
      <c r="AA14" s="12"/>
      <c r="AB14" s="12"/>
      <c r="AC14" s="12"/>
      <c r="AD14" s="12"/>
      <c r="AE14" s="12"/>
      <c r="AF14" s="12"/>
      <c r="AG14" s="12"/>
      <c r="AH14" s="11"/>
      <c r="AI14" s="252"/>
      <c r="AJ14" s="252"/>
    </row>
    <row r="15" spans="2:36" s="3" customFormat="1" ht="20.100000000000001" customHeight="1">
      <c r="B15" s="124" t="str">
        <f t="shared" si="0"/>
        <v>Non-residential connections in the drinking water network [WSB3]</v>
      </c>
      <c r="C15" s="28" t="s">
        <v>1313</v>
      </c>
      <c r="D15" s="145" t="s">
        <v>13</v>
      </c>
      <c r="E15" s="145" t="s">
        <v>1169</v>
      </c>
      <c r="F15" s="6" t="s">
        <v>1391</v>
      </c>
      <c r="G15" s="145" t="s">
        <v>444</v>
      </c>
      <c r="H15" s="145" t="s">
        <v>1162</v>
      </c>
      <c r="I15" s="145">
        <f>'Previous years'!E13</f>
        <v>2251</v>
      </c>
      <c r="J15" s="475" t="str">
        <f>IF(SUM(O15:AH15)=0,"",SUM(O15:AH15))</f>
        <v/>
      </c>
      <c r="K15" s="343"/>
      <c r="L15" s="11" t="s">
        <v>1941</v>
      </c>
      <c r="M15" s="11" t="s">
        <v>1962</v>
      </c>
      <c r="N15" s="229"/>
      <c r="O15" s="120"/>
      <c r="P15" s="119"/>
      <c r="Q15" s="119"/>
      <c r="R15" s="119"/>
      <c r="S15" s="119"/>
      <c r="T15" s="119"/>
      <c r="U15" s="119"/>
      <c r="V15" s="119"/>
      <c r="W15" s="119"/>
      <c r="X15" s="119"/>
      <c r="Y15" s="119"/>
      <c r="Z15" s="119"/>
      <c r="AA15" s="119"/>
      <c r="AB15" s="119"/>
      <c r="AC15" s="119"/>
      <c r="AD15" s="119"/>
      <c r="AE15" s="119"/>
      <c r="AF15" s="119"/>
      <c r="AG15" s="119"/>
      <c r="AH15" s="120"/>
      <c r="AI15" s="250"/>
      <c r="AJ15" s="250"/>
    </row>
    <row r="16" spans="2:36" s="3" customFormat="1" ht="20.100000000000001" customHeight="1">
      <c r="B16" s="124" t="str">
        <f t="shared" si="0"/>
        <v>Total population served by the drinking water network [WSB1a]</v>
      </c>
      <c r="C16" s="28" t="s">
        <v>1315</v>
      </c>
      <c r="D16" s="143" t="s">
        <v>6</v>
      </c>
      <c r="E16" s="143" t="s">
        <v>1171</v>
      </c>
      <c r="F16" s="239" t="s">
        <v>1170</v>
      </c>
      <c r="G16" s="149" t="s">
        <v>444</v>
      </c>
      <c r="H16" s="143" t="s">
        <v>1162</v>
      </c>
      <c r="I16" s="143">
        <f>'Previous years'!E14</f>
        <v>43115.730337078647</v>
      </c>
      <c r="J16" s="475" t="str">
        <f>IF(SUM(O16:AH16)=0,"",SUM(O16:AH16))</f>
        <v/>
      </c>
      <c r="K16" s="343"/>
      <c r="L16" s="11" t="s">
        <v>1941</v>
      </c>
      <c r="M16" s="11" t="s">
        <v>1945</v>
      </c>
      <c r="N16" s="229"/>
      <c r="O16" s="11"/>
      <c r="P16" s="12"/>
      <c r="Q16" s="12"/>
      <c r="R16" s="12"/>
      <c r="S16" s="12"/>
      <c r="T16" s="12"/>
      <c r="U16" s="12"/>
      <c r="V16" s="12"/>
      <c r="W16" s="12"/>
      <c r="X16" s="12"/>
      <c r="Y16" s="12"/>
      <c r="Z16" s="12"/>
      <c r="AA16" s="12"/>
      <c r="AB16" s="12"/>
      <c r="AC16" s="12"/>
      <c r="AD16" s="12"/>
      <c r="AE16" s="12"/>
      <c r="AF16" s="12"/>
      <c r="AG16" s="12"/>
      <c r="AH16" s="11"/>
      <c r="AI16" s="250"/>
      <c r="AJ16" s="250"/>
    </row>
    <row r="17" spans="2:36" s="3" customFormat="1" ht="20.100000000000001" customHeight="1">
      <c r="B17" s="124" t="str">
        <f t="shared" ref="B17:B71" si="1">F17&amp;" ["&amp;D17&amp;"]"</f>
        <v>Water Supply Service Coverage [WSB1b]</v>
      </c>
      <c r="C17" s="29"/>
      <c r="D17" s="144" t="s">
        <v>8</v>
      </c>
      <c r="E17" s="144"/>
      <c r="F17" s="240" t="s">
        <v>9</v>
      </c>
      <c r="G17" s="146" t="s">
        <v>10</v>
      </c>
      <c r="H17" s="144" t="s">
        <v>1162</v>
      </c>
      <c r="I17" s="144">
        <f>'Previous years'!E15</f>
        <v>0.90961456407338925</v>
      </c>
      <c r="J17" s="490" t="str">
        <f>IFERROR(J14/Common!H8,"")</f>
        <v/>
      </c>
      <c r="K17" s="342" t="s">
        <v>212</v>
      </c>
      <c r="L17" s="26"/>
      <c r="M17" s="26"/>
      <c r="N17" s="231"/>
      <c r="O17" s="26"/>
      <c r="P17" s="26"/>
      <c r="Q17" s="26"/>
      <c r="R17" s="26"/>
      <c r="S17" s="26"/>
      <c r="T17" s="26"/>
      <c r="U17" s="26"/>
      <c r="V17" s="26"/>
      <c r="W17" s="26"/>
      <c r="X17" s="26"/>
      <c r="Y17" s="26"/>
      <c r="Z17" s="26"/>
      <c r="AA17" s="26"/>
      <c r="AB17" s="26"/>
      <c r="AC17" s="26"/>
      <c r="AD17" s="26"/>
      <c r="AE17" s="26"/>
      <c r="AF17" s="26"/>
      <c r="AG17" s="26"/>
      <c r="AH17" s="26"/>
      <c r="AI17" s="250"/>
      <c r="AJ17" s="250"/>
    </row>
    <row r="18" spans="2:36" s="3" customFormat="1" ht="20.100000000000001" customHeight="1" thickBot="1">
      <c r="B18" s="124" t="str">
        <f t="shared" si="1"/>
        <v>Total connections to water networks [WSB4]</v>
      </c>
      <c r="C18" s="62"/>
      <c r="D18" s="184" t="s">
        <v>15</v>
      </c>
      <c r="E18" s="184"/>
      <c r="F18" s="169" t="s">
        <v>1600</v>
      </c>
      <c r="G18" s="184" t="s">
        <v>444</v>
      </c>
      <c r="H18" s="184" t="s">
        <v>1162</v>
      </c>
      <c r="I18" s="184">
        <f>'Previous years'!E16</f>
        <v>27833</v>
      </c>
      <c r="J18" s="491" t="str">
        <f>IF(SUMIF(J14:J15,"&gt;=0",J14:J15)=0,"",SUMIF(J14:J15,"&gt;=0",J14:J15))</f>
        <v/>
      </c>
      <c r="K18" s="346" t="s">
        <v>212</v>
      </c>
      <c r="L18" s="64"/>
      <c r="M18" s="216"/>
      <c r="N18" s="232"/>
      <c r="O18" s="216"/>
      <c r="P18" s="216"/>
      <c r="Q18" s="216"/>
      <c r="R18" s="216"/>
      <c r="S18" s="216"/>
      <c r="T18" s="216"/>
      <c r="U18" s="216"/>
      <c r="V18" s="216"/>
      <c r="W18" s="216"/>
      <c r="X18" s="216"/>
      <c r="Y18" s="216"/>
      <c r="Z18" s="216"/>
      <c r="AA18" s="216"/>
      <c r="AB18" s="216"/>
      <c r="AC18" s="216"/>
      <c r="AD18" s="216"/>
      <c r="AE18" s="216"/>
      <c r="AF18" s="216"/>
      <c r="AG18" s="216"/>
      <c r="AH18" s="216"/>
      <c r="AI18" s="235"/>
      <c r="AJ18" s="235"/>
    </row>
    <row r="19" spans="2:36" s="3" customFormat="1" ht="20.100000000000001" customHeight="1">
      <c r="B19" s="124" t="str">
        <f t="shared" si="1"/>
        <v>Water Supplied to the drinking water network [WSB5]</v>
      </c>
      <c r="C19" s="28" t="s">
        <v>1316</v>
      </c>
      <c r="D19" s="150" t="s">
        <v>17</v>
      </c>
      <c r="E19" s="150" t="s">
        <v>1174</v>
      </c>
      <c r="F19" s="61" t="s">
        <v>1377</v>
      </c>
      <c r="G19" s="150" t="s">
        <v>847</v>
      </c>
      <c r="H19" s="150" t="s">
        <v>1162</v>
      </c>
      <c r="I19" s="150">
        <f>'Previous years'!E17</f>
        <v>12251029</v>
      </c>
      <c r="J19" s="475" t="str">
        <f>IF(SUM(O19:AH19)=0,"",SUM(O19:AH19))</f>
        <v/>
      </c>
      <c r="K19" s="343"/>
      <c r="L19" s="9" t="s">
        <v>1938</v>
      </c>
      <c r="M19" s="9" t="s">
        <v>1963</v>
      </c>
      <c r="N19" s="228"/>
      <c r="O19" s="11"/>
      <c r="P19" s="12"/>
      <c r="Q19" s="12"/>
      <c r="R19" s="12"/>
      <c r="S19" s="12"/>
      <c r="T19" s="12"/>
      <c r="U19" s="12"/>
      <c r="V19" s="12"/>
      <c r="W19" s="12"/>
      <c r="X19" s="12"/>
      <c r="Y19" s="12"/>
      <c r="Z19" s="12"/>
      <c r="AA19" s="12"/>
      <c r="AB19" s="12"/>
      <c r="AC19" s="12"/>
      <c r="AD19" s="12"/>
      <c r="AE19" s="12"/>
      <c r="AF19" s="12"/>
      <c r="AG19" s="12"/>
      <c r="AH19" s="11"/>
      <c r="AI19" s="252"/>
      <c r="AJ19" s="252"/>
    </row>
    <row r="20" spans="2:36" s="3" customFormat="1" ht="20.100000000000001" customHeight="1">
      <c r="B20" s="124" t="str">
        <f>F20&amp;" ["&amp;D20&amp;"]"</f>
        <v>Non-residential water use  [WSB7]</v>
      </c>
      <c r="C20" s="224" t="s">
        <v>1375</v>
      </c>
      <c r="D20" s="149" t="s">
        <v>21</v>
      </c>
      <c r="E20" s="149" t="s">
        <v>1180</v>
      </c>
      <c r="F20" s="7" t="s">
        <v>1380</v>
      </c>
      <c r="G20" s="149" t="s">
        <v>847</v>
      </c>
      <c r="H20" s="149" t="s">
        <v>1162</v>
      </c>
      <c r="I20" s="149">
        <f>'Previous years'!E18</f>
        <v>2450205.8000000003</v>
      </c>
      <c r="J20" s="475" t="str">
        <f>IF(SUM(O20:AH20)=0,"",SUM(O20:AH20))</f>
        <v/>
      </c>
      <c r="K20" s="344"/>
      <c r="L20" s="9" t="s">
        <v>1939</v>
      </c>
      <c r="M20" s="9" t="s">
        <v>1946</v>
      </c>
      <c r="N20" s="228"/>
      <c r="O20" s="11"/>
      <c r="P20" s="12"/>
      <c r="Q20" s="12"/>
      <c r="R20" s="12"/>
      <c r="S20" s="12"/>
      <c r="T20" s="12"/>
      <c r="U20" s="12"/>
      <c r="V20" s="12"/>
      <c r="W20" s="12"/>
      <c r="X20" s="12"/>
      <c r="Y20" s="12"/>
      <c r="Z20" s="12"/>
      <c r="AA20" s="12"/>
      <c r="AB20" s="12"/>
      <c r="AC20" s="12"/>
      <c r="AD20" s="12"/>
      <c r="AE20" s="12"/>
      <c r="AF20" s="12"/>
      <c r="AG20" s="12"/>
      <c r="AH20" s="11"/>
      <c r="AI20" s="252"/>
      <c r="AJ20" s="252"/>
    </row>
    <row r="21" spans="2:36" s="3" customFormat="1" ht="20.100000000000001" customHeight="1">
      <c r="B21" s="124" t="str">
        <f t="shared" si="1"/>
        <v>Water imported from other suppliers [WSB5a]</v>
      </c>
      <c r="C21" s="28"/>
      <c r="D21" s="147" t="s">
        <v>946</v>
      </c>
      <c r="E21" s="147" t="s">
        <v>1176</v>
      </c>
      <c r="F21" s="45" t="s">
        <v>1378</v>
      </c>
      <c r="G21" s="147" t="s">
        <v>478</v>
      </c>
      <c r="H21" s="147" t="s">
        <v>1150</v>
      </c>
      <c r="I21" s="147">
        <f>'Previous years'!E19</f>
        <v>0</v>
      </c>
      <c r="J21" s="473"/>
      <c r="K21" s="343"/>
      <c r="L21" s="11" t="s">
        <v>1939</v>
      </c>
      <c r="M21" s="9" t="s">
        <v>1946</v>
      </c>
      <c r="N21" s="229"/>
      <c r="AI21" s="250"/>
      <c r="AJ21" s="250"/>
    </row>
    <row r="22" spans="2:36" s="3" customFormat="1" ht="20.100000000000001" customHeight="1" thickBot="1">
      <c r="B22" s="124" t="str">
        <f t="shared" si="1"/>
        <v>Water exported to other suppliers [WSB5b]</v>
      </c>
      <c r="C22" s="62"/>
      <c r="D22" s="184" t="s">
        <v>947</v>
      </c>
      <c r="E22" s="184" t="s">
        <v>1178</v>
      </c>
      <c r="F22" s="169" t="s">
        <v>1379</v>
      </c>
      <c r="G22" s="184" t="s">
        <v>478</v>
      </c>
      <c r="H22" s="184" t="s">
        <v>1150</v>
      </c>
      <c r="I22" s="184">
        <f>'Previous years'!E20</f>
        <v>0</v>
      </c>
      <c r="J22" s="474"/>
      <c r="K22" s="347"/>
      <c r="L22" s="215" t="s">
        <v>1939</v>
      </c>
      <c r="M22" s="215" t="s">
        <v>1946</v>
      </c>
      <c r="N22" s="230"/>
      <c r="AI22" s="295"/>
      <c r="AJ22" s="295"/>
    </row>
    <row r="23" spans="2:36" s="3" customFormat="1" ht="20.100000000000001" customHeight="1">
      <c r="B23" s="124" t="str">
        <f t="shared" si="1"/>
        <v>Number of resource consents that are held [WST4]</v>
      </c>
      <c r="C23" s="28" t="s">
        <v>1317</v>
      </c>
      <c r="D23" s="565" t="s">
        <v>1332</v>
      </c>
      <c r="E23" s="150" t="s">
        <v>1183</v>
      </c>
      <c r="F23" s="566" t="s">
        <v>1182</v>
      </c>
      <c r="G23" s="565" t="s">
        <v>444</v>
      </c>
      <c r="H23" s="150" t="s">
        <v>1150</v>
      </c>
      <c r="I23" s="150" t="str">
        <f>'Previous years'!E21</f>
        <v/>
      </c>
      <c r="J23" s="475"/>
      <c r="K23" s="342"/>
      <c r="L23" s="9" t="s">
        <v>1939</v>
      </c>
      <c r="M23" s="9" t="s">
        <v>1947</v>
      </c>
      <c r="N23" s="228"/>
      <c r="AI23" s="252"/>
      <c r="AJ23" s="252"/>
    </row>
    <row r="24" spans="2:36" s="3" customFormat="1" ht="20.100000000000001" customHeight="1">
      <c r="B24" s="124" t="str">
        <f t="shared" si="1"/>
        <v>Type of resources consent  [WST5]</v>
      </c>
      <c r="C24" s="28" t="s">
        <v>1318</v>
      </c>
      <c r="D24" s="569" t="s">
        <v>1333</v>
      </c>
      <c r="E24" s="147" t="s">
        <v>1185</v>
      </c>
      <c r="F24" s="171" t="s">
        <v>1347</v>
      </c>
      <c r="G24" s="569" t="s">
        <v>472</v>
      </c>
      <c r="H24" s="147" t="s">
        <v>1162</v>
      </c>
      <c r="I24" s="147" t="str">
        <f>'Previous years'!E22</f>
        <v/>
      </c>
      <c r="J24" s="473"/>
      <c r="K24" s="342"/>
      <c r="L24" s="11" t="s">
        <v>1939</v>
      </c>
      <c r="M24" s="11" t="s">
        <v>1947</v>
      </c>
      <c r="N24" s="229"/>
      <c r="O24" s="11"/>
      <c r="P24" s="12"/>
      <c r="Q24" s="12"/>
      <c r="R24" s="12"/>
      <c r="S24" s="12"/>
      <c r="T24" s="12"/>
      <c r="U24" s="12"/>
      <c r="V24" s="12"/>
      <c r="W24" s="12"/>
      <c r="X24" s="12"/>
      <c r="Y24" s="12"/>
      <c r="Z24" s="12"/>
      <c r="AA24" s="12"/>
      <c r="AB24" s="12"/>
      <c r="AC24" s="12"/>
      <c r="AD24" s="12"/>
      <c r="AE24" s="12"/>
      <c r="AF24" s="12"/>
      <c r="AG24" s="12"/>
      <c r="AH24" s="11"/>
      <c r="AI24" s="250"/>
      <c r="AJ24" s="250"/>
    </row>
    <row r="25" spans="2:36" s="3" customFormat="1" ht="20.100000000000001" customHeight="1">
      <c r="B25" s="124" t="str">
        <f t="shared" si="1"/>
        <v>Resource consent reference numbers [WST6]</v>
      </c>
      <c r="C25" s="29"/>
      <c r="D25" s="569" t="s">
        <v>1334</v>
      </c>
      <c r="E25" s="147" t="s">
        <v>1187</v>
      </c>
      <c r="F25" s="171" t="s">
        <v>1186</v>
      </c>
      <c r="G25" s="569" t="s">
        <v>40</v>
      </c>
      <c r="H25" s="147" t="s">
        <v>1162</v>
      </c>
      <c r="I25" s="147" t="str">
        <f>'Previous years'!E23</f>
        <v/>
      </c>
      <c r="J25" s="473"/>
      <c r="K25" s="342"/>
      <c r="L25" s="11" t="s">
        <v>1939</v>
      </c>
      <c r="M25" s="11" t="s">
        <v>1947</v>
      </c>
      <c r="N25" s="229"/>
      <c r="O25" s="11"/>
      <c r="P25" s="12"/>
      <c r="Q25" s="12"/>
      <c r="R25" s="12"/>
      <c r="S25" s="12"/>
      <c r="T25" s="12"/>
      <c r="U25" s="12"/>
      <c r="V25" s="12"/>
      <c r="W25" s="12"/>
      <c r="X25" s="12"/>
      <c r="Y25" s="12"/>
      <c r="Z25" s="12"/>
      <c r="AA25" s="12"/>
      <c r="AB25" s="12"/>
      <c r="AC25" s="12"/>
      <c r="AD25" s="12"/>
      <c r="AE25" s="12"/>
      <c r="AF25" s="12"/>
      <c r="AG25" s="12"/>
      <c r="AH25" s="11"/>
      <c r="AI25" s="250"/>
      <c r="AJ25" s="250"/>
    </row>
    <row r="26" spans="2:36" s="3" customFormat="1" ht="20.100000000000001" customHeight="1" thickBot="1">
      <c r="B26" s="124" t="str">
        <f t="shared" si="1"/>
        <v>Expiry dates for resource consents [WST7]</v>
      </c>
      <c r="C26" s="62"/>
      <c r="D26" s="570" t="s">
        <v>1335</v>
      </c>
      <c r="E26" s="148" t="s">
        <v>1189</v>
      </c>
      <c r="F26" s="167" t="s">
        <v>1188</v>
      </c>
      <c r="G26" s="570" t="s">
        <v>1547</v>
      </c>
      <c r="H26" s="148" t="s">
        <v>1162</v>
      </c>
      <c r="I26" s="148" t="str">
        <f>'Previous years'!E24</f>
        <v/>
      </c>
      <c r="J26" s="476"/>
      <c r="K26" s="345"/>
      <c r="L26" s="217" t="s">
        <v>1939</v>
      </c>
      <c r="M26" s="217" t="s">
        <v>1947</v>
      </c>
      <c r="N26" s="233"/>
      <c r="O26" s="248"/>
      <c r="P26" s="248"/>
      <c r="Q26" s="248"/>
      <c r="R26" s="248"/>
      <c r="S26" s="248"/>
      <c r="T26" s="248"/>
      <c r="U26" s="248"/>
      <c r="V26" s="248"/>
      <c r="W26" s="248"/>
      <c r="X26" s="248"/>
      <c r="Y26" s="248"/>
      <c r="Z26" s="248"/>
      <c r="AA26" s="248"/>
      <c r="AB26" s="248"/>
      <c r="AC26" s="248"/>
      <c r="AD26" s="248"/>
      <c r="AE26" s="248"/>
      <c r="AF26" s="248"/>
      <c r="AG26" s="215"/>
      <c r="AH26" s="248"/>
      <c r="AI26" s="235"/>
      <c r="AJ26" s="235"/>
    </row>
    <row r="27" spans="2:36" s="3" customFormat="1" ht="20.100000000000001" customHeight="1">
      <c r="B27" s="124" t="str">
        <f t="shared" ref="B27:B36" si="2">F27&amp;" ["&amp;D27&amp;"]"</f>
        <v>Median hours to attend to an urgent fault [WSS10a]</v>
      </c>
      <c r="C27" s="28" t="s">
        <v>553</v>
      </c>
      <c r="D27" s="149" t="s">
        <v>120</v>
      </c>
      <c r="E27" s="149" t="s">
        <v>1192</v>
      </c>
      <c r="F27" s="7" t="s">
        <v>1191</v>
      </c>
      <c r="G27" s="149" t="s">
        <v>121</v>
      </c>
      <c r="H27" s="149" t="s">
        <v>1150</v>
      </c>
      <c r="I27" s="149">
        <f>'Previous years'!E25</f>
        <v>0.43666666666666665</v>
      </c>
      <c r="J27" s="475"/>
      <c r="K27" s="344"/>
      <c r="L27" s="9" t="s">
        <v>1938</v>
      </c>
      <c r="M27" s="9" t="s">
        <v>1948</v>
      </c>
      <c r="N27" s="228"/>
      <c r="AI27" s="252"/>
      <c r="AJ27" s="252"/>
    </row>
    <row r="28" spans="2:36" s="3" customFormat="1" ht="20.100000000000001" customHeight="1">
      <c r="B28" s="124" t="str">
        <f t="shared" si="2"/>
        <v>Median hours to resolve an urgent fault [WSS10b]</v>
      </c>
      <c r="C28" s="29"/>
      <c r="D28" s="145" t="s">
        <v>122</v>
      </c>
      <c r="E28" s="145" t="s">
        <v>1196</v>
      </c>
      <c r="F28" s="6" t="s">
        <v>1195</v>
      </c>
      <c r="G28" s="145" t="s">
        <v>121</v>
      </c>
      <c r="H28" s="145" t="s">
        <v>1150</v>
      </c>
      <c r="I28" s="145">
        <f>'Previous years'!E26</f>
        <v>6.7666666666666666</v>
      </c>
      <c r="J28" s="475"/>
      <c r="K28" s="344"/>
      <c r="L28" s="9" t="s">
        <v>1938</v>
      </c>
      <c r="M28" s="9" t="s">
        <v>1948</v>
      </c>
      <c r="N28" s="228"/>
      <c r="AI28" s="252"/>
      <c r="AJ28" s="252"/>
    </row>
    <row r="29" spans="2:36" s="3" customFormat="1" ht="20.100000000000001" customHeight="1">
      <c r="B29" s="124" t="str">
        <f t="shared" si="2"/>
        <v>Median hours to attend to a non-urgent fault [WSS10c]</v>
      </c>
      <c r="C29" s="29"/>
      <c r="D29" s="145" t="s">
        <v>123</v>
      </c>
      <c r="E29" s="145" t="s">
        <v>1194</v>
      </c>
      <c r="F29" s="6" t="s">
        <v>1193</v>
      </c>
      <c r="G29" s="145" t="s">
        <v>121</v>
      </c>
      <c r="H29" s="145" t="s">
        <v>1150</v>
      </c>
      <c r="I29" s="145">
        <f>'Previous years'!E27</f>
        <v>10.783333333333333</v>
      </c>
      <c r="J29" s="473"/>
      <c r="K29" s="343"/>
      <c r="L29" s="11" t="s">
        <v>1938</v>
      </c>
      <c r="M29" s="11" t="s">
        <v>1948</v>
      </c>
      <c r="N29" s="229"/>
      <c r="AI29" s="250"/>
      <c r="AJ29" s="250"/>
    </row>
    <row r="30" spans="2:36" s="3" customFormat="1" ht="20.100000000000001" customHeight="1" thickBot="1">
      <c r="B30" s="124" t="str">
        <f t="shared" si="2"/>
        <v>Median hours to resolve a non-urgent fault [WSS10d]</v>
      </c>
      <c r="C30" s="212"/>
      <c r="D30" s="213" t="s">
        <v>124</v>
      </c>
      <c r="E30" s="213" t="s">
        <v>1198</v>
      </c>
      <c r="F30" s="214" t="s">
        <v>1197</v>
      </c>
      <c r="G30" s="213" t="s">
        <v>121</v>
      </c>
      <c r="H30" s="213" t="s">
        <v>1150</v>
      </c>
      <c r="I30" s="213">
        <f>'Previous years'!E28</f>
        <v>42.85</v>
      </c>
      <c r="J30" s="474"/>
      <c r="K30" s="347"/>
      <c r="L30" s="215" t="s">
        <v>1938</v>
      </c>
      <c r="M30" s="215" t="s">
        <v>1948</v>
      </c>
      <c r="N30" s="230"/>
      <c r="AI30" s="295"/>
      <c r="AJ30" s="295"/>
    </row>
    <row r="31" spans="2:36" s="3" customFormat="1" ht="20.100000000000001" customHeight="1">
      <c r="B31" s="124" t="str">
        <f t="shared" si="2"/>
        <v>Planned interruptions to water supply [WSS3]</v>
      </c>
      <c r="C31" s="28" t="s">
        <v>1319</v>
      </c>
      <c r="D31" s="149" t="s">
        <v>96</v>
      </c>
      <c r="E31" s="149" t="s">
        <v>1201</v>
      </c>
      <c r="F31" s="7" t="s">
        <v>1392</v>
      </c>
      <c r="G31" s="149" t="s">
        <v>446</v>
      </c>
      <c r="H31" s="149" t="s">
        <v>1150</v>
      </c>
      <c r="I31" s="149">
        <f>'Previous years'!E29</f>
        <v>47</v>
      </c>
      <c r="J31" s="475"/>
      <c r="K31" s="344"/>
      <c r="L31" s="9" t="s">
        <v>1938</v>
      </c>
      <c r="M31" s="9" t="s">
        <v>1948</v>
      </c>
      <c r="N31" s="228"/>
      <c r="AI31" s="252"/>
      <c r="AJ31" s="252"/>
    </row>
    <row r="32" spans="2:36" s="3" customFormat="1" ht="20.100000000000001" customHeight="1">
      <c r="B32" s="124" t="str">
        <f t="shared" si="2"/>
        <v>Third party incidents water supply [WSS4]</v>
      </c>
      <c r="C32" s="28" t="s">
        <v>1320</v>
      </c>
      <c r="D32" s="145" t="s">
        <v>98</v>
      </c>
      <c r="E32" s="145" t="s">
        <v>1203</v>
      </c>
      <c r="F32" s="6" t="s">
        <v>1393</v>
      </c>
      <c r="G32" s="145" t="s">
        <v>446</v>
      </c>
      <c r="H32" s="145" t="s">
        <v>1150</v>
      </c>
      <c r="I32" s="145">
        <f>'Previous years'!E30</f>
        <v>50</v>
      </c>
      <c r="J32" s="473"/>
      <c r="K32" s="343"/>
      <c r="L32" s="11" t="s">
        <v>1938</v>
      </c>
      <c r="M32" s="11" t="s">
        <v>1948</v>
      </c>
      <c r="N32" s="229"/>
      <c r="AI32" s="250"/>
      <c r="AJ32" s="250"/>
    </row>
    <row r="33" spans="2:36" s="3" customFormat="1" ht="20.100000000000001" customHeight="1">
      <c r="B33" s="124" t="str">
        <f t="shared" si="2"/>
        <v>Unplanned total interruptions water supply [WSS1]</v>
      </c>
      <c r="C33" s="508"/>
      <c r="D33" s="147" t="s">
        <v>92</v>
      </c>
      <c r="E33" s="147"/>
      <c r="F33" s="45" t="s">
        <v>1394</v>
      </c>
      <c r="G33" s="149" t="s">
        <v>446</v>
      </c>
      <c r="H33" s="147" t="s">
        <v>1150</v>
      </c>
      <c r="I33" s="147">
        <f>'Previous years'!E31</f>
        <v>133</v>
      </c>
      <c r="J33" s="475"/>
      <c r="K33" s="344"/>
      <c r="L33" s="9" t="s">
        <v>1938</v>
      </c>
      <c r="M33" s="9" t="s">
        <v>1948</v>
      </c>
      <c r="N33" s="228"/>
      <c r="AI33" s="252"/>
      <c r="AJ33" s="252"/>
    </row>
    <row r="34" spans="2:36" s="3" customFormat="1" ht="20.100000000000001" customHeight="1" thickBot="1">
      <c r="B34" s="124" t="str">
        <f t="shared" si="2"/>
        <v>Unplanned interruption frequency water supply [WSS2]</v>
      </c>
      <c r="C34" s="62"/>
      <c r="D34" s="148" t="s">
        <v>94</v>
      </c>
      <c r="E34" s="148"/>
      <c r="F34" s="63" t="s">
        <v>1395</v>
      </c>
      <c r="G34" s="151" t="s">
        <v>1601</v>
      </c>
      <c r="H34" s="148" t="s">
        <v>1150</v>
      </c>
      <c r="I34" s="148">
        <f>'Previous years'!E32</f>
        <v>4.7785003413214531</v>
      </c>
      <c r="J34" s="477" t="str">
        <f>IFERROR((J33/J18)*1000,"")</f>
        <v/>
      </c>
      <c r="K34" s="348" t="s">
        <v>212</v>
      </c>
      <c r="L34" s="64"/>
      <c r="M34" s="64"/>
      <c r="N34" s="232"/>
      <c r="AI34" s="235"/>
      <c r="AJ34" s="235"/>
    </row>
    <row r="35" spans="2:36" s="3" customFormat="1" ht="20.100000000000001" customHeight="1">
      <c r="B35" s="124" t="str">
        <f t="shared" si="2"/>
        <v>Percentage of pipelines that have received a condition grading [WSA2f]</v>
      </c>
      <c r="C35" s="28" t="s">
        <v>1321</v>
      </c>
      <c r="D35" s="565" t="s">
        <v>37</v>
      </c>
      <c r="E35" s="565" t="s">
        <v>1206</v>
      </c>
      <c r="F35" s="566" t="s">
        <v>1344</v>
      </c>
      <c r="G35" s="565" t="s">
        <v>10</v>
      </c>
      <c r="H35" s="149" t="s">
        <v>1150</v>
      </c>
      <c r="I35" s="507"/>
      <c r="J35" s="478"/>
      <c r="K35" s="344"/>
      <c r="L35" s="9" t="s">
        <v>1938</v>
      </c>
      <c r="M35" s="9" t="s">
        <v>1948</v>
      </c>
      <c r="N35" s="228"/>
      <c r="AI35" s="252"/>
      <c r="AJ35" s="252"/>
    </row>
    <row r="36" spans="2:36" s="3" customFormat="1" ht="20.100000000000001" customHeight="1">
      <c r="B36" s="124" t="str">
        <f t="shared" si="2"/>
        <v>Percentage of pipelines in poor or very poor condition [WSA2d]</v>
      </c>
      <c r="C36" s="29"/>
      <c r="D36" s="569" t="s">
        <v>35</v>
      </c>
      <c r="E36" s="569" t="s">
        <v>1208</v>
      </c>
      <c r="F36" s="171" t="s">
        <v>1343</v>
      </c>
      <c r="G36" s="569" t="s">
        <v>10</v>
      </c>
      <c r="H36" s="145" t="s">
        <v>1150</v>
      </c>
      <c r="I36" s="144"/>
      <c r="J36" s="478"/>
      <c r="K36" s="344"/>
      <c r="L36" s="9" t="s">
        <v>1938</v>
      </c>
      <c r="M36" s="9" t="s">
        <v>1948</v>
      </c>
      <c r="N36" s="228"/>
      <c r="AI36" s="252"/>
      <c r="AJ36" s="252"/>
    </row>
    <row r="37" spans="2:36" s="3" customFormat="1" ht="20.100000000000001" customHeight="1">
      <c r="B37" s="124" t="str">
        <f t="shared" ref="B37:B49" si="3">F37&amp;" ["&amp;D37&amp;"]"</f>
        <v>Average age of water pipelines [WSA3]</v>
      </c>
      <c r="C37" s="29"/>
      <c r="D37" s="145" t="s">
        <v>41</v>
      </c>
      <c r="E37" s="145" t="s">
        <v>1210</v>
      </c>
      <c r="F37" s="6" t="s">
        <v>1209</v>
      </c>
      <c r="G37" s="145" t="s">
        <v>43</v>
      </c>
      <c r="H37" s="145" t="s">
        <v>1150</v>
      </c>
      <c r="I37" s="145">
        <f>'Previous years'!E35</f>
        <v>19.3</v>
      </c>
      <c r="J37" s="473"/>
      <c r="K37" s="343"/>
      <c r="L37" s="11" t="s">
        <v>1939</v>
      </c>
      <c r="M37" s="11" t="s">
        <v>1950</v>
      </c>
      <c r="N37" s="229"/>
      <c r="AI37" s="250"/>
      <c r="AJ37" s="250"/>
    </row>
    <row r="38" spans="2:36" s="3" customFormat="1" ht="20.100000000000001" customHeight="1">
      <c r="B38" s="124" t="str">
        <f t="shared" si="3"/>
        <v>Percentage of above ground assets that have received a condition grading [WSA13c]</v>
      </c>
      <c r="C38" s="28"/>
      <c r="D38" s="565" t="s">
        <v>70</v>
      </c>
      <c r="E38" s="565" t="s">
        <v>1212</v>
      </c>
      <c r="F38" s="566" t="s">
        <v>1345</v>
      </c>
      <c r="G38" s="565" t="s">
        <v>10</v>
      </c>
      <c r="H38" s="149" t="s">
        <v>1150</v>
      </c>
      <c r="I38" s="149"/>
      <c r="J38" s="478"/>
      <c r="K38" s="344"/>
      <c r="L38" s="9" t="s">
        <v>1939</v>
      </c>
      <c r="M38" s="9" t="s">
        <v>1964</v>
      </c>
      <c r="N38" s="228"/>
      <c r="AI38" s="252"/>
      <c r="AJ38" s="252"/>
    </row>
    <row r="39" spans="2:36" s="3" customFormat="1" ht="20.100000000000001" customHeight="1" thickBot="1">
      <c r="B39" s="124" t="str">
        <f t="shared" si="3"/>
        <v>Percentage of above ground assets in poor or very poor condition [WSA2d+WSA2g]</v>
      </c>
      <c r="C39" s="62"/>
      <c r="D39" s="570" t="s">
        <v>1261</v>
      </c>
      <c r="E39" s="570" t="s">
        <v>1214</v>
      </c>
      <c r="F39" s="167" t="s">
        <v>1346</v>
      </c>
      <c r="G39" s="570" t="s">
        <v>10</v>
      </c>
      <c r="H39" s="151" t="s">
        <v>1150</v>
      </c>
      <c r="I39" s="151" t="str">
        <f>'Previous years'!E37</f>
        <v/>
      </c>
      <c r="J39" s="479"/>
      <c r="K39" s="347"/>
      <c r="L39" s="215" t="s">
        <v>1940</v>
      </c>
      <c r="M39" s="215" t="s">
        <v>1949</v>
      </c>
      <c r="N39" s="230"/>
      <c r="O39" s="238" t="s">
        <v>1355</v>
      </c>
      <c r="P39" s="238" t="s">
        <v>1356</v>
      </c>
      <c r="Q39" s="238" t="s">
        <v>1357</v>
      </c>
      <c r="R39" s="238" t="s">
        <v>1358</v>
      </c>
      <c r="S39" s="238" t="s">
        <v>1359</v>
      </c>
      <c r="T39" s="238" t="s">
        <v>1360</v>
      </c>
      <c r="U39" s="238" t="s">
        <v>1361</v>
      </c>
      <c r="V39" s="238" t="s">
        <v>1362</v>
      </c>
      <c r="W39" s="238" t="s">
        <v>1363</v>
      </c>
      <c r="X39" s="238" t="s">
        <v>1364</v>
      </c>
      <c r="Y39" s="238" t="s">
        <v>1365</v>
      </c>
      <c r="Z39" s="238" t="s">
        <v>1366</v>
      </c>
      <c r="AA39" s="238" t="s">
        <v>1367</v>
      </c>
      <c r="AB39" s="238" t="s">
        <v>1368</v>
      </c>
      <c r="AC39" s="238" t="s">
        <v>1369</v>
      </c>
      <c r="AD39" s="238" t="s">
        <v>1370</v>
      </c>
      <c r="AE39" s="238" t="s">
        <v>1371</v>
      </c>
      <c r="AF39" s="238" t="s">
        <v>1372</v>
      </c>
      <c r="AG39" s="46" t="s">
        <v>1437</v>
      </c>
      <c r="AH39" s="46" t="s">
        <v>1438</v>
      </c>
      <c r="AI39" s="295"/>
      <c r="AJ39" s="295"/>
    </row>
    <row r="40" spans="2:36" s="3" customFormat="1" ht="20.100000000000001" customHeight="1">
      <c r="B40" s="124" t="str">
        <f t="shared" si="3"/>
        <v>Average system pressure [WSE2]</v>
      </c>
      <c r="C40" s="28" t="s">
        <v>1215</v>
      </c>
      <c r="D40" s="149" t="s">
        <v>85</v>
      </c>
      <c r="E40" s="149" t="s">
        <v>1216</v>
      </c>
      <c r="F40" s="7" t="s">
        <v>86</v>
      </c>
      <c r="G40" s="149" t="s">
        <v>87</v>
      </c>
      <c r="H40" s="149" t="s">
        <v>1162</v>
      </c>
      <c r="I40" s="149">
        <f>'Previous years'!E38</f>
        <v>60</v>
      </c>
      <c r="J40" s="495" t="str">
        <f>IFERROR(AVERAGE(O40:AH40),"")</f>
        <v/>
      </c>
      <c r="K40" s="344"/>
      <c r="L40" s="9" t="s">
        <v>1939</v>
      </c>
      <c r="M40" s="9" t="s">
        <v>1965</v>
      </c>
      <c r="N40" s="228"/>
      <c r="O40" s="11"/>
      <c r="P40" s="12"/>
      <c r="Q40" s="12"/>
      <c r="R40" s="12"/>
      <c r="S40" s="12"/>
      <c r="T40" s="12"/>
      <c r="U40" s="12"/>
      <c r="V40" s="12"/>
      <c r="W40" s="12"/>
      <c r="X40" s="12"/>
      <c r="Y40" s="12"/>
      <c r="Z40" s="12"/>
      <c r="AA40" s="12"/>
      <c r="AB40" s="12"/>
      <c r="AC40" s="12"/>
      <c r="AD40" s="12"/>
      <c r="AE40" s="12"/>
      <c r="AF40" s="12"/>
      <c r="AG40" s="11"/>
      <c r="AH40" s="11"/>
      <c r="AI40" s="252"/>
      <c r="AJ40" s="252"/>
    </row>
    <row r="41" spans="2:36" s="3" customFormat="1" ht="20.100000000000001" customHeight="1" thickBot="1">
      <c r="B41" s="124" t="str">
        <f t="shared" si="3"/>
        <v>Has a reference level for water pressure been set [WST8]</v>
      </c>
      <c r="C41" s="218"/>
      <c r="D41" s="571" t="s">
        <v>1336</v>
      </c>
      <c r="E41" s="571" t="s">
        <v>1218</v>
      </c>
      <c r="F41" s="572" t="s">
        <v>1322</v>
      </c>
      <c r="G41" s="571" t="s">
        <v>66</v>
      </c>
      <c r="H41" s="219" t="s">
        <v>1150</v>
      </c>
      <c r="I41" s="219" t="str">
        <f>'Previous years'!E39</f>
        <v/>
      </c>
      <c r="J41" s="494"/>
      <c r="K41" s="345"/>
      <c r="L41" s="215" t="s">
        <v>1939</v>
      </c>
      <c r="M41" s="215"/>
      <c r="N41" s="230"/>
      <c r="AI41" s="295"/>
      <c r="AJ41" s="295"/>
    </row>
    <row r="42" spans="2:36" s="3" customFormat="1" ht="20.100000000000001" customHeight="1">
      <c r="B42" s="124" t="str">
        <f t="shared" si="3"/>
        <v>Number of days water restrictions applied [WSS11]</v>
      </c>
      <c r="C42" s="28" t="s">
        <v>1219</v>
      </c>
      <c r="D42" s="565" t="s">
        <v>125</v>
      </c>
      <c r="E42" s="565" t="s">
        <v>1221</v>
      </c>
      <c r="F42" s="566" t="s">
        <v>1220</v>
      </c>
      <c r="G42" s="565" t="s">
        <v>444</v>
      </c>
      <c r="H42" s="149" t="s">
        <v>1150</v>
      </c>
      <c r="I42" s="149"/>
      <c r="J42" s="475"/>
      <c r="K42" s="344"/>
      <c r="L42" s="9" t="s">
        <v>1938</v>
      </c>
      <c r="M42" s="9" t="s">
        <v>1948</v>
      </c>
      <c r="N42" s="228"/>
      <c r="AI42" s="252"/>
      <c r="AJ42" s="252"/>
    </row>
    <row r="43" spans="2:36" s="3" customFormat="1" ht="20.100000000000001" customHeight="1" thickBot="1">
      <c r="B43" s="124" t="str">
        <f t="shared" si="3"/>
        <v>Number of connections affected by restrictions [WST9]</v>
      </c>
      <c r="C43" s="218"/>
      <c r="D43" s="571" t="s">
        <v>1337</v>
      </c>
      <c r="E43" s="571" t="s">
        <v>1223</v>
      </c>
      <c r="F43" s="572" t="s">
        <v>1431</v>
      </c>
      <c r="G43" s="571" t="s">
        <v>10</v>
      </c>
      <c r="H43" s="219" t="s">
        <v>1150</v>
      </c>
      <c r="I43" s="219" t="str">
        <f>'Previous years'!E41</f>
        <v/>
      </c>
      <c r="J43" s="543"/>
      <c r="K43" s="351"/>
      <c r="L43" s="472" t="s">
        <v>1938</v>
      </c>
      <c r="M43" s="217" t="s">
        <v>1948</v>
      </c>
      <c r="N43" s="233"/>
      <c r="O43" s="499"/>
      <c r="P43" s="498"/>
      <c r="Q43" s="498"/>
      <c r="R43" s="498"/>
      <c r="S43" s="498"/>
      <c r="T43" s="498"/>
      <c r="U43" s="498"/>
      <c r="V43" s="498"/>
      <c r="W43" s="498"/>
      <c r="X43" s="498"/>
      <c r="Y43" s="498"/>
      <c r="Z43" s="498"/>
      <c r="AA43" s="498"/>
      <c r="AB43" s="498"/>
      <c r="AC43" s="498"/>
      <c r="AD43" s="498"/>
      <c r="AE43" s="498"/>
      <c r="AF43" s="498"/>
      <c r="AG43" s="498"/>
      <c r="AH43" s="498"/>
      <c r="AI43" s="496"/>
      <c r="AJ43" s="252"/>
    </row>
    <row r="44" spans="2:36" s="3" customFormat="1" ht="20.100000000000001" customHeight="1">
      <c r="B44" s="124" t="str">
        <f t="shared" si="3"/>
        <v>Has the FENZ Code of Practice (SNZ PAS 4509:2008) been adopted [WST10]</v>
      </c>
      <c r="C44" s="28" t="s">
        <v>555</v>
      </c>
      <c r="D44" s="573" t="s">
        <v>1338</v>
      </c>
      <c r="E44" s="574" t="s">
        <v>1226</v>
      </c>
      <c r="F44" s="575" t="s">
        <v>1353</v>
      </c>
      <c r="G44" s="573" t="s">
        <v>66</v>
      </c>
      <c r="H44" s="220" t="s">
        <v>1150</v>
      </c>
      <c r="I44" s="544" t="str">
        <f>'Previous years'!E42</f>
        <v/>
      </c>
      <c r="J44" s="473"/>
      <c r="K44" s="492"/>
      <c r="L44" s="493" t="s">
        <v>1938</v>
      </c>
      <c r="M44" s="227" t="s">
        <v>1948</v>
      </c>
      <c r="N44" s="237"/>
      <c r="O44" s="497"/>
      <c r="P44" s="497"/>
      <c r="Q44" s="497"/>
      <c r="R44" s="497"/>
      <c r="S44" s="497"/>
      <c r="T44" s="497"/>
      <c r="U44" s="497"/>
      <c r="V44" s="497"/>
      <c r="W44" s="497"/>
      <c r="X44" s="497"/>
      <c r="Y44" s="497"/>
      <c r="Z44" s="497"/>
      <c r="AA44" s="497"/>
      <c r="AB44" s="497"/>
      <c r="AC44" s="497"/>
      <c r="AD44" s="497"/>
      <c r="AE44" s="497"/>
      <c r="AF44" s="497"/>
      <c r="AG44" s="497"/>
      <c r="AH44" s="497"/>
      <c r="AI44" s="356"/>
      <c r="AJ44" s="250"/>
    </row>
    <row r="45" spans="2:36" s="3" customFormat="1" ht="20.100000000000001" customHeight="1" thickBot="1">
      <c r="B45" s="124" t="str">
        <f t="shared" si="3"/>
        <v>Fire hydrants tested in the previous five years [WSS12a]</v>
      </c>
      <c r="C45" s="218"/>
      <c r="D45" s="213" t="s">
        <v>127</v>
      </c>
      <c r="E45" s="213" t="s">
        <v>1228</v>
      </c>
      <c r="F45" s="214" t="s">
        <v>517</v>
      </c>
      <c r="G45" s="213" t="s">
        <v>10</v>
      </c>
      <c r="H45" s="213" t="s">
        <v>1150</v>
      </c>
      <c r="I45" s="509">
        <f>'Previous years'!E43</f>
        <v>0</v>
      </c>
      <c r="J45" s="480"/>
      <c r="K45" s="347"/>
      <c r="L45" s="215" t="s">
        <v>1938</v>
      </c>
      <c r="M45" s="215" t="s">
        <v>1948</v>
      </c>
      <c r="N45" s="230"/>
      <c r="O45" s="46" t="s">
        <v>1355</v>
      </c>
      <c r="P45" s="46" t="s">
        <v>1356</v>
      </c>
      <c r="Q45" s="46" t="s">
        <v>1357</v>
      </c>
      <c r="R45" s="46" t="s">
        <v>1358</v>
      </c>
      <c r="S45" s="46" t="s">
        <v>1359</v>
      </c>
      <c r="T45" s="46" t="s">
        <v>1360</v>
      </c>
      <c r="U45" s="46" t="s">
        <v>1361</v>
      </c>
      <c r="V45" s="46" t="s">
        <v>1362</v>
      </c>
      <c r="W45" s="46" t="s">
        <v>1363</v>
      </c>
      <c r="X45" s="46" t="s">
        <v>1364</v>
      </c>
      <c r="Y45" s="46" t="s">
        <v>1365</v>
      </c>
      <c r="Z45" s="46" t="s">
        <v>1366</v>
      </c>
      <c r="AA45" s="46" t="s">
        <v>1367</v>
      </c>
      <c r="AB45" s="46" t="s">
        <v>1368</v>
      </c>
      <c r="AC45" s="46" t="s">
        <v>1369</v>
      </c>
      <c r="AD45" s="46" t="s">
        <v>1370</v>
      </c>
      <c r="AE45" s="46" t="s">
        <v>1371</v>
      </c>
      <c r="AF45" s="46" t="s">
        <v>1372</v>
      </c>
      <c r="AG45" s="46" t="s">
        <v>1437</v>
      </c>
      <c r="AH45" s="46" t="s">
        <v>1438</v>
      </c>
      <c r="AI45" s="295"/>
      <c r="AJ45" s="295"/>
    </row>
    <row r="46" spans="2:36" s="3" customFormat="1" ht="20.100000000000001" customHeight="1">
      <c r="B46" s="124" t="str">
        <f t="shared" si="3"/>
        <v>Estimated total drinking water network water loss [WSE1a]</v>
      </c>
      <c r="C46" s="28" t="s">
        <v>554</v>
      </c>
      <c r="D46" s="150" t="s">
        <v>71</v>
      </c>
      <c r="E46" s="150" t="s">
        <v>1231</v>
      </c>
      <c r="F46" s="61" t="s">
        <v>1432</v>
      </c>
      <c r="G46" s="150" t="s">
        <v>478</v>
      </c>
      <c r="H46" s="150" t="s">
        <v>1162</v>
      </c>
      <c r="I46" s="150">
        <f>'Previous years'!E44</f>
        <v>3752138.39</v>
      </c>
      <c r="J46" s="553" t="str">
        <f>IF(SUM(O46:AH46)=0,"",SUM(O46:AH46))</f>
        <v/>
      </c>
      <c r="K46" s="344"/>
      <c r="L46" s="9" t="s">
        <v>1939</v>
      </c>
      <c r="M46" s="9" t="s">
        <v>1966</v>
      </c>
      <c r="N46" s="228"/>
      <c r="O46" s="11"/>
      <c r="P46" s="12"/>
      <c r="Q46" s="12"/>
      <c r="R46" s="12"/>
      <c r="S46" s="12"/>
      <c r="T46" s="12"/>
      <c r="U46" s="12"/>
      <c r="V46" s="12"/>
      <c r="W46" s="12"/>
      <c r="X46" s="12"/>
      <c r="Y46" s="12"/>
      <c r="Z46" s="12"/>
      <c r="AA46" s="12"/>
      <c r="AB46" s="12"/>
      <c r="AC46" s="12"/>
      <c r="AD46" s="12"/>
      <c r="AE46" s="12"/>
      <c r="AF46" s="12"/>
      <c r="AG46" s="11"/>
      <c r="AH46" s="11"/>
      <c r="AI46" s="252"/>
      <c r="AJ46" s="252"/>
    </row>
    <row r="47" spans="2:36" s="3" customFormat="1" ht="20.100000000000001" customHeight="1">
      <c r="B47" s="124" t="str">
        <f t="shared" ref="B47" si="4">F47&amp;" ["&amp;D47&amp;"]"</f>
        <v>Current annual real loss [WSE1d]</v>
      </c>
      <c r="C47" s="29"/>
      <c r="D47" s="147" t="s">
        <v>77</v>
      </c>
      <c r="E47" s="147" t="s">
        <v>1233</v>
      </c>
      <c r="F47" s="45" t="s">
        <v>1433</v>
      </c>
      <c r="G47" s="147" t="s">
        <v>944</v>
      </c>
      <c r="H47" s="147" t="s">
        <v>1162</v>
      </c>
      <c r="I47" s="147">
        <f>'Previous years'!E45</f>
        <v>553</v>
      </c>
      <c r="J47" s="552" t="str">
        <f>IFERROR(AVERAGE(O47:AH47),"")</f>
        <v/>
      </c>
      <c r="K47" s="344"/>
      <c r="L47" s="11" t="s">
        <v>1939</v>
      </c>
      <c r="M47" s="11" t="s">
        <v>1966</v>
      </c>
      <c r="N47" s="229"/>
      <c r="O47" s="11"/>
      <c r="P47" s="12"/>
      <c r="Q47" s="12"/>
      <c r="R47" s="12"/>
      <c r="S47" s="12"/>
      <c r="T47" s="12"/>
      <c r="U47" s="12"/>
      <c r="V47" s="12"/>
      <c r="W47" s="12"/>
      <c r="X47" s="12"/>
      <c r="Y47" s="12"/>
      <c r="Z47" s="12"/>
      <c r="AA47" s="12"/>
      <c r="AB47" s="12"/>
      <c r="AC47" s="12"/>
      <c r="AD47" s="12"/>
      <c r="AE47" s="12"/>
      <c r="AF47" s="12"/>
      <c r="AG47" s="11"/>
      <c r="AH47" s="11"/>
      <c r="AI47" s="250"/>
      <c r="AJ47" s="250"/>
    </row>
    <row r="48" spans="2:36" s="3" customFormat="1" ht="20.100000000000001" customHeight="1">
      <c r="B48" s="124" t="str">
        <f t="shared" si="3"/>
        <v>Current annual real loss [WSE1e]</v>
      </c>
      <c r="C48" s="29"/>
      <c r="D48" s="147" t="s">
        <v>78</v>
      </c>
      <c r="E48" s="147" t="s">
        <v>1233</v>
      </c>
      <c r="F48" s="45" t="s">
        <v>1433</v>
      </c>
      <c r="G48" s="147" t="s">
        <v>1436</v>
      </c>
      <c r="H48" s="147" t="s">
        <v>1162</v>
      </c>
      <c r="I48" s="147">
        <f>'Previous years'!E46</f>
        <v>16.861525247562504</v>
      </c>
      <c r="J48" s="475" t="str">
        <f>IFERROR(AVERAGE(O48:AH48),"")</f>
        <v/>
      </c>
      <c r="K48" s="344"/>
      <c r="L48" s="11" t="s">
        <v>1939</v>
      </c>
      <c r="M48" s="11" t="s">
        <v>1966</v>
      </c>
      <c r="N48" s="229"/>
      <c r="O48" s="11"/>
      <c r="P48" s="12"/>
      <c r="Q48" s="12"/>
      <c r="R48" s="12"/>
      <c r="S48" s="12"/>
      <c r="T48" s="12"/>
      <c r="U48" s="12"/>
      <c r="V48" s="12"/>
      <c r="W48" s="12"/>
      <c r="X48" s="12"/>
      <c r="Y48" s="12"/>
      <c r="Z48" s="12"/>
      <c r="AA48" s="12"/>
      <c r="AB48" s="12"/>
      <c r="AC48" s="12"/>
      <c r="AD48" s="12"/>
      <c r="AE48" s="12"/>
      <c r="AF48" s="12"/>
      <c r="AG48" s="11"/>
      <c r="AH48" s="11"/>
      <c r="AI48" s="250"/>
      <c r="AJ48" s="250"/>
    </row>
    <row r="49" spans="2:36" s="3" customFormat="1" ht="20.100000000000001" customHeight="1" thickBot="1">
      <c r="B49" s="124" t="str">
        <f t="shared" si="3"/>
        <v>ILI ( infrastructure leakage index (=CARL/UARL)) [WSE1h]</v>
      </c>
      <c r="C49" s="62"/>
      <c r="D49" s="151" t="s">
        <v>82</v>
      </c>
      <c r="E49" s="151" t="s">
        <v>1235</v>
      </c>
      <c r="F49" s="60" t="s">
        <v>1545</v>
      </c>
      <c r="G49" s="151" t="s">
        <v>84</v>
      </c>
      <c r="H49" s="151" t="s">
        <v>1162</v>
      </c>
      <c r="I49" s="151">
        <f>'Previous years'!E47</f>
        <v>11.512343045326439</v>
      </c>
      <c r="J49" s="494" t="str">
        <f>IFERROR(AVERAGE(O49:AH49),"")</f>
        <v/>
      </c>
      <c r="K49" s="347"/>
      <c r="L49" s="217" t="s">
        <v>1939</v>
      </c>
      <c r="M49" s="217" t="s">
        <v>1966</v>
      </c>
      <c r="N49" s="233"/>
      <c r="O49" s="217"/>
      <c r="P49" s="217"/>
      <c r="Q49" s="217"/>
      <c r="R49" s="217"/>
      <c r="S49" s="217"/>
      <c r="T49" s="217"/>
      <c r="U49" s="217"/>
      <c r="V49" s="217"/>
      <c r="W49" s="217"/>
      <c r="X49" s="217"/>
      <c r="Y49" s="217"/>
      <c r="Z49" s="217"/>
      <c r="AA49" s="217"/>
      <c r="AB49" s="217"/>
      <c r="AC49" s="217"/>
      <c r="AD49" s="217"/>
      <c r="AE49" s="217"/>
      <c r="AF49" s="217"/>
      <c r="AG49" s="217"/>
      <c r="AH49" s="217"/>
      <c r="AI49" s="235"/>
      <c r="AJ49" s="235"/>
    </row>
    <row r="50" spans="2:36" s="3" customFormat="1" ht="20.100000000000001" customHeight="1">
      <c r="B50" s="124" t="str">
        <f t="shared" si="1"/>
        <v>Median residential water consumption (L/day/connection) [WSB8]</v>
      </c>
      <c r="C50" s="28" t="s">
        <v>1236</v>
      </c>
      <c r="D50" s="221" t="s">
        <v>23</v>
      </c>
      <c r="E50" s="221" t="s">
        <v>1238</v>
      </c>
      <c r="F50" s="241" t="s">
        <v>1237</v>
      </c>
      <c r="G50" s="150" t="s">
        <v>183</v>
      </c>
      <c r="H50" s="221" t="s">
        <v>1162</v>
      </c>
      <c r="I50" s="221">
        <f>'Previous years'!E48</f>
        <v>384.3548300335317</v>
      </c>
      <c r="J50" s="545" t="str">
        <f>IFERROR((J19-J20-J21-J46)/(365*J14)*1000,"")</f>
        <v/>
      </c>
      <c r="K50" s="342" t="s">
        <v>212</v>
      </c>
      <c r="L50" s="9" t="s">
        <v>1939</v>
      </c>
      <c r="M50" s="9">
        <v>0</v>
      </c>
      <c r="N50" s="228"/>
      <c r="O50" s="251"/>
      <c r="P50" s="251"/>
      <c r="Q50" s="251"/>
      <c r="R50" s="251"/>
      <c r="S50" s="251"/>
      <c r="T50" s="251"/>
      <c r="U50" s="251"/>
      <c r="V50" s="251"/>
      <c r="W50" s="251"/>
      <c r="X50" s="251"/>
      <c r="Y50" s="251"/>
      <c r="Z50" s="251"/>
      <c r="AA50" s="251"/>
      <c r="AB50" s="251"/>
      <c r="AC50" s="251"/>
      <c r="AD50" s="251"/>
      <c r="AE50" s="251"/>
      <c r="AF50" s="251"/>
      <c r="AG50" s="251"/>
      <c r="AH50" s="251"/>
      <c r="AI50" s="252"/>
      <c r="AJ50" s="252"/>
    </row>
    <row r="51" spans="2:36" s="3" customFormat="1" ht="20.100000000000001" customHeight="1">
      <c r="B51" s="124" t="str">
        <f t="shared" si="1"/>
        <v>Is there a water conservation education programme in place [WST10]</v>
      </c>
      <c r="C51" s="203"/>
      <c r="D51" s="576" t="s">
        <v>1338</v>
      </c>
      <c r="E51" s="576" t="s">
        <v>1240</v>
      </c>
      <c r="F51" s="577" t="s">
        <v>1354</v>
      </c>
      <c r="G51" s="578" t="s">
        <v>66</v>
      </c>
      <c r="H51" s="204" t="s">
        <v>1150</v>
      </c>
      <c r="I51" s="204" t="str">
        <f>'Previous years'!E49</f>
        <v/>
      </c>
      <c r="J51" s="473" t="s">
        <v>559</v>
      </c>
      <c r="K51" s="342"/>
      <c r="L51" s="9" t="s">
        <v>1939</v>
      </c>
      <c r="M51" s="9" t="s">
        <v>1946</v>
      </c>
      <c r="N51" s="228"/>
      <c r="AI51" s="252"/>
      <c r="AJ51" s="252"/>
    </row>
    <row r="52" spans="2:36" s="3" customFormat="1" ht="20.100000000000001" customHeight="1">
      <c r="B52" s="124" t="str">
        <f t="shared" ref="B52:B60" si="5">F52&amp;" ["&amp;D52&amp;"]"</f>
        <v>Residential connections with water meters [WSA9a]</v>
      </c>
      <c r="C52" s="29"/>
      <c r="D52" s="145" t="s">
        <v>58</v>
      </c>
      <c r="E52" s="145" t="s">
        <v>1242</v>
      </c>
      <c r="F52" s="6" t="s">
        <v>1434</v>
      </c>
      <c r="G52" s="145" t="s">
        <v>444</v>
      </c>
      <c r="H52" s="145" t="s">
        <v>1150</v>
      </c>
      <c r="I52" s="145">
        <f>'Previous years'!E50</f>
        <v>960</v>
      </c>
      <c r="J52" s="473"/>
      <c r="K52" s="343"/>
      <c r="L52" s="9" t="s">
        <v>1939</v>
      </c>
      <c r="M52" s="9" t="s">
        <v>1945</v>
      </c>
      <c r="N52" s="228"/>
      <c r="AG52" s="3" t="str">
        <f t="shared" ref="AG52" si="6">IF(ISBLANK(AG49),"",(AG49+(AG51*200)))</f>
        <v/>
      </c>
      <c r="AI52" s="252"/>
      <c r="AJ52" s="252"/>
    </row>
    <row r="53" spans="2:36" s="3" customFormat="1" ht="20.100000000000001" customHeight="1" thickBot="1">
      <c r="B53" s="124" t="str">
        <f t="shared" si="5"/>
        <v>Non-residential connections with water meters [WSA9b]</v>
      </c>
      <c r="C53" s="62"/>
      <c r="D53" s="151" t="s">
        <v>60</v>
      </c>
      <c r="E53" s="151" t="s">
        <v>1244</v>
      </c>
      <c r="F53" s="60" t="s">
        <v>1435</v>
      </c>
      <c r="G53" s="151" t="s">
        <v>444</v>
      </c>
      <c r="H53" s="151" t="s">
        <v>1150</v>
      </c>
      <c r="I53" s="151">
        <f>'Previous years'!E51</f>
        <v>71</v>
      </c>
      <c r="J53" s="474"/>
      <c r="K53" s="347"/>
      <c r="L53" s="217" t="s">
        <v>1939</v>
      </c>
      <c r="M53" s="217" t="s">
        <v>1945</v>
      </c>
      <c r="N53" s="233"/>
      <c r="AI53" s="235"/>
      <c r="AJ53" s="235"/>
    </row>
    <row r="54" spans="2:36" s="3" customFormat="1" ht="20.100000000000001" customHeight="1">
      <c r="B54" s="124" t="str">
        <f t="shared" si="5"/>
        <v>Water supply grid electricity use [WSE3]</v>
      </c>
      <c r="C54" s="28" t="s">
        <v>547</v>
      </c>
      <c r="D54" s="579" t="s">
        <v>88</v>
      </c>
      <c r="E54" s="579" t="s">
        <v>1247</v>
      </c>
      <c r="F54" s="580" t="s">
        <v>1462</v>
      </c>
      <c r="G54" s="565" t="s">
        <v>1351</v>
      </c>
      <c r="H54" s="155" t="s">
        <v>1150</v>
      </c>
      <c r="I54" s="155"/>
      <c r="J54" s="481"/>
      <c r="K54" s="344"/>
      <c r="L54" s="9" t="s">
        <v>1942</v>
      </c>
      <c r="M54" s="9" t="s">
        <v>1949</v>
      </c>
      <c r="N54" s="228"/>
      <c r="AI54" s="252"/>
      <c r="AJ54" s="252"/>
    </row>
    <row r="55" spans="2:36" s="3" customFormat="1" ht="20.100000000000001" customHeight="1">
      <c r="B55" s="124" t="str">
        <f t="shared" si="5"/>
        <v>Water supply energy use from other fuels [WSE3a]</v>
      </c>
      <c r="C55" s="29"/>
      <c r="D55" s="569" t="s">
        <v>90</v>
      </c>
      <c r="E55" s="569" t="s">
        <v>1249</v>
      </c>
      <c r="F55" s="171" t="s">
        <v>1463</v>
      </c>
      <c r="G55" s="569" t="s">
        <v>1352</v>
      </c>
      <c r="H55" s="147" t="s">
        <v>1150</v>
      </c>
      <c r="I55" s="147"/>
      <c r="J55" s="482"/>
      <c r="K55" s="350"/>
      <c r="L55" s="9" t="s">
        <v>1942</v>
      </c>
      <c r="M55" s="249" t="s">
        <v>1949</v>
      </c>
      <c r="N55" s="250"/>
      <c r="AI55" s="250"/>
      <c r="AJ55" s="250"/>
    </row>
    <row r="56" spans="2:36" s="3" customFormat="1" ht="20.100000000000001" customHeight="1" thickBot="1">
      <c r="B56" s="124" t="str">
        <f t="shared" si="5"/>
        <v>Water supply energy generation [WSE4]</v>
      </c>
      <c r="C56" s="62"/>
      <c r="D56" s="184" t="s">
        <v>1078</v>
      </c>
      <c r="E56" s="184" t="s">
        <v>1251</v>
      </c>
      <c r="F56" s="169" t="s">
        <v>1470</v>
      </c>
      <c r="G56" s="184" t="s">
        <v>1352</v>
      </c>
      <c r="H56" s="184" t="s">
        <v>1150</v>
      </c>
      <c r="I56" s="184">
        <f>'Previous years'!E54</f>
        <v>0</v>
      </c>
      <c r="J56" s="483"/>
      <c r="K56" s="351"/>
      <c r="L56" s="9" t="s">
        <v>1942</v>
      </c>
      <c r="M56" s="179" t="s">
        <v>1949</v>
      </c>
      <c r="N56" s="235"/>
      <c r="AI56" s="235"/>
      <c r="AJ56" s="235"/>
    </row>
    <row r="57" spans="2:36" s="3" customFormat="1" ht="20.100000000000001" customHeight="1" thickBot="1">
      <c r="B57" s="124" t="str">
        <f t="shared" si="5"/>
        <v>Has an assessment been undertaken to identify critical water supply assets [WST11]</v>
      </c>
      <c r="C57" s="65" t="s">
        <v>1252</v>
      </c>
      <c r="D57" s="581" t="s">
        <v>1339</v>
      </c>
      <c r="E57" s="581" t="s">
        <v>1254</v>
      </c>
      <c r="F57" s="582" t="s">
        <v>1469</v>
      </c>
      <c r="G57" s="583" t="s">
        <v>66</v>
      </c>
      <c r="H57" s="502" t="s">
        <v>1150</v>
      </c>
      <c r="I57" s="502" t="str">
        <f>'Previous years'!E55</f>
        <v/>
      </c>
      <c r="J57" s="503" t="s">
        <v>856</v>
      </c>
      <c r="K57" s="504"/>
      <c r="L57" s="505"/>
      <c r="M57" s="506"/>
      <c r="N57" s="236"/>
      <c r="AI57" s="252"/>
      <c r="AJ57" s="252"/>
    </row>
    <row r="58" spans="2:36" s="3" customFormat="1" ht="20.100000000000001" customHeight="1">
      <c r="B58" s="124" t="str">
        <f t="shared" si="5"/>
        <v>Has a climate change risk assessment been undertaken for water supply networks [WSCC1]</v>
      </c>
      <c r="C58" s="28" t="s">
        <v>1290</v>
      </c>
      <c r="D58" s="579" t="s">
        <v>1340</v>
      </c>
      <c r="E58" s="579"/>
      <c r="F58" s="580" t="s">
        <v>1596</v>
      </c>
      <c r="G58" s="565" t="s">
        <v>66</v>
      </c>
      <c r="H58" s="155" t="s">
        <v>1150</v>
      </c>
      <c r="I58" s="155" t="str">
        <f>'Previous years'!E56</f>
        <v/>
      </c>
      <c r="J58" s="484" t="s">
        <v>559</v>
      </c>
      <c r="K58" s="352"/>
      <c r="L58" s="9" t="s">
        <v>1953</v>
      </c>
      <c r="M58" s="9"/>
      <c r="N58" s="228"/>
      <c r="AI58" s="252"/>
      <c r="AJ58" s="252"/>
    </row>
    <row r="59" spans="2:36" s="3" customFormat="1" ht="20.100000000000001" customHeight="1">
      <c r="B59" s="124" t="str">
        <f t="shared" si="5"/>
        <v>Is there a climate change adapataion plan in place for water supply networks [WSCC2]</v>
      </c>
      <c r="C59" s="28"/>
      <c r="D59" s="579" t="s">
        <v>1341</v>
      </c>
      <c r="E59" s="579"/>
      <c r="F59" s="580" t="s">
        <v>1473</v>
      </c>
      <c r="G59" s="565" t="s">
        <v>66</v>
      </c>
      <c r="H59" s="155" t="s">
        <v>1150</v>
      </c>
      <c r="I59" s="155" t="str">
        <f>'Previous years'!E57</f>
        <v/>
      </c>
      <c r="J59" s="484" t="s">
        <v>559</v>
      </c>
      <c r="K59" s="352"/>
      <c r="L59" s="9" t="s">
        <v>1953</v>
      </c>
      <c r="M59" s="9"/>
      <c r="N59" s="228"/>
      <c r="AI59" s="252"/>
      <c r="AJ59" s="252"/>
    </row>
    <row r="60" spans="2:36" s="3" customFormat="1" ht="20.100000000000001" customHeight="1" thickBot="1">
      <c r="B60" s="124" t="str">
        <f t="shared" si="5"/>
        <v>Has an emissions baseline been set for forecast water supply investments [WSCC3]</v>
      </c>
      <c r="C60" s="212"/>
      <c r="D60" s="584" t="s">
        <v>1342</v>
      </c>
      <c r="E60" s="584"/>
      <c r="F60" s="585" t="s">
        <v>1472</v>
      </c>
      <c r="G60" s="567" t="s">
        <v>66</v>
      </c>
      <c r="H60" s="222" t="s">
        <v>1150</v>
      </c>
      <c r="I60" s="222" t="str">
        <f>'Previous years'!E58</f>
        <v/>
      </c>
      <c r="J60" s="485" t="s">
        <v>559</v>
      </c>
      <c r="K60" s="345"/>
      <c r="L60" s="215" t="s">
        <v>1953</v>
      </c>
      <c r="M60" s="215"/>
      <c r="N60" s="230"/>
      <c r="AI60" s="295"/>
      <c r="AJ60" s="295"/>
    </row>
    <row r="61" spans="2:36" s="3" customFormat="1" ht="20.100000000000001" customHeight="1">
      <c r="B61" s="124" t="str">
        <f t="shared" si="1"/>
        <v>Drinking water clarity complaints [WSS5a]</v>
      </c>
      <c r="C61" s="28" t="s">
        <v>541</v>
      </c>
      <c r="D61" s="145" t="s">
        <v>101</v>
      </c>
      <c r="E61" s="145"/>
      <c r="F61" s="6" t="s">
        <v>474</v>
      </c>
      <c r="G61" s="145" t="s">
        <v>444</v>
      </c>
      <c r="H61" s="145" t="s">
        <v>1150</v>
      </c>
      <c r="I61" s="145">
        <f>'Previous years'!E59</f>
        <v>41</v>
      </c>
      <c r="J61" s="473"/>
      <c r="K61" s="343"/>
      <c r="L61" s="11" t="s">
        <v>1938</v>
      </c>
      <c r="M61" s="11" t="s">
        <v>1948</v>
      </c>
      <c r="N61" s="229"/>
      <c r="AI61" s="250"/>
      <c r="AJ61" s="250"/>
    </row>
    <row r="62" spans="2:36" s="3" customFormat="1" ht="20.100000000000001" customHeight="1">
      <c r="B62" s="124" t="str">
        <f t="shared" si="1"/>
        <v>Drinking water taste complaints [WSS5b]</v>
      </c>
      <c r="C62" s="29"/>
      <c r="D62" s="145" t="s">
        <v>102</v>
      </c>
      <c r="E62" s="145"/>
      <c r="F62" s="6" t="s">
        <v>475</v>
      </c>
      <c r="G62" s="145" t="s">
        <v>444</v>
      </c>
      <c r="H62" s="145" t="s">
        <v>1150</v>
      </c>
      <c r="I62" s="145">
        <f>'Previous years'!E60</f>
        <v>5</v>
      </c>
      <c r="J62" s="473"/>
      <c r="K62" s="343"/>
      <c r="L62" s="11" t="s">
        <v>1938</v>
      </c>
      <c r="M62" s="11" t="s">
        <v>1948</v>
      </c>
      <c r="N62" s="229"/>
      <c r="AI62" s="250"/>
      <c r="AJ62" s="250"/>
    </row>
    <row r="63" spans="2:36" s="3" customFormat="1" ht="20.100000000000001" customHeight="1">
      <c r="B63" s="124" t="str">
        <f t="shared" si="1"/>
        <v>Drinking water odour complaints [WSS5c]</v>
      </c>
      <c r="C63" s="29"/>
      <c r="D63" s="145" t="s">
        <v>103</v>
      </c>
      <c r="E63" s="145"/>
      <c r="F63" s="6" t="s">
        <v>476</v>
      </c>
      <c r="G63" s="145" t="s">
        <v>444</v>
      </c>
      <c r="H63" s="145" t="s">
        <v>1150</v>
      </c>
      <c r="I63" s="145">
        <f>'Previous years'!E61</f>
        <v>2</v>
      </c>
      <c r="J63" s="473"/>
      <c r="K63" s="343"/>
      <c r="L63" s="11" t="s">
        <v>1938</v>
      </c>
      <c r="M63" s="11" t="s">
        <v>1948</v>
      </c>
      <c r="N63" s="229"/>
      <c r="AI63" s="250"/>
      <c r="AJ63" s="250"/>
    </row>
    <row r="64" spans="2:36" s="3" customFormat="1" ht="20.100000000000001" customHeight="1">
      <c r="B64" s="124" t="str">
        <f t="shared" si="1"/>
        <v>Drinking water pressure or flow complaints [WSS5d]</v>
      </c>
      <c r="C64" s="29"/>
      <c r="D64" s="145" t="s">
        <v>104</v>
      </c>
      <c r="E64" s="145"/>
      <c r="F64" s="6" t="s">
        <v>477</v>
      </c>
      <c r="G64" s="145" t="s">
        <v>444</v>
      </c>
      <c r="H64" s="145" t="s">
        <v>1150</v>
      </c>
      <c r="I64" s="145">
        <f>'Previous years'!E62</f>
        <v>75</v>
      </c>
      <c r="J64" s="473"/>
      <c r="K64" s="343"/>
      <c r="L64" s="11" t="s">
        <v>1938</v>
      </c>
      <c r="M64" s="11" t="s">
        <v>1948</v>
      </c>
      <c r="N64" s="229"/>
      <c r="AI64" s="250"/>
      <c r="AJ64" s="250"/>
    </row>
    <row r="65" spans="2:36" s="3" customFormat="1" ht="20.100000000000001" customHeight="1">
      <c r="B65" s="124" t="str">
        <f t="shared" si="1"/>
        <v>Continuity of water supply complaints [WSS5e]</v>
      </c>
      <c r="C65" s="29"/>
      <c r="D65" s="145" t="s">
        <v>105</v>
      </c>
      <c r="E65" s="145"/>
      <c r="F65" s="6" t="s">
        <v>520</v>
      </c>
      <c r="G65" s="145" t="s">
        <v>444</v>
      </c>
      <c r="H65" s="145" t="s">
        <v>1150</v>
      </c>
      <c r="I65" s="145">
        <f>'Previous years'!E63</f>
        <v>72</v>
      </c>
      <c r="J65" s="473"/>
      <c r="K65" s="344"/>
      <c r="L65" s="9" t="s">
        <v>1938</v>
      </c>
      <c r="M65" s="11" t="s">
        <v>1948</v>
      </c>
      <c r="N65" s="228"/>
      <c r="AI65" s="252"/>
      <c r="AJ65" s="252"/>
    </row>
    <row r="66" spans="2:36" s="3" customFormat="1" ht="20.100000000000001" customHeight="1">
      <c r="B66" s="124" t="str">
        <f t="shared" si="1"/>
        <v>The authorities response to any of these issues [WSS5f]</v>
      </c>
      <c r="C66" s="29"/>
      <c r="D66" s="145" t="s">
        <v>1088</v>
      </c>
      <c r="E66" s="145"/>
      <c r="F66" s="6" t="s">
        <v>1089</v>
      </c>
      <c r="G66" s="145" t="s">
        <v>444</v>
      </c>
      <c r="H66" s="145" t="s">
        <v>1150</v>
      </c>
      <c r="I66" s="145">
        <f>'Previous years'!E64</f>
        <v>1</v>
      </c>
      <c r="J66" s="473"/>
      <c r="K66" s="344"/>
      <c r="L66" s="9" t="s">
        <v>1938</v>
      </c>
      <c r="M66" s="11" t="s">
        <v>1948</v>
      </c>
      <c r="N66" s="228"/>
      <c r="AI66" s="252"/>
      <c r="AJ66" s="252"/>
    </row>
    <row r="67" spans="2:36" s="3" customFormat="1" ht="20.100000000000001" customHeight="1">
      <c r="B67" s="124" t="str">
        <f>F67&amp;" ["&amp;D67&amp;"]"</f>
        <v>Water supply complaints [WSS5]</v>
      </c>
      <c r="C67" s="28"/>
      <c r="D67" s="149" t="s">
        <v>100</v>
      </c>
      <c r="E67" s="149"/>
      <c r="F67" s="7" t="s">
        <v>1396</v>
      </c>
      <c r="G67" s="149" t="s">
        <v>444</v>
      </c>
      <c r="H67" s="149" t="s">
        <v>1150</v>
      </c>
      <c r="I67" s="149">
        <f>'Previous years'!E65</f>
        <v>196</v>
      </c>
      <c r="J67" s="486" t="str">
        <f>IF(NOT(COUNTA(J61:J66)),"",SUM(J61:J66))</f>
        <v/>
      </c>
      <c r="K67" s="342" t="s">
        <v>212</v>
      </c>
      <c r="L67" s="30"/>
      <c r="M67" s="30"/>
      <c r="N67" s="234"/>
      <c r="AI67" s="252"/>
      <c r="AJ67" s="252"/>
    </row>
    <row r="68" spans="2:36" s="3" customFormat="1" ht="20.100000000000001" customHeight="1" thickBot="1">
      <c r="B68" s="124" t="str">
        <f t="shared" si="1"/>
        <v>Water supply complaints frequency [WSS6]</v>
      </c>
      <c r="C68" s="62"/>
      <c r="D68" s="151" t="s">
        <v>106</v>
      </c>
      <c r="E68" s="151"/>
      <c r="F68" s="60" t="s">
        <v>1397</v>
      </c>
      <c r="G68" s="151" t="s">
        <v>1601</v>
      </c>
      <c r="H68" s="151" t="s">
        <v>1150</v>
      </c>
      <c r="I68" s="151">
        <f>'Previous years'!E66</f>
        <v>7.0420005030000361</v>
      </c>
      <c r="J68" s="477" t="str">
        <f>IFERROR((J67*1000)/J18,"")</f>
        <v/>
      </c>
      <c r="K68" s="348" t="s">
        <v>212</v>
      </c>
      <c r="L68" s="64"/>
      <c r="M68" s="64"/>
      <c r="N68" s="232"/>
      <c r="O68" s="46" t="s">
        <v>1355</v>
      </c>
      <c r="P68" s="46" t="s">
        <v>1356</v>
      </c>
      <c r="Q68" s="46" t="s">
        <v>1357</v>
      </c>
      <c r="R68" s="46" t="s">
        <v>1358</v>
      </c>
      <c r="S68" s="46" t="s">
        <v>1359</v>
      </c>
      <c r="T68" s="46" t="s">
        <v>1360</v>
      </c>
      <c r="U68" s="46" t="s">
        <v>1361</v>
      </c>
      <c r="V68" s="46" t="s">
        <v>1362</v>
      </c>
      <c r="W68" s="46" t="s">
        <v>1363</v>
      </c>
      <c r="X68" s="46" t="s">
        <v>1364</v>
      </c>
      <c r="Y68" s="46" t="s">
        <v>1365</v>
      </c>
      <c r="Z68" s="46" t="s">
        <v>1366</v>
      </c>
      <c r="AA68" s="46" t="s">
        <v>1367</v>
      </c>
      <c r="AB68" s="46" t="s">
        <v>1368</v>
      </c>
      <c r="AC68" s="46" t="s">
        <v>1369</v>
      </c>
      <c r="AD68" s="46" t="s">
        <v>1370</v>
      </c>
      <c r="AE68" s="46" t="s">
        <v>1371</v>
      </c>
      <c r="AF68" s="46" t="s">
        <v>1372</v>
      </c>
      <c r="AG68" s="46" t="s">
        <v>1437</v>
      </c>
      <c r="AH68" s="46" t="s">
        <v>1438</v>
      </c>
      <c r="AI68" s="235"/>
      <c r="AJ68" s="235"/>
    </row>
    <row r="69" spans="2:36" s="3" customFormat="1" ht="20.100000000000001" customHeight="1">
      <c r="B69" s="124" t="str">
        <f t="shared" si="1"/>
        <v>Fixed charge: non-residential water [WSS7a]</v>
      </c>
      <c r="C69" s="28" t="s">
        <v>540</v>
      </c>
      <c r="D69" s="147" t="s">
        <v>107</v>
      </c>
      <c r="E69" s="147"/>
      <c r="F69" s="45" t="s">
        <v>1398</v>
      </c>
      <c r="G69" s="147" t="s">
        <v>108</v>
      </c>
      <c r="H69" s="147" t="s">
        <v>1162</v>
      </c>
      <c r="I69" s="510">
        <f>'Previous years'!E67</f>
        <v>839.81596731674881</v>
      </c>
      <c r="J69" s="487" t="str">
        <f>IF(NOT(COUNTA(O69:AH69)),"",MEDIAN(O69:AH69))</f>
        <v/>
      </c>
      <c r="K69" s="352"/>
      <c r="L69" s="9" t="s">
        <v>1942</v>
      </c>
      <c r="M69" s="9" t="s">
        <v>1951</v>
      </c>
      <c r="N69" s="228"/>
      <c r="O69" s="11"/>
      <c r="P69" s="11"/>
      <c r="Q69" s="11"/>
      <c r="R69" s="11"/>
      <c r="S69" s="11"/>
      <c r="T69" s="11"/>
      <c r="U69" s="11"/>
      <c r="V69" s="11"/>
      <c r="W69" s="11"/>
      <c r="X69" s="11"/>
      <c r="Y69" s="11"/>
      <c r="Z69" s="11"/>
      <c r="AA69" s="11"/>
      <c r="AB69" s="11"/>
      <c r="AC69" s="11"/>
      <c r="AD69" s="11"/>
      <c r="AE69" s="11"/>
      <c r="AF69" s="11"/>
      <c r="AG69" s="11"/>
      <c r="AH69" s="11"/>
      <c r="AI69" s="250"/>
      <c r="AJ69" s="252"/>
    </row>
    <row r="70" spans="2:36" s="3" customFormat="1" ht="20.100000000000001" customHeight="1">
      <c r="B70" s="124" t="str">
        <f t="shared" si="1"/>
        <v>Fixed charge type: non-residential water [WSS7b]</v>
      </c>
      <c r="C70" s="29"/>
      <c r="D70" s="147" t="s">
        <v>109</v>
      </c>
      <c r="E70" s="147"/>
      <c r="F70" s="45" t="s">
        <v>1399</v>
      </c>
      <c r="G70" s="147" t="s">
        <v>472</v>
      </c>
      <c r="H70" s="147" t="s">
        <v>1162</v>
      </c>
      <c r="I70" s="147" t="str">
        <f>'Previous years'!E68</f>
        <v>Targeted Rate</v>
      </c>
      <c r="J70" s="473"/>
      <c r="K70" s="342"/>
      <c r="L70" s="11" t="s">
        <v>1942</v>
      </c>
      <c r="M70" s="11" t="s">
        <v>1951</v>
      </c>
      <c r="N70" s="229"/>
      <c r="O70" s="11"/>
      <c r="P70" s="11"/>
      <c r="Q70" s="11"/>
      <c r="R70" s="11"/>
      <c r="S70" s="11"/>
      <c r="T70" s="11"/>
      <c r="U70" s="11"/>
      <c r="V70" s="11"/>
      <c r="W70" s="11"/>
      <c r="X70" s="11"/>
      <c r="Y70" s="11"/>
      <c r="Z70" s="11"/>
      <c r="AA70" s="11"/>
      <c r="AB70" s="11"/>
      <c r="AC70" s="11"/>
      <c r="AD70" s="11"/>
      <c r="AE70" s="11"/>
      <c r="AF70" s="11"/>
      <c r="AG70" s="11"/>
      <c r="AH70" s="11"/>
      <c r="AI70" s="250"/>
      <c r="AJ70" s="250"/>
    </row>
    <row r="71" spans="2:36" s="3" customFormat="1" ht="20.100000000000001" customHeight="1">
      <c r="B71" s="124" t="str">
        <f t="shared" si="1"/>
        <v>Volumetric Charge: non-residential water [WSS7c]</v>
      </c>
      <c r="C71" s="29"/>
      <c r="D71" s="147" t="s">
        <v>522</v>
      </c>
      <c r="E71" s="147"/>
      <c r="F71" s="45" t="s">
        <v>1400</v>
      </c>
      <c r="G71" s="147" t="s">
        <v>479</v>
      </c>
      <c r="H71" s="147" t="s">
        <v>1162</v>
      </c>
      <c r="I71" s="510" t="str">
        <f>'Previous years'!E69</f>
        <v/>
      </c>
      <c r="J71" s="487" t="str">
        <f>IF(NOT(COUNTA(O71:AH71)),"",MEDIAN(O71:AH71))</f>
        <v/>
      </c>
      <c r="K71" s="342"/>
      <c r="L71" s="11" t="s">
        <v>1942</v>
      </c>
      <c r="M71" s="11" t="s">
        <v>1951</v>
      </c>
      <c r="N71" s="229"/>
      <c r="O71" s="11"/>
      <c r="P71" s="11"/>
      <c r="Q71" s="11"/>
      <c r="R71" s="11"/>
      <c r="S71" s="11"/>
      <c r="T71" s="11"/>
      <c r="U71" s="11"/>
      <c r="V71" s="11"/>
      <c r="W71" s="11"/>
      <c r="X71" s="11"/>
      <c r="Y71" s="11"/>
      <c r="Z71" s="11"/>
      <c r="AA71" s="11"/>
      <c r="AB71" s="11"/>
      <c r="AC71" s="11"/>
      <c r="AD71" s="11"/>
      <c r="AE71" s="11"/>
      <c r="AF71" s="11"/>
      <c r="AG71" s="11"/>
      <c r="AH71" s="11"/>
      <c r="AI71" s="250"/>
      <c r="AJ71" s="250"/>
    </row>
    <row r="72" spans="2:36" s="3" customFormat="1" ht="20.100000000000001" customHeight="1">
      <c r="B72" s="124" t="str">
        <f t="shared" ref="B72:B109" si="7">F72&amp;" ["&amp;D72&amp;"]"</f>
        <v>Fixed charge: residential water [WSS8a]</v>
      </c>
      <c r="C72" s="29"/>
      <c r="D72" s="145" t="s">
        <v>112</v>
      </c>
      <c r="E72" s="145"/>
      <c r="F72" s="6" t="s">
        <v>1401</v>
      </c>
      <c r="G72" s="145" t="s">
        <v>108</v>
      </c>
      <c r="H72" s="145" t="s">
        <v>1162</v>
      </c>
      <c r="I72" s="511">
        <f>'Previous years'!E70</f>
        <v>481.78551731985988</v>
      </c>
      <c r="J72" s="487" t="str">
        <f>IF(NOT(COUNTA(O72:AH72)),"",MEDIAN(O72:AH72))</f>
        <v/>
      </c>
      <c r="K72" s="342"/>
      <c r="L72" s="11" t="s">
        <v>1942</v>
      </c>
      <c r="M72" s="11" t="s">
        <v>1951</v>
      </c>
      <c r="N72" s="229"/>
      <c r="O72" s="11"/>
      <c r="P72" s="11"/>
      <c r="Q72" s="11"/>
      <c r="R72" s="11"/>
      <c r="S72" s="11"/>
      <c r="T72" s="11"/>
      <c r="U72" s="11"/>
      <c r="V72" s="11"/>
      <c r="W72" s="11"/>
      <c r="X72" s="11"/>
      <c r="Y72" s="11"/>
      <c r="Z72" s="11"/>
      <c r="AA72" s="11"/>
      <c r="AB72" s="11"/>
      <c r="AC72" s="11"/>
      <c r="AD72" s="11"/>
      <c r="AE72" s="11"/>
      <c r="AF72" s="11"/>
      <c r="AG72" s="11"/>
      <c r="AH72" s="11"/>
      <c r="AI72" s="250"/>
      <c r="AJ72" s="250"/>
    </row>
    <row r="73" spans="2:36" s="3" customFormat="1" ht="20.100000000000001" customHeight="1">
      <c r="B73" s="124" t="str">
        <f t="shared" si="7"/>
        <v>Fixed charge type: residential water [WSS8b]</v>
      </c>
      <c r="C73" s="29"/>
      <c r="D73" s="147" t="s">
        <v>114</v>
      </c>
      <c r="E73" s="147"/>
      <c r="F73" s="45" t="s">
        <v>1402</v>
      </c>
      <c r="G73" s="147" t="s">
        <v>472</v>
      </c>
      <c r="H73" s="147" t="s">
        <v>1162</v>
      </c>
      <c r="I73" s="147" t="str">
        <f>'Previous years'!E71</f>
        <v>Targeted Rate</v>
      </c>
      <c r="J73" s="473"/>
      <c r="K73" s="342"/>
      <c r="L73" s="11" t="s">
        <v>1942</v>
      </c>
      <c r="M73" s="11" t="s">
        <v>1951</v>
      </c>
      <c r="N73" s="229"/>
      <c r="O73" s="11"/>
      <c r="P73" s="11"/>
      <c r="Q73" s="11"/>
      <c r="R73" s="11"/>
      <c r="S73" s="11"/>
      <c r="T73" s="11"/>
      <c r="U73" s="11"/>
      <c r="V73" s="11"/>
      <c r="W73" s="11"/>
      <c r="X73" s="11"/>
      <c r="Y73" s="11"/>
      <c r="Z73" s="11"/>
      <c r="AA73" s="11"/>
      <c r="AB73" s="11"/>
      <c r="AC73" s="11"/>
      <c r="AD73" s="11"/>
      <c r="AE73" s="11"/>
      <c r="AF73" s="11"/>
      <c r="AG73" s="11"/>
      <c r="AH73" s="11"/>
      <c r="AI73" s="250"/>
      <c r="AJ73" s="250"/>
    </row>
    <row r="74" spans="2:36" s="3" customFormat="1" ht="20.100000000000001" customHeight="1">
      <c r="B74" s="124" t="str">
        <f t="shared" si="7"/>
        <v>Volumetric charge: residential water [WSS8c]</v>
      </c>
      <c r="C74" s="29"/>
      <c r="D74" s="147" t="s">
        <v>116</v>
      </c>
      <c r="E74" s="147"/>
      <c r="F74" s="45" t="s">
        <v>1403</v>
      </c>
      <c r="G74" s="147" t="s">
        <v>479</v>
      </c>
      <c r="H74" s="147" t="s">
        <v>1162</v>
      </c>
      <c r="I74" s="510" t="str">
        <f>'Previous years'!E72</f>
        <v/>
      </c>
      <c r="J74" s="487" t="str">
        <f>IF(NOT(COUNTA(O74:AH74)),"",MEDIAN(O74:AH74))</f>
        <v/>
      </c>
      <c r="K74" s="342"/>
      <c r="L74" s="11" t="s">
        <v>1942</v>
      </c>
      <c r="M74" s="11" t="s">
        <v>1951</v>
      </c>
      <c r="N74" s="229"/>
      <c r="O74" s="11"/>
      <c r="P74" s="11"/>
      <c r="Q74" s="11"/>
      <c r="R74" s="11"/>
      <c r="S74" s="11"/>
      <c r="T74" s="11"/>
      <c r="U74" s="11"/>
      <c r="V74" s="11"/>
      <c r="W74" s="11"/>
      <c r="X74" s="11"/>
      <c r="Y74" s="11"/>
      <c r="Z74" s="11"/>
      <c r="AA74" s="11"/>
      <c r="AB74" s="11"/>
      <c r="AC74" s="11"/>
      <c r="AD74" s="11"/>
      <c r="AE74" s="11"/>
      <c r="AF74" s="11"/>
      <c r="AG74" s="11"/>
      <c r="AH74" s="11"/>
      <c r="AI74" s="250"/>
      <c r="AJ74" s="250"/>
    </row>
    <row r="75" spans="2:36" s="3" customFormat="1" ht="20.100000000000001" customHeight="1" thickBot="1">
      <c r="B75" s="124" t="str">
        <f t="shared" si="7"/>
        <v>Average residential water charge based on 200 m3/yr  [WSS9]</v>
      </c>
      <c r="C75" s="62"/>
      <c r="D75" s="148" t="s">
        <v>118</v>
      </c>
      <c r="E75" s="148"/>
      <c r="F75" s="63" t="s">
        <v>1404</v>
      </c>
      <c r="G75" s="148" t="s">
        <v>480</v>
      </c>
      <c r="H75" s="148" t="s">
        <v>1162</v>
      </c>
      <c r="I75" s="512">
        <f>'Previous years'!E73</f>
        <v>481.78551731985988</v>
      </c>
      <c r="J75" s="488" t="str">
        <f>IFERROR(J72+(J74*200),"")</f>
        <v/>
      </c>
      <c r="K75" s="348" t="s">
        <v>212</v>
      </c>
      <c r="L75" s="64"/>
      <c r="M75" s="64"/>
      <c r="N75" s="232"/>
      <c r="O75" s="247" t="str">
        <f>IF(ISBLANK(O72),"",(O72+(O74*200)))</f>
        <v/>
      </c>
      <c r="P75" s="247" t="str">
        <f t="shared" ref="P75:AH75" si="8">IF(ISBLANK(P72),"",(P72+(P74*200)))</f>
        <v/>
      </c>
      <c r="Q75" s="247" t="str">
        <f t="shared" si="8"/>
        <v/>
      </c>
      <c r="R75" s="247" t="str">
        <f t="shared" si="8"/>
        <v/>
      </c>
      <c r="S75" s="247" t="str">
        <f t="shared" si="8"/>
        <v/>
      </c>
      <c r="T75" s="247" t="str">
        <f t="shared" si="8"/>
        <v/>
      </c>
      <c r="U75" s="247" t="str">
        <f t="shared" si="8"/>
        <v/>
      </c>
      <c r="V75" s="247" t="str">
        <f t="shared" si="8"/>
        <v/>
      </c>
      <c r="W75" s="247" t="str">
        <f t="shared" si="8"/>
        <v/>
      </c>
      <c r="X75" s="247" t="str">
        <f t="shared" si="8"/>
        <v/>
      </c>
      <c r="Y75" s="247" t="str">
        <f t="shared" si="8"/>
        <v/>
      </c>
      <c r="Z75" s="247" t="str">
        <f t="shared" si="8"/>
        <v/>
      </c>
      <c r="AA75" s="247" t="str">
        <f t="shared" si="8"/>
        <v/>
      </c>
      <c r="AB75" s="247" t="str">
        <f t="shared" si="8"/>
        <v/>
      </c>
      <c r="AC75" s="247" t="str">
        <f t="shared" si="8"/>
        <v/>
      </c>
      <c r="AD75" s="247" t="str">
        <f t="shared" si="8"/>
        <v/>
      </c>
      <c r="AE75" s="247" t="str">
        <f t="shared" si="8"/>
        <v/>
      </c>
      <c r="AF75" s="247" t="str">
        <f t="shared" si="8"/>
        <v/>
      </c>
      <c r="AG75" s="247" t="str">
        <f t="shared" si="8"/>
        <v/>
      </c>
      <c r="AH75" s="247" t="str">
        <f t="shared" si="8"/>
        <v/>
      </c>
      <c r="AI75" s="235"/>
      <c r="AJ75" s="235"/>
    </row>
    <row r="76" spans="2:36" s="3" customFormat="1" ht="20.100000000000001" customHeight="1">
      <c r="B76" s="124" t="str">
        <f t="shared" si="7"/>
        <v>Revenue from supply of water to other local authorities [WSF1]</v>
      </c>
      <c r="C76" s="28" t="s">
        <v>543</v>
      </c>
      <c r="D76" s="189" t="s">
        <v>129</v>
      </c>
      <c r="E76" s="189"/>
      <c r="F76" s="242" t="s">
        <v>1405</v>
      </c>
      <c r="G76" s="149" t="s">
        <v>108</v>
      </c>
      <c r="H76" s="189" t="s">
        <v>1150</v>
      </c>
      <c r="I76" s="189">
        <f>'Previous years'!E74</f>
        <v>0</v>
      </c>
      <c r="J76" s="489"/>
      <c r="K76" s="344"/>
      <c r="L76" s="9" t="s">
        <v>1942</v>
      </c>
      <c r="M76" s="9" t="s">
        <v>1967</v>
      </c>
      <c r="N76" s="228"/>
      <c r="AI76" s="252"/>
      <c r="AJ76" s="252"/>
    </row>
    <row r="77" spans="2:36" s="3" customFormat="1" ht="20.100000000000001" customHeight="1">
      <c r="B77" s="124" t="str">
        <f t="shared" si="7"/>
        <v>Operating revenue: water supply [WSF2]</v>
      </c>
      <c r="C77" s="29"/>
      <c r="D77" s="190" t="s">
        <v>131</v>
      </c>
      <c r="E77" s="190"/>
      <c r="F77" s="243" t="s">
        <v>1406</v>
      </c>
      <c r="G77" s="145" t="s">
        <v>108</v>
      </c>
      <c r="H77" s="190" t="s">
        <v>1150</v>
      </c>
      <c r="I77" s="190">
        <f>'Previous years'!E75</f>
        <v>9647695.7100000009</v>
      </c>
      <c r="J77" s="487"/>
      <c r="K77" s="343"/>
      <c r="L77" s="11" t="s">
        <v>1942</v>
      </c>
      <c r="M77" s="11" t="s">
        <v>1968</v>
      </c>
      <c r="N77" s="229"/>
      <c r="AI77" s="250"/>
      <c r="AJ77" s="250"/>
    </row>
    <row r="78" spans="2:36" s="3" customFormat="1" ht="20.100000000000001" customHeight="1">
      <c r="B78" s="124" t="str">
        <f t="shared" si="7"/>
        <v>Development contribution revenue: water supply [WSF3]</v>
      </c>
      <c r="C78" s="29"/>
      <c r="D78" s="190" t="s">
        <v>133</v>
      </c>
      <c r="E78" s="190"/>
      <c r="F78" s="243" t="s">
        <v>1407</v>
      </c>
      <c r="G78" s="145" t="s">
        <v>108</v>
      </c>
      <c r="H78" s="190" t="s">
        <v>1150</v>
      </c>
      <c r="I78" s="190">
        <f>'Previous years'!E76</f>
        <v>4562106.17</v>
      </c>
      <c r="J78" s="448"/>
      <c r="K78" s="343"/>
      <c r="L78" s="11" t="s">
        <v>1942</v>
      </c>
      <c r="M78" s="11" t="s">
        <v>1968</v>
      </c>
      <c r="N78" s="229"/>
      <c r="AI78" s="250"/>
      <c r="AJ78" s="250"/>
    </row>
    <row r="79" spans="2:36" s="3" customFormat="1" ht="20.100000000000001" customHeight="1">
      <c r="B79" s="124" t="str">
        <f t="shared" si="7"/>
        <v>Total revenue: water supply [WSF4]</v>
      </c>
      <c r="C79" s="29"/>
      <c r="D79" s="190" t="s">
        <v>135</v>
      </c>
      <c r="E79" s="190"/>
      <c r="F79" s="243" t="s">
        <v>1408</v>
      </c>
      <c r="G79" s="145" t="s">
        <v>108</v>
      </c>
      <c r="H79" s="190" t="s">
        <v>1150</v>
      </c>
      <c r="I79" s="190">
        <f>'Previous years'!E77</f>
        <v>14209801.880000001</v>
      </c>
      <c r="J79" s="451" t="str">
        <f>IF(SUMIF(J76:J78,"&gt;=0",J76:J78)=0,"",SUMIF(J76:J78,"&gt;=0",J76:J78))</f>
        <v/>
      </c>
      <c r="K79" s="342" t="s">
        <v>212</v>
      </c>
      <c r="L79" s="26"/>
      <c r="M79" s="26"/>
      <c r="N79" s="231"/>
      <c r="AI79" s="250"/>
      <c r="AJ79" s="250"/>
    </row>
    <row r="80" spans="2:36" s="3" customFormat="1" ht="20.100000000000001" customHeight="1">
      <c r="B80" s="124" t="str">
        <f t="shared" si="7"/>
        <v>Revenue per property: water supply [WSF5]</v>
      </c>
      <c r="C80" s="29"/>
      <c r="D80" s="190" t="s">
        <v>137</v>
      </c>
      <c r="E80" s="190"/>
      <c r="F80" s="243" t="s">
        <v>1409</v>
      </c>
      <c r="G80" s="145" t="s">
        <v>1602</v>
      </c>
      <c r="H80" s="190" t="s">
        <v>1150</v>
      </c>
      <c r="I80" s="190">
        <f>'Previous years'!E78</f>
        <v>510.53791829842277</v>
      </c>
      <c r="J80" s="451" t="str">
        <f>IFERROR(J79/J18,"")</f>
        <v/>
      </c>
      <c r="K80" s="342" t="s">
        <v>212</v>
      </c>
      <c r="L80" s="26"/>
      <c r="M80" s="26"/>
      <c r="N80" s="231"/>
      <c r="AI80" s="250"/>
      <c r="AJ80" s="250"/>
    </row>
    <row r="81" spans="2:36" s="3" customFormat="1" ht="20.100000000000001" customHeight="1" thickBot="1">
      <c r="B81" s="124" t="str">
        <f t="shared" si="7"/>
        <v>Debt funding: water supply [WSF6]</v>
      </c>
      <c r="C81" s="62"/>
      <c r="D81" s="191" t="s">
        <v>140</v>
      </c>
      <c r="E81" s="191"/>
      <c r="F81" s="244" t="s">
        <v>1410</v>
      </c>
      <c r="G81" s="151" t="s">
        <v>108</v>
      </c>
      <c r="H81" s="191" t="s">
        <v>1150</v>
      </c>
      <c r="I81" s="191">
        <f>'Previous years'!E79</f>
        <v>1292515</v>
      </c>
      <c r="J81" s="452"/>
      <c r="K81" s="351"/>
      <c r="L81" s="11" t="s">
        <v>1942</v>
      </c>
      <c r="M81" s="217" t="s">
        <v>1952</v>
      </c>
      <c r="N81" s="233"/>
      <c r="AI81" s="235"/>
      <c r="AJ81" s="235"/>
    </row>
    <row r="82" spans="2:36" s="3" customFormat="1" ht="20.100000000000001" customHeight="1" thickBot="1">
      <c r="B82" s="124" t="str">
        <f>F82&amp;" ["&amp;D82&amp;"]"</f>
        <v>External grants: water supply [WSF25]</v>
      </c>
      <c r="C82" s="65" t="s">
        <v>552</v>
      </c>
      <c r="D82" s="193" t="s">
        <v>181</v>
      </c>
      <c r="E82" s="193"/>
      <c r="F82" s="245" t="s">
        <v>1411</v>
      </c>
      <c r="G82" s="152" t="s">
        <v>108</v>
      </c>
      <c r="H82" s="193" t="s">
        <v>1150</v>
      </c>
      <c r="I82" s="193">
        <f>'Previous years'!E80</f>
        <v>2388380.5</v>
      </c>
      <c r="J82" s="453"/>
      <c r="K82" s="353"/>
      <c r="L82" s="226" t="s">
        <v>1942</v>
      </c>
      <c r="M82" s="226" t="s">
        <v>1952</v>
      </c>
      <c r="N82" s="236"/>
      <c r="AI82" s="296"/>
      <c r="AJ82" s="296"/>
    </row>
    <row r="83" spans="2:36" s="3" customFormat="1" ht="20.100000000000001" customHeight="1">
      <c r="B83" s="124" t="str">
        <f t="shared" si="7"/>
        <v>Energy costs: water supply [WSF7]</v>
      </c>
      <c r="C83" s="67" t="s">
        <v>544</v>
      </c>
      <c r="D83" s="192" t="s">
        <v>142</v>
      </c>
      <c r="E83" s="192"/>
      <c r="F83" s="246" t="s">
        <v>1412</v>
      </c>
      <c r="G83" s="153" t="s">
        <v>108</v>
      </c>
      <c r="H83" s="192" t="s">
        <v>1150</v>
      </c>
      <c r="I83" s="192">
        <f>'Previous years'!E81</f>
        <v>961100</v>
      </c>
      <c r="J83" s="454"/>
      <c r="K83" s="354"/>
      <c r="L83" s="11" t="s">
        <v>1942</v>
      </c>
      <c r="M83" s="227" t="s">
        <v>1952</v>
      </c>
      <c r="N83" s="237"/>
      <c r="AI83" s="297"/>
      <c r="AJ83" s="297"/>
    </row>
    <row r="84" spans="2:36" s="3" customFormat="1" ht="20.100000000000001" customHeight="1">
      <c r="B84" s="124" t="str">
        <f t="shared" si="7"/>
        <v>Chemicals and consumables: water supply [WSF8]</v>
      </c>
      <c r="C84" s="29"/>
      <c r="D84" s="190" t="s">
        <v>143</v>
      </c>
      <c r="E84" s="190"/>
      <c r="F84" s="243" t="s">
        <v>1413</v>
      </c>
      <c r="G84" s="145" t="s">
        <v>108</v>
      </c>
      <c r="H84" s="190" t="s">
        <v>1150</v>
      </c>
      <c r="I84" s="190" t="str">
        <f>'Previous years'!E82</f>
        <v/>
      </c>
      <c r="J84" s="448"/>
      <c r="K84" s="343"/>
      <c r="L84" s="11" t="s">
        <v>1942</v>
      </c>
      <c r="M84" s="11" t="s">
        <v>1952</v>
      </c>
      <c r="N84" s="229"/>
      <c r="AI84" s="250"/>
      <c r="AJ84" s="250"/>
    </row>
    <row r="85" spans="2:36" s="3" customFormat="1" ht="20.100000000000001" customHeight="1">
      <c r="B85" s="124" t="str">
        <f t="shared" si="7"/>
        <v>Routine maintenance: water supply [WSF9a]</v>
      </c>
      <c r="C85" s="29"/>
      <c r="D85" s="190" t="s">
        <v>467</v>
      </c>
      <c r="E85" s="190"/>
      <c r="F85" s="243" t="s">
        <v>1414</v>
      </c>
      <c r="G85" s="145" t="s">
        <v>108</v>
      </c>
      <c r="H85" s="190" t="s">
        <v>1150</v>
      </c>
      <c r="I85" s="190">
        <f>'Previous years'!E83</f>
        <v>1316368.1599999999</v>
      </c>
      <c r="J85" s="448"/>
      <c r="K85" s="343"/>
      <c r="L85" s="11" t="s">
        <v>1942</v>
      </c>
      <c r="M85" s="11" t="s">
        <v>1952</v>
      </c>
      <c r="N85" s="229"/>
      <c r="AI85" s="250"/>
      <c r="AJ85" s="250"/>
    </row>
    <row r="86" spans="2:36" s="3" customFormat="1" ht="20.100000000000001" customHeight="1">
      <c r="B86" s="124" t="str">
        <f t="shared" si="7"/>
        <v>Reactive maintenance: water supply [WSF9b]</v>
      </c>
      <c r="C86" s="29"/>
      <c r="D86" s="190" t="s">
        <v>468</v>
      </c>
      <c r="E86" s="190"/>
      <c r="F86" s="243" t="s">
        <v>1415</v>
      </c>
      <c r="G86" s="145" t="s">
        <v>108</v>
      </c>
      <c r="H86" s="190" t="s">
        <v>1150</v>
      </c>
      <c r="I86" s="190">
        <f>'Previous years'!E84</f>
        <v>1818731.15</v>
      </c>
      <c r="J86" s="450"/>
      <c r="K86" s="344"/>
      <c r="L86" s="9" t="s">
        <v>1942</v>
      </c>
      <c r="M86" s="9" t="s">
        <v>1952</v>
      </c>
      <c r="N86" s="228"/>
      <c r="AI86" s="252"/>
      <c r="AJ86" s="252"/>
    </row>
    <row r="87" spans="2:36" s="3" customFormat="1" ht="20.100000000000001" customHeight="1">
      <c r="B87" s="124" t="str">
        <f t="shared" si="7"/>
        <v>Management costs: water supply [WSF10]</v>
      </c>
      <c r="C87" s="29"/>
      <c r="D87" s="190" t="s">
        <v>144</v>
      </c>
      <c r="E87" s="190"/>
      <c r="F87" s="243" t="s">
        <v>1416</v>
      </c>
      <c r="G87" s="145" t="s">
        <v>108</v>
      </c>
      <c r="H87" s="190" t="s">
        <v>1150</v>
      </c>
      <c r="I87" s="190">
        <f>'Previous years'!E85</f>
        <v>1116746.79</v>
      </c>
      <c r="J87" s="450"/>
      <c r="K87" s="344"/>
      <c r="L87" s="9" t="s">
        <v>1942</v>
      </c>
      <c r="M87" s="9" t="s">
        <v>1952</v>
      </c>
      <c r="N87" s="228"/>
      <c r="AI87" s="252"/>
      <c r="AJ87" s="252"/>
    </row>
    <row r="88" spans="2:36" s="3" customFormat="1" ht="20.100000000000001" customHeight="1">
      <c r="B88" s="124" t="str">
        <f t="shared" si="7"/>
        <v>Council contract management Costs : water supply [WSF11]</v>
      </c>
      <c r="C88" s="29"/>
      <c r="D88" s="190" t="s">
        <v>145</v>
      </c>
      <c r="E88" s="190"/>
      <c r="F88" s="243" t="s">
        <v>1417</v>
      </c>
      <c r="G88" s="145" t="s">
        <v>108</v>
      </c>
      <c r="H88" s="190" t="s">
        <v>1150</v>
      </c>
      <c r="I88" s="190">
        <f>'Previous years'!E86</f>
        <v>0</v>
      </c>
      <c r="J88" s="448"/>
      <c r="K88" s="343"/>
      <c r="L88" s="11" t="s">
        <v>1942</v>
      </c>
      <c r="M88" s="11" t="s">
        <v>1952</v>
      </c>
      <c r="N88" s="229"/>
      <c r="AI88" s="250"/>
      <c r="AJ88" s="250"/>
    </row>
    <row r="89" spans="2:36" s="3" customFormat="1" ht="20.100000000000001" customHeight="1">
      <c r="B89" s="124" t="str">
        <f t="shared" si="7"/>
        <v>Operating cost: water supply [WSF12]</v>
      </c>
      <c r="C89" s="29"/>
      <c r="D89" s="190" t="s">
        <v>146</v>
      </c>
      <c r="E89" s="190"/>
      <c r="F89" s="243" t="s">
        <v>1418</v>
      </c>
      <c r="G89" s="145" t="s">
        <v>108</v>
      </c>
      <c r="H89" s="190" t="s">
        <v>1150</v>
      </c>
      <c r="I89" s="190">
        <f>'Previous years'!E87</f>
        <v>5212946.0999999996</v>
      </c>
      <c r="J89" s="455" t="str">
        <f>IF(SUMIF(J83:J88,"&gt;=0",J83:J88)=0,"",SUMIF(J83:J88,"&gt;=0",J83:J88))</f>
        <v/>
      </c>
      <c r="K89" s="352" t="s">
        <v>212</v>
      </c>
      <c r="L89" s="30"/>
      <c r="M89" s="30"/>
      <c r="N89" s="234"/>
      <c r="AI89" s="252"/>
      <c r="AJ89" s="252"/>
    </row>
    <row r="90" spans="2:36" s="3" customFormat="1" ht="20.100000000000001" customHeight="1">
      <c r="B90" s="124" t="str">
        <f t="shared" si="7"/>
        <v>Operating cost per property: water supply [WSF13]</v>
      </c>
      <c r="C90" s="29"/>
      <c r="D90" s="190" t="s">
        <v>148</v>
      </c>
      <c r="E90" s="190"/>
      <c r="F90" s="243" t="s">
        <v>1419</v>
      </c>
      <c r="G90" s="145" t="s">
        <v>1602</v>
      </c>
      <c r="H90" s="190" t="s">
        <v>1150</v>
      </c>
      <c r="I90" s="190">
        <f>'Previous years'!E88</f>
        <v>187.29371968526567</v>
      </c>
      <c r="J90" s="451" t="str">
        <f>IFERROR(J89/J18,"")</f>
        <v/>
      </c>
      <c r="K90" s="342" t="s">
        <v>212</v>
      </c>
      <c r="L90" s="26"/>
      <c r="M90" s="26"/>
      <c r="N90" s="231"/>
      <c r="AI90" s="250"/>
      <c r="AJ90" s="250"/>
    </row>
    <row r="91" spans="2:36" s="3" customFormat="1" ht="20.100000000000001" customHeight="1">
      <c r="B91" s="124" t="str">
        <f t="shared" si="7"/>
        <v>Annual depreciation: water supply [WSF14]</v>
      </c>
      <c r="C91" s="29"/>
      <c r="D91" s="190" t="s">
        <v>150</v>
      </c>
      <c r="E91" s="190"/>
      <c r="F91" s="243" t="s">
        <v>1420</v>
      </c>
      <c r="G91" s="145" t="s">
        <v>108</v>
      </c>
      <c r="H91" s="190" t="s">
        <v>1150</v>
      </c>
      <c r="I91" s="190">
        <f>'Previous years'!E89</f>
        <v>5290202.1100000003</v>
      </c>
      <c r="J91" s="448"/>
      <c r="K91" s="343"/>
      <c r="L91" s="11" t="s">
        <v>1942</v>
      </c>
      <c r="M91" s="11" t="s">
        <v>1968</v>
      </c>
      <c r="N91" s="229"/>
      <c r="AI91" s="250"/>
      <c r="AJ91" s="250"/>
    </row>
    <row r="92" spans="2:36" s="3" customFormat="1" ht="20.100000000000001" customHeight="1">
      <c r="B92" s="124" t="str">
        <f t="shared" si="7"/>
        <v>Interest: water supply [WSF15a]</v>
      </c>
      <c r="C92" s="29"/>
      <c r="D92" s="190" t="s">
        <v>152</v>
      </c>
      <c r="E92" s="190"/>
      <c r="F92" s="243" t="s">
        <v>1421</v>
      </c>
      <c r="G92" s="145" t="s">
        <v>108</v>
      </c>
      <c r="H92" s="190" t="s">
        <v>1150</v>
      </c>
      <c r="I92" s="190">
        <f>'Previous years'!E90</f>
        <v>703394.48</v>
      </c>
      <c r="J92" s="448"/>
      <c r="K92" s="343"/>
      <c r="L92" s="11" t="s">
        <v>1942</v>
      </c>
      <c r="M92" s="11" t="s">
        <v>1968</v>
      </c>
      <c r="N92" s="229"/>
      <c r="AI92" s="250"/>
      <c r="AJ92" s="250"/>
    </row>
    <row r="93" spans="2:36" s="3" customFormat="1" ht="20.100000000000001" customHeight="1">
      <c r="B93" s="124" t="str">
        <f t="shared" si="7"/>
        <v>Debt affordability: water supply [WSF15b]</v>
      </c>
      <c r="C93" s="29"/>
      <c r="D93" s="144" t="s">
        <v>154</v>
      </c>
      <c r="E93" s="144"/>
      <c r="F93" s="240" t="s">
        <v>1422</v>
      </c>
      <c r="G93" s="145" t="s">
        <v>10</v>
      </c>
      <c r="H93" s="144" t="s">
        <v>1150</v>
      </c>
      <c r="I93" s="144">
        <f>'Previous years'!E91</f>
        <v>4.9500653558725051E-2</v>
      </c>
      <c r="J93" s="349" t="str">
        <f>IFERROR(J92/J79,"")</f>
        <v/>
      </c>
      <c r="K93" s="342" t="s">
        <v>212</v>
      </c>
      <c r="L93" s="26"/>
      <c r="M93" s="26"/>
      <c r="N93" s="231"/>
      <c r="AI93" s="250"/>
      <c r="AJ93" s="250"/>
    </row>
    <row r="94" spans="2:36" s="3" customFormat="1" ht="20.100000000000001" customHeight="1">
      <c r="B94" s="124" t="str">
        <f t="shared" si="7"/>
        <v>Operational cost coverage: water supply [WSF16]</v>
      </c>
      <c r="C94" s="29"/>
      <c r="D94" s="144" t="s">
        <v>156</v>
      </c>
      <c r="E94" s="144"/>
      <c r="F94" s="240" t="s">
        <v>1423</v>
      </c>
      <c r="G94" s="145" t="s">
        <v>10</v>
      </c>
      <c r="H94" s="144" t="s">
        <v>1150</v>
      </c>
      <c r="I94" s="144">
        <f>'Previous years'!E92</f>
        <v>0.86089849268222429</v>
      </c>
      <c r="J94" s="349" t="str">
        <f>IFERROR((J76+J77)/(J89+J91+J92),"")</f>
        <v/>
      </c>
      <c r="K94" s="342" t="s">
        <v>212</v>
      </c>
      <c r="L94" s="26"/>
      <c r="M94" s="26"/>
      <c r="N94" s="231"/>
      <c r="AI94" s="250"/>
      <c r="AJ94" s="250"/>
    </row>
    <row r="95" spans="2:36" s="3" customFormat="1" ht="20.100000000000001" customHeight="1">
      <c r="B95" s="124" t="str">
        <f t="shared" si="7"/>
        <v>Total cost: water supply [WSF17]</v>
      </c>
      <c r="C95" s="29"/>
      <c r="D95" s="190" t="s">
        <v>158</v>
      </c>
      <c r="E95" s="190"/>
      <c r="F95" s="243" t="s">
        <v>1424</v>
      </c>
      <c r="G95" s="145" t="s">
        <v>108</v>
      </c>
      <c r="H95" s="190" t="s">
        <v>1150</v>
      </c>
      <c r="I95" s="190">
        <f>'Previous years'!E93</f>
        <v>22645031.109999999</v>
      </c>
      <c r="J95" s="451" t="str">
        <f>IF((SUMIF(J89,"&gt;=0",J89)+SUMIF(J91,"&gt;=0",J91)+SUMIF(J92,"&gt;=0",J92)+SUMIF(J101,"&gt;=0",J101))=0,"",SUMIF(J89,"&gt;=0",J89)+SUMIF(J91,"&gt;=0",J91)+SUMIF(J92,"&gt;=0",J92)+SUMIF(J101,"&gt;=0",J101))</f>
        <v/>
      </c>
      <c r="K95" s="342" t="s">
        <v>212</v>
      </c>
      <c r="L95" s="26"/>
      <c r="M95" s="26"/>
      <c r="N95" s="231"/>
      <c r="AI95" s="250"/>
      <c r="AJ95" s="250"/>
    </row>
    <row r="96" spans="2:36" s="3" customFormat="1" ht="20.100000000000001" customHeight="1">
      <c r="B96" s="124" t="str">
        <f t="shared" si="7"/>
        <v>Total cost per property: water supply [WSF18]</v>
      </c>
      <c r="C96" s="29"/>
      <c r="D96" s="190" t="s">
        <v>160</v>
      </c>
      <c r="E96" s="190"/>
      <c r="F96" s="243" t="s">
        <v>1425</v>
      </c>
      <c r="G96" s="145" t="s">
        <v>1602</v>
      </c>
      <c r="H96" s="190" t="s">
        <v>1150</v>
      </c>
      <c r="I96" s="190">
        <f>'Previous years'!E94</f>
        <v>813.60367585240544</v>
      </c>
      <c r="J96" s="451" t="str">
        <f>IFERROR(J95/J18,"")</f>
        <v/>
      </c>
      <c r="K96" s="342" t="s">
        <v>212</v>
      </c>
      <c r="L96" s="26"/>
      <c r="M96" s="26"/>
      <c r="N96" s="231"/>
      <c r="AI96" s="250"/>
      <c r="AJ96" s="250"/>
    </row>
    <row r="97" spans="2:36" s="3" customFormat="1" ht="20.100000000000001" customHeight="1">
      <c r="B97" s="124" t="str">
        <f t="shared" si="7"/>
        <v>Budgeted capital expenditure: water supply [WSF19]</v>
      </c>
      <c r="C97" s="29"/>
      <c r="D97" s="190" t="s">
        <v>162</v>
      </c>
      <c r="E97" s="190"/>
      <c r="F97" s="243" t="s">
        <v>1426</v>
      </c>
      <c r="G97" s="145" t="s">
        <v>108</v>
      </c>
      <c r="H97" s="190" t="s">
        <v>1150</v>
      </c>
      <c r="I97" s="190">
        <f>'Previous years'!E95</f>
        <v>21979917.669999998</v>
      </c>
      <c r="J97" s="451" t="str">
        <f>IF(SUMIF(J98:J100,"&gt;=0",J98:J100)=0,"",SUMIF(J98:J100,"&gt;=0",J98:J100))</f>
        <v/>
      </c>
      <c r="K97" s="342" t="s">
        <v>212</v>
      </c>
      <c r="L97" s="26"/>
      <c r="M97" s="26"/>
      <c r="N97" s="231"/>
      <c r="AI97" s="250"/>
      <c r="AJ97" s="250"/>
    </row>
    <row r="98" spans="2:36" s="3" customFormat="1" ht="20.100000000000001" customHeight="1">
      <c r="B98" s="124" t="str">
        <f t="shared" si="7"/>
        <v>Budgeted capital to meet additional demand [WSF19a]</v>
      </c>
      <c r="C98" s="29"/>
      <c r="D98" s="190" t="s">
        <v>164</v>
      </c>
      <c r="E98" s="190"/>
      <c r="F98" s="243" t="s">
        <v>481</v>
      </c>
      <c r="G98" s="145" t="s">
        <v>108</v>
      </c>
      <c r="H98" s="190" t="s">
        <v>1150</v>
      </c>
      <c r="I98" s="190">
        <f>'Previous years'!E96</f>
        <v>11671354.385540003</v>
      </c>
      <c r="J98" s="450"/>
      <c r="K98" s="344"/>
      <c r="L98" s="9" t="s">
        <v>1942</v>
      </c>
      <c r="M98" s="9" t="s">
        <v>1969</v>
      </c>
      <c r="N98" s="228"/>
      <c r="AI98" s="252"/>
      <c r="AJ98" s="252"/>
    </row>
    <row r="99" spans="2:36" s="3" customFormat="1" ht="20.100000000000001" customHeight="1">
      <c r="B99" s="124" t="str">
        <f t="shared" si="7"/>
        <v>Budgeted capital to improve the level of service [WSF19b]</v>
      </c>
      <c r="C99" s="29"/>
      <c r="D99" s="190" t="s">
        <v>165</v>
      </c>
      <c r="E99" s="190"/>
      <c r="F99" s="243" t="s">
        <v>482</v>
      </c>
      <c r="G99" s="145" t="s">
        <v>108</v>
      </c>
      <c r="H99" s="190" t="s">
        <v>1150</v>
      </c>
      <c r="I99" s="190">
        <f>'Previous years'!E97</f>
        <v>7704196.4855199978</v>
      </c>
      <c r="J99" s="448"/>
      <c r="K99" s="343"/>
      <c r="L99" s="11" t="s">
        <v>1942</v>
      </c>
      <c r="M99" s="11" t="s">
        <v>1969</v>
      </c>
      <c r="N99" s="229"/>
      <c r="AI99" s="250"/>
      <c r="AJ99" s="250"/>
    </row>
    <row r="100" spans="2:36" s="3" customFormat="1" ht="20.100000000000001" customHeight="1">
      <c r="B100" s="124" t="str">
        <f t="shared" si="7"/>
        <v>Budgeted capital to replace existing assets [WSF19c]</v>
      </c>
      <c r="C100" s="29"/>
      <c r="D100" s="190" t="s">
        <v>166</v>
      </c>
      <c r="E100" s="190"/>
      <c r="F100" s="243" t="s">
        <v>483</v>
      </c>
      <c r="G100" s="145" t="s">
        <v>108</v>
      </c>
      <c r="H100" s="190" t="s">
        <v>1150</v>
      </c>
      <c r="I100" s="190">
        <f>'Previous years'!E98</f>
        <v>2604366.7989400006</v>
      </c>
      <c r="J100" s="450"/>
      <c r="K100" s="344"/>
      <c r="L100" s="9" t="s">
        <v>1942</v>
      </c>
      <c r="M100" s="9" t="s">
        <v>1969</v>
      </c>
      <c r="N100" s="228"/>
      <c r="AI100" s="252"/>
      <c r="AJ100" s="252"/>
    </row>
    <row r="101" spans="2:36" s="3" customFormat="1" ht="20.100000000000001" customHeight="1">
      <c r="B101" s="124" t="str">
        <f t="shared" si="7"/>
        <v>Actual capital expenditure: water supply [WSF20]</v>
      </c>
      <c r="C101" s="29"/>
      <c r="D101" s="190" t="s">
        <v>167</v>
      </c>
      <c r="E101" s="190"/>
      <c r="F101" s="243" t="s">
        <v>1427</v>
      </c>
      <c r="G101" s="145" t="s">
        <v>108</v>
      </c>
      <c r="H101" s="190" t="s">
        <v>1150</v>
      </c>
      <c r="I101" s="190">
        <f>'Previous years'!E99</f>
        <v>11438488.419999998</v>
      </c>
      <c r="J101" s="451" t="str">
        <f>IF(SUMIF(J102:J104,"&gt;=0",J102:J104)=0,"",SUMIF(J102:J104,"&gt;=0",J102:J104))</f>
        <v/>
      </c>
      <c r="K101" s="342" t="s">
        <v>212</v>
      </c>
      <c r="L101" s="26"/>
      <c r="M101" s="26"/>
      <c r="N101" s="231"/>
      <c r="AI101" s="250"/>
      <c r="AJ101" s="250"/>
    </row>
    <row r="102" spans="2:36" s="3" customFormat="1" ht="20.100000000000001" customHeight="1">
      <c r="B102" s="124" t="str">
        <f t="shared" si="7"/>
        <v>Actual capital to meet additional demand [WSF20a]</v>
      </c>
      <c r="C102" s="29"/>
      <c r="D102" s="190" t="s">
        <v>169</v>
      </c>
      <c r="E102" s="190"/>
      <c r="F102" s="243" t="s">
        <v>484</v>
      </c>
      <c r="G102" s="145" t="s">
        <v>108</v>
      </c>
      <c r="H102" s="190" t="s">
        <v>1150</v>
      </c>
      <c r="I102" s="190">
        <f>'Previous years'!E100</f>
        <v>5247675.2231299998</v>
      </c>
      <c r="J102" s="448"/>
      <c r="K102" s="343"/>
      <c r="L102" s="11" t="s">
        <v>1942</v>
      </c>
      <c r="M102" s="11" t="s">
        <v>1969</v>
      </c>
      <c r="N102" s="229"/>
      <c r="AI102" s="250"/>
      <c r="AJ102" s="250"/>
    </row>
    <row r="103" spans="2:36" s="3" customFormat="1" ht="20.100000000000001" customHeight="1">
      <c r="B103" s="124" t="str">
        <f t="shared" si="7"/>
        <v>Actual capital to improve the level of service [WSF20b]</v>
      </c>
      <c r="C103" s="29"/>
      <c r="D103" s="190" t="s">
        <v>170</v>
      </c>
      <c r="E103" s="190"/>
      <c r="F103" s="243" t="s">
        <v>485</v>
      </c>
      <c r="G103" s="145" t="s">
        <v>108</v>
      </c>
      <c r="H103" s="190" t="s">
        <v>1150</v>
      </c>
      <c r="I103" s="190">
        <f>'Previous years'!E101</f>
        <v>4850437.8629719988</v>
      </c>
      <c r="J103" s="448"/>
      <c r="K103" s="343"/>
      <c r="L103" s="11" t="s">
        <v>1942</v>
      </c>
      <c r="M103" s="11" t="s">
        <v>1969</v>
      </c>
      <c r="N103" s="229"/>
      <c r="AI103" s="250"/>
      <c r="AJ103" s="250"/>
    </row>
    <row r="104" spans="2:36" s="3" customFormat="1" ht="20.100000000000001" customHeight="1">
      <c r="B104" s="124" t="str">
        <f t="shared" si="7"/>
        <v>Actual capital to replace existing assets [WSF20c]</v>
      </c>
      <c r="C104" s="29"/>
      <c r="D104" s="190" t="s">
        <v>171</v>
      </c>
      <c r="E104" s="190"/>
      <c r="F104" s="243" t="s">
        <v>486</v>
      </c>
      <c r="G104" s="145" t="s">
        <v>108</v>
      </c>
      <c r="H104" s="190" t="s">
        <v>1150</v>
      </c>
      <c r="I104" s="190">
        <f>'Previous years'!E102</f>
        <v>1340375.333898</v>
      </c>
      <c r="J104" s="450"/>
      <c r="K104" s="344"/>
      <c r="L104" s="9" t="s">
        <v>1942</v>
      </c>
      <c r="M104" s="9" t="s">
        <v>1969</v>
      </c>
      <c r="N104" s="228"/>
      <c r="AI104" s="252"/>
      <c r="AJ104" s="252"/>
    </row>
    <row r="105" spans="2:36" s="3" customFormat="1" ht="20.100000000000001" customHeight="1" thickBot="1">
      <c r="B105" s="124" t="str">
        <f t="shared" si="7"/>
        <v>Actual capital expenditure per property: water supply [WSF21]</v>
      </c>
      <c r="C105" s="62"/>
      <c r="D105" s="191" t="s">
        <v>172</v>
      </c>
      <c r="E105" s="191"/>
      <c r="F105" s="244" t="s">
        <v>1428</v>
      </c>
      <c r="G105" s="151" t="s">
        <v>1602</v>
      </c>
      <c r="H105" s="191" t="s">
        <v>1150</v>
      </c>
      <c r="I105" s="191">
        <f>'Previous years'!E103</f>
        <v>410.96857758775548</v>
      </c>
      <c r="J105" s="449" t="str">
        <f>IFERROR(J101/J18,"")</f>
        <v/>
      </c>
      <c r="K105" s="348" t="s">
        <v>212</v>
      </c>
      <c r="L105" s="64"/>
      <c r="M105" s="64"/>
      <c r="N105" s="232"/>
      <c r="AI105" s="235"/>
      <c r="AJ105" s="235"/>
    </row>
    <row r="106" spans="2:36" s="3" customFormat="1" ht="20.100000000000001" customHeight="1">
      <c r="B106" s="124" t="str">
        <f t="shared" si="7"/>
        <v>Development contributions: water supply assets [WSF22]</v>
      </c>
      <c r="C106" s="67" t="s">
        <v>545</v>
      </c>
      <c r="D106" s="192" t="s">
        <v>174</v>
      </c>
      <c r="E106" s="192"/>
      <c r="F106" s="246" t="s">
        <v>1429</v>
      </c>
      <c r="G106" s="153" t="s">
        <v>108</v>
      </c>
      <c r="H106" s="192" t="s">
        <v>1150</v>
      </c>
      <c r="I106" s="192">
        <f>'Previous years'!E104</f>
        <v>8110448.5</v>
      </c>
      <c r="J106" s="454"/>
      <c r="K106" s="354"/>
      <c r="L106" s="227" t="s">
        <v>1942</v>
      </c>
      <c r="M106" s="227" t="s">
        <v>1968</v>
      </c>
      <c r="N106" s="237"/>
      <c r="AI106" s="297"/>
      <c r="AJ106" s="297"/>
    </row>
    <row r="107" spans="2:36" s="3" customFormat="1" ht="20.100000000000001" customHeight="1">
      <c r="B107" s="124" t="str">
        <f t="shared" si="7"/>
        <v>Water treatment facility value at end of reporting year [WSF23a]</v>
      </c>
      <c r="C107" s="29"/>
      <c r="D107" s="190" t="s">
        <v>175</v>
      </c>
      <c r="E107" s="190"/>
      <c r="F107" s="243" t="s">
        <v>176</v>
      </c>
      <c r="G107" s="145" t="s">
        <v>108</v>
      </c>
      <c r="H107" s="190" t="s">
        <v>1150</v>
      </c>
      <c r="I107" s="190">
        <f>'Previous years'!E105</f>
        <v>36560159</v>
      </c>
      <c r="J107" s="448"/>
      <c r="K107" s="343"/>
      <c r="L107" s="11" t="s">
        <v>1942</v>
      </c>
      <c r="M107" s="11" t="s">
        <v>1950</v>
      </c>
      <c r="N107" s="229"/>
      <c r="AI107" s="250"/>
      <c r="AJ107" s="250"/>
    </row>
    <row r="108" spans="2:36" s="3" customFormat="1" ht="20.100000000000001" customHeight="1">
      <c r="B108" s="124" t="str">
        <f t="shared" si="7"/>
        <v>Other water supply asset value [WSF23b]</v>
      </c>
      <c r="C108" s="29"/>
      <c r="D108" s="190" t="s">
        <v>177</v>
      </c>
      <c r="E108" s="190"/>
      <c r="F108" s="243" t="s">
        <v>178</v>
      </c>
      <c r="G108" s="145" t="s">
        <v>108</v>
      </c>
      <c r="H108" s="190" t="s">
        <v>1150</v>
      </c>
      <c r="I108" s="190">
        <f>'Previous years'!E106</f>
        <v>239371338</v>
      </c>
      <c r="J108" s="448"/>
      <c r="K108" s="343"/>
      <c r="L108" s="11" t="s">
        <v>1942</v>
      </c>
      <c r="M108" s="11" t="s">
        <v>1950</v>
      </c>
      <c r="N108" s="229"/>
      <c r="AI108" s="250"/>
      <c r="AJ108" s="250"/>
    </row>
    <row r="109" spans="2:36" s="3" customFormat="1" ht="20.100000000000001" customHeight="1" thickBot="1">
      <c r="B109" s="124" t="str">
        <f t="shared" si="7"/>
        <v>Decline in service potential: water supply [WSF24]</v>
      </c>
      <c r="C109" s="62"/>
      <c r="D109" s="151" t="s">
        <v>179</v>
      </c>
      <c r="E109" s="151"/>
      <c r="F109" s="60" t="s">
        <v>1430</v>
      </c>
      <c r="G109" s="151" t="s">
        <v>444</v>
      </c>
      <c r="H109" s="151" t="s">
        <v>1150</v>
      </c>
      <c r="I109" s="151">
        <f>'Previous years'!E107</f>
        <v>0.25336939988820195</v>
      </c>
      <c r="J109" s="355" t="str">
        <f>IFERROR(J104/J91,"")</f>
        <v/>
      </c>
      <c r="K109" s="348" t="s">
        <v>212</v>
      </c>
      <c r="L109" s="64"/>
      <c r="M109" s="64"/>
      <c r="N109" s="232"/>
      <c r="AI109" s="235"/>
      <c r="AJ109" s="235"/>
    </row>
  </sheetData>
  <autoFilter ref="A5:AJ109" xr:uid="{00000000-0009-0000-0000-000002000000}"/>
  <phoneticPr fontId="114" type="noConversion"/>
  <dataValidations count="84">
    <dataValidation allowBlank="1" showInputMessage="1" showErrorMessage="1" prompt="Any external grants received (not awarded) during the financial year for capital or operational costs related to the water supply scheme." sqref="J82" xr:uid="{00000000-0002-0000-0200-000000000000}"/>
    <dataValidation type="list" allowBlank="1" showInputMessage="1" showErrorMessage="1" sqref="K106:K108 J82 K91:K92 K98:K100 K102:K104 K81:K88 K27:K33 K19:K22 K42:K43 K35:K40 K14:K16 K7:K12 K45:K49 K76:K78 K52:K57 K61:K66" xr:uid="{00000000-0002-0000-0200-000001000000}">
      <formula1>Data_confidence</formula1>
    </dataValidation>
    <dataValidation allowBlank="1" showInputMessage="1" showErrorMessage="1" prompt="Weighted average age of all water pipelines within the total water serviced area. " sqref="J37" xr:uid="{00000000-0002-0000-0200-000002000000}"/>
    <dataValidation allowBlank="1" showInputMessage="1" showErrorMessage="1" prompt="Number of residential properties with metered connections. " sqref="J52" xr:uid="{00000000-0002-0000-0200-000003000000}"/>
    <dataValidation allowBlank="1" showInputMessage="1" showErrorMessage="1" prompt="Number of non-residential properties with metered connections " sqref="J53" xr:uid="{00000000-0002-0000-0200-000004000000}"/>
    <dataValidation allowBlank="1" showInputMessage="1" showErrorMessage="1" prompt="The total grid-sourced electricity consumed by the drinking water network's pumps, water treatment plants, and other network components. Do not include electricity use related to fleet vehicles or offices.  _x000a_" sqref="J54" xr:uid="{00000000-0002-0000-0200-000005000000}"/>
    <dataValidation allowBlank="1" showInputMessage="1" showErrorMessage="1" prompt="The number of unplanned total interruptions to service experienced by properties excluding interruptions caused by third party damage. Further detail is provided in the definitions guidelines." sqref="J33" xr:uid="{00000000-0002-0000-0200-000006000000}"/>
    <dataValidation allowBlank="1" showInputMessage="1" showErrorMessage="1" prompt="Total number of planned interruptions to water service for maintenance or renewal works, excluding water meter or water restrictor replacements. Further detail is provided in the definitions guidelines." sqref="J31" xr:uid="{00000000-0002-0000-0200-000007000000}"/>
    <dataValidation allowBlank="1" showInputMessage="1" showErrorMessage="1" prompt="Automatically calculated by summing complaints by type. The value can be overwritten if a breakdown of water supply complaints by type is not known or other complaints are recorded. The defintion of a complaint is detailed in the definition guidelines." sqref="J67" xr:uid="{00000000-0002-0000-0200-000008000000}"/>
    <dataValidation type="list" allowBlank="1" showErrorMessage="1" sqref="J70 J73 O70:AH70 O73:AH73" xr:uid="{00000000-0002-0000-0200-000009000000}">
      <formula1>Charge_type</formula1>
    </dataValidation>
    <dataValidation allowBlank="1" showInputMessage="1" showErrorMessage="1" prompt="If multiple charges exist enter these in the columns to the right. If a single volumetric charge applies to all nonresidential properties enter it in this field. If the volumetric charge only applies in certain circumstances include these in the comments." sqref="J71 J69" xr:uid="{00000000-0002-0000-0200-00000A000000}"/>
    <dataValidation allowBlank="1" showInputMessage="1" showErrorMessage="1" prompt="This field is automatically calculated based on fixed residential and volumetric rates. If multiple charge regimes exist and charge does not represent average charges overwrite the calculated figure and provide detail in the comments field." sqref="AG52:AH52 J75 O75:AH75" xr:uid="{00000000-0002-0000-0200-00000B000000}"/>
    <dataValidation allowBlank="1" showInputMessage="1" showErrorMessage="1" prompt="From the time when the organisation receives notification to the time that service personnel reach the site in response to a fault or unplanned interruption to the water supply system." sqref="J27" xr:uid="{00000000-0002-0000-0200-00000C000000}"/>
    <dataValidation allowBlank="1" showInputMessage="1" showErrorMessage="1" prompt="From the time that the local authority receives notification to the time that service personnel confirm resolution in response to a fault or unplanned interruption to the water supply system." sqref="J28" xr:uid="{00000000-0002-0000-0200-00000D000000}"/>
    <dataValidation allowBlank="1" showInputMessage="1" showErrorMessage="1" prompt="From the time that the local authority receives notification to the time that service personnel reach the site in response to a non-urgent fault or unplanned interruption to the water supply system." sqref="J29" xr:uid="{00000000-0002-0000-0200-00000E000000}"/>
    <dataValidation allowBlank="1" showInputMessage="1" showErrorMessage="1" prompt="Revenue generated from bulk water supply to other authorities. If not applicable leave blank." sqref="J76" xr:uid="{00000000-0002-0000-0200-00000F000000}"/>
    <dataValidation allowBlank="1" showInputMessage="1" showErrorMessage="1" prompt="Operating Revenue associated with water supply. Excludes Development contributions. Further detail is provided in the definitions guidelines." sqref="J77" xr:uid="{00000000-0002-0000-0200-000010000000}"/>
    <dataValidation allowBlank="1" showInputMessage="1" showErrorMessage="1" prompt="Developer revenue (income) for the reporting year.  This includes all developer cash contributions. It excludes developer asset contributions." sqref="J78" xr:uid="{00000000-0002-0000-0200-000011000000}"/>
    <dataValidation allowBlank="1" showInputMessage="1" showErrorMessage="1" prompt="This cell is automatically calculated based on other supplied data." sqref="J79:J80 J89:J90 J93:J97 J101 J105 J109" xr:uid="{00000000-0002-0000-0200-000012000000}"/>
    <dataValidation allowBlank="1" showInputMessage="1" showErrorMessage="1" prompt="Increase in debt related to water supply (negative value to indicate decrease in debt). Debt is considered any funding that is required to be repayed including internal loans. Funding from reserves or developer contributions is not to be included." sqref="J81:J82" xr:uid="{00000000-0002-0000-0200-000013000000}"/>
    <dataValidation allowBlank="1" showInputMessage="1" showErrorMessage="1" prompt="Electricity, gas and diesel costs across the public water supply network. Excludes fleet vehicle use." sqref="J83" xr:uid="{00000000-0002-0000-0200-000014000000}"/>
    <dataValidation allowBlank="1" showInputMessage="1" showErrorMessage="1" prompt="Cost of chemicals and consumables used to treat water before supplying to customers. Does not include the cost of fluoride." sqref="J84" xr:uid="{00000000-0002-0000-0200-000015000000}"/>
    <dataValidation allowBlank="1" showInputMessage="1" showErrorMessage="1" prompt="The cost of all scheduled operational and maintenance works and external consultants and contractors used for such works. Does not include costs associated with chemicals and consumables, energy or reactive maintenance." sqref="J85" xr:uid="{00000000-0002-0000-0200-000016000000}"/>
    <dataValidation allowBlank="1" showInputMessage="1" showErrorMessage="1" prompt="All external costs associated with operation and maintenance of water supply, not included as routine maintenance, energy, chemicals or consumables." sqref="J86" xr:uid="{00000000-0002-0000-0200-000017000000}"/>
    <dataValidation allowBlank="1" showInputMessage="1" showErrorMessage="1" prompt="Organisational costs including costs related to salaries, accommodation, rate payment, IT,training, etc. " sqref="J87" xr:uid="{00000000-0002-0000-0200-000018000000}"/>
    <dataValidation allowBlank="1" showInputMessage="1" showErrorMessage="1" prompt="Council's contract management costs where management of the network is carried out by a Council Controlled Organisation or an external maintenance contractor.  " sqref="J88" xr:uid="{00000000-0002-0000-0200-000019000000}"/>
    <dataValidation allowBlank="1" showInputMessage="1" showErrorMessage="1" prompt="The depreciation cost in the reporting year as reported in the latest replacement cost valuation." sqref="J91" xr:uid="{00000000-0002-0000-0200-00001A000000}"/>
    <dataValidation allowBlank="1" showInputMessage="1" showErrorMessage="1" prompt="The interest cost for the reporting year. " sqref="J92" xr:uid="{00000000-0002-0000-0200-00001B000000}"/>
    <dataValidation allowBlank="1" showInputMessage="1" showErrorMessage="1" prompt="Budgeted capital related to growth including new works and subdivisions." sqref="J98" xr:uid="{00000000-0002-0000-0200-00001C000000}"/>
    <dataValidation allowBlank="1" showInputMessage="1" showErrorMessage="1" prompt="Budgeted capital related to expenditure on existing assets that is not driven by asset condition or age." sqref="J99" xr:uid="{00000000-0002-0000-0200-00001D000000}"/>
    <dataValidation allowBlank="1" showInputMessage="1" showErrorMessage="1" prompt="Budgeted capital related to renewals or replacements." sqref="J100" xr:uid="{00000000-0002-0000-0200-00001E000000}"/>
    <dataValidation allowBlank="1" showInputMessage="1" showErrorMessage="1" prompt="Actual capital related to growth including new works and subdivisions." sqref="J102" xr:uid="{00000000-0002-0000-0200-00001F000000}"/>
    <dataValidation allowBlank="1" showInputMessage="1" showErrorMessage="1" prompt="Actual capital related to expenditure on existing assets that is not driven by asset condition or age." sqref="J103" xr:uid="{00000000-0002-0000-0200-000020000000}"/>
    <dataValidation allowBlank="1" showInputMessage="1" showErrorMessage="1" prompt="Actual capital related to renewals or replacements." sqref="J104" xr:uid="{00000000-0002-0000-0200-000021000000}"/>
    <dataValidation allowBlank="1" showInputMessage="1" showErrorMessage="1" prompt="Value of assets vested in the council during the reporting year as part of development contributions." sqref="J106" xr:uid="{00000000-0002-0000-0200-000022000000}"/>
    <dataValidation allowBlank="1" showInputMessage="1" showErrorMessage="1" prompt="The closing book value of water supply treatment plants and facilities." sqref="J107" xr:uid="{00000000-0002-0000-0200-000023000000}"/>
    <dataValidation allowBlank="1" showInputMessage="1" showErrorMessage="1" prompt="The closing book value of other assets (such as reticulation systems). " sqref="J108" xr:uid="{00000000-0002-0000-0200-000024000000}"/>
    <dataValidation allowBlank="1" showInputMessage="1" showErrorMessage="1" prompt="Volume of water imported from a separate organisations supply that is used to supply the water network if any. " sqref="J21" xr:uid="{00000000-0002-0000-0200-000025000000}"/>
    <dataValidation allowBlank="1" showInputMessage="1" showErrorMessage="1" prompt="Volume of water provided from sources managed by the organisations that is exported for use to other water networks if any. " sqref="J22" xr:uid="{00000000-0002-0000-0200-000026000000}"/>
    <dataValidation allowBlank="1" showInputMessage="1" showErrorMessage="1" prompt="If multiple residential charges exist enter these in the columns to the right. If the average of these values does not represent the average customer charge overwrite the value in the data column and provide detail in the comments field. " sqref="J72" xr:uid="{00000000-0002-0000-0200-000027000000}"/>
    <dataValidation allowBlank="1" showInputMessage="1" showErrorMessage="1" prompt="If multiple charges exist enter these in the columns to the right. If a single volumetric charge applies to all residential properties enter it in this field. If the volumetric charge only applies in certain circumstances include these in the comments." sqref="J74" xr:uid="{00000000-0002-0000-0200-000028000000}"/>
    <dataValidation allowBlank="1" showInputMessage="1" showErrorMessage="1" prompt="This cell is automatically calculated based on other supplied data. " sqref="J68" xr:uid="{00000000-0002-0000-0200-000029000000}"/>
    <dataValidation allowBlank="1" showInputMessage="1" showErrorMessage="1" prompt="Detail on complaints definitions is included in the defintion guidelines." sqref="J61:J65" xr:uid="{00000000-0002-0000-0200-00002A000000}"/>
    <dataValidation allowBlank="1" showInputMessage="1" showErrorMessage="1" prompt="The total energy consumed by wastewater pumps and treatment plants. Do not include office or fleet related energy consumption. Joules of energy provided by all energy sources including electricity, diesel, gas and biogas should be included. " sqref="J54" xr:uid="{00000000-0002-0000-0200-00002B000000}"/>
    <dataValidation allowBlank="1" showInputMessage="1" showErrorMessage="1" prompt="Energy generated through use of turbines in the water network, or other areas of the water supply system. Provide details of generation in the comments field." sqref="J56" xr:uid="{00000000-0002-0000-0200-00002C000000}"/>
    <dataValidation allowBlank="1" showInputMessage="1" showErrorMessage="1" prompt="Complaints about the authorities response to WSSS5a, WSSS5b, WSSS5c, WSSS5d, or WSSS5e" sqref="J66:J67" xr:uid="{00000000-0002-0000-0200-00002D000000}"/>
    <dataValidation allowBlank="1" showInputMessage="1" showErrorMessage="1" prompt="The number of unplanned interruptions to service caused by third parties. Further detail is provided in the definitions guidelines." sqref="J32:J33 J37" xr:uid="{00000000-0002-0000-0200-00002E000000}"/>
    <dataValidation allowBlank="1" showInputMessage="1" showErrorMessage="1" prompt="From the time that the local authority receives notification to the time that service personnel confirm resolution in response to a non-urgent fault or unplanned interruption to the water supply system" sqref="J30:J33 J37" xr:uid="{00000000-0002-0000-0200-00002F000000}"/>
    <dataValidation allowBlank="1" showInputMessage="1" showErrorMessage="1" prompt="The proportion of fire hydrants inspected in the previous five years." sqref="J45" xr:uid="{00000000-0002-0000-0200-000030000000}"/>
    <dataValidation allowBlank="1" showInputMessage="1" showErrorMessage="1" prompt="The number of distinct drinking water supply systems operated." sqref="J6" xr:uid="{00000000-0002-0000-0200-000031000000}"/>
    <dataValidation allowBlank="1" showInputMessage="1" showErrorMessage="1" prompt="Number of water treatment plants operated." sqref="J7" xr:uid="{00000000-0002-0000-0200-000032000000}"/>
    <dataValidation allowBlank="1" showInputMessage="1" showErrorMessage="1" prompt="Number of water supply reservoirs. Include distribution system reservoirs and tanks, and treated water reservoir and tanks. Exclude raw water storage, or small break pressure tanks." sqref="J8" xr:uid="{00000000-0002-0000-0200-000033000000}"/>
    <dataValidation allowBlank="1" showInputMessage="1" showErrorMessage="1" prompt="Any pump station used to deliver drinking water after the final stage in the treatment processs. Do not inlcude pumps at treatment plants." sqref="J9" xr:uid="{00000000-0002-0000-0200-000034000000}"/>
    <dataValidation allowBlank="1" showInputMessage="1" showErrorMessage="1" prompt="Total length of public water mains, excluding private laterals." sqref="J10" xr:uid="{00000000-0002-0000-0200-000035000000}"/>
    <dataValidation allowBlank="1" showInputMessage="1" showErrorMessage="1" prompt="A text identifier for networks accounted for in WST1. List in the columns to the right if multiple networks are operated." sqref="J11" xr:uid="{00000000-0002-0000-0200-000036000000}"/>
    <dataValidation allowBlank="1" showInputMessage="1" showErrorMessage="1" prompt="Total number of physical points where water is abstracted to supply the water network. List in the columns to the right if data is available for individual networks." sqref="J12" xr:uid="{00000000-0002-0000-0200-000037000000}"/>
    <dataValidation allowBlank="1" showInputMessage="1" showErrorMessage="1" prompt="test" sqref="J12" xr:uid="{00000000-0002-0000-0200-000038000000}"/>
    <dataValidation allowBlank="1" showInputMessage="1" showErrorMessage="1" prompt="Total number of residential connections. List in the columns to the right if data is available for individual networks." sqref="J14" xr:uid="{00000000-0002-0000-0200-000039000000}"/>
    <dataValidation allowBlank="1" showInputMessage="1" showErrorMessage="1" prompt="Total number of non-residential connections. List in the columns to the right if data is available for individual networks." sqref="J15" xr:uid="{00000000-0002-0000-0200-00003A000000}"/>
    <dataValidation allowBlank="1" showInputMessage="1" showErrorMessage="1" prompt="Population serviced by the water supply determined as follows: https://www.taumataarowai.govt.nz/for-water-suppliers/register-your-supply/guidance-to-determine-water-supply-population _x000a_Individual network data can be entered in columns to the right" sqref="J16" xr:uid="{00000000-0002-0000-0200-00003B000000}"/>
    <dataValidation allowBlank="1" showInputMessage="1" showErrorMessage="1" prompt="Water consumption for non-residential properties, including rural and agricultural uses, and outdoor areas. Further detail is in the defintions sheet. List in the columns to the right if data is available for individual networks." sqref="J20" xr:uid="{00000000-0002-0000-0200-00003C000000}"/>
    <dataValidation allowBlank="1" showInputMessage="1" showErrorMessage="1" prompt="Water supplied to the network.  List in the columns to the right if data is available for individual networks." sqref="J19" xr:uid="{00000000-0002-0000-0200-00003D000000}"/>
    <dataValidation allowBlank="1" showInputMessage="1" showErrorMessage="1" prompt="List in the columns to the right if data is available for individual networks." sqref="J19" xr:uid="{00000000-0002-0000-0200-00003E000000}"/>
    <dataValidation allowBlank="1" showInputMessage="1" showErrorMessage="1" prompt="The number of resource consents related to drinking water network operation." sqref="J23" xr:uid="{00000000-0002-0000-0200-00003F000000}"/>
    <dataValidation allowBlank="1" showInputMessage="1" showErrorMessage="1" prompt="This is a mandatory field for Drinking Water Network Environmental Performance reporting. It has been included here, for authorities wishing to record all measures for completeness. It will not be included in bechmarking." sqref="J25" xr:uid="{00000000-0002-0000-0200-000040000000}"/>
    <dataValidation allowBlank="1" showInputMessage="1" showErrorMessage="1" prompt="_x000a_" sqref="J27" xr:uid="{00000000-0002-0000-0200-000041000000}"/>
    <dataValidation allowBlank="1" showInputMessage="1" showErrorMessage="1" prompt="The percentage of above and below ground pipelines, by length, that have recieved a conditiong grading using a standardised structure. Include information on the apporach in the comments." sqref="J35" xr:uid="{00000000-0002-0000-0200-000042000000}"/>
    <dataValidation allowBlank="1" showInputMessage="1" showErrorMessage="1" prompt="The percentage of pipelines, above and below ground, by length, that have recieved a poor or very poor condition grade. The definitions of poor and very poor should align with the IPWEA IIMM manual. If they do not, list deviations in the comments." sqref="J36" xr:uid="{00000000-0002-0000-0200-000043000000}"/>
    <dataValidation allowBlank="1" showInputMessage="1" showErrorMessage="1" prompt="The proportion of above ground assets, of types specified in definitions guide, that have recieved a condition grading. Include the approach used to determine the condition grade in the comments field." sqref="J38" xr:uid="{00000000-0002-0000-0200-000044000000}"/>
    <dataValidation allowBlank="1" showInputMessage="1" showErrorMessage="1" prompt="The percentage of above ground assets, defined in WSA13c, that have recieved a poor or very poor condition grade, in alignment with the defintion in the IPWEA IIMM. If condition grades do not adhere to the definition, note deviations in the comments." sqref="J39" xr:uid="{00000000-0002-0000-0200-000045000000}"/>
    <dataValidation allowBlank="1" showInputMessage="1" showErrorMessage="1" prompt="Average distribution pressure. Methods for calculation are linked to in the definitions guide." sqref="J40" xr:uid="{00000000-0002-0000-0200-000046000000}"/>
    <dataValidation allowBlank="1" showInputMessage="1" showErrorMessage="1" prompt="The total number of days water restrictions were in place across the district." sqref="J42" xr:uid="{00000000-0002-0000-0200-000047000000}"/>
    <dataValidation allowBlank="1" showInputMessage="1" showErrorMessage="1" prompt="The proportion of customers affected by water resitrictions." sqref="J43" xr:uid="{00000000-0002-0000-0200-000048000000}"/>
    <dataValidation allowBlank="1" showInputMessage="1" showErrorMessage="1" prompt="This cell is automatically calculated based on other supplied data. It can be overwritten if a more accurate value is available." sqref="J17:J18 J34" xr:uid="{00000000-0002-0000-0200-000049000000}"/>
    <dataValidation type="list" allowBlank="1" showInputMessage="1" showErrorMessage="1" prompt="This cell is automatically calculated based on other supplied data. It can be overwritten if a more accurate value is available." sqref="J34" xr:uid="{00000000-0002-0000-0200-00004A000000}">
      <formula1>Data_confidence</formula1>
    </dataValidation>
    <dataValidation allowBlank="1" showInputMessage="1" showErrorMessage="1" prompt="Total drinking water losses, calculated as the difference between system input and authorised consumption. List in the columns to the right if data is available for individual networks." sqref="J46" xr:uid="{00000000-0002-0000-0200-00004B000000}"/>
    <dataValidation allowBlank="1" showInputMessage="1" showErrorMessage="1" prompt="List current annual real losses (the difference between water loss and apparent losses) for networks with a connection density of 20/km or higher. List data for individual networks in columns to the right if available." sqref="J47" xr:uid="{00000000-0002-0000-0200-00004C000000}"/>
    <dataValidation allowBlank="1" showInputMessage="1" showErrorMessage="1" prompt="List current annual real losses (the difference between water loss and apparent losses) for networks with a connection density of less than 20/km. List data for individual networks in columns to the right if available." sqref="J48" xr:uid="{00000000-0002-0000-0200-00004D000000}"/>
    <dataValidation allowBlank="1" showInputMessage="1" showErrorMessage="1" prompt="The infastructure leakage index (as defined in the Water New Zealand Water Loss Guidelines 2010). List data for individual networks in columns to the right if available." sqref="J49" xr:uid="{00000000-0002-0000-0200-00004E000000}"/>
    <dataValidation allowBlank="1" showInputMessage="1" showErrorMessage="1" prompt="This cell is automatically calculated based on other supplied data. It metered data is available overwrite with median use per connection." sqref="J50" xr:uid="{00000000-0002-0000-0200-00004F000000}"/>
    <dataValidation allowBlank="1" showInputMessage="1" showErrorMessage="1" prompt="The number of residential water meters." sqref="J52" xr:uid="{00000000-0002-0000-0200-000050000000}"/>
    <dataValidation allowBlank="1" showInputMessage="1" showErrorMessage="1" prompt="The number of non-residential water meters." sqref="J53" xr:uid="{00000000-0002-0000-0200-000051000000}"/>
    <dataValidation allowBlank="1" showInputMessage="1" showErrorMessage="1" prompt="The total energy consumed from all sources other than electricity (e.g. biomass, diesel or gas) by water system pumps, water treatment plants, and other network components." sqref="J55" xr:uid="{00000000-0002-0000-0200-000052000000}"/>
    <dataValidation allowBlank="1" showInputMessage="1" showErrorMessage="1" prompt="Expiry dates for each of the resource consents listed above." sqref="J26" xr:uid="{00000000-0002-0000-0200-000053000000}"/>
  </dataValidations>
  <pageMargins left="0.7" right="0.7" top="0.75" bottom="0.75" header="0.3" footer="0.3"/>
  <pageSetup paperSize="9" scale="32" orientation="portrait" r:id="rId1"/>
  <extLst>
    <ext xmlns:x14="http://schemas.microsoft.com/office/spreadsheetml/2009/9/main" uri="{CCE6A557-97BC-4b89-ADB6-D9C93CAAB3DF}">
      <x14:dataValidations xmlns:xm="http://schemas.microsoft.com/office/excel/2006/main" count="14">
        <x14:dataValidation type="list" allowBlank="1" showInputMessage="1" showErrorMessage="1" prompt="A yes/no response indicating if a water conservation programme is in place. Include relevant detail in the comments." xr:uid="{00000000-0002-0000-0200-000054000000}">
          <x14:formula1>
            <xm:f>'Data lists'!$C$1:$C$2</xm:f>
          </x14:formula1>
          <xm:sqref>J51</xm:sqref>
        </x14:dataValidation>
        <x14:dataValidation type="list" allowBlank="1" showInputMessage="1" showErrorMessage="1" prompt="A yes/no response indicating if a greenhouse gas emissions baseline has been developed for forecast operational and capital expenditure. Further references are provided in the definition guide." xr:uid="{00000000-0002-0000-0200-000055000000}">
          <x14:formula1>
            <xm:f>'Data lists'!$C$1:$C$2</xm:f>
          </x14:formula1>
          <xm:sqref>J60</xm:sqref>
        </x14:dataValidation>
        <x14:dataValidation type="list" allowBlank="1" showInputMessage="1" showErrorMessage="1" prompt="For each of the consents listed in WST5, list what the consent relates to. If more consents are held than space allowed for, provide a summary in the comments field." xr:uid="{00000000-0002-0000-0200-000056000000}">
          <x14:formula1>
            <xm:f>'Data lists'!$O$1:$O$5</xm:f>
          </x14:formula1>
          <xm:sqref>J24</xm:sqref>
        </x14:dataValidation>
        <x14:dataValidation type="list" allowBlank="1" showInputMessage="1" showErrorMessage="1" xr:uid="{00000000-0002-0000-0200-000057000000}">
          <x14:formula1>
            <xm:f>'Data lists'!$C$1:$C$2</xm:f>
          </x14:formula1>
          <xm:sqref>J60</xm:sqref>
        </x14:dataValidation>
        <x14:dataValidation type="list" allowBlank="1" showInputMessage="1" showErrorMessage="1" xr:uid="{00000000-0002-0000-0200-000058000000}">
          <x14:formula1>
            <xm:f>'Data lists'!$P$1:$P$6</xm:f>
          </x14:formula1>
          <xm:sqref>O13:AH13</xm:sqref>
        </x14:dataValidation>
        <x14:dataValidation type="list" allowBlank="1" showInputMessage="1" showErrorMessage="1" prompt="The source of drinking water for each network. List in the columns to the right if data is available for multiple networks. If multiple sources of water are used for a single network list in the comments field." xr:uid="{00000000-0002-0000-0200-000059000000}">
          <x14:formula1>
            <xm:f>'Data lists'!$P$1:$P$6</xm:f>
          </x14:formula1>
          <xm:sqref>J13</xm:sqref>
        </x14:dataValidation>
        <x14:dataValidation type="list" allowBlank="1" showInputMessage="1" showErrorMessage="1" prompt="A yes/no response indicating if SNZ PAS 4509:2008 has been adotped" xr:uid="{00000000-0002-0000-0200-00005A000000}">
          <x14:formula1>
            <xm:f>'Data lists'!$C$1:$C$2</xm:f>
          </x14:formula1>
          <xm:sqref>J44</xm:sqref>
        </x14:dataValidation>
        <x14:dataValidation type="list" allowBlank="1" showInputMessage="1" showErrorMessage="1" prompt="A yes/no response indicating if a reference level for pressure has been set for e.g. customer levels of service, fire fighting requirements, backflow protection. If yes, provide detail in the comments field on the reference level set." xr:uid="{00000000-0002-0000-0200-00005B000000}">
          <x14:formula1>
            <xm:f>'Data lists'!$C$1:$C$2</xm:f>
          </x14:formula1>
          <xm:sqref>J41</xm:sqref>
        </x14:dataValidation>
        <x14:dataValidation type="list" allowBlank="1" showInputMessage="1" showErrorMessage="1" prompt="A yes/no response indicating whether a comprehensive assessment of critical assets has been undertaken. A definition of critical assets is provided in the definitions guideline." xr:uid="{00000000-0002-0000-0200-00005C000000}">
          <x14:formula1>
            <xm:f>'Data lists'!$C$1:$C$2</xm:f>
          </x14:formula1>
          <xm:sqref>J57</xm:sqref>
        </x14:dataValidation>
        <x14:dataValidation type="list" allowBlank="1" showInputMessage="1" showErrorMessage="1" prompt="adf" xr:uid="{00000000-0002-0000-0200-00005D000000}">
          <x14:formula1>
            <xm:f>'Data lists'!$C$1:$C$2</xm:f>
          </x14:formula1>
          <xm:sqref>J57</xm:sqref>
        </x14:dataValidation>
        <x14:dataValidation type="list" allowBlank="1" showInputMessage="1" showErrorMessage="1" prompt="A yes, no response to indicate if a risk assessment has been undertaken to assess risks climate change poses to water sources and network assets. If yes, include top three identified risks in the comments field." xr:uid="{00000000-0002-0000-0200-00005E000000}">
          <x14:formula1>
            <xm:f>'Data lists'!$C$1:$C$2</xm:f>
          </x14:formula1>
          <xm:sqref>J58</xm:sqref>
        </x14:dataValidation>
        <x14:dataValidation type="list" allowBlank="1" showInputMessage="1" showErrorMessage="1" prompt="A yes/no response to indicate if a risk assessment has been undertaken to assess risks climate change risks refferred to in WSCC1. Provide relevant detail in comments." xr:uid="{00000000-0002-0000-0200-00005F000000}">
          <x14:formula1>
            <xm:f>'Data lists'!$C$1:$C$2</xm:f>
          </x14:formula1>
          <xm:sqref>J59</xm:sqref>
        </x14:dataValidation>
        <x14:dataValidation type="list" allowBlank="1" showInputMessage="1" showErrorMessage="1" prompt="A yes, no response to indicate if a risk assessment has been undertaken to adress risks identified in WSCC1. Include any relevant detail in comments (e.g. assessed as part of district plan, regional plan, individual asset assessment)." xr:uid="{00000000-0002-0000-0200-000060000000}">
          <x14:formula1>
            <xm:f>'Data lists'!$C$1:$C$2</xm:f>
          </x14:formula1>
          <xm:sqref>J59</xm:sqref>
        </x14:dataValidation>
        <x14:dataValidation type="list" allowBlank="1" showInputMessage="1" showErrorMessage="1" xr:uid="{00000000-0002-0000-0200-000061000000}">
          <x14:formula1>
            <xm:f>'Data lists'!$O$1:$O$5</xm:f>
          </x14:formula1>
          <xm:sqref>O24:AH24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9"/>
  </sheetPr>
  <dimension ref="B2:AF148"/>
  <sheetViews>
    <sheetView showGridLines="0" zoomScale="85" zoomScaleNormal="85" workbookViewId="0">
      <pane xSplit="7" ySplit="5" topLeftCell="H6" activePane="bottomRight" state="frozen"/>
      <selection pane="topRight" activeCell="H1" sqref="H1"/>
      <selection pane="bottomLeft" activeCell="A6" sqref="A6"/>
      <selection pane="bottomRight" activeCell="M11" sqref="M11:R14"/>
    </sheetView>
  </sheetViews>
  <sheetFormatPr defaultColWidth="9.140625" defaultRowHeight="15"/>
  <cols>
    <col min="1" max="1" width="9.140625" style="115"/>
    <col min="2" max="2" width="92.7109375" style="124" hidden="1" customWidth="1"/>
    <col min="3" max="3" width="25.140625" style="210" customWidth="1"/>
    <col min="4" max="4" width="12" style="115" customWidth="1"/>
    <col min="5" max="5" width="71.5703125" style="33" customWidth="1"/>
    <col min="6" max="6" width="17" style="1" customWidth="1"/>
    <col min="7" max="7" width="20.42578125" style="1" customWidth="1"/>
    <col min="8" max="8" width="22.5703125" style="115" customWidth="1"/>
    <col min="9" max="9" width="21" style="115" customWidth="1"/>
    <col min="10" max="10" width="30.7109375" style="115" customWidth="1"/>
    <col min="11" max="11" width="15.7109375" style="115" customWidth="1"/>
    <col min="12" max="12" width="42.28515625" style="115" bestFit="1" customWidth="1"/>
    <col min="13" max="13" width="22.5703125" style="108" customWidth="1"/>
    <col min="14" max="18" width="15.7109375" style="108" customWidth="1"/>
    <col min="19" max="30" width="15.7109375" style="108" hidden="1" customWidth="1"/>
    <col min="31" max="32" width="30.7109375" style="115" hidden="1" customWidth="1"/>
    <col min="33" max="689" width="9.140625" style="115" customWidth="1"/>
    <col min="690" max="16384" width="9.140625" style="115"/>
  </cols>
  <sheetData>
    <row r="2" spans="2:32" ht="20.100000000000001" customHeight="1">
      <c r="C2" s="5" t="str">
        <f>Common!C2</f>
        <v>National Performance Review 2021/22</v>
      </c>
      <c r="D2" s="2"/>
      <c r="H2" s="1"/>
      <c r="I2" s="1"/>
      <c r="J2" s="1"/>
      <c r="K2" s="1"/>
      <c r="L2" s="1"/>
      <c r="AE2" s="1"/>
      <c r="AF2" s="1"/>
    </row>
    <row r="3" spans="2:32" ht="24" thickBot="1">
      <c r="C3" s="32" t="s">
        <v>1609</v>
      </c>
      <c r="D3" s="32" t="str">
        <f>Common!E3</f>
        <v>Queenstown-Lakes</v>
      </c>
      <c r="E3" s="32"/>
      <c r="H3" s="1"/>
      <c r="I3" s="1"/>
      <c r="J3" s="1"/>
      <c r="K3" s="1"/>
      <c r="L3" s="1"/>
      <c r="AE3" s="1"/>
      <c r="AF3" s="1"/>
    </row>
    <row r="4" spans="2:32" ht="20.100000000000001" customHeight="1" thickTop="1">
      <c r="C4" s="206"/>
      <c r="D4" s="2"/>
      <c r="H4" s="1"/>
      <c r="I4" s="1"/>
      <c r="J4" s="1"/>
      <c r="K4" s="1"/>
      <c r="L4" s="1"/>
      <c r="AE4" s="1"/>
      <c r="AF4" s="1"/>
    </row>
    <row r="5" spans="2:32" ht="20.100000000000001" customHeight="1">
      <c r="B5" s="124" t="s">
        <v>564</v>
      </c>
      <c r="C5" s="207"/>
      <c r="D5" s="20" t="s">
        <v>0</v>
      </c>
      <c r="E5" s="223" t="s">
        <v>1</v>
      </c>
      <c r="F5" s="21" t="s">
        <v>2</v>
      </c>
      <c r="G5" s="21" t="s">
        <v>1298</v>
      </c>
      <c r="H5" s="317" t="s">
        <v>3</v>
      </c>
      <c r="I5" s="317" t="s">
        <v>4</v>
      </c>
      <c r="J5" s="21" t="s">
        <v>185</v>
      </c>
      <c r="K5" s="21" t="s">
        <v>5</v>
      </c>
      <c r="L5" s="21" t="s">
        <v>184</v>
      </c>
      <c r="AE5" s="21" t="s">
        <v>891</v>
      </c>
      <c r="AF5" s="21" t="s">
        <v>892</v>
      </c>
    </row>
    <row r="6" spans="2:32" ht="20.100000000000001" customHeight="1">
      <c r="C6" s="205" t="s">
        <v>1323</v>
      </c>
      <c r="D6" s="254" t="s">
        <v>231</v>
      </c>
      <c r="E6" s="255" t="s">
        <v>232</v>
      </c>
      <c r="F6" s="254" t="s">
        <v>444</v>
      </c>
      <c r="G6" s="254">
        <f>'Previous years'!G4</f>
        <v>68</v>
      </c>
      <c r="H6" s="616">
        <v>73</v>
      </c>
      <c r="I6" s="402" t="s">
        <v>895</v>
      </c>
      <c r="J6" s="305" t="s">
        <v>1940</v>
      </c>
      <c r="K6" s="299" t="s">
        <v>1945</v>
      </c>
      <c r="L6" s="325"/>
      <c r="AE6" s="99"/>
      <c r="AF6" s="99"/>
    </row>
    <row r="7" spans="2:32" ht="20.100000000000001" customHeight="1">
      <c r="C7" s="205" t="s">
        <v>1314</v>
      </c>
      <c r="D7" s="254" t="s">
        <v>224</v>
      </c>
      <c r="E7" s="288" t="s">
        <v>225</v>
      </c>
      <c r="F7" s="254" t="s">
        <v>27</v>
      </c>
      <c r="G7" s="254">
        <f>'Previous years'!G5</f>
        <v>613.904</v>
      </c>
      <c r="H7" s="619">
        <v>597.95000000000005</v>
      </c>
      <c r="I7" s="402" t="s">
        <v>895</v>
      </c>
      <c r="J7" s="315" t="s">
        <v>1940</v>
      </c>
      <c r="K7" s="299" t="s">
        <v>1945</v>
      </c>
      <c r="L7" s="617" t="s">
        <v>1975</v>
      </c>
      <c r="AE7" s="282"/>
      <c r="AF7" s="282"/>
    </row>
    <row r="8" spans="2:32" ht="20.100000000000001" customHeight="1">
      <c r="C8" s="205"/>
      <c r="D8" s="254" t="s">
        <v>239</v>
      </c>
      <c r="E8" s="255" t="s">
        <v>240</v>
      </c>
      <c r="F8" s="254" t="s">
        <v>27</v>
      </c>
      <c r="G8" s="254">
        <f>'Previous years'!G6</f>
        <v>0</v>
      </c>
      <c r="H8" s="618">
        <f>H7+Stormwater!H6</f>
        <v>1043.02</v>
      </c>
      <c r="I8" s="403" t="s">
        <v>895</v>
      </c>
      <c r="J8" s="305" t="s">
        <v>1940</v>
      </c>
      <c r="K8" s="299" t="s">
        <v>1945</v>
      </c>
      <c r="L8" s="617" t="s">
        <v>1977</v>
      </c>
      <c r="AE8" s="99"/>
      <c r="AF8" s="99"/>
    </row>
    <row r="9" spans="2:32" ht="20.100000000000001" customHeight="1">
      <c r="B9" s="124" t="e">
        <f>#REF!&amp;" ["&amp;#REF!&amp;"]"</f>
        <v>#REF!</v>
      </c>
      <c r="C9" s="205"/>
      <c r="D9" s="254" t="s">
        <v>440</v>
      </c>
      <c r="E9" s="255" t="s">
        <v>422</v>
      </c>
      <c r="F9" s="254" t="s">
        <v>444</v>
      </c>
      <c r="G9" s="254">
        <v>6</v>
      </c>
      <c r="H9" s="379">
        <v>6</v>
      </c>
      <c r="I9" s="404"/>
      <c r="J9" s="305" t="s">
        <v>1940</v>
      </c>
      <c r="K9" s="301"/>
      <c r="L9" s="325"/>
      <c r="M9" s="312" t="s">
        <v>866</v>
      </c>
      <c r="N9" s="312" t="s">
        <v>423</v>
      </c>
      <c r="O9" s="312" t="s">
        <v>424</v>
      </c>
      <c r="P9" s="312" t="s">
        <v>425</v>
      </c>
      <c r="Q9" s="312" t="s">
        <v>426</v>
      </c>
      <c r="R9" s="312" t="s">
        <v>427</v>
      </c>
      <c r="S9" s="312" t="s">
        <v>428</v>
      </c>
      <c r="T9" s="312" t="s">
        <v>429</v>
      </c>
      <c r="U9" s="312" t="s">
        <v>430</v>
      </c>
      <c r="V9" s="312" t="s">
        <v>431</v>
      </c>
      <c r="W9" s="312" t="s">
        <v>432</v>
      </c>
      <c r="X9" s="312" t="s">
        <v>433</v>
      </c>
      <c r="Y9" s="312" t="s">
        <v>434</v>
      </c>
      <c r="Z9" s="312" t="s">
        <v>435</v>
      </c>
      <c r="AA9" s="312" t="s">
        <v>436</v>
      </c>
      <c r="AB9" s="312" t="s">
        <v>437</v>
      </c>
      <c r="AC9" s="312" t="s">
        <v>438</v>
      </c>
      <c r="AD9" s="312" t="s">
        <v>439</v>
      </c>
      <c r="AE9" s="99"/>
      <c r="AF9" s="99"/>
    </row>
    <row r="10" spans="2:32" ht="20.100000000000001" customHeight="1" thickBot="1">
      <c r="B10" s="124" t="e">
        <f>#REF!&amp;" ["&amp;#REF!&amp;"]"</f>
        <v>#REF!</v>
      </c>
      <c r="C10" s="208"/>
      <c r="D10" s="256" t="s">
        <v>234</v>
      </c>
      <c r="E10" s="257" t="s">
        <v>498</v>
      </c>
      <c r="F10" s="256" t="s">
        <v>40</v>
      </c>
      <c r="G10" s="256" t="str">
        <f>'Previous years'!G8</f>
        <v/>
      </c>
      <c r="H10" s="380"/>
      <c r="I10" s="405"/>
      <c r="J10" s="305" t="s">
        <v>1940</v>
      </c>
      <c r="K10" s="142"/>
      <c r="L10" s="329"/>
      <c r="M10" s="11" t="s">
        <v>1978</v>
      </c>
      <c r="N10" s="11" t="s">
        <v>1979</v>
      </c>
      <c r="O10" s="11" t="s">
        <v>1980</v>
      </c>
      <c r="P10" s="11" t="s">
        <v>1981</v>
      </c>
      <c r="Q10" s="11" t="s">
        <v>1982</v>
      </c>
      <c r="R10" s="11" t="s">
        <v>1983</v>
      </c>
      <c r="S10" s="313"/>
      <c r="T10" s="313"/>
      <c r="U10" s="313"/>
      <c r="V10" s="313"/>
      <c r="W10" s="313"/>
      <c r="X10" s="313"/>
      <c r="Y10" s="313"/>
      <c r="Z10" s="313"/>
      <c r="AA10" s="313"/>
      <c r="AB10" s="313"/>
      <c r="AC10" s="313"/>
      <c r="AD10" s="313"/>
      <c r="AE10" s="283"/>
      <c r="AF10" s="283"/>
    </row>
    <row r="11" spans="2:32" ht="20.100000000000001" customHeight="1">
      <c r="B11" s="124" t="e">
        <f>#REF!&amp;" ["&amp;#REF!&amp;"]"</f>
        <v>#REF!</v>
      </c>
      <c r="C11" s="205" t="s">
        <v>1324</v>
      </c>
      <c r="D11" s="254" t="s">
        <v>235</v>
      </c>
      <c r="E11" s="255" t="s">
        <v>499</v>
      </c>
      <c r="F11" s="254" t="s">
        <v>478</v>
      </c>
      <c r="G11" s="254">
        <f>'Previous years'!G9</f>
        <v>4726397</v>
      </c>
      <c r="H11" s="381" t="str">
        <f>IF(SUM(M11:AD11)=0,"",SUM(M11:AD11))</f>
        <v/>
      </c>
      <c r="I11" s="406"/>
      <c r="J11" s="304" t="s">
        <v>1943</v>
      </c>
      <c r="K11" s="303"/>
      <c r="L11" s="327"/>
      <c r="M11" s="622"/>
      <c r="N11" s="622"/>
      <c r="O11" s="622"/>
      <c r="P11" s="622"/>
      <c r="Q11" s="622"/>
      <c r="R11" s="622"/>
      <c r="S11" s="116"/>
      <c r="T11" s="116"/>
      <c r="U11" s="116"/>
      <c r="V11" s="116"/>
      <c r="W11" s="116"/>
      <c r="X11" s="116"/>
      <c r="Y11" s="116"/>
      <c r="Z11" s="116"/>
      <c r="AA11" s="116"/>
      <c r="AB11" s="116"/>
      <c r="AC11" s="116"/>
      <c r="AD11" s="591"/>
      <c r="AE11" s="100"/>
      <c r="AF11" s="100"/>
    </row>
    <row r="12" spans="2:32" ht="20.100000000000001" customHeight="1">
      <c r="B12" s="124" t="e">
        <f>#REF!&amp;" ["&amp;#REF!&amp;"]"</f>
        <v>#REF!</v>
      </c>
      <c r="C12" s="205" t="s">
        <v>1325</v>
      </c>
      <c r="D12" s="254" t="s">
        <v>236</v>
      </c>
      <c r="E12" s="255" t="s">
        <v>529</v>
      </c>
      <c r="F12" s="254" t="s">
        <v>10</v>
      </c>
      <c r="G12" s="517" t="str">
        <f>'Previous years'!G10</f>
        <v/>
      </c>
      <c r="H12" s="443" t="str">
        <f>IFERROR(AVERAGE(M12:AD12),"")</f>
        <v/>
      </c>
      <c r="I12" s="406"/>
      <c r="J12" s="304" t="s">
        <v>1943</v>
      </c>
      <c r="K12" s="338"/>
      <c r="L12" s="330"/>
      <c r="M12" s="623"/>
      <c r="N12" s="623"/>
      <c r="O12" s="623"/>
      <c r="P12" s="623"/>
      <c r="Q12" s="623"/>
      <c r="R12" s="623"/>
      <c r="S12" s="457"/>
      <c r="T12" s="457"/>
      <c r="U12" s="457"/>
      <c r="V12" s="457"/>
      <c r="W12" s="457"/>
      <c r="X12" s="457"/>
      <c r="Y12" s="457"/>
      <c r="Z12" s="457"/>
      <c r="AA12" s="457"/>
      <c r="AB12" s="457"/>
      <c r="AC12" s="457"/>
      <c r="AD12" s="590"/>
      <c r="AE12" s="251"/>
      <c r="AF12" s="251"/>
    </row>
    <row r="13" spans="2:32" ht="20.100000000000001" customHeight="1">
      <c r="B13" s="124" t="str">
        <f>E13&amp;" ["&amp;D13&amp;"]"</f>
        <v>Wastewater Imported for Treatment [WWB6]</v>
      </c>
      <c r="C13" s="205"/>
      <c r="D13" s="254" t="s">
        <v>223</v>
      </c>
      <c r="E13" s="255" t="s">
        <v>873</v>
      </c>
      <c r="F13" s="254" t="s">
        <v>478</v>
      </c>
      <c r="G13" s="254">
        <f>'Previous years'!G11</f>
        <v>0</v>
      </c>
      <c r="H13" s="381" t="str">
        <f>IF(SUM(M13:AD13)=0,"",SUM(M13:AD13))</f>
        <v/>
      </c>
      <c r="I13" s="407"/>
      <c r="J13" s="305" t="s">
        <v>1943</v>
      </c>
      <c r="K13" s="298"/>
      <c r="L13" s="325"/>
      <c r="M13" s="624"/>
      <c r="N13" s="624"/>
      <c r="O13" s="624"/>
      <c r="P13" s="624"/>
      <c r="Q13" s="624"/>
      <c r="R13" s="624"/>
      <c r="S13" s="154"/>
      <c r="T13" s="154"/>
      <c r="U13" s="154"/>
      <c r="V13" s="154"/>
      <c r="W13" s="154"/>
      <c r="X13" s="154"/>
      <c r="Y13" s="154"/>
      <c r="Z13" s="154"/>
      <c r="AA13" s="154"/>
      <c r="AB13" s="154"/>
      <c r="AC13" s="154"/>
      <c r="AD13" s="154"/>
      <c r="AE13" s="99"/>
      <c r="AF13" s="99"/>
    </row>
    <row r="14" spans="2:32" ht="20.100000000000001" customHeight="1" thickBot="1">
      <c r="B14" s="124" t="str">
        <f>E14&amp;" ["&amp;D14&amp;"]"</f>
        <v>Wastewater Exported for Treatment [WWB5]</v>
      </c>
      <c r="C14" s="208"/>
      <c r="D14" s="256" t="s">
        <v>222</v>
      </c>
      <c r="E14" s="257" t="s">
        <v>872</v>
      </c>
      <c r="F14" s="256" t="s">
        <v>478</v>
      </c>
      <c r="G14" s="256">
        <f>'Previous years'!G12</f>
        <v>0</v>
      </c>
      <c r="H14" s="382" t="str">
        <f>IF(SUM(M14:AD14)=0,"",SUM(M14:AD14))</f>
        <v/>
      </c>
      <c r="I14" s="408"/>
      <c r="J14" s="316" t="s">
        <v>1943</v>
      </c>
      <c r="K14" s="302"/>
      <c r="L14" s="329"/>
      <c r="M14" s="625"/>
      <c r="N14" s="625"/>
      <c r="O14" s="625"/>
      <c r="P14" s="625"/>
      <c r="Q14" s="625"/>
      <c r="R14" s="625"/>
      <c r="S14" s="313"/>
      <c r="T14" s="313"/>
      <c r="U14" s="313"/>
      <c r="V14" s="313"/>
      <c r="W14" s="313"/>
      <c r="X14" s="313"/>
      <c r="Y14" s="313"/>
      <c r="Z14" s="313"/>
      <c r="AA14" s="313"/>
      <c r="AB14" s="313"/>
      <c r="AC14" s="313"/>
      <c r="AD14" s="313"/>
      <c r="AE14" s="283"/>
      <c r="AF14" s="283"/>
    </row>
    <row r="15" spans="2:32" ht="20.100000000000001" customHeight="1">
      <c r="B15" s="124" t="e">
        <f>#REF!&amp;" ["&amp;#REF!&amp;"]"</f>
        <v>#REF!</v>
      </c>
      <c r="C15" s="205" t="s">
        <v>1268</v>
      </c>
      <c r="D15" s="254" t="s">
        <v>950</v>
      </c>
      <c r="E15" s="255" t="s">
        <v>951</v>
      </c>
      <c r="F15" s="254" t="s">
        <v>444</v>
      </c>
      <c r="G15" s="254" t="str">
        <f>'Previous years'!G13</f>
        <v/>
      </c>
      <c r="H15" s="381" t="str">
        <f>IF(SUM(M15:AD15)=0,"",SUM(M15:AD15))</f>
        <v/>
      </c>
      <c r="I15" s="404"/>
      <c r="J15" s="304" t="s">
        <v>1956</v>
      </c>
      <c r="K15" s="303"/>
      <c r="L15" s="330"/>
      <c r="M15" s="12"/>
      <c r="N15" s="12"/>
      <c r="O15" s="12"/>
      <c r="P15" s="12"/>
      <c r="Q15" s="12"/>
      <c r="R15" s="12"/>
      <c r="S15" s="116"/>
      <c r="T15" s="116"/>
      <c r="U15" s="116"/>
      <c r="V15" s="116"/>
      <c r="W15" s="116"/>
      <c r="X15" s="116"/>
      <c r="Y15" s="116"/>
      <c r="Z15" s="116"/>
      <c r="AA15" s="116"/>
      <c r="AB15" s="116"/>
      <c r="AC15" s="116"/>
      <c r="AD15" s="116"/>
      <c r="AE15" s="251"/>
      <c r="AF15" s="251"/>
    </row>
    <row r="16" spans="2:32" ht="20.100000000000001" customHeight="1">
      <c r="B16" s="124" t="e">
        <f>#REF!&amp;" ["&amp;#REF!&amp;"]"</f>
        <v>#REF!</v>
      </c>
      <c r="C16" s="205"/>
      <c r="D16" s="254" t="s">
        <v>237</v>
      </c>
      <c r="E16" s="255" t="s">
        <v>501</v>
      </c>
      <c r="F16" s="254" t="s">
        <v>1546</v>
      </c>
      <c r="G16" s="254" t="str">
        <f>'Previous years'!G14</f>
        <v/>
      </c>
      <c r="H16" s="385" t="str">
        <f>IF(NOT(COUNTA(M49:AD49)),"",SUM(M49:AD49))</f>
        <v/>
      </c>
      <c r="I16" s="409"/>
      <c r="J16" s="305" t="s">
        <v>1956</v>
      </c>
      <c r="K16" s="298"/>
      <c r="L16" s="331"/>
      <c r="M16" s="12"/>
      <c r="N16" s="12"/>
      <c r="O16" s="12"/>
      <c r="P16" s="12"/>
      <c r="Q16" s="12"/>
      <c r="R16" s="12"/>
      <c r="S16" s="554"/>
      <c r="T16" s="554"/>
      <c r="U16" s="554"/>
      <c r="V16" s="554"/>
      <c r="W16" s="554"/>
      <c r="X16" s="554"/>
      <c r="Y16" s="554"/>
      <c r="Z16" s="554"/>
      <c r="AA16" s="554"/>
      <c r="AB16" s="554"/>
      <c r="AC16" s="554"/>
      <c r="AD16" s="554"/>
      <c r="AE16" s="249"/>
      <c r="AF16" s="249"/>
    </row>
    <row r="17" spans="2:32" ht="20.100000000000001" customHeight="1">
      <c r="B17" s="124" t="e">
        <f>#REF!&amp;" ["&amp;#REF!&amp;"]"</f>
        <v>#REF!</v>
      </c>
      <c r="C17" s="205"/>
      <c r="D17" s="254" t="s">
        <v>530</v>
      </c>
      <c r="E17" s="255" t="s">
        <v>500</v>
      </c>
      <c r="F17" s="254" t="s">
        <v>472</v>
      </c>
      <c r="G17" s="254" t="str">
        <f>'Previous years'!G15</f>
        <v/>
      </c>
      <c r="H17" s="383" t="str">
        <f>IFERROR(((M49/H16)*M50)+((N49/H16)*N50)+((O49/H16)*O50)+((P49/H16)*P50)+((Q49/H16)*Q50)+((R49/H16)*R50)+((S49/H16)*S50)+((T49/H16)*T50)+((U49/H16)*U50)+((V49/H16)*V50)+((W49/H16)*W50)+((X49/H16)*X50)+((Y49/H16)*Y50)+((Z49/H16)*Z50)+((AA49/H16)*AA50)+((AB49/H16)*AB50)+((AC49/H16)*AC50)+((AD49/H16)*AD50)+((AE49/H16)*AE50),"")</f>
        <v/>
      </c>
      <c r="I17" s="409"/>
      <c r="J17" s="305" t="s">
        <v>1956</v>
      </c>
      <c r="K17" s="306"/>
      <c r="L17" s="331"/>
      <c r="M17" s="102"/>
      <c r="N17" s="102"/>
      <c r="O17" s="102"/>
      <c r="P17" s="102"/>
      <c r="Q17" s="102"/>
      <c r="R17" s="102"/>
      <c r="S17" s="154"/>
      <c r="T17" s="154"/>
      <c r="U17" s="154"/>
      <c r="V17" s="154"/>
      <c r="W17" s="154"/>
      <c r="X17" s="154"/>
      <c r="Y17" s="154"/>
      <c r="Z17" s="154"/>
      <c r="AA17" s="154"/>
      <c r="AB17" s="154"/>
      <c r="AC17" s="154"/>
      <c r="AD17" s="154"/>
      <c r="AE17" s="249"/>
      <c r="AF17" s="249"/>
    </row>
    <row r="18" spans="2:32" ht="20.100000000000001" customHeight="1" thickBot="1">
      <c r="B18" s="124" t="e">
        <f>#REF!&amp;" ["&amp;#REF!&amp;"]"</f>
        <v>#REF!</v>
      </c>
      <c r="C18" s="208"/>
      <c r="D18" s="256" t="s">
        <v>957</v>
      </c>
      <c r="E18" s="257" t="s">
        <v>1102</v>
      </c>
      <c r="F18" s="256" t="s">
        <v>472</v>
      </c>
      <c r="G18" s="519" t="str">
        <f>'Previous years'!G16</f>
        <v>No regulatory approach</v>
      </c>
      <c r="H18" s="382"/>
      <c r="I18" s="410"/>
      <c r="J18" s="316" t="s">
        <v>1956</v>
      </c>
      <c r="K18" s="309"/>
      <c r="L18" s="329"/>
      <c r="M18" s="500"/>
      <c r="N18" s="501"/>
      <c r="O18" s="501"/>
      <c r="P18" s="501"/>
      <c r="Q18" s="501"/>
      <c r="R18" s="501"/>
      <c r="S18" s="501"/>
      <c r="T18" s="501"/>
      <c r="U18" s="501"/>
      <c r="V18" s="501"/>
      <c r="W18" s="501"/>
      <c r="X18" s="501"/>
      <c r="Y18" s="501"/>
      <c r="Z18" s="501"/>
      <c r="AA18" s="501"/>
      <c r="AB18" s="501"/>
      <c r="AC18" s="501"/>
      <c r="AD18" s="500"/>
      <c r="AE18" s="283"/>
      <c r="AF18" s="283"/>
    </row>
    <row r="19" spans="2:32" ht="20.100000000000001" customHeight="1">
      <c r="B19" s="124" t="e">
        <f>#REF!&amp;" ["&amp;#REF!&amp;"]"</f>
        <v>#REF!</v>
      </c>
      <c r="C19" s="205" t="s">
        <v>1269</v>
      </c>
      <c r="D19" s="254" t="s">
        <v>1071</v>
      </c>
      <c r="E19" s="255" t="s">
        <v>1074</v>
      </c>
      <c r="F19" s="254" t="s">
        <v>1073</v>
      </c>
      <c r="G19" s="254">
        <f>'Previous years'!G17</f>
        <v>3798</v>
      </c>
      <c r="H19" s="384" t="str">
        <f>IF(SUM(M19:AD19)=0,"",SUM(M19:AD19))</f>
        <v/>
      </c>
      <c r="I19" s="406"/>
      <c r="J19" s="304" t="s">
        <v>1943</v>
      </c>
      <c r="K19" s="303"/>
      <c r="L19" s="330"/>
      <c r="M19" s="116"/>
      <c r="N19" s="116"/>
      <c r="O19" s="116"/>
      <c r="P19" s="116"/>
      <c r="Q19" s="116"/>
      <c r="R19" s="116"/>
      <c r="S19" s="116"/>
      <c r="T19" s="116"/>
      <c r="U19" s="116"/>
      <c r="V19" s="116"/>
      <c r="W19" s="116"/>
      <c r="X19" s="116"/>
      <c r="Y19" s="116"/>
      <c r="Z19" s="116"/>
      <c r="AA19" s="116"/>
      <c r="AB19" s="116"/>
      <c r="AC19" s="116"/>
      <c r="AD19" s="116"/>
      <c r="AE19" s="251"/>
      <c r="AF19" s="251"/>
    </row>
    <row r="20" spans="2:32" ht="20.100000000000001" customHeight="1">
      <c r="B20" s="124" t="e">
        <f>#REF!&amp;" ["&amp;#REF!&amp;"]"</f>
        <v>#REF!</v>
      </c>
      <c r="C20" s="205"/>
      <c r="D20" s="254" t="s">
        <v>1072</v>
      </c>
      <c r="E20" s="255" t="s">
        <v>1076</v>
      </c>
      <c r="F20" s="254" t="s">
        <v>10</v>
      </c>
      <c r="G20" s="517" t="str">
        <f>'Previous years'!G18</f>
        <v/>
      </c>
      <c r="H20" s="444" t="str">
        <f t="shared" ref="H20:H26" si="0">IFERROR(AVERAGE(M20:AD20),"")</f>
        <v/>
      </c>
      <c r="I20" s="406"/>
      <c r="J20" s="305" t="s">
        <v>1943</v>
      </c>
      <c r="K20" s="298"/>
      <c r="L20" s="325"/>
      <c r="M20" s="555"/>
      <c r="N20" s="555"/>
      <c r="O20" s="555"/>
      <c r="P20" s="555"/>
      <c r="Q20" s="555"/>
      <c r="R20" s="555"/>
      <c r="S20" s="555"/>
      <c r="T20" s="555"/>
      <c r="U20" s="555"/>
      <c r="V20" s="555"/>
      <c r="W20" s="555"/>
      <c r="X20" s="555"/>
      <c r="Y20" s="555"/>
      <c r="Z20" s="555"/>
      <c r="AA20" s="555"/>
      <c r="AB20" s="555"/>
      <c r="AC20" s="555"/>
      <c r="AD20" s="555"/>
      <c r="AE20" s="99"/>
      <c r="AF20" s="99"/>
    </row>
    <row r="21" spans="2:32" ht="20.100000000000001" customHeight="1">
      <c r="B21" s="124" t="str">
        <f>E44&amp;" ["&amp;D44&amp;"]"</f>
        <v>Average Age of Wastewater Pipelines [WWA3]</v>
      </c>
      <c r="C21" s="205"/>
      <c r="D21" s="254" t="s">
        <v>534</v>
      </c>
      <c r="E21" s="255" t="s">
        <v>871</v>
      </c>
      <c r="F21" s="254" t="s">
        <v>10</v>
      </c>
      <c r="G21" s="517">
        <f>'Previous years'!G19</f>
        <v>0</v>
      </c>
      <c r="H21" s="444" t="str">
        <f t="shared" si="0"/>
        <v/>
      </c>
      <c r="I21" s="406"/>
      <c r="J21" s="305" t="s">
        <v>1943</v>
      </c>
      <c r="K21" s="298"/>
      <c r="L21" s="325"/>
      <c r="M21" s="555"/>
      <c r="N21" s="555"/>
      <c r="O21" s="555"/>
      <c r="P21" s="555"/>
      <c r="Q21" s="555"/>
      <c r="R21" s="555"/>
      <c r="S21" s="555"/>
      <c r="T21" s="555"/>
      <c r="U21" s="555"/>
      <c r="V21" s="555"/>
      <c r="W21" s="555"/>
      <c r="X21" s="555"/>
      <c r="Y21" s="555"/>
      <c r="Z21" s="555"/>
      <c r="AA21" s="555"/>
      <c r="AB21" s="555"/>
      <c r="AC21" s="555"/>
      <c r="AD21" s="555"/>
      <c r="AE21" s="99"/>
      <c r="AF21" s="99"/>
    </row>
    <row r="22" spans="2:32" ht="20.100000000000001" customHeight="1">
      <c r="B22" s="124" t="str">
        <f>E45&amp;" ["&amp;D45&amp;"]"</f>
        <v>Wastewater CCTV inspection [WWA4]</v>
      </c>
      <c r="C22" s="205"/>
      <c r="D22" s="254" t="s">
        <v>535</v>
      </c>
      <c r="E22" s="255" t="s">
        <v>531</v>
      </c>
      <c r="F22" s="254" t="s">
        <v>10</v>
      </c>
      <c r="G22" s="517">
        <f>'Previous years'!G20</f>
        <v>1</v>
      </c>
      <c r="H22" s="444" t="str">
        <f t="shared" si="0"/>
        <v/>
      </c>
      <c r="I22" s="406"/>
      <c r="J22" s="305" t="s">
        <v>1943</v>
      </c>
      <c r="K22" s="298"/>
      <c r="L22" s="325"/>
      <c r="M22" s="555"/>
      <c r="N22" s="555"/>
      <c r="O22" s="555"/>
      <c r="P22" s="555"/>
      <c r="Q22" s="555"/>
      <c r="R22" s="555"/>
      <c r="S22" s="555"/>
      <c r="T22" s="555"/>
      <c r="U22" s="555"/>
      <c r="V22" s="555"/>
      <c r="W22" s="555"/>
      <c r="X22" s="555"/>
      <c r="Y22" s="555"/>
      <c r="Z22" s="555"/>
      <c r="AA22" s="555"/>
      <c r="AB22" s="555"/>
      <c r="AC22" s="555"/>
      <c r="AD22" s="555"/>
      <c r="AE22" s="99"/>
      <c r="AF22" s="99"/>
    </row>
    <row r="23" spans="2:32" ht="20.100000000000001" customHeight="1">
      <c r="B23" s="124" t="str">
        <f>E6&amp;" ["&amp;D6&amp;"]"</f>
        <v>Wastewater Pump Stations [WWA5]</v>
      </c>
      <c r="C23" s="205"/>
      <c r="D23" s="254" t="s">
        <v>536</v>
      </c>
      <c r="E23" s="255" t="s">
        <v>532</v>
      </c>
      <c r="F23" s="254" t="s">
        <v>10</v>
      </c>
      <c r="G23" s="517">
        <f>'Previous years'!G21</f>
        <v>0</v>
      </c>
      <c r="H23" s="444" t="str">
        <f t="shared" si="0"/>
        <v/>
      </c>
      <c r="I23" s="406"/>
      <c r="J23" s="305" t="s">
        <v>1943</v>
      </c>
      <c r="K23" s="298"/>
      <c r="L23" s="325"/>
      <c r="M23" s="555"/>
      <c r="N23" s="555"/>
      <c r="O23" s="555"/>
      <c r="P23" s="555"/>
      <c r="Q23" s="555"/>
      <c r="R23" s="555"/>
      <c r="S23" s="555"/>
      <c r="T23" s="555"/>
      <c r="U23" s="555"/>
      <c r="V23" s="555"/>
      <c r="W23" s="555"/>
      <c r="X23" s="555"/>
      <c r="Y23" s="555"/>
      <c r="Z23" s="555"/>
      <c r="AA23" s="555"/>
      <c r="AB23" s="555"/>
      <c r="AC23" s="555"/>
      <c r="AD23" s="555"/>
      <c r="AE23" s="99"/>
      <c r="AF23" s="99"/>
    </row>
    <row r="24" spans="2:32" ht="20.100000000000001" customHeight="1">
      <c r="B24" s="124" t="e">
        <f>#REF!&amp;" ["&amp;#REF!&amp;"]"</f>
        <v>#REF!</v>
      </c>
      <c r="C24" s="205"/>
      <c r="D24" s="254" t="s">
        <v>537</v>
      </c>
      <c r="E24" s="255" t="s">
        <v>533</v>
      </c>
      <c r="F24" s="254" t="s">
        <v>10</v>
      </c>
      <c r="G24" s="517">
        <f>'Previous years'!G22</f>
        <v>0</v>
      </c>
      <c r="H24" s="444" t="str">
        <f t="shared" si="0"/>
        <v/>
      </c>
      <c r="I24" s="406"/>
      <c r="J24" s="305" t="s">
        <v>1943</v>
      </c>
      <c r="K24" s="298"/>
      <c r="L24" s="325"/>
      <c r="M24" s="555"/>
      <c r="N24" s="555"/>
      <c r="O24" s="555"/>
      <c r="P24" s="555"/>
      <c r="Q24" s="555"/>
      <c r="R24" s="555"/>
      <c r="S24" s="555"/>
      <c r="T24" s="555"/>
      <c r="U24" s="555"/>
      <c r="V24" s="555"/>
      <c r="W24" s="555"/>
      <c r="X24" s="555"/>
      <c r="Y24" s="555"/>
      <c r="Z24" s="555"/>
      <c r="AA24" s="555"/>
      <c r="AB24" s="555"/>
      <c r="AC24" s="555"/>
      <c r="AD24" s="555"/>
      <c r="AE24" s="99"/>
      <c r="AF24" s="99"/>
    </row>
    <row r="25" spans="2:32" ht="20.100000000000001" customHeight="1" thickBot="1">
      <c r="B25" s="124" t="e">
        <f>#REF!&amp;" ["&amp;#REF!&amp;"]"</f>
        <v>#REF!</v>
      </c>
      <c r="C25" s="208"/>
      <c r="D25" s="256" t="s">
        <v>935</v>
      </c>
      <c r="E25" s="257" t="s">
        <v>936</v>
      </c>
      <c r="F25" s="256" t="s">
        <v>937</v>
      </c>
      <c r="G25" s="256" t="str">
        <f>'Previous years'!G23</f>
        <v/>
      </c>
      <c r="H25" s="557" t="str">
        <f t="shared" si="0"/>
        <v/>
      </c>
      <c r="I25" s="408"/>
      <c r="J25" s="316" t="s">
        <v>1943</v>
      </c>
      <c r="K25" s="302"/>
      <c r="L25" s="329"/>
      <c r="M25" s="556"/>
      <c r="N25" s="556"/>
      <c r="O25" s="556"/>
      <c r="P25" s="556"/>
      <c r="Q25" s="556"/>
      <c r="R25" s="556"/>
      <c r="S25" s="556"/>
      <c r="T25" s="556"/>
      <c r="U25" s="556"/>
      <c r="V25" s="556"/>
      <c r="W25" s="556"/>
      <c r="X25" s="556"/>
      <c r="Y25" s="556"/>
      <c r="Z25" s="556"/>
      <c r="AA25" s="556"/>
      <c r="AB25" s="556"/>
      <c r="AC25" s="556"/>
      <c r="AD25" s="556"/>
      <c r="AE25" s="283"/>
      <c r="AF25" s="283"/>
    </row>
    <row r="26" spans="2:32" ht="20.100000000000001" customHeight="1" thickBot="1">
      <c r="B26" s="124" t="e">
        <f>#REF!&amp;" ["&amp;#REF!&amp;"]"</f>
        <v>#REF!</v>
      </c>
      <c r="C26" s="209" t="s">
        <v>1270</v>
      </c>
      <c r="D26" s="258" t="s">
        <v>238</v>
      </c>
      <c r="E26" s="259" t="s">
        <v>874</v>
      </c>
      <c r="F26" s="258" t="s">
        <v>444</v>
      </c>
      <c r="G26" s="533">
        <f>'Previous years'!G24</f>
        <v>2.1074990018824065</v>
      </c>
      <c r="H26" s="534" t="str">
        <f t="shared" si="0"/>
        <v/>
      </c>
      <c r="I26" s="411"/>
      <c r="J26" s="305" t="s">
        <v>1943</v>
      </c>
      <c r="K26" s="307" t="s">
        <v>1954</v>
      </c>
      <c r="L26" s="332"/>
      <c r="M26" s="313"/>
      <c r="N26" s="313"/>
      <c r="O26" s="313"/>
      <c r="P26" s="313"/>
      <c r="Q26" s="313"/>
      <c r="R26" s="313"/>
      <c r="S26" s="313"/>
      <c r="T26" s="313"/>
      <c r="U26" s="313"/>
      <c r="V26" s="313"/>
      <c r="W26" s="313"/>
      <c r="X26" s="313"/>
      <c r="Y26" s="313"/>
      <c r="Z26" s="313"/>
      <c r="AA26" s="313"/>
      <c r="AB26" s="313"/>
      <c r="AC26" s="313"/>
      <c r="AD26" s="313"/>
      <c r="AE26" s="284"/>
      <c r="AF26" s="284"/>
    </row>
    <row r="27" spans="2:32" ht="20.100000000000001" customHeight="1">
      <c r="B27" s="124" t="str">
        <f>E27&amp;" ["&amp;D27&amp;"]"</f>
        <v>Wastewater treatment plant process emissions [WWA7n]</v>
      </c>
      <c r="C27" s="205" t="s">
        <v>1326</v>
      </c>
      <c r="D27" s="254" t="s">
        <v>1271</v>
      </c>
      <c r="E27" s="255" t="s">
        <v>1272</v>
      </c>
      <c r="F27" s="254" t="s">
        <v>1273</v>
      </c>
      <c r="G27" s="254">
        <f>'Previous years'!G25</f>
        <v>5005</v>
      </c>
      <c r="H27" s="381" t="str">
        <f>IF(SUM(M27:AD27)=0,"",SUM(M27:AD27))</f>
        <v/>
      </c>
      <c r="I27" s="406"/>
      <c r="J27" s="304" t="s">
        <v>1955</v>
      </c>
      <c r="K27" s="304"/>
      <c r="L27" s="330"/>
      <c r="M27" s="154"/>
      <c r="N27" s="314"/>
      <c r="O27" s="314"/>
      <c r="P27" s="314"/>
      <c r="Q27" s="314"/>
      <c r="R27" s="314"/>
      <c r="S27" s="314"/>
      <c r="T27" s="314"/>
      <c r="U27" s="314"/>
      <c r="V27" s="314"/>
      <c r="W27" s="314"/>
      <c r="X27" s="314"/>
      <c r="Y27" s="314"/>
      <c r="Z27" s="314"/>
      <c r="AA27" s="314"/>
      <c r="AB27" s="314"/>
      <c r="AC27" s="314"/>
      <c r="AD27" s="154"/>
      <c r="AE27" s="251"/>
      <c r="AF27" s="251"/>
    </row>
    <row r="28" spans="2:32" ht="20.100000000000001" customHeight="1">
      <c r="B28" s="124" t="str">
        <f>E28&amp;" ["&amp;D28&amp;"]"</f>
        <v>Wastewater treatment wetland emissions [WWA7o]</v>
      </c>
      <c r="C28" s="205" t="s">
        <v>1327</v>
      </c>
      <c r="D28" s="254" t="s">
        <v>1274</v>
      </c>
      <c r="E28" s="255" t="s">
        <v>1275</v>
      </c>
      <c r="F28" s="254" t="s">
        <v>1273</v>
      </c>
      <c r="G28" s="254">
        <f>'Previous years'!G26</f>
        <v>0</v>
      </c>
      <c r="H28" s="381" t="str">
        <f>IF(SUM(M28:AD28)=0,"",SUM(M28:AD28))</f>
        <v/>
      </c>
      <c r="I28" s="406"/>
      <c r="J28" s="304" t="s">
        <v>1955</v>
      </c>
      <c r="K28" s="304"/>
      <c r="L28" s="330"/>
      <c r="M28" s="154"/>
      <c r="N28" s="314"/>
      <c r="O28" s="314"/>
      <c r="P28" s="314"/>
      <c r="Q28" s="314"/>
      <c r="R28" s="314"/>
      <c r="S28" s="314"/>
      <c r="T28" s="314"/>
      <c r="U28" s="314"/>
      <c r="V28" s="314"/>
      <c r="W28" s="314"/>
      <c r="X28" s="314"/>
      <c r="Y28" s="314"/>
      <c r="Z28" s="314"/>
      <c r="AA28" s="314"/>
      <c r="AB28" s="314"/>
      <c r="AC28" s="314"/>
      <c r="AD28" s="154"/>
      <c r="AE28" s="251"/>
      <c r="AF28" s="251"/>
    </row>
    <row r="29" spans="2:32" ht="20.100000000000001" customHeight="1">
      <c r="B29" s="124" t="str">
        <f>E29&amp;" ["&amp;D29&amp;"]"</f>
        <v>Wastewater effluent disposal emissions [WWA7p]</v>
      </c>
      <c r="C29" s="205"/>
      <c r="D29" s="254" t="s">
        <v>1276</v>
      </c>
      <c r="E29" s="255" t="s">
        <v>1277</v>
      </c>
      <c r="F29" s="254" t="s">
        <v>1273</v>
      </c>
      <c r="G29" s="254">
        <f>'Previous years'!G27</f>
        <v>0</v>
      </c>
      <c r="H29" s="381" t="str">
        <f>IF(SUM(M29:AD29)=0,"",SUM(M29:AD29))</f>
        <v/>
      </c>
      <c r="I29" s="406"/>
      <c r="J29" s="304" t="s">
        <v>1955</v>
      </c>
      <c r="K29" s="304"/>
      <c r="L29" s="330"/>
      <c r="M29" s="154"/>
      <c r="N29" s="314"/>
      <c r="O29" s="314"/>
      <c r="P29" s="314"/>
      <c r="Q29" s="314"/>
      <c r="R29" s="314"/>
      <c r="S29" s="314"/>
      <c r="T29" s="314"/>
      <c r="U29" s="314"/>
      <c r="V29" s="314"/>
      <c r="W29" s="314"/>
      <c r="X29" s="314"/>
      <c r="Y29" s="314"/>
      <c r="Z29" s="314"/>
      <c r="AA29" s="314"/>
      <c r="AB29" s="314"/>
      <c r="AC29" s="314"/>
      <c r="AD29" s="154"/>
      <c r="AE29" s="251"/>
      <c r="AF29" s="251"/>
    </row>
    <row r="30" spans="2:32" ht="20.100000000000001" customHeight="1">
      <c r="B30" s="124" t="str">
        <f>E30&amp;" ["&amp;D30&amp;"]"</f>
        <v>Wastewater sludge treatment emissions [WWA7q]</v>
      </c>
      <c r="C30" s="205"/>
      <c r="D30" s="254" t="s">
        <v>1278</v>
      </c>
      <c r="E30" s="255" t="s">
        <v>1279</v>
      </c>
      <c r="F30" s="254" t="s">
        <v>1273</v>
      </c>
      <c r="G30" s="254">
        <f>'Previous years'!G28</f>
        <v>0</v>
      </c>
      <c r="H30" s="381" t="str">
        <f>IF(SUM(M30:AD30)=0,"",SUM(M30:AD30))</f>
        <v/>
      </c>
      <c r="I30" s="406"/>
      <c r="J30" s="305" t="s">
        <v>1955</v>
      </c>
      <c r="K30" s="298"/>
      <c r="L30" s="325"/>
      <c r="M30" s="154"/>
      <c r="N30" s="314"/>
      <c r="O30" s="314"/>
      <c r="P30" s="314"/>
      <c r="Q30" s="314"/>
      <c r="R30" s="314"/>
      <c r="S30" s="314"/>
      <c r="T30" s="314"/>
      <c r="U30" s="314"/>
      <c r="V30" s="314"/>
      <c r="W30" s="314"/>
      <c r="X30" s="314"/>
      <c r="Y30" s="314"/>
      <c r="Z30" s="314"/>
      <c r="AA30" s="314"/>
      <c r="AB30" s="314"/>
      <c r="AC30" s="314"/>
      <c r="AD30" s="154"/>
      <c r="AE30" s="99"/>
      <c r="AF30" s="99"/>
    </row>
    <row r="31" spans="2:32" ht="20.100000000000001" customHeight="1" thickBot="1">
      <c r="B31" s="124" t="str">
        <f>E31&amp;" ["&amp;D31&amp;"]"</f>
        <v>Wastewater sludge disposal emissions [WWA7r]</v>
      </c>
      <c r="C31" s="208"/>
      <c r="D31" s="256" t="s">
        <v>1280</v>
      </c>
      <c r="E31" s="257" t="s">
        <v>1281</v>
      </c>
      <c r="F31" s="256" t="s">
        <v>1273</v>
      </c>
      <c r="G31" s="256">
        <f>'Previous years'!G29</f>
        <v>0</v>
      </c>
      <c r="H31" s="382" t="str">
        <f>IF(SUM(M31:AD31)=0,"",SUM(M31:AD31))</f>
        <v/>
      </c>
      <c r="I31" s="412"/>
      <c r="J31" s="319" t="s">
        <v>1955</v>
      </c>
      <c r="K31" s="308"/>
      <c r="L31" s="333"/>
      <c r="M31" s="154"/>
      <c r="N31" s="314"/>
      <c r="O31" s="314"/>
      <c r="P31" s="314"/>
      <c r="Q31" s="314"/>
      <c r="R31" s="314"/>
      <c r="S31" s="314"/>
      <c r="T31" s="314"/>
      <c r="U31" s="314"/>
      <c r="V31" s="314"/>
      <c r="W31" s="314"/>
      <c r="X31" s="314"/>
      <c r="Y31" s="314"/>
      <c r="Z31" s="314"/>
      <c r="AA31" s="314"/>
      <c r="AB31" s="314"/>
      <c r="AC31" s="314"/>
      <c r="AD31" s="154"/>
      <c r="AE31" s="285"/>
      <c r="AF31" s="285"/>
    </row>
    <row r="32" spans="2:32" ht="20.100000000000001" customHeight="1">
      <c r="C32" s="205" t="s">
        <v>1348</v>
      </c>
      <c r="D32" s="254" t="s">
        <v>219</v>
      </c>
      <c r="E32" s="255" t="s">
        <v>1597</v>
      </c>
      <c r="F32" s="254" t="s">
        <v>444</v>
      </c>
      <c r="G32" s="254">
        <f>'Previous years'!G30</f>
        <v>24231</v>
      </c>
      <c r="H32" s="381"/>
      <c r="I32" s="406"/>
      <c r="J32" s="304" t="s">
        <v>1941</v>
      </c>
      <c r="K32" s="303"/>
      <c r="L32" s="327"/>
      <c r="AE32" s="100"/>
      <c r="AF32" s="100"/>
    </row>
    <row r="33" spans="2:32" ht="20.100000000000001" customHeight="1">
      <c r="C33" s="205" t="s">
        <v>1315</v>
      </c>
      <c r="D33" s="254" t="s">
        <v>220</v>
      </c>
      <c r="E33" s="255" t="s">
        <v>1598</v>
      </c>
      <c r="F33" s="254" t="s">
        <v>444</v>
      </c>
      <c r="G33" s="546">
        <f>'Previous years'!G31</f>
        <v>2939</v>
      </c>
      <c r="H33" s="140"/>
      <c r="I33" s="407"/>
      <c r="J33" s="305" t="s">
        <v>1941</v>
      </c>
      <c r="K33" s="298"/>
      <c r="L33" s="331"/>
      <c r="AE33" s="99"/>
      <c r="AF33" s="249"/>
    </row>
    <row r="34" spans="2:32" ht="20.100000000000001" customHeight="1">
      <c r="C34" s="205"/>
      <c r="D34" s="254" t="s">
        <v>215</v>
      </c>
      <c r="E34" s="255" t="s">
        <v>216</v>
      </c>
      <c r="F34" s="254" t="s">
        <v>444</v>
      </c>
      <c r="G34" s="546">
        <f>'Previous years'!G32</f>
        <v>40838.764044943819</v>
      </c>
      <c r="H34" s="558">
        <f>IFERROR(Common!H11*Wastewater!H32,"")</f>
        <v>0</v>
      </c>
      <c r="I34" s="409" t="s">
        <v>212</v>
      </c>
      <c r="J34" s="320"/>
      <c r="K34" s="306"/>
      <c r="L34" s="324"/>
      <c r="AE34" s="99"/>
      <c r="AF34" s="99"/>
    </row>
    <row r="35" spans="2:32" ht="20.100000000000001" customHeight="1">
      <c r="C35" s="205"/>
      <c r="D35" s="254" t="s">
        <v>217</v>
      </c>
      <c r="E35" s="255" t="s">
        <v>218</v>
      </c>
      <c r="F35" s="254" t="s">
        <v>10</v>
      </c>
      <c r="G35" s="517">
        <f>'Previous years'!G33</f>
        <v>0.86157730052624093</v>
      </c>
      <c r="H35" s="592">
        <f>IFERROR(H32/Common!H8,"")</f>
        <v>0</v>
      </c>
      <c r="I35" s="409" t="s">
        <v>212</v>
      </c>
      <c r="J35" s="320"/>
      <c r="K35" s="306"/>
      <c r="L35" s="324"/>
      <c r="AE35" s="99"/>
      <c r="AF35" s="99"/>
    </row>
    <row r="36" spans="2:32" ht="20.100000000000001" customHeight="1" thickBot="1">
      <c r="C36" s="208"/>
      <c r="D36" s="256" t="s">
        <v>221</v>
      </c>
      <c r="E36" s="257" t="s">
        <v>1599</v>
      </c>
      <c r="F36" s="256" t="s">
        <v>444</v>
      </c>
      <c r="G36" s="256">
        <f>'Previous years'!G34</f>
        <v>27170</v>
      </c>
      <c r="H36" s="387" t="str">
        <f>IF(SUMIF(H32:H33,"&gt;=0",H32:H33)=0,"",SUMIF(H32:H33,"&gt;=0",H32:H33))</f>
        <v/>
      </c>
      <c r="I36" s="410" t="s">
        <v>212</v>
      </c>
      <c r="J36" s="321"/>
      <c r="K36" s="309"/>
      <c r="L36" s="326"/>
      <c r="AE36" s="283"/>
      <c r="AF36" s="283"/>
    </row>
    <row r="37" spans="2:32" ht="20.100000000000001" customHeight="1">
      <c r="B37" s="124" t="str">
        <f>E69&amp;" ["&amp;D69&amp;"]"</f>
        <v>Wastewater grid electricity use [WWT2]</v>
      </c>
      <c r="C37" s="205" t="s">
        <v>1349</v>
      </c>
      <c r="D37" s="254" t="s">
        <v>271</v>
      </c>
      <c r="E37" s="255" t="s">
        <v>834</v>
      </c>
      <c r="F37" s="254" t="s">
        <v>121</v>
      </c>
      <c r="G37" s="254">
        <f>'Previous years'!G35</f>
        <v>0.28333333333333333</v>
      </c>
      <c r="H37" s="378"/>
      <c r="I37" s="406"/>
      <c r="J37" s="304" t="s">
        <v>1938</v>
      </c>
      <c r="K37" s="303"/>
      <c r="L37" s="328"/>
      <c r="AE37" s="282"/>
      <c r="AF37" s="282"/>
    </row>
    <row r="38" spans="2:32" ht="20.100000000000001" customHeight="1" thickBot="1">
      <c r="B38" s="124" t="str">
        <f>E70&amp;" ["&amp;D70&amp;"]"</f>
        <v>Wastewater energy use from other fuels [WWT3]</v>
      </c>
      <c r="C38" s="208" t="s">
        <v>1350</v>
      </c>
      <c r="D38" s="256" t="s">
        <v>272</v>
      </c>
      <c r="E38" s="257" t="s">
        <v>835</v>
      </c>
      <c r="F38" s="256" t="s">
        <v>121</v>
      </c>
      <c r="G38" s="256">
        <f>'Previous years'!G36</f>
        <v>2.2000000000000002</v>
      </c>
      <c r="H38" s="382"/>
      <c r="I38" s="408"/>
      <c r="J38" s="316" t="s">
        <v>1938</v>
      </c>
      <c r="K38" s="302"/>
      <c r="L38" s="329"/>
      <c r="AE38" s="283"/>
      <c r="AF38" s="283"/>
    </row>
    <row r="39" spans="2:32" ht="20.100000000000001" customHeight="1">
      <c r="B39" s="124" t="str">
        <f>E71&amp;" ["&amp;D71&amp;"]"</f>
        <v>Wastewater energy generation [WWE5c]</v>
      </c>
      <c r="C39" s="205" t="s">
        <v>549</v>
      </c>
      <c r="D39" s="254" t="s">
        <v>942</v>
      </c>
      <c r="E39" s="255" t="s">
        <v>930</v>
      </c>
      <c r="F39" s="254" t="s">
        <v>446</v>
      </c>
      <c r="G39" s="254">
        <f>'Previous years'!G37</f>
        <v>0</v>
      </c>
      <c r="H39" s="378"/>
      <c r="I39" s="413"/>
      <c r="J39" s="322" t="s">
        <v>1938</v>
      </c>
      <c r="K39" s="300"/>
      <c r="L39" s="328"/>
      <c r="AE39" s="282"/>
      <c r="AF39" s="282"/>
    </row>
    <row r="40" spans="2:32" ht="20.100000000000001" customHeight="1">
      <c r="B40" s="124" t="e">
        <f>#REF!&amp;" ["&amp;#REF!&amp;"]"</f>
        <v>#REF!</v>
      </c>
      <c r="C40" s="205"/>
      <c r="D40" s="254" t="s">
        <v>941</v>
      </c>
      <c r="E40" s="255" t="s">
        <v>1011</v>
      </c>
      <c r="F40" s="254" t="s">
        <v>446</v>
      </c>
      <c r="G40" s="254">
        <f>'Previous years'!G38</f>
        <v>0</v>
      </c>
      <c r="H40" s="379"/>
      <c r="I40" s="407"/>
      <c r="J40" s="305" t="s">
        <v>1938</v>
      </c>
      <c r="K40" s="298"/>
      <c r="L40" s="325"/>
      <c r="AE40" s="99"/>
      <c r="AF40" s="99"/>
    </row>
    <row r="41" spans="2:32" ht="20.100000000000001" customHeight="1" thickBot="1">
      <c r="B41" s="124" t="e">
        <f>#REF!&amp;" ["&amp;#REF!&amp;"]"</f>
        <v>#REF!</v>
      </c>
      <c r="C41" s="208"/>
      <c r="D41" s="256" t="s">
        <v>943</v>
      </c>
      <c r="E41" s="257" t="s">
        <v>931</v>
      </c>
      <c r="F41" s="256" t="s">
        <v>1601</v>
      </c>
      <c r="G41" s="535">
        <f>'Previous years'!G39</f>
        <v>0</v>
      </c>
      <c r="H41" s="536" t="str">
        <f>IFERROR(H39/H36*1000,"")</f>
        <v/>
      </c>
      <c r="I41" s="410" t="s">
        <v>212</v>
      </c>
      <c r="J41" s="321"/>
      <c r="K41" s="309"/>
      <c r="L41" s="326"/>
      <c r="AE41" s="283"/>
      <c r="AF41" s="283"/>
    </row>
    <row r="42" spans="2:32" ht="20.100000000000001" customHeight="1">
      <c r="C42" s="205" t="s">
        <v>1204</v>
      </c>
      <c r="D42" s="537" t="s">
        <v>226</v>
      </c>
      <c r="E42" s="538" t="s">
        <v>1344</v>
      </c>
      <c r="F42" s="537" t="s">
        <v>10</v>
      </c>
      <c r="G42" s="517"/>
      <c r="H42" s="446"/>
      <c r="I42" s="403"/>
      <c r="J42" s="315" t="s">
        <v>1938</v>
      </c>
      <c r="K42" s="299"/>
      <c r="L42" s="334"/>
      <c r="AE42" s="118"/>
      <c r="AF42" s="118"/>
    </row>
    <row r="43" spans="2:32" ht="20.100000000000001" customHeight="1">
      <c r="C43" s="205"/>
      <c r="D43" s="537" t="s">
        <v>1483</v>
      </c>
      <c r="E43" s="538" t="s">
        <v>1343</v>
      </c>
      <c r="F43" s="537" t="s">
        <v>10</v>
      </c>
      <c r="G43" s="517"/>
      <c r="H43" s="446"/>
      <c r="I43" s="403"/>
      <c r="J43" s="315" t="s">
        <v>1938</v>
      </c>
      <c r="K43" s="299"/>
      <c r="L43" s="334"/>
      <c r="AE43" s="118"/>
      <c r="AF43" s="118"/>
    </row>
    <row r="44" spans="2:32" ht="20.100000000000001" customHeight="1">
      <c r="C44" s="205"/>
      <c r="D44" s="254" t="s">
        <v>227</v>
      </c>
      <c r="E44" s="255" t="s">
        <v>228</v>
      </c>
      <c r="F44" s="254" t="s">
        <v>43</v>
      </c>
      <c r="G44" s="254">
        <f>'Previous years'!G42</f>
        <v>21.1</v>
      </c>
      <c r="H44" s="379"/>
      <c r="I44" s="403"/>
      <c r="J44" s="315" t="s">
        <v>1938</v>
      </c>
      <c r="K44" s="299"/>
      <c r="L44" s="334"/>
      <c r="AE44" s="118"/>
      <c r="AF44" s="118"/>
    </row>
    <row r="45" spans="2:32" ht="20.100000000000001" customHeight="1">
      <c r="C45" s="205"/>
      <c r="D45" s="254" t="s">
        <v>229</v>
      </c>
      <c r="E45" s="260" t="s">
        <v>230</v>
      </c>
      <c r="F45" s="254" t="s">
        <v>10</v>
      </c>
      <c r="G45" s="517">
        <f>'Previous years'!G43</f>
        <v>3.2814576871953924E-2</v>
      </c>
      <c r="H45" s="446"/>
      <c r="I45" s="403"/>
      <c r="J45" s="315" t="s">
        <v>1938</v>
      </c>
      <c r="K45" s="299"/>
      <c r="L45" s="334"/>
      <c r="AE45" s="118"/>
      <c r="AF45" s="118"/>
    </row>
    <row r="46" spans="2:32" ht="20.100000000000001" customHeight="1">
      <c r="C46" s="205"/>
      <c r="D46" s="537" t="s">
        <v>233</v>
      </c>
      <c r="E46" s="538" t="s">
        <v>1345</v>
      </c>
      <c r="F46" s="537" t="s">
        <v>10</v>
      </c>
      <c r="G46" s="517"/>
      <c r="H46" s="446"/>
      <c r="I46" s="403"/>
      <c r="J46" s="315" t="s">
        <v>1938</v>
      </c>
      <c r="K46" s="299"/>
      <c r="L46" s="334"/>
      <c r="AE46" s="118"/>
      <c r="AF46" s="118"/>
    </row>
    <row r="47" spans="2:32" ht="20.100000000000001" customHeight="1" thickBot="1">
      <c r="C47" s="208"/>
      <c r="D47" s="539" t="s">
        <v>1451</v>
      </c>
      <c r="E47" s="540" t="s">
        <v>1346</v>
      </c>
      <c r="F47" s="539" t="s">
        <v>10</v>
      </c>
      <c r="G47" s="518" t="str">
        <f>'Previous years'!G45</f>
        <v/>
      </c>
      <c r="H47" s="447"/>
      <c r="I47" s="408"/>
      <c r="J47" s="316" t="s">
        <v>1938</v>
      </c>
      <c r="K47" s="302"/>
      <c r="L47" s="329"/>
      <c r="AE47" s="283"/>
      <c r="AF47" s="283"/>
    </row>
    <row r="48" spans="2:32" ht="20.100000000000001" customHeight="1">
      <c r="B48" s="124" t="str">
        <f>E10&amp;" ["&amp;D10&amp;"]"</f>
        <v>Wastewater treatment plant name [WWA7a]</v>
      </c>
      <c r="C48" s="205" t="s">
        <v>546</v>
      </c>
      <c r="D48" s="254" t="s">
        <v>241</v>
      </c>
      <c r="E48" s="255" t="s">
        <v>242</v>
      </c>
      <c r="F48" s="254" t="s">
        <v>444</v>
      </c>
      <c r="G48" s="254">
        <f>'Previous years'!G46</f>
        <v>57</v>
      </c>
      <c r="H48" s="389" t="str">
        <f>IF(NOT(COUNTA(H49:H50)),"",SUM(H49:H50))</f>
        <v/>
      </c>
      <c r="I48" s="404" t="s">
        <v>212</v>
      </c>
      <c r="J48" s="310"/>
      <c r="K48" s="301"/>
      <c r="L48" s="335"/>
      <c r="AE48" s="100"/>
      <c r="AF48" s="100"/>
    </row>
    <row r="49" spans="2:32" ht="20.100000000000001" customHeight="1">
      <c r="B49" s="124" t="str">
        <f>E19&amp;" ["&amp;D19&amp;"]"</f>
        <v>Treatment Plant sludge production of wet sludge/biosolids [WWA7j-1]</v>
      </c>
      <c r="C49" s="205"/>
      <c r="D49" s="254" t="s">
        <v>460</v>
      </c>
      <c r="E49" s="255" t="s">
        <v>462</v>
      </c>
      <c r="F49" s="254" t="s">
        <v>444</v>
      </c>
      <c r="G49" s="254">
        <f>'Previous years'!G47</f>
        <v>57</v>
      </c>
      <c r="H49" s="388"/>
      <c r="I49" s="403"/>
      <c r="J49" s="315" t="s">
        <v>1938</v>
      </c>
      <c r="K49" s="299"/>
      <c r="L49" s="334"/>
      <c r="AE49" s="118"/>
      <c r="AF49" s="118"/>
    </row>
    <row r="50" spans="2:32" ht="20.100000000000001" customHeight="1">
      <c r="B50" s="124" t="str">
        <f>E20&amp;" ["&amp;D20&amp;"]"</f>
        <v>Percentage of dry solids in wastewater sludge/biosolids [WWA7j-2]</v>
      </c>
      <c r="C50" s="205"/>
      <c r="D50" s="254" t="s">
        <v>461</v>
      </c>
      <c r="E50" s="255" t="s">
        <v>945</v>
      </c>
      <c r="F50" s="254" t="s">
        <v>444</v>
      </c>
      <c r="G50" s="254">
        <f>'Previous years'!G48</f>
        <v>0</v>
      </c>
      <c r="H50" s="464"/>
      <c r="I50" s="465"/>
      <c r="J50" s="466" t="s">
        <v>1938</v>
      </c>
      <c r="K50" s="467"/>
      <c r="L50" s="468"/>
      <c r="AE50" s="99"/>
      <c r="AF50" s="99"/>
    </row>
    <row r="51" spans="2:32" ht="20.100000000000001" customHeight="1">
      <c r="C51" s="205"/>
      <c r="D51" s="254" t="s">
        <v>875</v>
      </c>
      <c r="E51" s="255" t="s">
        <v>877</v>
      </c>
      <c r="F51" s="254" t="s">
        <v>444</v>
      </c>
      <c r="G51" s="254">
        <f>'Previous years'!G49</f>
        <v>0</v>
      </c>
      <c r="H51" s="461"/>
      <c r="I51" s="465"/>
      <c r="J51" s="462" t="s">
        <v>1938</v>
      </c>
      <c r="K51" s="462"/>
      <c r="L51" s="463"/>
      <c r="AE51" s="99"/>
      <c r="AF51" s="99"/>
    </row>
    <row r="52" spans="2:32" ht="20.100000000000001" customHeight="1">
      <c r="C52" s="205"/>
      <c r="D52" s="254" t="s">
        <v>876</v>
      </c>
      <c r="E52" s="255" t="s">
        <v>878</v>
      </c>
      <c r="F52" s="254" t="s">
        <v>444</v>
      </c>
      <c r="G52" s="254">
        <f>'Previous years'!G50</f>
        <v>0</v>
      </c>
      <c r="H52" s="381"/>
      <c r="I52" s="407"/>
      <c r="J52" s="305" t="s">
        <v>1938</v>
      </c>
      <c r="K52" s="303"/>
      <c r="L52" s="327"/>
      <c r="AE52" s="99"/>
      <c r="AF52" s="99"/>
    </row>
    <row r="53" spans="2:32" ht="20.100000000000001" customHeight="1">
      <c r="C53" s="205"/>
      <c r="D53" s="254" t="s">
        <v>243</v>
      </c>
      <c r="E53" s="255" t="s">
        <v>324</v>
      </c>
      <c r="F53" s="254" t="s">
        <v>444</v>
      </c>
      <c r="G53" s="254">
        <f>'Previous years'!G51</f>
        <v>57</v>
      </c>
      <c r="H53" s="389" t="str">
        <f>IF(SUM(H48,H51,H52)=0,"",SUM(H48,H51,H52))</f>
        <v/>
      </c>
      <c r="I53" s="409" t="s">
        <v>212</v>
      </c>
      <c r="J53" s="320"/>
      <c r="K53" s="301"/>
      <c r="L53" s="335"/>
      <c r="AE53" s="99"/>
      <c r="AF53" s="99"/>
    </row>
    <row r="54" spans="2:32" ht="20.100000000000001" customHeight="1">
      <c r="C54" s="205"/>
      <c r="D54" s="254" t="s">
        <v>932</v>
      </c>
      <c r="E54" s="255" t="s">
        <v>938</v>
      </c>
      <c r="F54" s="254" t="s">
        <v>444</v>
      </c>
      <c r="G54" s="254" t="str">
        <f>'Previous years'!G52</f>
        <v/>
      </c>
      <c r="H54" s="381"/>
      <c r="I54" s="407"/>
      <c r="J54" s="305" t="s">
        <v>1938</v>
      </c>
      <c r="K54" s="303"/>
      <c r="L54" s="327"/>
      <c r="AE54" s="99"/>
      <c r="AF54" s="100"/>
    </row>
    <row r="55" spans="2:32" ht="20.100000000000001" customHeight="1">
      <c r="B55" s="124" t="str">
        <f>E15&amp;" ["&amp;D15&amp;"]"</f>
        <v>Number of consents at each treatment plant [WWA7g]</v>
      </c>
      <c r="C55" s="205"/>
      <c r="D55" s="254" t="s">
        <v>1127</v>
      </c>
      <c r="E55" s="255" t="s">
        <v>1129</v>
      </c>
      <c r="F55" s="340" t="s">
        <v>472</v>
      </c>
      <c r="G55" s="340" t="str">
        <f>'Previous years'!G53</f>
        <v>NZS4404</v>
      </c>
      <c r="H55" s="381" t="s">
        <v>1097</v>
      </c>
      <c r="I55" s="409"/>
      <c r="J55" s="305"/>
      <c r="K55" s="301"/>
      <c r="L55" s="327"/>
      <c r="AE55" s="99"/>
      <c r="AF55" s="100"/>
    </row>
    <row r="56" spans="2:32" ht="20.100000000000001" customHeight="1">
      <c r="B56" s="124" t="str">
        <f>E16&amp;" ["&amp;D16&amp;"]"</f>
        <v>Treatment Plant effluent resource consent expiry date [WWA7h]</v>
      </c>
      <c r="C56" s="205"/>
      <c r="D56" s="254" t="s">
        <v>1128</v>
      </c>
      <c r="E56" s="255" t="s">
        <v>1130</v>
      </c>
      <c r="F56" s="340" t="s">
        <v>472</v>
      </c>
      <c r="G56" s="520" t="str">
        <f>'Previous years'!G54</f>
        <v/>
      </c>
      <c r="H56" s="381"/>
      <c r="I56" s="409"/>
      <c r="J56" s="305"/>
      <c r="K56" s="301"/>
      <c r="L56" s="327"/>
      <c r="AE56" s="99"/>
      <c r="AF56" s="251"/>
    </row>
    <row r="57" spans="2:32" ht="20.100000000000001" customHeight="1">
      <c r="B57" s="124" t="str">
        <f>E17&amp;" ["&amp;D17&amp;"]"</f>
        <v>Treatment plant effluent consent status [WWA7i]</v>
      </c>
      <c r="C57" s="205"/>
      <c r="D57" s="254" t="s">
        <v>453</v>
      </c>
      <c r="E57" s="255" t="s">
        <v>452</v>
      </c>
      <c r="F57" s="254" t="s">
        <v>66</v>
      </c>
      <c r="G57" s="254" t="str">
        <f>'Previous years'!G55</f>
        <v>Yes</v>
      </c>
      <c r="H57" s="381" t="s">
        <v>856</v>
      </c>
      <c r="I57" s="409"/>
      <c r="J57" s="305" t="s">
        <v>1960</v>
      </c>
      <c r="K57" s="301"/>
      <c r="L57" s="327"/>
      <c r="AE57" s="99"/>
      <c r="AF57" s="100"/>
    </row>
    <row r="58" spans="2:32" ht="20.100000000000001" customHeight="1">
      <c r="B58" s="124" t="str">
        <f t="shared" ref="B58:B64" si="1">E19&amp;" ["&amp;D19&amp;"]"</f>
        <v>Treatment Plant sludge production of wet sludge/biosolids [WWA7j-1]</v>
      </c>
      <c r="C58" s="205"/>
      <c r="D58" s="254" t="s">
        <v>454</v>
      </c>
      <c r="E58" s="255" t="s">
        <v>457</v>
      </c>
      <c r="F58" s="254" t="s">
        <v>66</v>
      </c>
      <c r="G58" s="254" t="str">
        <f>'Previous years'!G56</f>
        <v>Yes</v>
      </c>
      <c r="H58" s="390" t="s">
        <v>856</v>
      </c>
      <c r="I58" s="409"/>
      <c r="J58" s="305" t="s">
        <v>1960</v>
      </c>
      <c r="K58" s="301"/>
      <c r="L58" s="325"/>
      <c r="AE58" s="99"/>
      <c r="AF58" s="99"/>
    </row>
    <row r="59" spans="2:32" ht="20.100000000000001" customHeight="1">
      <c r="B59" s="124" t="str">
        <f t="shared" si="1"/>
        <v>Percentage of dry solids in wastewater sludge/biosolids [WWA7j-2]</v>
      </c>
      <c r="C59" s="205"/>
      <c r="D59" s="254" t="s">
        <v>455</v>
      </c>
      <c r="E59" s="255" t="s">
        <v>879</v>
      </c>
      <c r="F59" s="254" t="s">
        <v>66</v>
      </c>
      <c r="G59" s="254" t="str">
        <f>'Previous years'!G57</f>
        <v>Yes</v>
      </c>
      <c r="H59" s="391" t="s">
        <v>856</v>
      </c>
      <c r="I59" s="409"/>
      <c r="J59" s="305" t="s">
        <v>1960</v>
      </c>
      <c r="K59" s="301"/>
      <c r="L59" s="325"/>
      <c r="AE59" s="99"/>
      <c r="AF59" s="99"/>
    </row>
    <row r="60" spans="2:32" ht="20.100000000000001" customHeight="1" thickBot="1">
      <c r="B60" s="124" t="str">
        <f t="shared" si="1"/>
        <v>Disposal of wastewater sludge in year to on site stockpile [WWA7k-1]</v>
      </c>
      <c r="C60" s="208"/>
      <c r="D60" s="256" t="s">
        <v>456</v>
      </c>
      <c r="E60" s="257" t="s">
        <v>880</v>
      </c>
      <c r="F60" s="256" t="s">
        <v>66</v>
      </c>
      <c r="G60" s="256" t="str">
        <f>'Previous years'!G58</f>
        <v>No</v>
      </c>
      <c r="H60" s="386" t="s">
        <v>559</v>
      </c>
      <c r="I60" s="410"/>
      <c r="J60" s="316" t="s">
        <v>1960</v>
      </c>
      <c r="K60" s="142"/>
      <c r="L60" s="333"/>
      <c r="AE60" s="285"/>
      <c r="AF60" s="285"/>
    </row>
    <row r="61" spans="2:32" ht="20.100000000000001" customHeight="1">
      <c r="B61" s="124" t="str">
        <f t="shared" si="1"/>
        <v>Disposal of wastewater sludge in year to landfill [WWA7k-2]</v>
      </c>
      <c r="C61" s="205" t="s">
        <v>539</v>
      </c>
      <c r="D61" s="254" t="s">
        <v>244</v>
      </c>
      <c r="E61" s="255" t="s">
        <v>502</v>
      </c>
      <c r="F61" s="254" t="s">
        <v>444</v>
      </c>
      <c r="G61" s="547">
        <f>'Previous years'!G59</f>
        <v>2</v>
      </c>
      <c r="H61" s="9"/>
      <c r="I61" s="407"/>
      <c r="J61" s="305" t="s">
        <v>1956</v>
      </c>
      <c r="K61" s="298"/>
      <c r="L61" s="325"/>
      <c r="AE61" s="99"/>
      <c r="AF61" s="99"/>
    </row>
    <row r="62" spans="2:32" ht="20.100000000000001" customHeight="1">
      <c r="B62" s="124" t="str">
        <f t="shared" si="1"/>
        <v>Disposal of wastewater sludge in year to composting and reuse [WWA7k-3]</v>
      </c>
      <c r="C62" s="205"/>
      <c r="D62" s="254" t="s">
        <v>245</v>
      </c>
      <c r="E62" s="255" t="s">
        <v>503</v>
      </c>
      <c r="F62" s="254" t="s">
        <v>444</v>
      </c>
      <c r="G62" s="550">
        <f>'Previous years'!G60</f>
        <v>1</v>
      </c>
      <c r="H62" s="11"/>
      <c r="I62" s="407"/>
      <c r="J62" s="305" t="s">
        <v>1956</v>
      </c>
      <c r="K62" s="298"/>
      <c r="L62" s="325"/>
      <c r="AE62" s="99"/>
      <c r="AF62" s="99"/>
    </row>
    <row r="63" spans="2:32" ht="20.100000000000001" customHeight="1">
      <c r="B63" s="124" t="str">
        <f t="shared" si="1"/>
        <v>Disposal of wastewater sludge in year to other routes [WWA7k-4]</v>
      </c>
      <c r="C63" s="205"/>
      <c r="D63" s="254" t="s">
        <v>246</v>
      </c>
      <c r="E63" s="255" t="s">
        <v>504</v>
      </c>
      <c r="F63" s="254" t="s">
        <v>444</v>
      </c>
      <c r="G63" s="550">
        <f>'Previous years'!G61</f>
        <v>0</v>
      </c>
      <c r="H63" s="11"/>
      <c r="I63" s="407"/>
      <c r="J63" s="305" t="s">
        <v>1956</v>
      </c>
      <c r="K63" s="298"/>
      <c r="L63" s="325"/>
      <c r="AE63" s="99"/>
      <c r="AF63" s="99"/>
    </row>
    <row r="64" spans="2:32" ht="20.100000000000001" customHeight="1">
      <c r="B64" s="124" t="str">
        <f t="shared" si="1"/>
        <v>Last year desludged [WWA7k-5]</v>
      </c>
      <c r="C64" s="205"/>
      <c r="D64" s="254" t="s">
        <v>247</v>
      </c>
      <c r="E64" s="255" t="s">
        <v>505</v>
      </c>
      <c r="F64" s="254" t="s">
        <v>444</v>
      </c>
      <c r="G64" s="550">
        <f>'Previous years'!G62</f>
        <v>0</v>
      </c>
      <c r="H64" s="11"/>
      <c r="I64" s="407"/>
      <c r="J64" s="305" t="s">
        <v>1956</v>
      </c>
      <c r="K64" s="298"/>
      <c r="L64" s="325"/>
      <c r="AE64" s="99"/>
      <c r="AF64" s="99"/>
    </row>
    <row r="65" spans="2:32" ht="20.100000000000001" customHeight="1" thickBot="1">
      <c r="B65" s="124" t="e">
        <f>#REF!&amp;" ["&amp;#REF!&amp;"]"</f>
        <v>#REF!</v>
      </c>
      <c r="C65" s="205"/>
      <c r="D65" s="254" t="s">
        <v>952</v>
      </c>
      <c r="E65" s="255" t="s">
        <v>954</v>
      </c>
      <c r="F65" s="254" t="s">
        <v>444</v>
      </c>
      <c r="G65" s="550">
        <f>'Previous years'!G63</f>
        <v>5</v>
      </c>
      <c r="H65" s="11"/>
      <c r="I65" s="407"/>
      <c r="J65" s="305" t="s">
        <v>1956</v>
      </c>
      <c r="K65" s="298"/>
      <c r="L65" s="325"/>
      <c r="AE65" s="286"/>
      <c r="AF65" s="286"/>
    </row>
    <row r="66" spans="2:32" ht="20.100000000000001" customHeight="1" thickBot="1">
      <c r="B66" s="124" t="str">
        <f>E26&amp;" ["&amp;D26&amp;"]"</f>
        <v>Treatment plant peak wet to average dry weather flow ratio [WWA7m]</v>
      </c>
      <c r="C66" s="205"/>
      <c r="D66" s="254" t="s">
        <v>956</v>
      </c>
      <c r="E66" s="255" t="s">
        <v>953</v>
      </c>
      <c r="F66" s="254" t="s">
        <v>444</v>
      </c>
      <c r="G66" s="550">
        <f>'Previous years'!G64</f>
        <v>0</v>
      </c>
      <c r="H66" s="11"/>
      <c r="I66" s="407"/>
      <c r="J66" s="305" t="s">
        <v>1956</v>
      </c>
      <c r="K66" s="298"/>
      <c r="L66" s="325"/>
      <c r="AE66" s="286"/>
      <c r="AF66" s="286"/>
    </row>
    <row r="67" spans="2:32" ht="20.100000000000001" customHeight="1" thickBot="1">
      <c r="B67" s="124" t="str">
        <f>E48&amp;" ["&amp;D48&amp;"]"</f>
        <v>Dry Weather Wastewater Overflows [WWE1]</v>
      </c>
      <c r="C67" s="205"/>
      <c r="D67" s="254" t="s">
        <v>1080</v>
      </c>
      <c r="E67" s="255" t="s">
        <v>1082</v>
      </c>
      <c r="F67" s="254" t="s">
        <v>444</v>
      </c>
      <c r="G67" s="550">
        <f>'Previous years'!G65</f>
        <v>0</v>
      </c>
      <c r="H67" s="11"/>
      <c r="I67" s="407"/>
      <c r="J67" s="115" t="s">
        <v>1956</v>
      </c>
      <c r="K67" s="298"/>
      <c r="L67" s="325"/>
      <c r="AE67" s="286"/>
      <c r="AF67" s="286"/>
    </row>
    <row r="68" spans="2:32" ht="20.100000000000001" customHeight="1" thickBot="1">
      <c r="B68" s="124" t="str">
        <f>E49&amp;" ["&amp;D49&amp;"]"</f>
        <v>Overflows caused by blockages [WWE1a]</v>
      </c>
      <c r="C68" s="208"/>
      <c r="D68" s="256" t="s">
        <v>1081</v>
      </c>
      <c r="E68" s="257" t="s">
        <v>1083</v>
      </c>
      <c r="F68" s="256" t="s">
        <v>444</v>
      </c>
      <c r="G68" s="551">
        <f>'Previous years'!G66</f>
        <v>0</v>
      </c>
      <c r="H68" s="549"/>
      <c r="I68" s="408"/>
      <c r="J68" s="316" t="s">
        <v>1956</v>
      </c>
      <c r="K68" s="302"/>
      <c r="L68" s="329"/>
      <c r="AE68" s="283"/>
      <c r="AF68" s="283"/>
    </row>
    <row r="69" spans="2:32" ht="20.100000000000001" customHeight="1">
      <c r="B69" s="124" t="str">
        <f>E50&amp;" ["&amp;D50&amp;"]"</f>
        <v>Overflows caused by plant failures [WWE1b]</v>
      </c>
      <c r="C69" s="205" t="s">
        <v>1328</v>
      </c>
      <c r="D69" s="537" t="s">
        <v>1452</v>
      </c>
      <c r="E69" s="538" t="s">
        <v>1466</v>
      </c>
      <c r="F69" s="537" t="s">
        <v>1351</v>
      </c>
      <c r="G69" s="547" t="str">
        <f>'Previous years'!G67</f>
        <v/>
      </c>
      <c r="H69" s="304"/>
      <c r="I69" s="406"/>
      <c r="J69" s="304" t="e">
        <v>#N/A</v>
      </c>
      <c r="K69" s="303"/>
      <c r="L69" s="327"/>
      <c r="AE69" s="100"/>
      <c r="AF69" s="100"/>
    </row>
    <row r="70" spans="2:32" ht="20.100000000000001" customHeight="1">
      <c r="B70" s="124" t="str">
        <f>E51&amp;" ["&amp;D51&amp;"]"</f>
        <v>Wet weather overflows from the wastewater network [WWE2a]</v>
      </c>
      <c r="C70" s="205"/>
      <c r="D70" s="537" t="s">
        <v>1453</v>
      </c>
      <c r="E70" s="538" t="s">
        <v>1464</v>
      </c>
      <c r="F70" s="537" t="s">
        <v>1352</v>
      </c>
      <c r="G70" s="546" t="str">
        <f>'Previous years'!G68</f>
        <v/>
      </c>
      <c r="H70" s="305"/>
      <c r="I70" s="407"/>
      <c r="J70" s="305" t="e">
        <v>#N/A</v>
      </c>
      <c r="K70" s="298"/>
      <c r="L70" s="325"/>
      <c r="AE70" s="99"/>
      <c r="AF70" s="99"/>
    </row>
    <row r="71" spans="2:32" ht="20.100000000000001" customHeight="1" thickBot="1">
      <c r="B71" s="124" t="str">
        <f>E52&amp;" ["&amp;D52&amp;"]"</f>
        <v>Wet weather overflows from combined stormwater and wastewater networks [WWE2b]</v>
      </c>
      <c r="C71" s="208"/>
      <c r="D71" s="256" t="s">
        <v>1075</v>
      </c>
      <c r="E71" s="257" t="s">
        <v>1465</v>
      </c>
      <c r="F71" s="256" t="s">
        <v>1352</v>
      </c>
      <c r="G71" s="548" t="str">
        <f>'Previous years'!G69</f>
        <v/>
      </c>
      <c r="H71" s="319"/>
      <c r="I71" s="412"/>
      <c r="J71" s="316">
        <v>0</v>
      </c>
      <c r="K71" s="308"/>
      <c r="L71" s="333"/>
      <c r="AE71" s="285"/>
      <c r="AF71" s="285"/>
    </row>
    <row r="72" spans="2:32" ht="20.100000000000001" customHeight="1">
      <c r="B72" s="124" t="str">
        <f>E72&amp;" ["&amp;D72&amp;"]"</f>
        <v>Has a climate change risk assesment been undertaken for wastewater networks [WWCC1]</v>
      </c>
      <c r="C72" s="205" t="s">
        <v>1290</v>
      </c>
      <c r="D72" s="537" t="s">
        <v>1542</v>
      </c>
      <c r="E72" s="538" t="s">
        <v>1474</v>
      </c>
      <c r="F72" s="537" t="s">
        <v>66</v>
      </c>
      <c r="G72" s="254"/>
      <c r="H72" s="381"/>
      <c r="I72" s="404"/>
      <c r="J72" s="304" t="e">
        <v>#N/A</v>
      </c>
      <c r="K72" s="301"/>
      <c r="L72" s="327"/>
      <c r="AE72" s="100"/>
      <c r="AF72" s="100"/>
    </row>
    <row r="73" spans="2:32" ht="20.100000000000001" customHeight="1">
      <c r="B73" s="124" t="str">
        <f>E73&amp;" ["&amp;D73&amp;"]"</f>
        <v>Is there a climate change adapataion plan in place for wastewater networks [WWCC2]</v>
      </c>
      <c r="C73" s="205"/>
      <c r="D73" s="537" t="s">
        <v>1543</v>
      </c>
      <c r="E73" s="538" t="s">
        <v>1475</v>
      </c>
      <c r="F73" s="537" t="s">
        <v>66</v>
      </c>
      <c r="G73" s="254"/>
      <c r="H73" s="379"/>
      <c r="I73" s="409"/>
      <c r="J73" s="305" t="e">
        <v>#N/A</v>
      </c>
      <c r="K73" s="306"/>
      <c r="L73" s="325"/>
      <c r="AE73" s="99"/>
      <c r="AF73" s="99"/>
    </row>
    <row r="74" spans="2:32" ht="20.100000000000001" customHeight="1" thickBot="1">
      <c r="B74" s="124" t="str">
        <f>E74&amp;" ["&amp;D74&amp;"]"</f>
        <v>Has an emissions baseline been set for forecast wastewater investments [WWCC3]</v>
      </c>
      <c r="C74" s="208"/>
      <c r="D74" s="539" t="s">
        <v>1544</v>
      </c>
      <c r="E74" s="540" t="s">
        <v>1476</v>
      </c>
      <c r="F74" s="539" t="s">
        <v>66</v>
      </c>
      <c r="G74" s="256"/>
      <c r="H74" s="382"/>
      <c r="I74" s="410"/>
      <c r="J74" s="316" t="e">
        <v>#N/A</v>
      </c>
      <c r="K74" s="309"/>
      <c r="L74" s="329"/>
      <c r="AE74" s="283"/>
      <c r="AF74" s="283"/>
    </row>
    <row r="75" spans="2:32" ht="20.100000000000001" customHeight="1" thickBot="1">
      <c r="B75" s="115"/>
      <c r="C75" s="209" t="s">
        <v>1252</v>
      </c>
      <c r="D75" s="541" t="s">
        <v>1454</v>
      </c>
      <c r="E75" s="542" t="s">
        <v>1471</v>
      </c>
      <c r="F75" s="541" t="s">
        <v>66</v>
      </c>
      <c r="G75" s="337"/>
      <c r="H75" s="393"/>
      <c r="I75" s="414"/>
      <c r="J75" s="318" t="e">
        <v>#N/A</v>
      </c>
      <c r="K75" s="339"/>
      <c r="L75" s="332"/>
      <c r="AE75" s="284"/>
      <c r="AF75" s="284"/>
    </row>
    <row r="76" spans="2:32" ht="20.100000000000001" customHeight="1">
      <c r="B76" s="115"/>
      <c r="C76" s="205" t="s">
        <v>548</v>
      </c>
      <c r="D76" s="254" t="s">
        <v>1282</v>
      </c>
      <c r="E76" s="255" t="s">
        <v>1283</v>
      </c>
      <c r="F76" s="254" t="s">
        <v>66</v>
      </c>
      <c r="G76" s="254" t="str">
        <f>'Previous years'!G74</f>
        <v>Yes</v>
      </c>
      <c r="H76" s="381"/>
      <c r="I76" s="404"/>
      <c r="J76" s="304" t="s">
        <v>1956</v>
      </c>
      <c r="K76" s="301"/>
      <c r="L76" s="327"/>
      <c r="AE76" s="100"/>
      <c r="AF76" s="100"/>
    </row>
    <row r="77" spans="2:32" ht="20.100000000000001" customHeight="1">
      <c r="B77" s="115"/>
      <c r="C77" s="205"/>
      <c r="D77" s="254" t="s">
        <v>1284</v>
      </c>
      <c r="E77" s="255" t="s">
        <v>1285</v>
      </c>
      <c r="F77" s="254" t="s">
        <v>444</v>
      </c>
      <c r="G77" s="254">
        <f>'Previous years'!G75</f>
        <v>0</v>
      </c>
      <c r="H77" s="379"/>
      <c r="I77" s="407"/>
      <c r="J77" s="305" t="s">
        <v>1956</v>
      </c>
      <c r="K77" s="298"/>
      <c r="L77" s="325"/>
      <c r="AE77" s="99"/>
      <c r="AF77" s="99"/>
    </row>
    <row r="78" spans="2:32" ht="20.100000000000001" customHeight="1">
      <c r="B78" s="115"/>
      <c r="C78" s="205"/>
      <c r="D78" s="254" t="s">
        <v>1286</v>
      </c>
      <c r="E78" s="255" t="s">
        <v>1287</v>
      </c>
      <c r="F78" s="254" t="s">
        <v>444</v>
      </c>
      <c r="G78" s="254">
        <f>'Previous years'!G76</f>
        <v>0</v>
      </c>
      <c r="H78" s="379"/>
      <c r="I78" s="407"/>
      <c r="J78" s="305" t="s">
        <v>1956</v>
      </c>
      <c r="K78" s="298"/>
      <c r="L78" s="325"/>
      <c r="AE78" s="99"/>
      <c r="AF78" s="99"/>
    </row>
    <row r="79" spans="2:32" ht="20.100000000000001" customHeight="1" thickBot="1">
      <c r="B79" s="115"/>
      <c r="C79" s="208"/>
      <c r="D79" s="256" t="s">
        <v>1288</v>
      </c>
      <c r="E79" s="257" t="s">
        <v>1289</v>
      </c>
      <c r="F79" s="256" t="s">
        <v>68</v>
      </c>
      <c r="G79" s="256">
        <f>'Previous years'!G77</f>
        <v>0</v>
      </c>
      <c r="H79" s="382"/>
      <c r="I79" s="408"/>
      <c r="J79" s="316" t="s">
        <v>1956</v>
      </c>
      <c r="K79" s="302"/>
      <c r="L79" s="329"/>
      <c r="AE79" s="283"/>
      <c r="AF79" s="283"/>
    </row>
    <row r="80" spans="2:32" ht="20.100000000000001" customHeight="1">
      <c r="B80" s="124" t="str">
        <f t="shared" ref="B80:B90" si="2">E56&amp;" ["&amp;D56&amp;"]"</f>
        <v>Sewage containment of the existing network [WWE8]</v>
      </c>
      <c r="C80" s="205" t="s">
        <v>540</v>
      </c>
      <c r="D80" s="254" t="s">
        <v>250</v>
      </c>
      <c r="E80" s="255" t="s">
        <v>251</v>
      </c>
      <c r="F80" s="254" t="s">
        <v>108</v>
      </c>
      <c r="G80" s="515">
        <f>'Previous years'!G78</f>
        <v>664</v>
      </c>
      <c r="H80" s="401"/>
      <c r="I80" s="404"/>
      <c r="J80" s="304" t="s">
        <v>1942</v>
      </c>
      <c r="K80" s="304"/>
      <c r="L80" s="330"/>
      <c r="AE80" s="99"/>
      <c r="AF80" s="251"/>
    </row>
    <row r="81" spans="2:32" ht="20.100000000000001" customHeight="1">
      <c r="B81" s="124" t="str">
        <f t="shared" si="2"/>
        <v>Overflows recorded through verbal reports [WWE9a]</v>
      </c>
      <c r="C81" s="205"/>
      <c r="D81" s="254" t="s">
        <v>252</v>
      </c>
      <c r="E81" s="255" t="s">
        <v>253</v>
      </c>
      <c r="F81" s="254" t="s">
        <v>472</v>
      </c>
      <c r="G81" s="254" t="str">
        <f>'Previous years'!G79</f>
        <v>Targeted Rate</v>
      </c>
      <c r="H81" s="392"/>
      <c r="I81" s="409"/>
      <c r="J81" s="305" t="s">
        <v>1942</v>
      </c>
      <c r="K81" s="306"/>
      <c r="L81" s="325"/>
      <c r="AE81" s="99"/>
      <c r="AF81" s="99"/>
    </row>
    <row r="82" spans="2:32" ht="20.100000000000001" customHeight="1">
      <c r="B82" s="124" t="str">
        <f t="shared" si="2"/>
        <v>Overflows recorded through SCADA monitoring [WWE9b]</v>
      </c>
      <c r="C82" s="205"/>
      <c r="D82" s="254" t="s">
        <v>254</v>
      </c>
      <c r="E82" s="255" t="s">
        <v>255</v>
      </c>
      <c r="F82" s="254" t="s">
        <v>479</v>
      </c>
      <c r="G82" s="515" t="str">
        <f>'Previous years'!G80</f>
        <v/>
      </c>
      <c r="H82" s="396"/>
      <c r="I82" s="409"/>
      <c r="J82" s="305" t="s">
        <v>1942</v>
      </c>
      <c r="K82" s="298"/>
      <c r="L82" s="325"/>
      <c r="AE82" s="99"/>
      <c r="AF82" s="99"/>
    </row>
    <row r="83" spans="2:32" ht="20.100000000000001" customHeight="1">
      <c r="B83" s="124" t="str">
        <f t="shared" si="2"/>
        <v>Overflows calculated through hydraulic models [WWE9c]</v>
      </c>
      <c r="C83" s="205"/>
      <c r="D83" s="254" t="s">
        <v>256</v>
      </c>
      <c r="E83" s="255" t="s">
        <v>257</v>
      </c>
      <c r="F83" s="254" t="s">
        <v>66</v>
      </c>
      <c r="G83" s="260" t="str">
        <f>'Previous years'!G81</f>
        <v/>
      </c>
      <c r="H83" s="394"/>
      <c r="I83" s="409"/>
      <c r="J83" s="305" t="s">
        <v>1942</v>
      </c>
      <c r="K83" s="306"/>
      <c r="L83" s="325"/>
      <c r="AE83" s="99"/>
      <c r="AF83" s="99"/>
    </row>
    <row r="84" spans="2:32" ht="20.100000000000001" customHeight="1">
      <c r="B84" s="124" t="str">
        <f t="shared" si="2"/>
        <v>Overflows calculated through calibrated hydraulic models [WWE9d]</v>
      </c>
      <c r="C84" s="205"/>
      <c r="D84" s="254" t="s">
        <v>258</v>
      </c>
      <c r="E84" s="255" t="s">
        <v>259</v>
      </c>
      <c r="F84" s="254" t="s">
        <v>108</v>
      </c>
      <c r="G84" s="515">
        <f>'Previous years'!G82</f>
        <v>664</v>
      </c>
      <c r="H84" s="396"/>
      <c r="I84" s="409"/>
      <c r="J84" s="305" t="s">
        <v>1942</v>
      </c>
      <c r="K84" s="298"/>
      <c r="L84" s="325"/>
      <c r="AE84" s="99"/>
      <c r="AF84" s="99"/>
    </row>
    <row r="85" spans="2:32" ht="20.100000000000001" customHeight="1">
      <c r="B85" s="124" t="str">
        <f t="shared" si="2"/>
        <v>Wastewater consent abatement notices [WWE4a]</v>
      </c>
      <c r="C85" s="205"/>
      <c r="D85" s="254" t="s">
        <v>260</v>
      </c>
      <c r="E85" s="255" t="s">
        <v>261</v>
      </c>
      <c r="F85" s="254" t="s">
        <v>472</v>
      </c>
      <c r="G85" s="254" t="str">
        <f>'Previous years'!G83</f>
        <v>Targeted Rate</v>
      </c>
      <c r="H85" s="392"/>
      <c r="I85" s="409"/>
      <c r="J85" s="305" t="s">
        <v>1942</v>
      </c>
      <c r="K85" s="306"/>
      <c r="L85" s="325"/>
      <c r="AE85" s="99"/>
      <c r="AF85" s="99"/>
    </row>
    <row r="86" spans="2:32" ht="20.100000000000001" customHeight="1">
      <c r="B86" s="124" t="str">
        <f t="shared" si="2"/>
        <v>Wastewater consent infringement notices [WWE4b]</v>
      </c>
      <c r="C86" s="205"/>
      <c r="D86" s="254" t="s">
        <v>262</v>
      </c>
      <c r="E86" s="255" t="s">
        <v>263</v>
      </c>
      <c r="F86" s="254" t="s">
        <v>479</v>
      </c>
      <c r="G86" s="515" t="str">
        <f>'Previous years'!G84</f>
        <v/>
      </c>
      <c r="H86" s="396"/>
      <c r="I86" s="409"/>
      <c r="J86" s="305" t="s">
        <v>1942</v>
      </c>
      <c r="K86" s="298"/>
      <c r="L86" s="325"/>
      <c r="AE86" s="99"/>
      <c r="AF86" s="99"/>
    </row>
    <row r="87" spans="2:32" ht="20.100000000000001" customHeight="1" thickBot="1">
      <c r="B87" s="124" t="str">
        <f t="shared" si="2"/>
        <v>Wastewater consent enforcement orders [WWE4c]</v>
      </c>
      <c r="C87" s="208"/>
      <c r="D87" s="256" t="s">
        <v>264</v>
      </c>
      <c r="E87" s="257" t="s">
        <v>506</v>
      </c>
      <c r="F87" s="256" t="s">
        <v>480</v>
      </c>
      <c r="G87" s="516">
        <f>'Previous years'!G85</f>
        <v>664</v>
      </c>
      <c r="H87" s="400" t="str">
        <f>IF((H84+(H86*200))=0,"",H84+(H86*200))</f>
        <v/>
      </c>
      <c r="I87" s="410" t="s">
        <v>212</v>
      </c>
      <c r="J87" s="321"/>
      <c r="K87" s="309"/>
      <c r="L87" s="326"/>
      <c r="AE87" s="283"/>
      <c r="AF87" s="283"/>
    </row>
    <row r="88" spans="2:32" ht="20.100000000000001" customHeight="1">
      <c r="B88" s="124" t="str">
        <f t="shared" si="2"/>
        <v>Wastewater consent successful prosecutions [WWE4d]</v>
      </c>
      <c r="C88" s="205" t="s">
        <v>541</v>
      </c>
      <c r="D88" s="254" t="s">
        <v>265</v>
      </c>
      <c r="E88" s="255" t="s">
        <v>266</v>
      </c>
      <c r="F88" s="254" t="s">
        <v>444</v>
      </c>
      <c r="G88" s="254">
        <f>'Previous years'!G86</f>
        <v>204</v>
      </c>
      <c r="H88" s="389" t="str">
        <f>IF(NOT(COUNTA(Wastewater!H89:H92)),"",SUM(Wastewater!H89:H92))</f>
        <v/>
      </c>
      <c r="I88" s="404" t="s">
        <v>212</v>
      </c>
      <c r="J88" s="310"/>
      <c r="K88" s="301"/>
      <c r="L88" s="335"/>
      <c r="AE88" s="100"/>
      <c r="AF88" s="100"/>
    </row>
    <row r="89" spans="2:32" ht="20.100000000000001" customHeight="1">
      <c r="B89" s="124" t="str">
        <f t="shared" si="2"/>
        <v>Wastewater treatment plant consent non-conformance [WWE4e]</v>
      </c>
      <c r="C89" s="205"/>
      <c r="D89" s="254" t="s">
        <v>267</v>
      </c>
      <c r="E89" s="255" t="s">
        <v>507</v>
      </c>
      <c r="F89" s="254" t="s">
        <v>444</v>
      </c>
      <c r="G89" s="254">
        <f>'Previous years'!G87</f>
        <v>46</v>
      </c>
      <c r="H89" s="379"/>
      <c r="I89" s="407"/>
      <c r="J89" s="305" t="s">
        <v>1938</v>
      </c>
      <c r="K89" s="298"/>
      <c r="L89" s="325"/>
      <c r="AE89" s="99"/>
      <c r="AF89" s="99"/>
    </row>
    <row r="90" spans="2:32" ht="20.100000000000001" customHeight="1">
      <c r="B90" s="124" t="str">
        <f t="shared" si="2"/>
        <v>Wastewater network discharge non-conformance [WWE4f]</v>
      </c>
      <c r="C90" s="205"/>
      <c r="D90" s="254" t="s">
        <v>268</v>
      </c>
      <c r="E90" s="255" t="s">
        <v>508</v>
      </c>
      <c r="F90" s="254" t="s">
        <v>444</v>
      </c>
      <c r="G90" s="254">
        <f>'Previous years'!G88</f>
        <v>101</v>
      </c>
      <c r="H90" s="559"/>
      <c r="I90" s="407"/>
      <c r="J90" s="305" t="s">
        <v>1938</v>
      </c>
      <c r="K90" s="298"/>
      <c r="L90" s="325"/>
      <c r="AE90" s="99"/>
      <c r="AF90" s="99"/>
    </row>
    <row r="91" spans="2:32" ht="20.100000000000001" customHeight="1">
      <c r="B91" s="124" t="str">
        <f>E18&amp;" ["&amp;D18&amp;"]"</f>
        <v>Wet weather overflow regulation approach [WWE4g]</v>
      </c>
      <c r="C91" s="205"/>
      <c r="D91" s="254" t="s">
        <v>269</v>
      </c>
      <c r="E91" s="255" t="s">
        <v>509</v>
      </c>
      <c r="F91" s="254" t="s">
        <v>444</v>
      </c>
      <c r="G91" s="254">
        <f>'Previous years'!G89</f>
        <v>57</v>
      </c>
      <c r="H91" s="560"/>
      <c r="I91" s="407"/>
      <c r="J91" s="469" t="s">
        <v>1938</v>
      </c>
      <c r="K91" s="470"/>
      <c r="L91" s="471"/>
      <c r="AE91" s="99"/>
      <c r="AF91" s="99"/>
    </row>
    <row r="92" spans="2:32" ht="20.100000000000001" customHeight="1">
      <c r="B92" s="124" t="str">
        <f>E67&amp;" ["&amp;D67&amp;"]"</f>
        <v>Wastewater consent letter of direction [WWE4h]</v>
      </c>
      <c r="C92" s="205"/>
      <c r="D92" s="254" t="s">
        <v>1090</v>
      </c>
      <c r="E92" s="255" t="s">
        <v>1091</v>
      </c>
      <c r="F92" s="254" t="s">
        <v>444</v>
      </c>
      <c r="G92" s="254">
        <f>'Previous years'!G90</f>
        <v>0</v>
      </c>
      <c r="H92" s="379"/>
      <c r="I92" s="407"/>
      <c r="J92" s="305" t="s">
        <v>1938</v>
      </c>
      <c r="K92" s="298"/>
      <c r="L92" s="325"/>
      <c r="AE92" s="99"/>
      <c r="AF92" s="99"/>
    </row>
    <row r="93" spans="2:32" ht="20.100000000000001" customHeight="1" thickBot="1">
      <c r="B93" s="124" t="str">
        <f>E68&amp;" ["&amp;D68&amp;"]"</f>
        <v>Wastewater consent formal warming [WWE4i]</v>
      </c>
      <c r="C93" s="208"/>
      <c r="D93" s="256" t="s">
        <v>270</v>
      </c>
      <c r="E93" s="257" t="s">
        <v>510</v>
      </c>
      <c r="F93" s="256" t="s">
        <v>1601</v>
      </c>
      <c r="G93" s="535">
        <f>'Previous years'!G91</f>
        <v>7.5082811924917188</v>
      </c>
      <c r="H93" s="536" t="str">
        <f>IFERROR(H88/H36*1000,"")</f>
        <v/>
      </c>
      <c r="I93" s="410" t="s">
        <v>212</v>
      </c>
      <c r="J93" s="321"/>
      <c r="K93" s="309"/>
      <c r="L93" s="326"/>
      <c r="AE93" s="283"/>
      <c r="AF93" s="283"/>
    </row>
    <row r="94" spans="2:32" ht="20.100000000000001" customHeight="1">
      <c r="B94" s="124" t="e">
        <f>#REF!&amp;" ["&amp;#REF!&amp;"]"</f>
        <v>#REF!</v>
      </c>
      <c r="C94" s="205" t="s">
        <v>543</v>
      </c>
      <c r="D94" s="254" t="s">
        <v>273</v>
      </c>
      <c r="E94" s="255" t="s">
        <v>274</v>
      </c>
      <c r="F94" s="254" t="s">
        <v>108</v>
      </c>
      <c r="G94" s="513">
        <f>'Previous years'!G92</f>
        <v>0</v>
      </c>
      <c r="H94" s="401"/>
      <c r="I94" s="406"/>
      <c r="J94" s="304" t="s">
        <v>1942</v>
      </c>
      <c r="K94" s="303"/>
      <c r="L94" s="327"/>
      <c r="AE94" s="100"/>
      <c r="AF94" s="100"/>
    </row>
    <row r="95" spans="2:32" ht="20.100000000000001" customHeight="1">
      <c r="B95" s="124" t="str">
        <f>E80&amp;" ["&amp;D80&amp;"]"</f>
        <v>Fixed Charge: Non residential wastewater [WWS1a]</v>
      </c>
      <c r="C95" s="205"/>
      <c r="D95" s="254" t="s">
        <v>275</v>
      </c>
      <c r="E95" s="255" t="s">
        <v>276</v>
      </c>
      <c r="F95" s="254" t="s">
        <v>108</v>
      </c>
      <c r="G95" s="513">
        <f>'Previous years'!G93</f>
        <v>13703952.459999999</v>
      </c>
      <c r="H95" s="396"/>
      <c r="I95" s="407"/>
      <c r="J95" s="305" t="s">
        <v>1942</v>
      </c>
      <c r="K95" s="298"/>
      <c r="L95" s="325"/>
      <c r="AE95" s="99"/>
      <c r="AF95" s="99"/>
    </row>
    <row r="96" spans="2:32" ht="20.100000000000001" customHeight="1">
      <c r="B96" s="124" t="str">
        <f>E81&amp;" ["&amp;D81&amp;"]"</f>
        <v>Fixed  Charge Type: Non residential wastewater [WWS1b]</v>
      </c>
      <c r="C96" s="205"/>
      <c r="D96" s="254" t="s">
        <v>277</v>
      </c>
      <c r="E96" s="255" t="s">
        <v>278</v>
      </c>
      <c r="F96" s="254" t="s">
        <v>108</v>
      </c>
      <c r="G96" s="513">
        <f>'Previous years'!G94</f>
        <v>4620066.58</v>
      </c>
      <c r="H96" s="396"/>
      <c r="I96" s="407"/>
      <c r="J96" s="305" t="s">
        <v>1942</v>
      </c>
      <c r="K96" s="298"/>
      <c r="L96" s="325"/>
      <c r="AE96" s="99"/>
      <c r="AF96" s="99"/>
    </row>
    <row r="97" spans="2:32" ht="20.100000000000001" customHeight="1">
      <c r="B97" s="124" t="str">
        <f>E82&amp;" ["&amp;D82&amp;"]"</f>
        <v>Volumetric Charge: Non residential wastewater [WWS1c]</v>
      </c>
      <c r="C97" s="205"/>
      <c r="D97" s="254" t="s">
        <v>279</v>
      </c>
      <c r="E97" s="255" t="s">
        <v>280</v>
      </c>
      <c r="F97" s="254" t="s">
        <v>108</v>
      </c>
      <c r="G97" s="513">
        <f>'Previous years'!G95</f>
        <v>18324019.039999999</v>
      </c>
      <c r="H97" s="395" t="str">
        <f>IF(SUM(H94:H96)=0,"",SUM(H94:H96))</f>
        <v/>
      </c>
      <c r="I97" s="409" t="s">
        <v>212</v>
      </c>
      <c r="J97" s="320"/>
      <c r="K97" s="306"/>
      <c r="L97" s="324"/>
      <c r="AE97" s="99"/>
      <c r="AF97" s="99"/>
    </row>
    <row r="98" spans="2:32" ht="20.100000000000001" customHeight="1">
      <c r="B98" s="124" t="str">
        <f>E83&amp;" ["&amp;D83&amp;"]"</f>
        <v>Contaminant Based Charging [WWS1d]</v>
      </c>
      <c r="C98" s="205"/>
      <c r="D98" s="254" t="s">
        <v>281</v>
      </c>
      <c r="E98" s="255" t="s">
        <v>282</v>
      </c>
      <c r="F98" s="254" t="s">
        <v>1602</v>
      </c>
      <c r="G98" s="513">
        <f>'Previous years'!G96</f>
        <v>674.42101729849094</v>
      </c>
      <c r="H98" s="395" t="str">
        <f>IFERROR(H97/H36,"")</f>
        <v/>
      </c>
      <c r="I98" s="409" t="s">
        <v>212</v>
      </c>
      <c r="J98" s="320"/>
      <c r="K98" s="306"/>
      <c r="L98" s="324"/>
      <c r="AE98" s="99"/>
      <c r="AF98" s="99"/>
    </row>
    <row r="99" spans="2:32" ht="20.100000000000001" customHeight="1" thickBot="1">
      <c r="B99" s="124" t="str">
        <f>E84&amp;" ["&amp;D84&amp;"]"</f>
        <v>Fixed Charge: Residential wastewater [WWS2a]</v>
      </c>
      <c r="C99" s="208"/>
      <c r="D99" s="256" t="s">
        <v>283</v>
      </c>
      <c r="E99" s="257" t="s">
        <v>284</v>
      </c>
      <c r="F99" s="256" t="s">
        <v>108</v>
      </c>
      <c r="G99" s="514">
        <f>'Previous years'!G97</f>
        <v>5454832</v>
      </c>
      <c r="H99" s="397"/>
      <c r="I99" s="408"/>
      <c r="J99" s="316" t="s">
        <v>1957</v>
      </c>
      <c r="K99" s="302"/>
      <c r="L99" s="329"/>
      <c r="AE99" s="283"/>
      <c r="AF99" s="283"/>
    </row>
    <row r="100" spans="2:32" ht="20.100000000000001" customHeight="1" thickBot="1">
      <c r="B100" s="124" t="str">
        <f>E108&amp;" ["&amp;D108&amp;"]"</f>
        <v>Operating Cost per Property: Wastewater [WWF14]</v>
      </c>
      <c r="C100" s="208" t="s">
        <v>552</v>
      </c>
      <c r="D100" s="256" t="s">
        <v>322</v>
      </c>
      <c r="E100" s="257" t="s">
        <v>323</v>
      </c>
      <c r="F100" s="256" t="s">
        <v>108</v>
      </c>
      <c r="G100" s="514">
        <f>'Previous years'!G98</f>
        <v>7098939.5</v>
      </c>
      <c r="H100" s="398"/>
      <c r="I100" s="411"/>
      <c r="J100" s="318">
        <v>0</v>
      </c>
      <c r="K100" s="307"/>
      <c r="L100" s="332"/>
      <c r="AE100" s="284"/>
      <c r="AF100" s="284"/>
    </row>
    <row r="101" spans="2:32" ht="20.100000000000001" customHeight="1">
      <c r="B101" s="124" t="str">
        <f t="shared" ref="B101:B109" si="3">E85&amp;" ["&amp;D85&amp;"]"</f>
        <v>Fixed Charge Type: Residential wastewater [WWS2b]</v>
      </c>
      <c r="C101" s="205" t="s">
        <v>544</v>
      </c>
      <c r="D101" s="254" t="s">
        <v>285</v>
      </c>
      <c r="E101" s="255" t="s">
        <v>286</v>
      </c>
      <c r="F101" s="254" t="s">
        <v>108</v>
      </c>
      <c r="G101" s="513">
        <f>'Previous years'!G99</f>
        <v>936359.42</v>
      </c>
      <c r="H101" s="399"/>
      <c r="I101" s="415"/>
      <c r="J101" s="323" t="s">
        <v>1961</v>
      </c>
      <c r="K101" s="311"/>
      <c r="L101" s="336"/>
      <c r="AE101" s="287"/>
      <c r="AF101" s="287"/>
    </row>
    <row r="102" spans="2:32" ht="20.100000000000001" customHeight="1">
      <c r="B102" s="124" t="str">
        <f t="shared" si="3"/>
        <v>Volumetric Charge: Residential wastewater [WWS2c]</v>
      </c>
      <c r="C102" s="205"/>
      <c r="D102" s="254" t="s">
        <v>287</v>
      </c>
      <c r="E102" s="255" t="s">
        <v>288</v>
      </c>
      <c r="F102" s="254" t="s">
        <v>108</v>
      </c>
      <c r="G102" s="513">
        <f>'Previous years'!G100</f>
        <v>1663637.69</v>
      </c>
      <c r="H102" s="396"/>
      <c r="I102" s="407"/>
      <c r="J102" s="305" t="s">
        <v>1961</v>
      </c>
      <c r="K102" s="298"/>
      <c r="L102" s="325"/>
      <c r="AE102" s="99"/>
      <c r="AF102" s="99"/>
    </row>
    <row r="103" spans="2:32" ht="20.100000000000001" customHeight="1">
      <c r="B103" s="124" t="str">
        <f t="shared" si="3"/>
        <v>Average Annual Residential Wastewater Charge Based on 200 m3/yr  [WWS3]</v>
      </c>
      <c r="C103" s="205"/>
      <c r="D103" s="254" t="s">
        <v>289</v>
      </c>
      <c r="E103" s="255" t="s">
        <v>885</v>
      </c>
      <c r="F103" s="254" t="s">
        <v>108</v>
      </c>
      <c r="G103" s="513">
        <f>'Previous years'!G101</f>
        <v>1503256.73</v>
      </c>
      <c r="H103" s="396"/>
      <c r="I103" s="407"/>
      <c r="J103" s="305" t="s">
        <v>1961</v>
      </c>
      <c r="K103" s="298"/>
      <c r="L103" s="325"/>
      <c r="AE103" s="99"/>
      <c r="AF103" s="99"/>
    </row>
    <row r="104" spans="2:32" ht="20.100000000000001" customHeight="1">
      <c r="B104" s="124" t="str">
        <f t="shared" si="3"/>
        <v>Wastewater complaints [WWS4]</v>
      </c>
      <c r="C104" s="205"/>
      <c r="D104" s="254" t="s">
        <v>290</v>
      </c>
      <c r="E104" s="255" t="s">
        <v>886</v>
      </c>
      <c r="F104" s="254" t="s">
        <v>108</v>
      </c>
      <c r="G104" s="513">
        <f>'Previous years'!G102</f>
        <v>935357.19</v>
      </c>
      <c r="H104" s="396"/>
      <c r="I104" s="407"/>
      <c r="J104" s="305" t="s">
        <v>1961</v>
      </c>
      <c r="K104" s="298"/>
      <c r="L104" s="325"/>
      <c r="AE104" s="99"/>
      <c r="AF104" s="99"/>
    </row>
    <row r="105" spans="2:32" ht="20.100000000000001" customHeight="1">
      <c r="B105" s="124" t="str">
        <f t="shared" si="3"/>
        <v>Sewage odour complaints [WWS4a]</v>
      </c>
      <c r="C105" s="205"/>
      <c r="D105" s="254" t="s">
        <v>291</v>
      </c>
      <c r="E105" s="255" t="s">
        <v>511</v>
      </c>
      <c r="F105" s="254" t="s">
        <v>108</v>
      </c>
      <c r="G105" s="513">
        <f>'Previous years'!G103</f>
        <v>1965636.58</v>
      </c>
      <c r="H105" s="396"/>
      <c r="I105" s="407"/>
      <c r="J105" s="305" t="s">
        <v>1961</v>
      </c>
      <c r="K105" s="298"/>
      <c r="L105" s="325"/>
      <c r="AE105" s="99"/>
      <c r="AF105" s="99"/>
    </row>
    <row r="106" spans="2:32" ht="20.100000000000001" customHeight="1">
      <c r="B106" s="124" t="str">
        <f t="shared" si="3"/>
        <v>Sewerage system fault complaints [WWS4b]</v>
      </c>
      <c r="C106" s="205"/>
      <c r="D106" s="254" t="s">
        <v>292</v>
      </c>
      <c r="E106" s="255" t="s">
        <v>966</v>
      </c>
      <c r="F106" s="254" t="s">
        <v>108</v>
      </c>
      <c r="G106" s="513">
        <f>'Previous years'!G104</f>
        <v>0</v>
      </c>
      <c r="H106" s="396"/>
      <c r="I106" s="407"/>
      <c r="J106" s="305" t="s">
        <v>1961</v>
      </c>
      <c r="K106" s="298"/>
      <c r="L106" s="325"/>
      <c r="AE106" s="99"/>
      <c r="AF106" s="99"/>
    </row>
    <row r="107" spans="2:32" ht="20.100000000000001" customHeight="1">
      <c r="B107" s="124" t="str">
        <f t="shared" si="3"/>
        <v>Sewerage system blockage complaints [WWS4c]</v>
      </c>
      <c r="C107" s="205"/>
      <c r="D107" s="254" t="s">
        <v>325</v>
      </c>
      <c r="E107" s="255" t="s">
        <v>293</v>
      </c>
      <c r="F107" s="254" t="s">
        <v>108</v>
      </c>
      <c r="G107" s="513">
        <f>'Previous years'!G105</f>
        <v>7004247.6099999994</v>
      </c>
      <c r="H107" s="395" t="str">
        <f>IF(SUM(H101:H106)=0,"",SUM(H101:H106))</f>
        <v/>
      </c>
      <c r="I107" s="409" t="s">
        <v>212</v>
      </c>
      <c r="J107" s="320"/>
      <c r="K107" s="306"/>
      <c r="L107" s="324"/>
      <c r="AE107" s="99"/>
      <c r="AF107" s="99"/>
    </row>
    <row r="108" spans="2:32" ht="20.100000000000001" customHeight="1">
      <c r="B108" s="124" t="str">
        <f t="shared" si="3"/>
        <v>The authority’s response to issues with its sewerage system [WWS4d]</v>
      </c>
      <c r="C108" s="205"/>
      <c r="D108" s="254" t="s">
        <v>294</v>
      </c>
      <c r="E108" s="255" t="s">
        <v>295</v>
      </c>
      <c r="F108" s="254" t="s">
        <v>1602</v>
      </c>
      <c r="G108" s="513">
        <f>'Previous years'!G106</f>
        <v>257.79343430253954</v>
      </c>
      <c r="H108" s="395" t="str">
        <f>IFERROR(H107/H36,"")</f>
        <v/>
      </c>
      <c r="I108" s="409" t="s">
        <v>212</v>
      </c>
      <c r="J108" s="320"/>
      <c r="K108" s="306"/>
      <c r="L108" s="324"/>
      <c r="AE108" s="99"/>
      <c r="AF108" s="99"/>
    </row>
    <row r="109" spans="2:32" ht="20.100000000000001" customHeight="1">
      <c r="B109" s="124" t="str">
        <f t="shared" si="3"/>
        <v>Wastewater complaints frequency [WWS5]</v>
      </c>
      <c r="C109" s="205"/>
      <c r="D109" s="254" t="s">
        <v>296</v>
      </c>
      <c r="E109" s="255" t="s">
        <v>297</v>
      </c>
      <c r="F109" s="254" t="s">
        <v>108</v>
      </c>
      <c r="G109" s="513">
        <f>'Previous years'!G107</f>
        <v>7448815.54</v>
      </c>
      <c r="H109" s="396"/>
      <c r="I109" s="407"/>
      <c r="J109" s="305" t="s">
        <v>1961</v>
      </c>
      <c r="K109" s="298"/>
      <c r="L109" s="325"/>
      <c r="AE109" s="99"/>
      <c r="AF109" s="99"/>
    </row>
    <row r="110" spans="2:32" ht="20.100000000000001" customHeight="1">
      <c r="B110" s="124" t="str">
        <f>E37&amp;" ["&amp;D37&amp;"]"</f>
        <v>Wastewater fault attendance time [WWS6a]</v>
      </c>
      <c r="C110" s="205"/>
      <c r="D110" s="254" t="s">
        <v>298</v>
      </c>
      <c r="E110" s="255" t="s">
        <v>299</v>
      </c>
      <c r="F110" s="254" t="s">
        <v>108</v>
      </c>
      <c r="G110" s="513">
        <f>'Previous years'!G108</f>
        <v>1539308.76</v>
      </c>
      <c r="H110" s="396"/>
      <c r="I110" s="407"/>
      <c r="J110" s="305" t="s">
        <v>1961</v>
      </c>
      <c r="K110" s="298"/>
      <c r="L110" s="325"/>
      <c r="AE110" s="99"/>
      <c r="AF110" s="99"/>
    </row>
    <row r="111" spans="2:32" ht="20.100000000000001" customHeight="1">
      <c r="B111" s="124" t="str">
        <f>E38&amp;" ["&amp;D38&amp;"]"</f>
        <v>Wastewater fault resolution time [WWS6b]</v>
      </c>
      <c r="C111" s="205"/>
      <c r="D111" s="254" t="s">
        <v>300</v>
      </c>
      <c r="E111" s="255" t="s">
        <v>301</v>
      </c>
      <c r="F111" s="254" t="s">
        <v>10</v>
      </c>
      <c r="G111" s="517">
        <f>'Previous years'!G109</f>
        <v>8.4004974926068413E-2</v>
      </c>
      <c r="H111" s="445" t="str">
        <f>IFERROR(H110/H97,"")</f>
        <v/>
      </c>
      <c r="I111" s="409" t="s">
        <v>212</v>
      </c>
      <c r="J111" s="320"/>
      <c r="K111" s="306"/>
      <c r="L111" s="324"/>
      <c r="AE111" s="99"/>
      <c r="AF111" s="99"/>
    </row>
    <row r="112" spans="2:32" ht="20.100000000000001" customHeight="1">
      <c r="B112" s="124" t="str">
        <f>E39&amp;" ["&amp;D39&amp;"]"</f>
        <v>Unplanned Total Interruptions: Wastewater [WWS7a]</v>
      </c>
      <c r="C112" s="205"/>
      <c r="D112" s="254" t="s">
        <v>302</v>
      </c>
      <c r="E112" s="255" t="s">
        <v>303</v>
      </c>
      <c r="F112" s="254" t="s">
        <v>10</v>
      </c>
      <c r="G112" s="517">
        <f>'Previous years'!G110</f>
        <v>0.85690556329739576</v>
      </c>
      <c r="H112" s="445" t="str">
        <f>IFERROR((H94+H95)/(H109+H110+H107),"")</f>
        <v/>
      </c>
      <c r="I112" s="409" t="s">
        <v>212</v>
      </c>
      <c r="J112" s="320"/>
      <c r="K112" s="306"/>
      <c r="L112" s="324"/>
      <c r="AE112" s="99"/>
      <c r="AF112" s="99"/>
    </row>
    <row r="113" spans="2:32" ht="20.100000000000001" customHeight="1">
      <c r="B113" s="124" t="str">
        <f>E40&amp;" ["&amp;D40&amp;"]"</f>
        <v>Third party Incidents: Wastewater [WWS7b]</v>
      </c>
      <c r="C113" s="205"/>
      <c r="D113" s="254" t="s">
        <v>326</v>
      </c>
      <c r="E113" s="255" t="s">
        <v>304</v>
      </c>
      <c r="F113" s="254" t="s">
        <v>108</v>
      </c>
      <c r="G113" s="513">
        <f>'Previous years'!G111</f>
        <v>43482125.620000005</v>
      </c>
      <c r="H113" s="395" t="str">
        <f>IF(SUM(H107,H110,H109,H119)=0,"",SUM(H107,H110,H109,H119))</f>
        <v/>
      </c>
      <c r="I113" s="409" t="s">
        <v>212</v>
      </c>
      <c r="J113" s="320"/>
      <c r="K113" s="306"/>
      <c r="L113" s="324"/>
      <c r="AE113" s="99"/>
      <c r="AF113" s="99"/>
    </row>
    <row r="114" spans="2:32" ht="20.100000000000001" customHeight="1">
      <c r="B114" s="124" t="str">
        <f>E41&amp;" ["&amp;D41&amp;"]"</f>
        <v>Unplanned Interruption Frequency: Wastewater [WWS7c]</v>
      </c>
      <c r="C114" s="205"/>
      <c r="D114" s="254" t="s">
        <v>305</v>
      </c>
      <c r="E114" s="255" t="s">
        <v>306</v>
      </c>
      <c r="F114" s="254" t="s">
        <v>1602</v>
      </c>
      <c r="G114" s="513">
        <f>'Previous years'!G112</f>
        <v>1600.3726764814135</v>
      </c>
      <c r="H114" s="395" t="str">
        <f>IFERROR(H113/H36,"")</f>
        <v/>
      </c>
      <c r="I114" s="409" t="s">
        <v>212</v>
      </c>
      <c r="J114" s="320"/>
      <c r="K114" s="306"/>
      <c r="L114" s="324"/>
      <c r="AE114" s="99"/>
      <c r="AF114" s="99"/>
    </row>
    <row r="115" spans="2:32" ht="20.100000000000001" customHeight="1">
      <c r="B115" s="124" t="str">
        <f t="shared" ref="B115:B120" si="4">E94&amp;" ["&amp;D94&amp;"]"</f>
        <v>Revenue from the Provision of Wastewater Treatment Services to Another Local Authority [WWF1]</v>
      </c>
      <c r="C115" s="205"/>
      <c r="D115" s="254" t="s">
        <v>327</v>
      </c>
      <c r="E115" s="255" t="s">
        <v>307</v>
      </c>
      <c r="F115" s="254" t="s">
        <v>108</v>
      </c>
      <c r="G115" s="513">
        <f>'Previous years'!G113</f>
        <v>34291984.880000003</v>
      </c>
      <c r="H115" s="395" t="str">
        <f>IF(SUM(H116:H118)=0,"",SUM(H116:H118))</f>
        <v/>
      </c>
      <c r="I115" s="409" t="s">
        <v>212</v>
      </c>
      <c r="J115" s="320"/>
      <c r="K115" s="306"/>
      <c r="L115" s="324"/>
      <c r="AE115" s="99"/>
      <c r="AF115" s="99"/>
    </row>
    <row r="116" spans="2:32" ht="20.100000000000001" customHeight="1">
      <c r="B116" s="124" t="str">
        <f t="shared" si="4"/>
        <v>Operating Revenue: Wastewater [WWF2]</v>
      </c>
      <c r="C116" s="205"/>
      <c r="D116" s="254" t="s">
        <v>308</v>
      </c>
      <c r="E116" s="255" t="s">
        <v>481</v>
      </c>
      <c r="F116" s="254" t="s">
        <v>108</v>
      </c>
      <c r="G116" s="513">
        <f>'Previous years'!G114</f>
        <v>12406855.640910001</v>
      </c>
      <c r="H116" s="396"/>
      <c r="I116" s="407"/>
      <c r="J116" s="305" t="s">
        <v>1961</v>
      </c>
      <c r="K116" s="298"/>
      <c r="L116" s="325"/>
      <c r="AE116" s="99"/>
      <c r="AF116" s="99"/>
    </row>
    <row r="117" spans="2:32" ht="20.100000000000001" customHeight="1">
      <c r="B117" s="124" t="str">
        <f t="shared" si="4"/>
        <v>Development Contribution Revenue: Wastewater [WWF3]</v>
      </c>
      <c r="C117" s="205"/>
      <c r="D117" s="254" t="s">
        <v>309</v>
      </c>
      <c r="E117" s="255" t="s">
        <v>482</v>
      </c>
      <c r="F117" s="254" t="s">
        <v>108</v>
      </c>
      <c r="G117" s="513">
        <f>'Previous years'!G115</f>
        <v>15056647.497052999</v>
      </c>
      <c r="H117" s="396"/>
      <c r="I117" s="407"/>
      <c r="J117" s="305" t="s">
        <v>1961</v>
      </c>
      <c r="K117" s="298"/>
      <c r="L117" s="325"/>
      <c r="AE117" s="99"/>
      <c r="AF117" s="99"/>
    </row>
    <row r="118" spans="2:32" ht="20.100000000000001" customHeight="1">
      <c r="B118" s="124" t="str">
        <f t="shared" si="4"/>
        <v>Total Revenue: Wastewater [WWF4]</v>
      </c>
      <c r="C118" s="205"/>
      <c r="D118" s="254" t="s">
        <v>310</v>
      </c>
      <c r="E118" s="255" t="s">
        <v>483</v>
      </c>
      <c r="F118" s="254" t="s">
        <v>108</v>
      </c>
      <c r="G118" s="513">
        <f>'Previous years'!G116</f>
        <v>6828481.7420370001</v>
      </c>
      <c r="H118" s="396"/>
      <c r="I118" s="407"/>
      <c r="J118" s="305" t="s">
        <v>1961</v>
      </c>
      <c r="K118" s="298"/>
      <c r="L118" s="325"/>
      <c r="AE118" s="99"/>
      <c r="AF118" s="99"/>
    </row>
    <row r="119" spans="2:32" ht="20.100000000000001" customHeight="1">
      <c r="B119" s="124" t="str">
        <f t="shared" si="4"/>
        <v>Revenue per Property: Wastewater [WWF5]</v>
      </c>
      <c r="C119" s="205"/>
      <c r="D119" s="254" t="s">
        <v>311</v>
      </c>
      <c r="E119" s="255" t="s">
        <v>312</v>
      </c>
      <c r="F119" s="254" t="s">
        <v>108</v>
      </c>
      <c r="G119" s="513">
        <f>'Previous years'!G117</f>
        <v>27489753.710000001</v>
      </c>
      <c r="H119" s="395" t="str">
        <f>IF(SUM(H120:H122)=0,"",SUM(H120:H122))</f>
        <v/>
      </c>
      <c r="I119" s="409" t="s">
        <v>212</v>
      </c>
      <c r="J119" s="320"/>
      <c r="K119" s="306"/>
      <c r="L119" s="324"/>
      <c r="AE119" s="99"/>
      <c r="AF119" s="99"/>
    </row>
    <row r="120" spans="2:32" ht="20.100000000000001" customHeight="1">
      <c r="B120" s="124" t="str">
        <f t="shared" si="4"/>
        <v>Debt funding: Wastewater [WWF6]</v>
      </c>
      <c r="C120" s="205"/>
      <c r="D120" s="254" t="s">
        <v>313</v>
      </c>
      <c r="E120" s="255" t="s">
        <v>484</v>
      </c>
      <c r="F120" s="254" t="s">
        <v>108</v>
      </c>
      <c r="G120" s="513">
        <f>'Previous years'!G118</f>
        <v>9731850.0347700007</v>
      </c>
      <c r="H120" s="396"/>
      <c r="I120" s="407"/>
      <c r="J120" s="305" t="s">
        <v>1961</v>
      </c>
      <c r="K120" s="298"/>
      <c r="L120" s="325"/>
      <c r="AE120" s="99"/>
      <c r="AF120" s="99"/>
    </row>
    <row r="121" spans="2:32" ht="20.100000000000001" customHeight="1">
      <c r="B121" s="124" t="str">
        <f t="shared" ref="B121:B147" si="5">E101&amp;" ["&amp;D101&amp;"]"</f>
        <v>Energy Costs: Wastewater [WWF7]</v>
      </c>
      <c r="C121" s="205"/>
      <c r="D121" s="254" t="s">
        <v>314</v>
      </c>
      <c r="E121" s="255" t="s">
        <v>485</v>
      </c>
      <c r="F121" s="254" t="s">
        <v>108</v>
      </c>
      <c r="G121" s="513">
        <f>'Previous years'!G119</f>
        <v>12038943.593265003</v>
      </c>
      <c r="H121" s="396"/>
      <c r="I121" s="407"/>
      <c r="J121" s="305" t="s">
        <v>1961</v>
      </c>
      <c r="K121" s="298"/>
      <c r="L121" s="325"/>
      <c r="AE121" s="99"/>
      <c r="AF121" s="99"/>
    </row>
    <row r="122" spans="2:32" ht="20.100000000000001" customHeight="1">
      <c r="B122" s="124" t="str">
        <f t="shared" si="5"/>
        <v>Sludge Disposal Costs: Wastewater [WWF8]</v>
      </c>
      <c r="C122" s="205"/>
      <c r="D122" s="254" t="s">
        <v>315</v>
      </c>
      <c r="E122" s="255" t="s">
        <v>486</v>
      </c>
      <c r="F122" s="254" t="s">
        <v>108</v>
      </c>
      <c r="G122" s="513">
        <f>'Previous years'!G120</f>
        <v>5718960.0819650004</v>
      </c>
      <c r="H122" s="396"/>
      <c r="I122" s="407"/>
      <c r="J122" s="305" t="s">
        <v>1961</v>
      </c>
      <c r="K122" s="298"/>
      <c r="L122" s="325"/>
      <c r="AE122" s="99"/>
      <c r="AF122" s="99"/>
    </row>
    <row r="123" spans="2:32" ht="20.100000000000001" customHeight="1" thickBot="1">
      <c r="B123" s="124" t="str">
        <f t="shared" si="5"/>
        <v>Routine Maintenance: Wastewater [WWF9]</v>
      </c>
      <c r="C123" s="208"/>
      <c r="D123" s="256" t="s">
        <v>328</v>
      </c>
      <c r="E123" s="257" t="s">
        <v>316</v>
      </c>
      <c r="F123" s="256" t="s">
        <v>1602</v>
      </c>
      <c r="G123" s="514">
        <f>'Previous years'!G121</f>
        <v>1011.7686312108945</v>
      </c>
      <c r="H123" s="400" t="str">
        <f>IFERROR(H119/H36,"")</f>
        <v/>
      </c>
      <c r="I123" s="410" t="s">
        <v>212</v>
      </c>
      <c r="J123" s="321"/>
      <c r="K123" s="309"/>
      <c r="L123" s="326"/>
      <c r="AE123" s="283"/>
      <c r="AF123" s="283"/>
    </row>
    <row r="124" spans="2:32" ht="20.100000000000001" customHeight="1">
      <c r="B124" s="124" t="str">
        <f t="shared" si="5"/>
        <v>Reactive Maintenance: Wastewater [WWF10]</v>
      </c>
      <c r="C124" s="205" t="s">
        <v>545</v>
      </c>
      <c r="D124" s="254" t="s">
        <v>317</v>
      </c>
      <c r="E124" s="255" t="s">
        <v>551</v>
      </c>
      <c r="F124" s="254" t="s">
        <v>108</v>
      </c>
      <c r="G124" s="513">
        <f>'Previous years'!G122</f>
        <v>8352525.9400000004</v>
      </c>
      <c r="H124" s="401"/>
      <c r="I124" s="406"/>
      <c r="J124" s="304" t="s">
        <v>1961</v>
      </c>
      <c r="K124" s="303"/>
      <c r="L124" s="327"/>
      <c r="AE124" s="100"/>
      <c r="AF124" s="100"/>
    </row>
    <row r="125" spans="2:32" ht="20.100000000000001" customHeight="1">
      <c r="B125" s="124" t="str">
        <f t="shared" si="5"/>
        <v>Management Costs: Wastewater [WWF11]</v>
      </c>
      <c r="C125" s="205"/>
      <c r="D125" s="254" t="s">
        <v>318</v>
      </c>
      <c r="E125" s="255" t="s">
        <v>329</v>
      </c>
      <c r="F125" s="254" t="s">
        <v>108</v>
      </c>
      <c r="G125" s="513">
        <f>'Previous years'!G123</f>
        <v>59807523</v>
      </c>
      <c r="H125" s="396"/>
      <c r="I125" s="407"/>
      <c r="J125" s="305" t="s">
        <v>1961</v>
      </c>
      <c r="K125" s="298"/>
      <c r="L125" s="325"/>
      <c r="AE125" s="99"/>
      <c r="AF125" s="99"/>
    </row>
    <row r="126" spans="2:32" ht="20.100000000000001" customHeight="1">
      <c r="B126" s="124" t="str">
        <f t="shared" si="5"/>
        <v>Councils Contract Management Costs: Wastewater  [WWF12]</v>
      </c>
      <c r="C126" s="205"/>
      <c r="D126" s="254" t="s">
        <v>319</v>
      </c>
      <c r="E126" s="255" t="s">
        <v>320</v>
      </c>
      <c r="F126" s="254" t="s">
        <v>108</v>
      </c>
      <c r="G126" s="513">
        <f>'Previous years'!G124</f>
        <v>303411948</v>
      </c>
      <c r="H126" s="396"/>
      <c r="I126" s="407"/>
      <c r="J126" s="305" t="s">
        <v>1961</v>
      </c>
      <c r="K126" s="298"/>
      <c r="L126" s="325"/>
      <c r="AE126" s="99"/>
      <c r="AF126" s="99"/>
    </row>
    <row r="127" spans="2:32" ht="20.100000000000001" customHeight="1" thickBot="1">
      <c r="B127" s="124" t="str">
        <f t="shared" si="5"/>
        <v>Operating Cost: Wastewater [WWF13]</v>
      </c>
      <c r="C127" s="208"/>
      <c r="D127" s="256" t="s">
        <v>330</v>
      </c>
      <c r="E127" s="257" t="s">
        <v>321</v>
      </c>
      <c r="F127" s="256" t="s">
        <v>444</v>
      </c>
      <c r="G127" s="535">
        <f>'Previous years'!G125</f>
        <v>0.76776771437744584</v>
      </c>
      <c r="H127" s="536" t="str">
        <f>IFERROR(H122/H109,"")</f>
        <v/>
      </c>
      <c r="I127" s="410" t="s">
        <v>212</v>
      </c>
      <c r="J127" s="321"/>
      <c r="K127" s="309"/>
      <c r="L127" s="326"/>
      <c r="AE127" s="283"/>
      <c r="AF127" s="283"/>
    </row>
    <row r="129" spans="2:2" ht="20.100000000000001" customHeight="1">
      <c r="B129" s="124" t="str">
        <f t="shared" si="5"/>
        <v>Annual Depreciation: Wastewater [WWF15]</v>
      </c>
    </row>
    <row r="130" spans="2:2" ht="20.100000000000001" customHeight="1">
      <c r="B130" s="124" t="str">
        <f t="shared" si="5"/>
        <v>Interest: Wastewater [WWF16a]</v>
      </c>
    </row>
    <row r="131" spans="2:2" ht="20.100000000000001" customHeight="1">
      <c r="B131" s="124" t="str">
        <f t="shared" si="5"/>
        <v>Debt affordability: Wastewater [WWF16b]</v>
      </c>
    </row>
    <row r="132" spans="2:2" ht="20.100000000000001" customHeight="1">
      <c r="B132" s="124" t="str">
        <f t="shared" si="5"/>
        <v>Operational Cost Coverage: Wastewater [WWF17]</v>
      </c>
    </row>
    <row r="133" spans="2:2" ht="20.100000000000001" customHeight="1">
      <c r="B133" s="124" t="str">
        <f t="shared" si="5"/>
        <v>Total Cost: Wastewater [WWF18]</v>
      </c>
    </row>
    <row r="134" spans="2:2" ht="20.100000000000001" customHeight="1">
      <c r="B134" s="124" t="str">
        <f t="shared" si="5"/>
        <v>Total Cost per Property: Wastewater [WWF19]</v>
      </c>
    </row>
    <row r="135" spans="2:2" ht="20.100000000000001" customHeight="1">
      <c r="B135" s="124" t="str">
        <f t="shared" si="5"/>
        <v>Budgeted Capital Expenditure: Wastewater [WWF20]</v>
      </c>
    </row>
    <row r="136" spans="2:2" ht="20.100000000000001" customHeight="1">
      <c r="B136" s="124" t="str">
        <f t="shared" si="5"/>
        <v>Budgeted capital to meet additional demand [WWF20a]</v>
      </c>
    </row>
    <row r="137" spans="2:2" ht="20.100000000000001" customHeight="1">
      <c r="B137" s="124" t="str">
        <f t="shared" si="5"/>
        <v>Budgeted capital to improve the level of service [WWF20b]</v>
      </c>
    </row>
    <row r="138" spans="2:2" ht="20.100000000000001" customHeight="1">
      <c r="B138" s="124" t="str">
        <f t="shared" si="5"/>
        <v>Budgeted capital to replace existing assets [WWF20c]</v>
      </c>
    </row>
    <row r="139" spans="2:2" ht="20.100000000000001" customHeight="1">
      <c r="B139" s="124" t="str">
        <f t="shared" si="5"/>
        <v>Actual Capital Expenditure: Wastewater [WWF21]</v>
      </c>
    </row>
    <row r="140" spans="2:2" ht="20.100000000000001" customHeight="1">
      <c r="B140" s="124" t="str">
        <f t="shared" si="5"/>
        <v>Actual capital to meet additional demand [WWF21a]</v>
      </c>
    </row>
    <row r="141" spans="2:2" ht="20.100000000000001" customHeight="1">
      <c r="B141" s="124" t="str">
        <f t="shared" si="5"/>
        <v>Actual capital to improve the level of service [WWF21b]</v>
      </c>
    </row>
    <row r="142" spans="2:2" ht="20.100000000000001" customHeight="1">
      <c r="B142" s="124" t="str">
        <f t="shared" si="5"/>
        <v>Actual capital to replace existing assets [WWF21c]</v>
      </c>
    </row>
    <row r="143" spans="2:2" ht="20.100000000000001" customHeight="1">
      <c r="B143" s="124" t="str">
        <f t="shared" si="5"/>
        <v>Actual Capital Expenditure per Property: Wastewater [WWF22]</v>
      </c>
    </row>
    <row r="144" spans="2:2" ht="20.100000000000001" customHeight="1">
      <c r="B144" s="124" t="str">
        <f t="shared" si="5"/>
        <v>Development Contributions: Wastewater assets [WWF23]</v>
      </c>
    </row>
    <row r="145" spans="2:2" ht="20.100000000000001" customHeight="1">
      <c r="B145" s="124" t="str">
        <f t="shared" si="5"/>
        <v>Wastewater facility value at end of reporting year [WWF24a]</v>
      </c>
    </row>
    <row r="146" spans="2:2" ht="20.100000000000001" customHeight="1">
      <c r="B146" s="124" t="str">
        <f t="shared" si="5"/>
        <v>Other wastewater asset value [WWF24b]</v>
      </c>
    </row>
    <row r="147" spans="2:2" ht="20.100000000000001" customHeight="1">
      <c r="B147" s="124" t="str">
        <f t="shared" si="5"/>
        <v>Decline in Service Potential: Wastewater [WWF25]</v>
      </c>
    </row>
    <row r="148" spans="2:2" ht="20.100000000000001" customHeight="1">
      <c r="B148" s="124" t="str">
        <f>E100&amp;" ["&amp;D100&amp;"]"</f>
        <v>External Grants: Wastewater [WWF26]</v>
      </c>
    </row>
  </sheetData>
  <autoFilter ref="B5:AF127" xr:uid="{00000000-0009-0000-0000-000003000000}"/>
  <phoneticPr fontId="114" type="noConversion"/>
  <dataValidations xWindow="940" yWindow="368" count="98">
    <dataValidation allowBlank="1" showInputMessage="1" showErrorMessage="1" prompt="Operating Revenue associated with wastewater. Excludes Development contributions. Further detail is provided in the definitions guidelines." sqref="H95" xr:uid="{00000000-0002-0000-0300-000000000000}"/>
    <dataValidation allowBlank="1" showInputMessage="1" showErrorMessage="1" prompt="Capital expenditure on wastewater assets related to growth including new works and subdivisions." sqref="H120" xr:uid="{00000000-0002-0000-0300-000001000000}"/>
    <dataValidation allowBlank="1" showInputMessage="1" showErrorMessage="1" prompt="Budgeted capital expenditure related to wastewater renewals or replacements or other expenditure." sqref="H118" xr:uid="{00000000-0002-0000-0300-000002000000}"/>
    <dataValidation allowBlank="1" showInputMessage="1" showErrorMessage="1" prompt="Budgeted capital expenditure on wastewater assets related to growth including new works and subdivisions." sqref="H116" xr:uid="{00000000-0002-0000-0300-000003000000}"/>
    <dataValidation allowBlank="1" showInputMessage="1" showErrorMessage="1" prompt="The number of unplanned interruptions to service caused by third parties. Further detail is provided in the definition guide." sqref="H40" xr:uid="{00000000-0002-0000-0300-000004000000}"/>
    <dataValidation allowBlank="1" showInputMessage="1" showErrorMessage="1" prompt="The number of unplanned total interruptions to service experienced by properties excluding interruptions caused by third party damage. Further detail is provided in the definition guide." sqref="H39" xr:uid="{00000000-0002-0000-0300-000005000000}"/>
    <dataValidation allowBlank="1" showInputMessage="1" showErrorMessage="1" prompt="From the time that the local authority receives notification of a fault in the sewerage system to the time that service personnel confirm resolution of the fault." sqref="H93 H38" xr:uid="{00000000-0002-0000-0300-000006000000}"/>
    <dataValidation allowBlank="1" showInputMessage="1" showErrorMessage="1" prompt="From the time that the local authority receives notification of a fault in the sewerage system to the time that service personnel reach the site." sqref="H92 H37" xr:uid="{00000000-0002-0000-0300-000007000000}"/>
    <dataValidation allowBlank="1" showInputMessage="1" showErrorMessage="1" prompt="Automatically calculated by summing complaints by type. The value can be overwritten if a breakdown of wastewater complaints by type is not known or other complaints are recorded. The defintion of a complaint is detailed in the definition guidelines." sqref="H88" xr:uid="{00000000-0002-0000-0300-000008000000}"/>
    <dataValidation allowBlank="1" showInputMessage="1" showErrorMessage="1" prompt="The proportion of trade waste, by volume, entering the wastewater treatment plant. If there is more than one treatment plant enter values in the columns to the right." sqref="H12" xr:uid="{00000000-0002-0000-0300-000009000000}"/>
    <dataValidation allowBlank="1" showInputMessage="1" showErrorMessage="1" prompt="Total mass of wet solids produced each year following processing (including dewatering and digestion). If there is more than one treatment plant include sludges produced at each in columns to the right." sqref="H19" xr:uid="{00000000-0002-0000-0300-00000A000000}"/>
    <dataValidation allowBlank="1" showInputMessage="1" showErrorMessage="1" prompt="For oxidation sludge ponds that have not been desludged in the financial year enter the last year that the pond was desludged. Otherwise leave blank. If only one treatment plant enter comments in this column, otherwise include in columns to the right." sqref="H12" xr:uid="{00000000-0002-0000-0300-00000B000000}"/>
    <dataValidation allowBlank="1" showInputMessage="1" showErrorMessage="1" prompt="Any external grants received (not awarded) during the financial year for capital or operational costs related to the wastewater scheme. " sqref="H100" xr:uid="{00000000-0002-0000-0300-00000C000000}"/>
    <dataValidation allowBlank="1" showInputMessage="1" showErrorMessage="1" prompt="The closing book value of other wastewater assets (such as reticulation systems)." sqref="H126" xr:uid="{00000000-0002-0000-0300-00000D000000}"/>
    <dataValidation allowBlank="1" showInputMessage="1" showErrorMessage="1" prompt="The closing book value of wastewater treatment plants and facilities. " sqref="H125" xr:uid="{00000000-0002-0000-0300-00000E000000}"/>
    <dataValidation allowBlank="1" showInputMessage="1" showErrorMessage="1" prompt="Value of assets vested in the council as part of development contributions (excludes cash payments)." sqref="H124" xr:uid="{00000000-0002-0000-0300-00000F000000}"/>
    <dataValidation allowBlank="1" showInputMessage="1" showErrorMessage="1" prompt="Capital expenditure related to wastewater renewals or replacements or other expenditure." sqref="H122" xr:uid="{00000000-0002-0000-0300-000010000000}"/>
    <dataValidation allowBlank="1" showInputMessage="1" showErrorMessage="1" prompt="Budgeted capital expenditure on existing wastewater assets that is not driven by asset condition or age." sqref="H117" xr:uid="{00000000-0002-0000-0300-000011000000}"/>
    <dataValidation allowBlank="1" showInputMessage="1" showErrorMessage="1" prompt="Capital expenditure on existing wastewater assets that is not driven by asset condition or age." sqref="H121" xr:uid="{00000000-0002-0000-0300-000012000000}"/>
    <dataValidation allowBlank="1" showInputMessage="1" showErrorMessage="1" prompt="The interest cost for the reporting year. " sqref="H110" xr:uid="{00000000-0002-0000-0300-000013000000}"/>
    <dataValidation allowBlank="1" showInputMessage="1" showErrorMessage="1" prompt="The depreciation cost in the reporting year as reported in the latest replacement cost valuation." sqref="H109" xr:uid="{00000000-0002-0000-0300-000014000000}"/>
    <dataValidation allowBlank="1" showInputMessage="1" showErrorMessage="1" prompt="Council’s costs where management of the network is carried out by a Council Controlled Organisation or an external maintenance contractor.  " sqref="H106" xr:uid="{00000000-0002-0000-0300-000015000000}"/>
    <dataValidation allowBlank="1" showInputMessage="1" showErrorMessage="1" prompt="Organisational costs including costs related to salaries, accommodation, rate payment, IT,training, etc. " sqref="H105" xr:uid="{00000000-0002-0000-0300-000016000000}"/>
    <dataValidation allowBlank="1" showInputMessage="1" showErrorMessage="1" prompt="All external costs associated with operation and maintenance of the wastewater system, not included as routine maintenance, energy or sludge disposal." sqref="H104" xr:uid="{00000000-0002-0000-0300-000017000000}"/>
    <dataValidation allowBlank="1" showInputMessage="1" showErrorMessage="1" prompt="The cost of all scheduled operational and maintenance works and external consultants and contractors used for such works. Do not include sludge disposal, energy or reactive maintenance costs." sqref="H103" xr:uid="{00000000-0002-0000-0300-000018000000}"/>
    <dataValidation allowBlank="1" showInputMessage="1" showErrorMessage="1" prompt="Net Cost of Sludge Disposal (costs less any revenue from sale of biosolids)." sqref="H102" xr:uid="{00000000-0002-0000-0300-000019000000}"/>
    <dataValidation allowBlank="1" showInputMessage="1" showErrorMessage="1" prompt="Electricity/gas/fuel costs associated with wastewater reticulation and treatment." sqref="H101" xr:uid="{00000000-0002-0000-0300-00001A000000}"/>
    <dataValidation allowBlank="1" showInputMessage="1" showErrorMessage="1" prompt="Increase in debt related to wastewater (negative value to indicate decrease in debt). Debt is considered any funding that is required to be repayed including internal loans. Funding from reserves or developer contributions is not to be included" sqref="H99:H100" xr:uid="{00000000-0002-0000-0300-00001B000000}"/>
    <dataValidation allowBlank="1" showInputMessage="1" showErrorMessage="1" prompt="Revenue generated by providing wastewater treatment services to adjacent authorities. If not applicable leave blank." sqref="H94" xr:uid="{00000000-0002-0000-0300-00001C000000}"/>
    <dataValidation allowBlank="1" showInputMessage="1" showErrorMessage="1" prompt="Developer revenue (income) for the reporting year.  This includes all developer cash contributions. It excludes developer asset contributions." sqref="H96" xr:uid="{00000000-0002-0000-0300-00001D000000}"/>
    <dataValidation allowBlank="1" showInputMessage="1" showErrorMessage="1" prompt="Include GST. If no volumetric charge is applied for residential wastewater leave blank." sqref="H86" xr:uid="{00000000-0002-0000-0300-00001E000000}"/>
    <dataValidation allowBlank="1" showInputMessage="1" showErrorMessage="1" prompt="Include GST. If multiple fixed charges exist provide the median and provide detail in the comments. If charges are levied based on a proportion of annual or capital values, the median value across the region should be used to determine the charge. " sqref="H84" xr:uid="{00000000-0002-0000-0300-00001F000000}"/>
    <dataValidation allowBlank="1" showInputMessage="1" showErrorMessage="1" prompt="The volumetric charge (inc GST) for non-residential customers. If multiple fixed charges exist provide the median and provide detail in the comments field.  If all customers in the district are billed at the same rate leave the field blank." sqref="H82" xr:uid="{00000000-0002-0000-0300-000020000000}"/>
    <dataValidation allowBlank="1" showInputMessage="1" showErrorMessage="1" prompt="The fixed charge (inc GST) for non-residential customers. If multiple fixed charges exist provide the median and provide detail in the comments field.  If all customers in the district are billed at the same rate leave the field blank._x000a_" sqref="H80" xr:uid="{00000000-0002-0000-0300-000021000000}"/>
    <dataValidation allowBlank="1" showInputMessage="1" showErrorMessage="1" prompt="Average charge for wastewater based on 200m3/year water use. Automatically calculated based on other supplied data." sqref="H87" xr:uid="{00000000-0002-0000-0300-000022000000}"/>
    <dataValidation type="list" allowBlank="1" showErrorMessage="1" sqref="H81 H85" xr:uid="{00000000-0002-0000-0300-000023000000}">
      <formula1>Charge_type</formula1>
    </dataValidation>
    <dataValidation allowBlank="1" showInputMessage="1" showErrorMessage="1" prompt="List any actions taken in response to trade waste breaches during the reporting period. For example, issuing of infringement notices, fines, prosecution, infrastructure damage charges, non-conformance charges or performance management measures." sqref="H79" xr:uid="{00000000-0002-0000-0300-000024000000}"/>
    <dataValidation allowBlank="1" showInputMessage="1" showErrorMessage="1" prompt="The number of successful prosecutions in relation to wastewater discharge consent non-compliance." sqref="H19 H64" xr:uid="{00000000-0002-0000-0300-000025000000}"/>
    <dataValidation allowBlank="1" showInputMessage="1" showErrorMessage="1" prompt="Overflows included in WWE3 that occured on providate proeperty because of issues with the public wastewater network. Do not include overflow events due to problems within private property boundaries." sqref="H54" xr:uid="{00000000-0002-0000-0300-000026000000}"/>
    <dataValidation allowBlank="1" showInputMessage="1" showErrorMessage="1" prompt="This cell is calculated automatically based on other supplied data." sqref="H53" xr:uid="{00000000-0002-0000-0300-000027000000}"/>
    <dataValidation allowBlank="1" showInputMessage="1" showErrorMessage="1" prompt="Any wet weather related overflow from the piped reticulation network that receives combined stormwater and wastewater flows." sqref="H52" xr:uid="{00000000-0002-0000-0300-000028000000}"/>
    <dataValidation allowBlank="1" showInputMessage="1" showErrorMessage="1" prompt="The number of overflows caused by plant failures, e.g. pump station ragging, power station outages or mechanical failures." sqref="H50" xr:uid="{00000000-0002-0000-0300-000029000000}"/>
    <dataValidation allowBlank="1" showInputMessage="1" showErrorMessage="1" prompt="The number of overflows caused by fat oil and grease build up or tree route intrusion." sqref="H49" xr:uid="{00000000-0002-0000-0300-00002A000000}"/>
    <dataValidation allowBlank="1" showInputMessage="1" showErrorMessage="1" prompt="If there is only one wastewater treatment plant, enter data in this column. If there are multiple wastewater treatment plants enter the peak wet to average dry weather flow ratio for each in columns to the right." sqref="H49" xr:uid="{00000000-0002-0000-0300-00002B000000}"/>
    <dataValidation type="list" allowBlank="1" showInputMessage="1" showErrorMessage="1" prompt="For each of the effluent consents, reffered to in WWA7h, indicate the status of the consent." sqref="H17" xr:uid="{00000000-0002-0000-0300-00002C000000}">
      <formula1>Consent_status</formula1>
    </dataValidation>
    <dataValidation allowBlank="1" showInputMessage="1" showErrorMessage="1" prompt="If there is only one wastewater treatment plant, enter data in this column. If there are multiple wastewater treatment plants enter the date effluent consents expire in the columns on the right." sqref="H20" xr:uid="{00000000-0002-0000-0300-00002D000000}"/>
    <dataValidation allowBlank="1" showInputMessage="1" showErrorMessage="1" prompt="The percentage of above ground assets assessed within 3 years" sqref="H13:H14" xr:uid="{00000000-0002-0000-0300-00002E000000}"/>
    <dataValidation type="list" allowBlank="1" showInputMessage="1" showErrorMessage="1" sqref="M57:AD57 S17:AD17 M15:R15" xr:uid="{00000000-0002-0000-0300-00002F000000}">
      <formula1>Consent_status</formula1>
    </dataValidation>
    <dataValidation allowBlank="1" showInputMessage="1" showErrorMessage="1" prompt="Wastewater treatment plant name. If there is more than one wastewater treatment plant enter names for each in the columns to the right." sqref="H10" xr:uid="{00000000-0002-0000-0300-000030000000}"/>
    <dataValidation allowBlank="1" showInputMessage="1" showErrorMessage="1" prompt="The proportion of above ground assets, of types specified in definitions guide, that have recieved a condition grading. Include the approach used to determine the condition grade in the comments field." sqref="H46" xr:uid="{00000000-0002-0000-0300-000031000000}"/>
    <dataValidation allowBlank="1" showInputMessage="1" showErrorMessage="1" prompt="Weighted average age of all wastewater pipelines within the total serviced area." sqref="H44" xr:uid="{00000000-0002-0000-0300-000032000000}"/>
    <dataValidation allowBlank="1" showInputMessage="1" showErrorMessage="1" prompt="Total number of residential connections to the reticulated wastewater network. Further detail is provided in defintions guidelines. List the method used for determining number of properties in multi-unit complexes in the comments." sqref="H32" xr:uid="{00000000-0002-0000-0300-000033000000}"/>
    <dataValidation type="list" allowBlank="1" showInputMessage="1" showErrorMessage="1" sqref="I109:I110 I116:I118 I120:I122 I124:I126 I99:I106 I6:I8 I11:I14 I49:I52 I77:I79 I19:I33 I37:I40 I54 I42:I47 I89:I92 I94:I96 I61:I71" xr:uid="{00000000-0002-0000-0300-000034000000}">
      <formula1>Data_confidence</formula1>
    </dataValidation>
    <dataValidation allowBlank="1" showInputMessage="1" showErrorMessage="1" prompt="This cell is automatically calculated based on other supplied data. " sqref="H97:H98 H107:H108 H111:H115 H119 H123 H127 H91 H36 H39:H41 H44 H46 H49:H50 H52:H54" xr:uid="{00000000-0002-0000-0300-000035000000}"/>
    <dataValidation allowBlank="1" showInputMessage="1" showErrorMessage="1" prompt="If there is only one wastewater treatment plant, enter data in this column. If there are multiple wastewater treatment plants enter the percentage of sludge disposed of to various routes in the columns to the right." sqref="H21:H24" xr:uid="{00000000-0002-0000-0300-000036000000}"/>
    <dataValidation allowBlank="1" showInputMessage="1" showErrorMessage="1" prompt="Detail on complaints definitions is included in the defintion guidelines." sqref="H89:H90 H38:H41 H44 H52:H54 H49:H50 H46" xr:uid="{00000000-0002-0000-0300-000037000000}"/>
    <dataValidation allowBlank="1" showInputMessage="1" showErrorMessage="1" prompt="Number of wastewater pump stations before the first stage of wastewater treatment process." sqref="H6" xr:uid="{00000000-0002-0000-0300-000038000000}"/>
    <dataValidation type="list" allowBlank="1" showInputMessage="1" showErrorMessage="1" prompt="For oxidation sludge ponds that have not been desludged in the financial year enter the last year that the pond was desludged. Otherwise leave blank. If only one treatment plant enter comments in this column, otherwise include in columns to the right." sqref="H17" xr:uid="{00000000-0002-0000-0300-000039000000}">
      <formula1>Consent_status</formula1>
    </dataValidation>
    <dataValidation allowBlank="1" showInputMessage="1" showErrorMessage="1" prompt="The number of companies who breached their trade waste consent once or more during the reporting period. " sqref="H78" xr:uid="{00000000-0002-0000-0300-00003A000000}"/>
    <dataValidation allowBlank="1" showInputMessage="1" showErrorMessage="1" prompt="The number of individual trade waste consents with commercial customers. If all trade waste activities are covered by the bylaw list as zero." sqref="H77" xr:uid="{00000000-0002-0000-0300-00003B000000}"/>
    <dataValidation allowBlank="1" showInputMessage="1" showErrorMessage="1" prompt="Total number of wastewater treatment plants." sqref="H9" xr:uid="{00000000-0002-0000-0300-00003C000000}"/>
    <dataValidation allowBlank="1" showInputMessage="1" showErrorMessage="1" prompt="Length of public wastewater piped reticulation (gravity and pressure). This includes all trunks, reticulation mains and service leads up to the point of supply but does not include customers private laterals or pipes carrying treated effluent." sqref="H7" xr:uid="{00000000-0002-0000-0300-00003D000000}"/>
    <dataValidation allowBlank="1" showInputMessage="1" showErrorMessage="1" prompt="Length of the piped reticulation network that has been designed to receive both stormwater and wastewater." sqref="H8" xr:uid="{00000000-0002-0000-0300-00003E000000}"/>
    <dataValidation allowBlank="1" showInputMessage="1" showErrorMessage="1" prompt="Wastewater treatment plant name. If there is more than one wastewater treatment plant, enter the names of each in columns to the right." sqref="H10" xr:uid="{00000000-0002-0000-0300-00003F000000}"/>
    <dataValidation allowBlank="1" showInputMessage="1" showErrorMessage="1" prompt="Cubic meters of wastewater recieved at the treatment plant. If there is more than one treatment plant enter volumes in the columns to the right." sqref="H11" xr:uid="{00000000-0002-0000-0300-000040000000}"/>
    <dataValidation allowBlank="1" showInputMessage="1" showErrorMessage="1" prompt="Volume of wastewater produced outside the organisations jurisdiction that is piped in for treatment at the Council's WWTPs (if any). Does not include tankered waste." sqref="H13" xr:uid="{00000000-0002-0000-0300-000041000000}"/>
    <dataValidation allowBlank="1" showInputMessage="1" showErrorMessage="1" prompt="Volume of wastewater produced in area under the organisations jurisdiction that is piped to an adjacent Council's WWTP (if any). Does not include tankered waste." sqref="H14" xr:uid="{00000000-0002-0000-0300-000042000000}"/>
    <dataValidation allowBlank="1" showInputMessage="1" showErrorMessage="1" prompt="The number of consents related to each wastewater treatment plant. If there is more than one treatment plant enter values in the columns to the right." sqref="H15" xr:uid="{00000000-0002-0000-0300-000043000000}"/>
    <dataValidation allowBlank="1" showInputMessage="1" showErrorMessage="1" prompt="Expiry dates for each of the consents listed in WWA7g." sqref="H16" xr:uid="{00000000-0002-0000-0300-000044000000}"/>
    <dataValidation allowBlank="1" showInputMessage="1" showErrorMessage="1" prompt="The average percentage of dry solids in wet sludge listed in measure WWA7j-1." sqref="H20" xr:uid="{00000000-0002-0000-0300-000045000000}"/>
    <dataValidation allowBlank="1" showInputMessage="1" showErrorMessage="1" prompt="If there is only one wastewater treatment plant, enter data in this column. If there are multiple wastewater treatment plants enter the date effluent consents expire in the columns on the right. Provide details of the disposal route in comments." sqref="H24" xr:uid="{00000000-0002-0000-0300-000046000000}"/>
    <dataValidation allowBlank="1" showInputMessage="1" showErrorMessage="1" prompt="If more than one wastewater treatment plant enter the data in columns to the right. Provide details on what sludge has been reused for in comments. Landfill capping is considered reuse. Sludge reduction and stockpilling are not." sqref="H23" xr:uid="{00000000-0002-0000-0300-000047000000}"/>
    <dataValidation allowBlank="1" showInputMessage="1" showErrorMessage="1" prompt="If more than one wastewater treatment plant enter data in columns to the right." sqref="H21" xr:uid="{00000000-0002-0000-0300-000048000000}"/>
    <dataValidation allowBlank="1" showInputMessage="1" showErrorMessage="1" prompt="For oxidation ponds enter the last financial year that the pond was de-sludged. Otherwise leave blank." sqref="H25" xr:uid="{00000000-0002-0000-0300-000049000000}"/>
    <dataValidation allowBlank="1" showInputMessage="1" showErrorMessage="1" prompt="Peak wet weather flow (the highest instantaneous peak flow recorded coming into the plant) divided by average dry weather flow (the average instantaneous flow on days without precipitation)._x000a_" sqref="H26" xr:uid="{00000000-0002-0000-0300-00004A000000}"/>
    <dataValidation allowBlank="1" showInputMessage="1" showErrorMessage="1" prompt="Tonnes of carbon dioxide equivalent greenhouse gas emissions generated by methane and nitrous oxide arising from wastewater treatment processes. Detail is provided in the definition guide. Provide the methodology and/or emissions factors in the comments." sqref="H27:H31" xr:uid="{00000000-0002-0000-0300-00004B000000}"/>
    <dataValidation allowBlank="1" showInputMessage="1" showErrorMessage="1" prompt="This cell is calculated automatically based on other supplied data. " sqref="H35" xr:uid="{00000000-0002-0000-0300-00004C000000}"/>
    <dataValidation allowBlank="1" showInputMessage="1" showErrorMessage="1" prompt="This cell is automatically calculated based on other supplied data. It can be overwritten if a more accurage value is available." sqref="H35" xr:uid="{00000000-0002-0000-0300-00004D000000}"/>
    <dataValidation allowBlank="1" showInputMessage="1" showErrorMessage="1" prompt="This cell is calculated automatically based on other supplied data. If a more accurate population estimate is available the cell may be overwritten." sqref="H34" xr:uid="{00000000-0002-0000-0300-00004E000000}"/>
    <dataValidation allowBlank="1" showInputMessage="1" showErrorMessage="1" prompt="The time from when an authority recieved notification of a fault in the sewerage system to the time that service personeel reach the site." sqref="H37" xr:uid="{00000000-0002-0000-0300-00004F000000}"/>
    <dataValidation allowBlank="1" showInputMessage="1" showErrorMessage="1" prompt="The percentage of above and below ground pipelines, by length, that have recieved a conditiong grading using a standardised structure. Include information on the apporach in the comments." sqref="H42" xr:uid="{00000000-0002-0000-0300-000050000000}"/>
    <dataValidation allowBlank="1" showInputMessage="1" showErrorMessage="1" prompt="The percentage of pipelines, above and below ground, by length, that have recieved a poor or very poor condition grade. The definitions of poor and very poor should align with the IPWEA IIMM manual. If they do not, list deviations in the comments." sqref="H43" xr:uid="{00000000-0002-0000-0300-000051000000}"/>
    <dataValidation allowBlank="1" showInputMessage="1" showErrorMessage="1" prompt="Percentage of the network that has been inspected using CCTV in the last 5 years." sqref="H45" xr:uid="{00000000-0002-0000-0300-000052000000}"/>
    <dataValidation allowBlank="1" showInputMessage="1" showErrorMessage="1" prompt="The percentage of above ground assets, defined in WWA6, that have recieved a poor or very poor condition grade, in alignment with the defintion in the IPWEA IIMM. If condition grades do not adhere to the definition, note deviations in the comments." sqref="H47" xr:uid="{00000000-0002-0000-0300-000053000000}"/>
    <dataValidation allowBlank="1" showInputMessage="1" showErrorMessage="1" prompt="This field is calculated automatically by summing overflows related to blockages or plant failures. If overflows have occured related to causes other than this or wet weather, overwrite formula and provide overflow cause in the comments." sqref="H48" xr:uid="{00000000-0002-0000-0300-000054000000}"/>
    <dataValidation allowBlank="1" showInputMessage="1" showErrorMessage="1" prompt="Include all overflows, both contained and uncontained, that have resulted from wet weather events. Include details in the definitions guidelines." sqref="H51" xr:uid="{00000000-0002-0000-0300-000055000000}"/>
    <dataValidation allowBlank="1" showInputMessage="1" showErrorMessage="1" prompt="The number of formal warnings recieved in relation to wastewater discharge consent non-compliance." sqref="H68" xr:uid="{00000000-0002-0000-0300-000056000000}"/>
    <dataValidation allowBlank="1" showInputMessage="1" showErrorMessage="1" prompt="The number of letters of direction recieved in relation to wastewater discharge consent non-compliance." sqref="H67" xr:uid="{00000000-0002-0000-0300-000057000000}"/>
    <dataValidation allowBlank="1" showInputMessage="1" showErrorMessage="1" prompt="The number of breaches of wastewater network consent conditions. Include an outline of non-conformances in the comments field. Further detail in the definition guide." sqref="H66" xr:uid="{00000000-0002-0000-0300-000058000000}"/>
    <dataValidation allowBlank="1" showInputMessage="1" showErrorMessage="1" prompt="The number of breaches of wastewater discharge consent requirements. Include an outline of non-conformances in the comments field. Further detail in the definition guide." sqref="H65" xr:uid="{00000000-0002-0000-0300-000059000000}"/>
    <dataValidation allowBlank="1" showInputMessage="1" showErrorMessage="1" prompt="The number of enforcement orders recived in relation to wastewater discharge consents." sqref="H63" xr:uid="{00000000-0002-0000-0300-00005A000000}"/>
    <dataValidation allowBlank="1" showInputMessage="1" showErrorMessage="1" prompt="The number of infringement notices recived in relation to wastewater discharge consents." sqref="H62" xr:uid="{00000000-0002-0000-0300-00005B000000}"/>
    <dataValidation allowBlank="1" showInputMessage="1" showErrorMessage="1" prompt="The number of abaement notices recived in relation to wastewater discharge consents." sqref="H61" xr:uid="{00000000-0002-0000-0300-00005C000000}"/>
    <dataValidation allowBlank="1" showInputMessage="1" showErrorMessage="1" prompt="The total grid-sourced electricity consumed by wastewater pumps, water treatment plants, and other network components. Do not include electricity use related to fleet vehicles or offices.  " sqref="H69" xr:uid="{00000000-0002-0000-0300-00005D000000}"/>
    <dataValidation allowBlank="1" showInputMessage="1" showErrorMessage="1" prompt="The total energy consumed from all sources other than electricity (e.g. biomass, diesel or gas) by wastewater pumps, water treatment plants, and other network components." sqref="H70" xr:uid="{00000000-0002-0000-0300-00005E000000}"/>
    <dataValidation allowBlank="1" showInputMessage="1" showErrorMessage="1" prompt="The total energy generated onsite (e.g. using anaerobic digestion, or collaction of renewables). Include the source of energy generation in the comments." sqref="H71" xr:uid="{00000000-0002-0000-0300-00005F000000}"/>
    <dataValidation allowBlank="1" showInputMessage="1" showErrorMessage="1" prompt="The percentage of above ground assets that have recieved a poor or very poor condition grade, in alignment with the defintion in the IPWEA IIMM. If condition grades do not adhere to the definition, note deviations in the comments." sqref="H47" xr:uid="{00000000-0002-0000-0300-000060000000}"/>
    <dataValidation allowBlank="1" showInputMessage="1" showErrorMessage="1" prompt="Total number of non-residential connections to the wastewater network." sqref="H33" xr:uid="{00000000-0002-0000-0300-000061000000}"/>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xWindow="940" yWindow="368" count="13">
        <x14:dataValidation type="list" allowBlank="1" showInputMessage="1" showErrorMessage="1" prompt="The document used to specify design standards for sewer network capacity." xr:uid="{00000000-0002-0000-0300-000062000000}">
          <x14:formula1>
            <xm:f>'Data lists'!$L$1:$L$3</xm:f>
          </x14:formula1>
          <xm:sqref>H55</xm:sqref>
        </x14:dataValidation>
        <x14:dataValidation type="list" allowBlank="1" showInputMessage="1" showErrorMessage="1" prompt="If the organisation has a specified standard for containing diluted sewage to prevent overflows during wet weather, indicate where these are specified and provide details in the comments field." xr:uid="{00000000-0002-0000-0300-000063000000}">
          <x14:formula1>
            <xm:f>'Data lists'!$N$2:$N$5</xm:f>
          </x14:formula1>
          <xm:sqref>H56</xm:sqref>
        </x14:dataValidation>
        <x14:dataValidation type="list" allowBlank="1" showInputMessage="1" showErrorMessage="1" prompt="If trade waste customers are charged for individual contaminants e.g. suspended solids, biological oxygen demand, metals etc. Include individual charges in the comments field. " xr:uid="{00000000-0002-0000-0300-000064000000}">
          <x14:formula1>
            <xm:f>'Data lists'!$H$1:$H$2</xm:f>
          </x14:formula1>
          <xm:sqref>H83</xm:sqref>
        </x14:dataValidation>
        <x14:dataValidation type="list" allowBlank="1" showInputMessage="1" showErrorMessage="1" xr:uid="{00000000-0002-0000-0300-000065000000}">
          <x14:formula1>
            <xm:f>'Data lists'!$K$1:$K$2</xm:f>
          </x14:formula1>
          <xm:sqref>H57:H60</xm:sqref>
        </x14:dataValidation>
        <x14:dataValidation type="list" allowBlank="1" showInputMessage="1" showErrorMessage="1" prompt="The regulatory approach for managing wet weather overflows from the wastewater network (do not include wet weather-related bypasses at treatment plants)." xr:uid="{00000000-0002-0000-0300-000066000000}">
          <x14:formula1>
            <xm:f>'Data lists'!$M$1:$M$4</xm:f>
          </x14:formula1>
          <xm:sqref>H18</xm:sqref>
        </x14:dataValidation>
        <x14:dataValidation type="list" allowBlank="1" showInputMessage="1" showErrorMessage="1" prompt="This cell is automatically calculated based on other supplied data. " xr:uid="{00000000-0002-0000-0300-000067000000}">
          <x14:formula1>
            <xm:f>'Data lists'!$L$1:$L$3</xm:f>
          </x14:formula1>
          <xm:sqref>H55</xm:sqref>
        </x14:dataValidation>
        <x14:dataValidation type="list" allowBlank="1" showInputMessage="1" showErrorMessage="1" prompt="If the organisation has a specified standard for containing diluted sewage to prevent overflows during wet weather, indicate where these are specified and provide details in the comments field." xr:uid="{00000000-0002-0000-0300-000068000000}">
          <x14:formula1>
            <xm:f>'Data lists'!$N$1:$N$5</xm:f>
          </x14:formula1>
          <xm:sqref>H56</xm:sqref>
        </x14:dataValidation>
        <x14:dataValidation type="list" allowBlank="1" showInputMessage="1" showErrorMessage="1" prompt="If the organisation has a specified standard for containing diluted sewage to prevent overflows during wet weather, indicate where these are specified and provide details in the comments field" xr:uid="{00000000-0002-0000-0300-000069000000}">
          <x14:formula1>
            <xm:f>'Data lists'!$N$1:$N$5</xm:f>
          </x14:formula1>
          <xm:sqref>H56</xm:sqref>
        </x14:dataValidation>
        <x14:dataValidation type="list" allowBlank="1" showInputMessage="1" showErrorMessage="1" prompt="A yes, no response to indicate if a risk assessment has been undertaken to assess risks climate change poses to the wastewater network. If yes, include top three identified risks in the comments field." xr:uid="{00000000-0002-0000-0300-00006A000000}">
          <x14:formula1>
            <xm:f>'Data lists'!$K$1:$K$2</xm:f>
          </x14:formula1>
          <xm:sqref>H72</xm:sqref>
        </x14:dataValidation>
        <x14:dataValidation type="list" allowBlank="1" showInputMessage="1" showErrorMessage="1" prompt="A yes/no response to indicate if a climate adaptation plan has been undertaken to address the risks identified in WSCC1. Provide relevant detail in the comments." xr:uid="{00000000-0002-0000-0300-00006B000000}">
          <x14:formula1>
            <xm:f>'Data lists'!$K$1:$K$2</xm:f>
          </x14:formula1>
          <xm:sqref>H73</xm:sqref>
        </x14:dataValidation>
        <x14:dataValidation type="list" allowBlank="1" showInputMessage="1" showErrorMessage="1" prompt="A yes/no response indicating if a greenhouse gas emissions baseline has been developed for forecast operational and capital expenditure. Further references are provided in the definition guide." xr:uid="{00000000-0002-0000-0300-00006C000000}">
          <x14:formula1>
            <xm:f>'Data lists'!$K$1:$K$2</xm:f>
          </x14:formula1>
          <xm:sqref>H74</xm:sqref>
        </x14:dataValidation>
        <x14:dataValidation type="list" allowBlank="1" showInputMessage="1" showErrorMessage="1" prompt="A yes/no response indicating whether a comprehensive assessment of critical assets has been undertaken. A definition of critical assets is provided in the definitions guideline." xr:uid="{00000000-0002-0000-0300-00006D000000}">
          <x14:formula1>
            <xm:f>'Data lists'!$K$1:$K$2</xm:f>
          </x14:formula1>
          <xm:sqref>H75</xm:sqref>
        </x14:dataValidation>
        <x14:dataValidation type="list" allowBlank="1" showInputMessage="1" showErrorMessage="1" prompt="A yes/no response to indicate if a tradewaste bylaw is in place." xr:uid="{00000000-0002-0000-0300-00006E000000}">
          <x14:formula1>
            <xm:f>'Data lists'!$K$1:$K$2</xm:f>
          </x14:formula1>
          <xm:sqref>H76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sheetPr>
  <dimension ref="A2:N80"/>
  <sheetViews>
    <sheetView showGridLines="0" tabSelected="1" zoomScale="85" zoomScaleNormal="85" workbookViewId="0">
      <pane xSplit="7" ySplit="5" topLeftCell="H6" activePane="bottomRight" state="frozen"/>
      <selection pane="topRight" activeCell="H1" sqref="H1"/>
      <selection pane="bottomLeft" activeCell="A6" sqref="A6"/>
      <selection pane="bottomRight" activeCell="H7" sqref="H7"/>
    </sheetView>
  </sheetViews>
  <sheetFormatPr defaultRowHeight="15"/>
  <cols>
    <col min="1" max="1" width="12.140625" style="56" customWidth="1"/>
    <col min="2" max="2" width="57.7109375" style="52" hidden="1" customWidth="1"/>
    <col min="3" max="3" width="21.5703125" style="37" customWidth="1"/>
    <col min="4" max="4" width="12.42578125" customWidth="1"/>
    <col min="5" max="5" width="118.85546875" style="33" bestFit="1" customWidth="1"/>
    <col min="6" max="7" width="21.85546875" style="1" customWidth="1"/>
    <col min="8" max="8" width="15.7109375" customWidth="1"/>
    <col min="9" max="9" width="17.7109375" customWidth="1"/>
    <col min="10" max="10" width="30.7109375" customWidth="1"/>
    <col min="11" max="11" width="15.7109375" customWidth="1"/>
    <col min="12" max="12" width="30.7109375" customWidth="1"/>
    <col min="13" max="14" width="30.7109375" style="115" hidden="1" customWidth="1"/>
  </cols>
  <sheetData>
    <row r="2" spans="1:14" ht="19.5">
      <c r="C2" s="31" t="str">
        <f>INSTRUCTIONS!B2</f>
        <v>National Performance Review 2021/22</v>
      </c>
      <c r="D2" s="2"/>
      <c r="H2" s="1"/>
      <c r="I2" s="1"/>
      <c r="J2" s="1"/>
      <c r="K2" s="1"/>
      <c r="L2" s="1"/>
      <c r="M2" s="1"/>
      <c r="N2" s="1"/>
    </row>
    <row r="3" spans="1:14" ht="24" thickBot="1">
      <c r="C3" s="32" t="s">
        <v>1610</v>
      </c>
      <c r="D3" s="32" t="str">
        <f>Common!E3</f>
        <v>Queenstown-Lakes</v>
      </c>
      <c r="E3" s="32"/>
      <c r="H3" s="1"/>
      <c r="I3" s="1"/>
      <c r="J3" s="1"/>
      <c r="K3" s="1"/>
      <c r="L3" s="1"/>
      <c r="M3" s="1"/>
      <c r="N3" s="1"/>
    </row>
    <row r="4" spans="1:14" ht="15.75" thickTop="1">
      <c r="C4" s="34"/>
      <c r="D4" s="2"/>
      <c r="H4" s="1"/>
      <c r="I4" s="1"/>
      <c r="J4" s="1"/>
      <c r="K4" s="1"/>
      <c r="L4" s="1"/>
      <c r="M4" s="1"/>
      <c r="N4" s="1"/>
    </row>
    <row r="5" spans="1:14">
      <c r="B5" s="52" t="s">
        <v>564</v>
      </c>
      <c r="C5" s="54" t="s">
        <v>471</v>
      </c>
      <c r="D5" s="18" t="s">
        <v>0</v>
      </c>
      <c r="E5" s="41" t="s">
        <v>1</v>
      </c>
      <c r="F5" s="17" t="s">
        <v>2</v>
      </c>
      <c r="G5" s="17" t="s">
        <v>1298</v>
      </c>
      <c r="H5" s="17" t="s">
        <v>3</v>
      </c>
      <c r="I5" s="427" t="s">
        <v>4</v>
      </c>
      <c r="J5" s="17" t="s">
        <v>185</v>
      </c>
      <c r="K5" s="17" t="s">
        <v>5</v>
      </c>
      <c r="L5" s="17" t="s">
        <v>184</v>
      </c>
      <c r="M5" s="17" t="s">
        <v>891</v>
      </c>
      <c r="N5" s="17" t="s">
        <v>892</v>
      </c>
    </row>
    <row r="6" spans="1:14" ht="20.100000000000001" customHeight="1">
      <c r="B6" s="124" t="str">
        <f t="shared" ref="B6:B11" si="0">E6&amp;" ["&amp;D6&amp;"]"</f>
        <v>Total Length of Public Stormwater Network [SWA1a]</v>
      </c>
      <c r="C6" s="35" t="s">
        <v>1455</v>
      </c>
      <c r="D6" s="185" t="s">
        <v>340</v>
      </c>
      <c r="E6" s="186" t="s">
        <v>341</v>
      </c>
      <c r="F6" s="40" t="s">
        <v>27</v>
      </c>
      <c r="G6" s="40">
        <f>'Previous years'!I4</f>
        <v>420.86</v>
      </c>
      <c r="H6" s="621">
        <v>445.07</v>
      </c>
      <c r="I6" s="428" t="s">
        <v>895</v>
      </c>
      <c r="J6" s="9" t="s">
        <v>1940</v>
      </c>
      <c r="K6" s="10" t="s">
        <v>1945</v>
      </c>
      <c r="L6" s="620" t="s">
        <v>1976</v>
      </c>
      <c r="M6" s="100"/>
      <c r="N6" s="100"/>
    </row>
    <row r="7" spans="1:14" s="19" customFormat="1" ht="20.100000000000001" customHeight="1" thickBot="1">
      <c r="A7" s="56"/>
      <c r="B7" s="124" t="str">
        <f t="shared" si="0"/>
        <v>Stormwater Pump Stations [SWA7]</v>
      </c>
      <c r="C7" s="289" t="s">
        <v>1314</v>
      </c>
      <c r="D7" s="79" t="s">
        <v>442</v>
      </c>
      <c r="E7" s="80" t="s">
        <v>443</v>
      </c>
      <c r="F7" s="81" t="s">
        <v>444</v>
      </c>
      <c r="G7" s="81">
        <f>'Previous years'!I5</f>
        <v>0</v>
      </c>
      <c r="H7" s="422"/>
      <c r="I7" s="429"/>
      <c r="J7" s="422" t="s">
        <v>1940</v>
      </c>
      <c r="K7" s="82"/>
      <c r="L7" s="82"/>
      <c r="M7" s="418"/>
      <c r="N7" s="418"/>
    </row>
    <row r="8" spans="1:14" ht="20.100000000000001" customHeight="1">
      <c r="B8" s="124" t="str">
        <f t="shared" si="0"/>
        <v>Stormwater Serviced Properties - Residential [SWB2]</v>
      </c>
      <c r="C8" s="35" t="s">
        <v>1455</v>
      </c>
      <c r="D8" s="38" t="s">
        <v>334</v>
      </c>
      <c r="E8" s="42" t="s">
        <v>335</v>
      </c>
      <c r="F8" s="39" t="s">
        <v>444</v>
      </c>
      <c r="G8" s="39">
        <f>'Previous years'!I6</f>
        <v>25552</v>
      </c>
      <c r="H8" s="11"/>
      <c r="I8" s="430"/>
      <c r="J8" s="11" t="s">
        <v>1941</v>
      </c>
      <c r="K8" s="12"/>
      <c r="L8" s="12"/>
      <c r="M8" s="99"/>
      <c r="N8" s="99"/>
    </row>
    <row r="9" spans="1:14" ht="20.100000000000001" customHeight="1">
      <c r="B9" s="124" t="str">
        <f t="shared" si="0"/>
        <v>Stormwater Serviced Properties - Non-residential [SWB3]</v>
      </c>
      <c r="C9" s="35" t="s">
        <v>1315</v>
      </c>
      <c r="D9" s="38" t="s">
        <v>336</v>
      </c>
      <c r="E9" s="42" t="s">
        <v>337</v>
      </c>
      <c r="F9" s="40" t="s">
        <v>444</v>
      </c>
      <c r="G9" s="40">
        <f>'Previous years'!I7</f>
        <v>2127</v>
      </c>
      <c r="H9" s="11"/>
      <c r="I9" s="428"/>
      <c r="J9" s="11" t="s">
        <v>1941</v>
      </c>
      <c r="K9" s="10"/>
      <c r="L9" s="12"/>
      <c r="M9" s="99"/>
      <c r="N9" s="99"/>
    </row>
    <row r="10" spans="1:14" ht="20.100000000000001" customHeight="1">
      <c r="B10" s="124" t="str">
        <f t="shared" si="0"/>
        <v>Stormwater Serviced Population [SWB1]</v>
      </c>
      <c r="C10" s="35"/>
      <c r="D10" s="58" t="s">
        <v>332</v>
      </c>
      <c r="E10" s="43" t="s">
        <v>333</v>
      </c>
      <c r="F10" s="40" t="s">
        <v>444</v>
      </c>
      <c r="G10" s="40">
        <f>'Previous years'!I8</f>
        <v>43065.168539325838</v>
      </c>
      <c r="H10" s="423">
        <f>IFERROR(Common!H11*Stormwater!H8,"")</f>
        <v>0</v>
      </c>
      <c r="I10" s="431" t="s">
        <v>212</v>
      </c>
      <c r="J10" s="30"/>
      <c r="K10" s="24"/>
      <c r="L10" s="24"/>
      <c r="M10" s="100"/>
      <c r="N10" s="100"/>
    </row>
    <row r="11" spans="1:14" ht="20.100000000000001" customHeight="1" thickBot="1">
      <c r="B11" s="124" t="str">
        <f t="shared" si="0"/>
        <v>Total Stormwater Serviced Properties [SWB4]</v>
      </c>
      <c r="C11" s="74"/>
      <c r="D11" s="75" t="s">
        <v>338</v>
      </c>
      <c r="E11" s="76" t="s">
        <v>339</v>
      </c>
      <c r="F11" s="75" t="s">
        <v>444</v>
      </c>
      <c r="G11" s="75">
        <f>'Previous years'!I9</f>
        <v>27679</v>
      </c>
      <c r="H11" s="78" t="str">
        <f>IF(NOT(COUNTA(H8:H9)),"",SUM(H8:H9))</f>
        <v/>
      </c>
      <c r="I11" s="432" t="s">
        <v>212</v>
      </c>
      <c r="J11" s="78"/>
      <c r="K11" s="78"/>
      <c r="L11" s="77"/>
      <c r="M11" s="418"/>
      <c r="N11" s="418"/>
    </row>
    <row r="12" spans="1:14" ht="20.100000000000001" customHeight="1">
      <c r="B12" s="124" t="str">
        <f t="shared" ref="B12:B70" si="1">E12&amp;" ["&amp;D12&amp;"]"</f>
        <v>Percentage of pipelines that have received a condition grading [SWA2f]</v>
      </c>
      <c r="C12" s="35" t="s">
        <v>1204</v>
      </c>
      <c r="D12" s="170" t="s">
        <v>342</v>
      </c>
      <c r="E12" s="290" t="s">
        <v>1344</v>
      </c>
      <c r="F12" s="180" t="s">
        <v>10</v>
      </c>
      <c r="G12" s="521"/>
      <c r="H12" s="457"/>
      <c r="I12" s="430"/>
      <c r="J12" s="11" t="s">
        <v>1943</v>
      </c>
      <c r="K12" s="12"/>
      <c r="L12" s="12"/>
      <c r="M12" s="99"/>
      <c r="N12" s="99"/>
    </row>
    <row r="13" spans="1:14" s="115" customFormat="1" ht="20.100000000000001" customHeight="1">
      <c r="B13" s="124" t="str">
        <f t="shared" si="1"/>
        <v>Percentage of pipelines in poor or very poor condition [SWA2d]</v>
      </c>
      <c r="C13" s="36"/>
      <c r="D13" s="170" t="s">
        <v>1498</v>
      </c>
      <c r="E13" s="290" t="s">
        <v>1343</v>
      </c>
      <c r="F13" s="180" t="s">
        <v>10</v>
      </c>
      <c r="G13" s="521"/>
      <c r="H13" s="457"/>
      <c r="I13" s="428"/>
      <c r="J13" s="11" t="s">
        <v>1943</v>
      </c>
      <c r="K13" s="12"/>
      <c r="L13" s="12"/>
      <c r="M13" s="99"/>
      <c r="N13" s="99"/>
    </row>
    <row r="14" spans="1:14" s="115" customFormat="1" ht="20.100000000000001" customHeight="1">
      <c r="B14" s="124" t="str">
        <f t="shared" si="1"/>
        <v>Average Age of Stormwater Pipelines [SWA3]</v>
      </c>
      <c r="C14" s="35"/>
      <c r="D14" s="58" t="s">
        <v>343</v>
      </c>
      <c r="E14" s="43" t="s">
        <v>344</v>
      </c>
      <c r="F14" s="40" t="s">
        <v>43</v>
      </c>
      <c r="G14" s="40">
        <f>'Previous years'!I12</f>
        <v>23.43</v>
      </c>
      <c r="H14" s="11"/>
      <c r="I14" s="430"/>
      <c r="J14" s="11" t="s">
        <v>1943</v>
      </c>
      <c r="K14" s="12"/>
      <c r="L14" s="99"/>
      <c r="M14" s="100"/>
      <c r="N14" s="100"/>
    </row>
    <row r="15" spans="1:14" s="115" customFormat="1" ht="20.100000000000001" customHeight="1">
      <c r="B15" s="124"/>
      <c r="C15" s="35"/>
      <c r="D15" s="58" t="s">
        <v>346</v>
      </c>
      <c r="E15" s="42" t="s">
        <v>1541</v>
      </c>
      <c r="F15" s="39" t="s">
        <v>10</v>
      </c>
      <c r="G15" s="40" t="str">
        <f>'Previous years'!I14</f>
        <v/>
      </c>
      <c r="H15" s="457"/>
      <c r="I15" s="433"/>
      <c r="J15" s="11" t="s">
        <v>1943</v>
      </c>
      <c r="K15" s="11"/>
      <c r="L15" s="99"/>
      <c r="M15" s="100"/>
      <c r="N15" s="100"/>
    </row>
    <row r="16" spans="1:14" ht="20.100000000000001" customHeight="1">
      <c r="B16" s="124" t="str">
        <f t="shared" si="1"/>
        <v>Percentage of above ground stormwater assets that have received a condition grading [SWA5c]</v>
      </c>
      <c r="C16" s="36"/>
      <c r="D16" s="170" t="s">
        <v>345</v>
      </c>
      <c r="E16" s="290" t="s">
        <v>1457</v>
      </c>
      <c r="F16" s="170" t="s">
        <v>10</v>
      </c>
      <c r="G16" s="522"/>
      <c r="H16" s="457"/>
      <c r="I16" s="433"/>
      <c r="J16" s="11" t="s">
        <v>1943</v>
      </c>
      <c r="K16" s="11"/>
      <c r="L16" s="12"/>
      <c r="M16" s="99"/>
      <c r="N16" s="99"/>
    </row>
    <row r="17" spans="1:14" s="115" customFormat="1" ht="20.100000000000001" customHeight="1" thickBot="1">
      <c r="B17" s="124" t="str">
        <f t="shared" si="1"/>
        <v>Percentage of above ground assets in poor of very poor condition [SWA5d]</v>
      </c>
      <c r="C17" s="74"/>
      <c r="D17" s="177" t="s">
        <v>1540</v>
      </c>
      <c r="E17" s="291" t="s">
        <v>1458</v>
      </c>
      <c r="F17" s="177" t="s">
        <v>10</v>
      </c>
      <c r="G17" s="523"/>
      <c r="H17" s="458"/>
      <c r="I17" s="429"/>
      <c r="J17" s="422" t="s">
        <v>1943</v>
      </c>
      <c r="K17" s="82"/>
      <c r="L17" s="82"/>
      <c r="M17" s="418"/>
      <c r="N17" s="418"/>
    </row>
    <row r="18" spans="1:14" ht="20.100000000000001" customHeight="1">
      <c r="B18" s="124" t="str">
        <f t="shared" si="1"/>
        <v>Number of stormwater discharges from the piped network [SWE1a]</v>
      </c>
      <c r="C18" s="35" t="s">
        <v>538</v>
      </c>
      <c r="D18" s="185" t="s">
        <v>347</v>
      </c>
      <c r="E18" s="186" t="s">
        <v>459</v>
      </c>
      <c r="F18" s="40" t="s">
        <v>444</v>
      </c>
      <c r="G18" s="40">
        <f>'Previous years'!I16</f>
        <v>510</v>
      </c>
      <c r="H18" s="9"/>
      <c r="I18" s="428"/>
      <c r="J18" s="11" t="s">
        <v>1943</v>
      </c>
      <c r="K18" s="10"/>
      <c r="L18" s="416"/>
      <c r="M18" s="100"/>
      <c r="N18" s="100"/>
    </row>
    <row r="19" spans="1:14" ht="20.100000000000001" customHeight="1" thickBot="1">
      <c r="B19" s="124" t="str">
        <f t="shared" si="1"/>
        <v>Number of stormwater discharges with resource consents [SWE1b]</v>
      </c>
      <c r="C19" s="74" t="s">
        <v>538</v>
      </c>
      <c r="D19" s="75" t="s">
        <v>348</v>
      </c>
      <c r="E19" s="83" t="s">
        <v>887</v>
      </c>
      <c r="F19" s="88" t="s">
        <v>444</v>
      </c>
      <c r="G19" s="88">
        <f>'Previous years'!I17</f>
        <v>0</v>
      </c>
      <c r="H19" s="422"/>
      <c r="I19" s="429"/>
      <c r="J19" s="11" t="s">
        <v>1943</v>
      </c>
      <c r="K19" s="82"/>
      <c r="L19" s="417"/>
      <c r="M19" s="418"/>
      <c r="N19" s="418"/>
    </row>
    <row r="20" spans="1:14" ht="20.100000000000001" customHeight="1">
      <c r="B20" s="124" t="str">
        <f t="shared" si="1"/>
        <v>Stormwater consent abatement notices [SWE2a]</v>
      </c>
      <c r="C20" s="35" t="s">
        <v>539</v>
      </c>
      <c r="D20" s="58" t="s">
        <v>349</v>
      </c>
      <c r="E20" s="51" t="s">
        <v>512</v>
      </c>
      <c r="F20" s="58" t="s">
        <v>444</v>
      </c>
      <c r="G20" s="58">
        <f>'Previous years'!I18</f>
        <v>0</v>
      </c>
      <c r="H20" s="9"/>
      <c r="I20" s="434"/>
      <c r="J20" s="9" t="s">
        <v>1943</v>
      </c>
      <c r="K20" s="9"/>
      <c r="L20" s="100"/>
      <c r="M20" s="100"/>
      <c r="N20" s="100"/>
    </row>
    <row r="21" spans="1:14" ht="20.100000000000001" customHeight="1">
      <c r="B21" s="124" t="str">
        <f t="shared" si="1"/>
        <v>Stormwater consent infringement notices [SWE2b]</v>
      </c>
      <c r="C21" s="36" t="s">
        <v>539</v>
      </c>
      <c r="D21" s="38" t="s">
        <v>350</v>
      </c>
      <c r="E21" s="48" t="s">
        <v>513</v>
      </c>
      <c r="F21" s="39" t="s">
        <v>444</v>
      </c>
      <c r="G21" s="39">
        <f>'Previous years'!I19</f>
        <v>0</v>
      </c>
      <c r="H21" s="11"/>
      <c r="I21" s="430"/>
      <c r="J21" s="11" t="s">
        <v>1943</v>
      </c>
      <c r="K21" s="12"/>
      <c r="L21" s="99"/>
      <c r="M21" s="99"/>
      <c r="N21" s="99"/>
    </row>
    <row r="22" spans="1:14" ht="20.100000000000001" customHeight="1">
      <c r="B22" s="124" t="str">
        <f t="shared" si="1"/>
        <v>Stormwater consent enforcement orders [SWE2c]</v>
      </c>
      <c r="C22" s="36" t="s">
        <v>539</v>
      </c>
      <c r="D22" s="38" t="s">
        <v>351</v>
      </c>
      <c r="E22" s="48" t="s">
        <v>514</v>
      </c>
      <c r="F22" s="39" t="s">
        <v>444</v>
      </c>
      <c r="G22" s="39">
        <f>'Previous years'!I20</f>
        <v>0</v>
      </c>
      <c r="H22" s="11"/>
      <c r="I22" s="430"/>
      <c r="J22" s="11" t="s">
        <v>1943</v>
      </c>
      <c r="K22" s="12"/>
      <c r="L22" s="99"/>
      <c r="M22" s="99"/>
      <c r="N22" s="99"/>
    </row>
    <row r="23" spans="1:14" s="115" customFormat="1" ht="20.100000000000001" customHeight="1">
      <c r="B23" s="124" t="str">
        <f t="shared" si="1"/>
        <v>Stormwater successful prosecutions [SWE2d]</v>
      </c>
      <c r="C23" s="36" t="s">
        <v>539</v>
      </c>
      <c r="D23" s="38" t="s">
        <v>352</v>
      </c>
      <c r="E23" s="48" t="s">
        <v>515</v>
      </c>
      <c r="F23" s="39" t="s">
        <v>444</v>
      </c>
      <c r="G23" s="39">
        <f>'Previous years'!I21</f>
        <v>0</v>
      </c>
      <c r="H23" s="11"/>
      <c r="I23" s="430"/>
      <c r="J23" s="11" t="s">
        <v>1943</v>
      </c>
      <c r="K23" s="12"/>
      <c r="L23" s="99"/>
      <c r="M23" s="99"/>
      <c r="N23" s="99"/>
    </row>
    <row r="24" spans="1:14" s="115" customFormat="1" ht="20.100000000000001" customHeight="1">
      <c r="B24" s="124" t="str">
        <f t="shared" si="1"/>
        <v>Stormwater consent non-conformance [SWE2e]</v>
      </c>
      <c r="C24" s="36" t="s">
        <v>539</v>
      </c>
      <c r="D24" s="38" t="s">
        <v>958</v>
      </c>
      <c r="E24" s="48" t="s">
        <v>955</v>
      </c>
      <c r="F24" s="39" t="s">
        <v>444</v>
      </c>
      <c r="G24" s="39">
        <f>'Previous years'!I22</f>
        <v>0</v>
      </c>
      <c r="H24" s="11"/>
      <c r="I24" s="430"/>
      <c r="J24" s="11" t="s">
        <v>1943</v>
      </c>
      <c r="K24" s="12"/>
      <c r="L24" s="99"/>
      <c r="M24" s="99"/>
      <c r="N24" s="99"/>
    </row>
    <row r="25" spans="1:14" s="115" customFormat="1" ht="20.100000000000001" customHeight="1">
      <c r="B25" s="124" t="str">
        <f t="shared" si="1"/>
        <v>Stormwater consent letters of direction [SWE2f]</v>
      </c>
      <c r="C25" s="36" t="s">
        <v>539</v>
      </c>
      <c r="D25" s="172" t="s">
        <v>1084</v>
      </c>
      <c r="E25" s="187" t="s">
        <v>1087</v>
      </c>
      <c r="F25" s="200" t="s">
        <v>444</v>
      </c>
      <c r="G25" s="200">
        <f>'Previous years'!I23</f>
        <v>0</v>
      </c>
      <c r="H25" s="11"/>
      <c r="I25" s="430"/>
      <c r="J25" s="11" t="s">
        <v>1943</v>
      </c>
      <c r="K25" s="12"/>
      <c r="L25" s="99"/>
      <c r="M25" s="99"/>
      <c r="N25" s="99"/>
    </row>
    <row r="26" spans="1:14" s="115" customFormat="1" ht="20.100000000000001" customHeight="1" thickBot="1">
      <c r="B26" s="124" t="str">
        <f t="shared" si="1"/>
        <v>Stormwater consent formal warning [SWE2g]</v>
      </c>
      <c r="C26" s="74" t="s">
        <v>539</v>
      </c>
      <c r="D26" s="79" t="s">
        <v>1085</v>
      </c>
      <c r="E26" s="80" t="s">
        <v>1086</v>
      </c>
      <c r="F26" s="81" t="s">
        <v>444</v>
      </c>
      <c r="G26" s="81">
        <f>'Previous years'!I24</f>
        <v>0</v>
      </c>
      <c r="H26" s="422"/>
      <c r="I26" s="429"/>
      <c r="J26" s="422" t="s">
        <v>1943</v>
      </c>
      <c r="K26" s="82"/>
      <c r="L26" s="417"/>
      <c r="M26" s="418"/>
      <c r="N26" s="418"/>
    </row>
    <row r="27" spans="1:14" s="19" customFormat="1" ht="20.100000000000001" customHeight="1">
      <c r="A27" s="56"/>
      <c r="B27" s="124" t="str">
        <f t="shared" si="1"/>
        <v>Stormwater quality monitoring [SWE3]</v>
      </c>
      <c r="C27" s="35" t="s">
        <v>888</v>
      </c>
      <c r="D27" s="38" t="s">
        <v>463</v>
      </c>
      <c r="E27" s="50" t="s">
        <v>465</v>
      </c>
      <c r="F27" s="39" t="s">
        <v>66</v>
      </c>
      <c r="G27" s="39" t="str">
        <f>'Previous years'!I25</f>
        <v>No</v>
      </c>
      <c r="H27" s="11"/>
      <c r="I27" s="438"/>
      <c r="J27" s="11" t="s">
        <v>1953</v>
      </c>
      <c r="K27" s="12"/>
      <c r="L27" s="99"/>
      <c r="M27" s="99"/>
      <c r="N27" s="99"/>
    </row>
    <row r="28" spans="1:14" s="19" customFormat="1" ht="20.100000000000001" customHeight="1" thickBot="1">
      <c r="A28" s="56"/>
      <c r="B28" s="124" t="str">
        <f t="shared" si="1"/>
        <v>Stormwater catchment management plans [SWE4]</v>
      </c>
      <c r="C28" s="74" t="s">
        <v>888</v>
      </c>
      <c r="D28" s="75" t="s">
        <v>464</v>
      </c>
      <c r="E28" s="85" t="s">
        <v>466</v>
      </c>
      <c r="F28" s="84" t="s">
        <v>66</v>
      </c>
      <c r="G28" s="84" t="str">
        <f>'Previous years'!I26</f>
        <v>No</v>
      </c>
      <c r="H28" s="422"/>
      <c r="I28" s="437"/>
      <c r="J28" s="422" t="s">
        <v>1953</v>
      </c>
      <c r="K28" s="86"/>
      <c r="L28" s="418"/>
      <c r="M28" s="418"/>
      <c r="N28" s="418"/>
    </row>
    <row r="29" spans="1:14" s="115" customFormat="1" ht="20.100000000000001" customHeight="1">
      <c r="B29" s="124" t="str">
        <f t="shared" si="1"/>
        <v>Stormwater grid electricity use [SWE5]</v>
      </c>
      <c r="C29" s="35" t="s">
        <v>547</v>
      </c>
      <c r="D29" s="292" t="s">
        <v>1077</v>
      </c>
      <c r="E29" s="293" t="s">
        <v>1467</v>
      </c>
      <c r="F29" s="294" t="s">
        <v>1351</v>
      </c>
      <c r="G29" s="294"/>
      <c r="H29" s="9"/>
      <c r="I29" s="428"/>
      <c r="J29" s="99"/>
      <c r="K29" s="99"/>
      <c r="L29" s="99"/>
      <c r="M29" s="99"/>
      <c r="N29" s="99"/>
    </row>
    <row r="30" spans="1:14" s="115" customFormat="1" ht="20.100000000000001" customHeight="1" thickBot="1">
      <c r="B30" s="124" t="str">
        <f>E10&amp;" ["&amp;D10&amp;"]"</f>
        <v>Stormwater Serviced Population [SWB1]</v>
      </c>
      <c r="C30" s="74"/>
      <c r="D30" s="177" t="s">
        <v>1459</v>
      </c>
      <c r="E30" s="291" t="s">
        <v>1468</v>
      </c>
      <c r="F30" s="178" t="s">
        <v>1352</v>
      </c>
      <c r="G30" s="178" t="str">
        <f>'Previous years'!I28</f>
        <v/>
      </c>
      <c r="H30" s="422"/>
      <c r="I30" s="429"/>
      <c r="J30" s="422"/>
      <c r="K30" s="86"/>
      <c r="L30" s="419"/>
      <c r="M30" s="422"/>
      <c r="N30" s="86"/>
    </row>
    <row r="31" spans="1:14" s="115" customFormat="1" ht="20.100000000000001" customHeight="1">
      <c r="B31" s="124" t="str">
        <f t="shared" si="1"/>
        <v>Has a climate change risk assesment been undertaken for stormwater networks [SWE6]</v>
      </c>
      <c r="C31" s="35" t="s">
        <v>1290</v>
      </c>
      <c r="D31" s="170" t="s">
        <v>1294</v>
      </c>
      <c r="E31" s="290" t="s">
        <v>1603</v>
      </c>
      <c r="F31" s="292" t="s">
        <v>66</v>
      </c>
      <c r="G31" s="292" t="str">
        <f>'Previous years'!I29</f>
        <v/>
      </c>
      <c r="H31" s="11"/>
      <c r="I31" s="438"/>
      <c r="J31" s="11" t="s">
        <v>1953</v>
      </c>
      <c r="K31" s="12"/>
      <c r="L31" s="99"/>
      <c r="M31" s="11"/>
      <c r="N31" s="12"/>
    </row>
    <row r="32" spans="1:14" s="115" customFormat="1" ht="20.100000000000001" customHeight="1">
      <c r="B32" s="124" t="str">
        <f t="shared" si="1"/>
        <v>Is there a climate change adapataion plan in place for stormwater networks [SWE7]</v>
      </c>
      <c r="C32" s="36"/>
      <c r="D32" s="170" t="s">
        <v>1295</v>
      </c>
      <c r="E32" s="290" t="s">
        <v>1604</v>
      </c>
      <c r="F32" s="292" t="s">
        <v>66</v>
      </c>
      <c r="G32" s="292" t="str">
        <f>'Previous years'!I30</f>
        <v/>
      </c>
      <c r="H32" s="11"/>
      <c r="I32" s="438"/>
      <c r="J32" s="11" t="s">
        <v>1953</v>
      </c>
      <c r="K32" s="12"/>
      <c r="L32" s="99"/>
      <c r="M32" s="99"/>
      <c r="N32" s="99"/>
    </row>
    <row r="33" spans="2:14" s="115" customFormat="1" ht="20.100000000000001" customHeight="1">
      <c r="B33" s="124" t="str">
        <f t="shared" ref="B33" si="2">E33&amp;" ["&amp;D33&amp;"]"</f>
        <v>Has an emissions baseline been set for forecast stormwater investments [SWE8]</v>
      </c>
      <c r="C33" s="36"/>
      <c r="D33" s="253" t="s">
        <v>1296</v>
      </c>
      <c r="E33" s="459" t="s">
        <v>1605</v>
      </c>
      <c r="F33" s="292" t="s">
        <v>66</v>
      </c>
      <c r="G33" s="292" t="str">
        <f>'Previous years'!I31</f>
        <v/>
      </c>
      <c r="H33" s="120"/>
      <c r="I33" s="442"/>
      <c r="J33" s="120" t="s">
        <v>1953</v>
      </c>
      <c r="K33" s="119"/>
      <c r="L33" s="118"/>
      <c r="M33" s="99"/>
      <c r="N33" s="99"/>
    </row>
    <row r="34" spans="2:14" s="115" customFormat="1" ht="20.100000000000001" customHeight="1">
      <c r="B34" s="124"/>
      <c r="C34" s="36"/>
      <c r="D34" s="253" t="s">
        <v>1444</v>
      </c>
      <c r="E34" s="290" t="s">
        <v>1448</v>
      </c>
      <c r="F34" s="292" t="s">
        <v>1606</v>
      </c>
      <c r="G34" s="292" t="str">
        <f>'Previous years'!I32</f>
        <v/>
      </c>
      <c r="H34" s="120"/>
      <c r="I34" s="435"/>
      <c r="J34" s="120" t="s">
        <v>1953</v>
      </c>
      <c r="K34" s="119"/>
      <c r="L34" s="119"/>
      <c r="M34" s="100"/>
      <c r="N34" s="100"/>
    </row>
    <row r="35" spans="2:14" s="115" customFormat="1" ht="20.100000000000001" customHeight="1">
      <c r="B35" s="124"/>
      <c r="C35" s="36"/>
      <c r="D35" s="253" t="s">
        <v>1445</v>
      </c>
      <c r="E35" s="290" t="s">
        <v>1449</v>
      </c>
      <c r="F35" s="292" t="s">
        <v>472</v>
      </c>
      <c r="G35" s="292" t="str">
        <f>'Previous years'!I33</f>
        <v/>
      </c>
      <c r="I35" s="442"/>
      <c r="J35" s="120" t="s">
        <v>1953</v>
      </c>
      <c r="K35" s="119"/>
      <c r="L35" s="119"/>
      <c r="M35" s="99"/>
      <c r="N35" s="99"/>
    </row>
    <row r="36" spans="2:14" s="115" customFormat="1" ht="20.100000000000001" customHeight="1" thickBot="1">
      <c r="B36" s="124" t="str">
        <f t="shared" si="1"/>
        <v>Time horizon (s) new stormwater systems are designed to [SWE11]</v>
      </c>
      <c r="C36" s="74"/>
      <c r="D36" s="177" t="s">
        <v>1446</v>
      </c>
      <c r="E36" s="460" t="s">
        <v>1450</v>
      </c>
      <c r="F36" s="178" t="s">
        <v>1447</v>
      </c>
      <c r="G36" s="178" t="str">
        <f>'Previous years'!I34</f>
        <v/>
      </c>
      <c r="H36" s="422"/>
      <c r="I36" s="429"/>
      <c r="J36" s="422" t="s">
        <v>1953</v>
      </c>
      <c r="K36" s="82"/>
      <c r="L36" s="417"/>
      <c r="M36" s="100"/>
      <c r="N36" s="100"/>
    </row>
    <row r="37" spans="2:14" ht="20.100000000000001" customHeight="1">
      <c r="B37" s="124" t="str">
        <f t="shared" si="1"/>
        <v>Stormwater Charge [SWS1]</v>
      </c>
      <c r="C37" s="35" t="s">
        <v>540</v>
      </c>
      <c r="D37" s="38" t="s">
        <v>353</v>
      </c>
      <c r="E37" s="48" t="s">
        <v>354</v>
      </c>
      <c r="F37" s="39" t="s">
        <v>108</v>
      </c>
      <c r="G37" s="527">
        <f>'Previous years'!I35</f>
        <v>138.63168914572606</v>
      </c>
      <c r="H37" s="561"/>
      <c r="I37" s="430"/>
      <c r="J37" s="11" t="s">
        <v>1942</v>
      </c>
      <c r="K37" s="12"/>
      <c r="L37" s="12"/>
      <c r="M37" s="100"/>
      <c r="N37" s="100"/>
    </row>
    <row r="38" spans="2:14" ht="20.100000000000001" customHeight="1" thickBot="1">
      <c r="B38" s="124" t="str">
        <f t="shared" si="1"/>
        <v>Stormwater Charge type [SWS2]</v>
      </c>
      <c r="C38" s="74" t="s">
        <v>540</v>
      </c>
      <c r="D38" s="75" t="s">
        <v>355</v>
      </c>
      <c r="E38" s="87" t="s">
        <v>356</v>
      </c>
      <c r="F38" s="88" t="s">
        <v>472</v>
      </c>
      <c r="G38" s="88" t="str">
        <f>'Previous years'!I36</f>
        <v>Targeted Rate</v>
      </c>
      <c r="H38" s="424"/>
      <c r="I38" s="437"/>
      <c r="J38" s="422" t="s">
        <v>1942</v>
      </c>
      <c r="K38" s="86"/>
      <c r="L38" s="86"/>
      <c r="M38" s="419"/>
      <c r="N38" s="419"/>
    </row>
    <row r="39" spans="2:14" ht="20.100000000000001" customHeight="1">
      <c r="B39" s="124" t="str">
        <f t="shared" si="1"/>
        <v>Stormwater Complaints [SWS3]</v>
      </c>
      <c r="C39" s="35" t="s">
        <v>541</v>
      </c>
      <c r="D39" s="58" t="s">
        <v>357</v>
      </c>
      <c r="E39" s="59" t="s">
        <v>358</v>
      </c>
      <c r="F39" s="40" t="s">
        <v>444</v>
      </c>
      <c r="G39" s="40">
        <f>'Previous years'!I37</f>
        <v>178</v>
      </c>
      <c r="H39" s="30" t="str">
        <f>IF(NOT(COUNTA(H40:H41)),"",SUM(H40:H41))</f>
        <v/>
      </c>
      <c r="I39" s="436" t="s">
        <v>212</v>
      </c>
      <c r="J39" s="30"/>
      <c r="K39" s="30"/>
      <c r="L39" s="30"/>
      <c r="M39" s="251"/>
      <c r="N39" s="251"/>
    </row>
    <row r="40" spans="2:14" ht="20.100000000000001" customHeight="1">
      <c r="B40" s="124" t="str">
        <f t="shared" si="1"/>
        <v>Stormwater blockage complaints [SWS3a]</v>
      </c>
      <c r="C40" s="36" t="s">
        <v>541</v>
      </c>
      <c r="D40" s="38" t="s">
        <v>359</v>
      </c>
      <c r="E40" s="42" t="s">
        <v>360</v>
      </c>
      <c r="F40" s="39" t="s">
        <v>444</v>
      </c>
      <c r="G40" s="39">
        <f>'Previous years'!I38</f>
        <v>178</v>
      </c>
      <c r="H40" s="11"/>
      <c r="I40" s="430"/>
      <c r="J40" s="11" t="s">
        <v>1943</v>
      </c>
      <c r="K40" s="12"/>
      <c r="L40" s="12"/>
      <c r="M40" s="99"/>
      <c r="N40" s="99"/>
    </row>
    <row r="41" spans="2:14" ht="20.100000000000001" customHeight="1">
      <c r="B41" s="124" t="str">
        <f t="shared" si="1"/>
        <v>Stormwater fault complaints [SWS3b]</v>
      </c>
      <c r="C41" s="36" t="s">
        <v>541</v>
      </c>
      <c r="D41" s="38" t="s">
        <v>361</v>
      </c>
      <c r="E41" s="42" t="s">
        <v>362</v>
      </c>
      <c r="F41" s="39" t="s">
        <v>444</v>
      </c>
      <c r="G41" s="39" t="str">
        <f>'Previous years'!I39</f>
        <v/>
      </c>
      <c r="H41" s="11"/>
      <c r="I41" s="430"/>
      <c r="J41" s="11" t="s">
        <v>1943</v>
      </c>
      <c r="K41" s="12"/>
      <c r="L41" s="12"/>
      <c r="M41" s="99"/>
      <c r="N41" s="99"/>
    </row>
    <row r="42" spans="2:14" ht="20.100000000000001" customHeight="1" thickBot="1">
      <c r="B42" s="124" t="str">
        <f t="shared" si="1"/>
        <v>Stormwater Complaints Frequency [SWS4]</v>
      </c>
      <c r="C42" s="74" t="s">
        <v>541</v>
      </c>
      <c r="D42" s="75" t="s">
        <v>363</v>
      </c>
      <c r="E42" s="87" t="s">
        <v>364</v>
      </c>
      <c r="F42" s="84" t="s">
        <v>445</v>
      </c>
      <c r="G42" s="84">
        <f>'Previous years'!I40</f>
        <v>6.430868167202572</v>
      </c>
      <c r="H42" s="425" t="str">
        <f>IFERROR((H39/H11)*1000,"")</f>
        <v/>
      </c>
      <c r="I42" s="437" t="s">
        <v>212</v>
      </c>
      <c r="J42" s="78"/>
      <c r="K42" s="89"/>
      <c r="L42" s="89"/>
      <c r="M42" s="419"/>
      <c r="N42" s="419"/>
    </row>
    <row r="43" spans="2:14" ht="20.100000000000001" customHeight="1">
      <c r="B43" s="124" t="str">
        <f t="shared" si="1"/>
        <v>Flooding events resulting from storms exceeding stormwater capacity [SWS5]</v>
      </c>
      <c r="C43" s="35" t="s">
        <v>542</v>
      </c>
      <c r="D43" s="185" t="s">
        <v>365</v>
      </c>
      <c r="E43" s="188" t="s">
        <v>962</v>
      </c>
      <c r="F43" s="40" t="s">
        <v>444</v>
      </c>
      <c r="G43" s="40">
        <f>'Previous years'!I41</f>
        <v>0</v>
      </c>
      <c r="H43" s="9"/>
      <c r="I43" s="434"/>
      <c r="J43" s="9" t="s">
        <v>1938</v>
      </c>
      <c r="K43" s="9"/>
      <c r="L43" s="9"/>
      <c r="M43" s="251"/>
      <c r="N43" s="251"/>
    </row>
    <row r="44" spans="2:14" ht="20.100000000000001" customHeight="1">
      <c r="B44" s="124" t="str">
        <f t="shared" si="1"/>
        <v>Number of habitable floors affected by storms exceeding stormwater capacity [SWS5a]</v>
      </c>
      <c r="C44" s="36" t="s">
        <v>542</v>
      </c>
      <c r="D44" s="172" t="s">
        <v>366</v>
      </c>
      <c r="E44" s="187" t="s">
        <v>961</v>
      </c>
      <c r="F44" s="39" t="s">
        <v>444</v>
      </c>
      <c r="G44" s="39">
        <f>'Previous years'!I42</f>
        <v>0</v>
      </c>
      <c r="H44" s="11"/>
      <c r="I44" s="430"/>
      <c r="J44" s="11" t="s">
        <v>1938</v>
      </c>
      <c r="K44" s="12"/>
      <c r="L44" s="12"/>
      <c r="M44" s="99"/>
      <c r="N44" s="99"/>
    </row>
    <row r="45" spans="2:14" ht="20.100000000000001" customHeight="1">
      <c r="B45" s="124" t="str">
        <f t="shared" si="1"/>
        <v>Number of habitable floors affected per 1000 stormwater serviced properties [SWS5b]</v>
      </c>
      <c r="C45" s="36" t="s">
        <v>542</v>
      </c>
      <c r="D45" s="172" t="s">
        <v>367</v>
      </c>
      <c r="E45" s="187" t="s">
        <v>368</v>
      </c>
      <c r="F45" s="39" t="s">
        <v>445</v>
      </c>
      <c r="G45" s="39">
        <f>'Previous years'!I43</f>
        <v>0</v>
      </c>
      <c r="H45" s="26" t="str">
        <f>IFERROR((H44/H11)*1000,"")</f>
        <v/>
      </c>
      <c r="I45" s="438" t="s">
        <v>212</v>
      </c>
      <c r="J45" s="26"/>
      <c r="K45" s="25"/>
      <c r="L45" s="25"/>
      <c r="M45" s="99"/>
      <c r="N45" s="99"/>
    </row>
    <row r="46" spans="2:14" s="115" customFormat="1" ht="20.100000000000001" customHeight="1">
      <c r="B46" s="124" t="str">
        <f t="shared" si="1"/>
        <v>Flooding events resulting from other causes [SWS5c]</v>
      </c>
      <c r="C46" s="36" t="s">
        <v>542</v>
      </c>
      <c r="D46" s="172" t="s">
        <v>959</v>
      </c>
      <c r="E46" s="187" t="s">
        <v>963</v>
      </c>
      <c r="F46" s="49" t="s">
        <v>444</v>
      </c>
      <c r="G46" s="49">
        <f>'Previous years'!I44</f>
        <v>0</v>
      </c>
      <c r="H46" s="11"/>
      <c r="I46" s="430"/>
      <c r="J46" s="11" t="s">
        <v>1938</v>
      </c>
      <c r="K46" s="12"/>
      <c r="L46" s="12"/>
      <c r="M46" s="99"/>
      <c r="N46" s="99"/>
    </row>
    <row r="47" spans="2:14" s="115" customFormat="1" ht="20.100000000000001" customHeight="1">
      <c r="B47" s="124" t="str">
        <f t="shared" si="1"/>
        <v>Number of habitable floors affected by flooding from other causes [SWS5d]</v>
      </c>
      <c r="C47" s="36" t="s">
        <v>542</v>
      </c>
      <c r="D47" s="172" t="s">
        <v>960</v>
      </c>
      <c r="E47" s="187" t="s">
        <v>1013</v>
      </c>
      <c r="F47" s="49" t="s">
        <v>444</v>
      </c>
      <c r="G47" s="49">
        <f>'Previous years'!I45</f>
        <v>0</v>
      </c>
      <c r="H47" s="11"/>
      <c r="I47" s="430"/>
      <c r="J47" s="11" t="s">
        <v>1938</v>
      </c>
      <c r="K47" s="12"/>
      <c r="L47" s="12"/>
      <c r="M47" s="99"/>
      <c r="N47" s="99"/>
    </row>
    <row r="48" spans="2:14" ht="20.100000000000001" customHeight="1">
      <c r="B48" s="124" t="str">
        <f t="shared" si="1"/>
        <v>Flooding Response Time [SWS6]</v>
      </c>
      <c r="C48" s="36" t="s">
        <v>542</v>
      </c>
      <c r="D48" s="38" t="s">
        <v>369</v>
      </c>
      <c r="E48" s="43" t="s">
        <v>370</v>
      </c>
      <c r="F48" s="39" t="s">
        <v>121</v>
      </c>
      <c r="G48" s="39">
        <f>'Previous years'!I46</f>
        <v>0</v>
      </c>
      <c r="H48" s="9"/>
      <c r="I48" s="428"/>
      <c r="J48" s="11" t="s">
        <v>1938</v>
      </c>
      <c r="K48" s="10"/>
      <c r="L48" s="100"/>
      <c r="M48" s="100"/>
      <c r="N48" s="100"/>
    </row>
    <row r="49" spans="1:14" ht="20.100000000000001" customHeight="1">
      <c r="B49" s="124" t="str">
        <f t="shared" si="1"/>
        <v>Primary stormwater network capacity [SWS7a]</v>
      </c>
      <c r="C49" s="36" t="s">
        <v>542</v>
      </c>
      <c r="D49" s="172" t="s">
        <v>371</v>
      </c>
      <c r="E49" s="173" t="s">
        <v>372</v>
      </c>
      <c r="F49" s="49" t="s">
        <v>331</v>
      </c>
      <c r="G49" s="524">
        <f>'Previous years'!I47</f>
        <v>0.05</v>
      </c>
      <c r="H49" s="457"/>
      <c r="I49" s="433"/>
      <c r="J49" s="11" t="s">
        <v>1953</v>
      </c>
      <c r="K49" s="11"/>
      <c r="L49" s="420"/>
      <c r="M49" s="249"/>
      <c r="N49" s="249"/>
    </row>
    <row r="50" spans="1:14" ht="20.100000000000001" customHeight="1" thickBot="1">
      <c r="B50" s="124" t="str">
        <f t="shared" si="1"/>
        <v>Secondary stormwater network capacity [SWS7b]</v>
      </c>
      <c r="C50" s="74" t="s">
        <v>542</v>
      </c>
      <c r="D50" s="79" t="s">
        <v>373</v>
      </c>
      <c r="E50" s="80" t="s">
        <v>374</v>
      </c>
      <c r="F50" s="88" t="s">
        <v>331</v>
      </c>
      <c r="G50" s="525">
        <f>'Previous years'!I48</f>
        <v>0.01</v>
      </c>
      <c r="H50" s="458"/>
      <c r="I50" s="429"/>
      <c r="J50" s="422" t="s">
        <v>1953</v>
      </c>
      <c r="K50" s="82"/>
      <c r="L50" s="421"/>
      <c r="M50" s="418"/>
      <c r="N50" s="418"/>
    </row>
    <row r="51" spans="1:14" ht="20.100000000000001" customHeight="1">
      <c r="B51" s="124" t="str">
        <f t="shared" si="1"/>
        <v>Operating Revenue: Stormwater [SWF1]</v>
      </c>
      <c r="C51" s="35" t="s">
        <v>543</v>
      </c>
      <c r="D51" s="58" t="s">
        <v>375</v>
      </c>
      <c r="E51" s="43" t="s">
        <v>376</v>
      </c>
      <c r="F51" s="40" t="s">
        <v>108</v>
      </c>
      <c r="G51" s="528">
        <f>'Previous years'!I49</f>
        <v>3069010.55</v>
      </c>
      <c r="H51" s="593"/>
      <c r="I51" s="428"/>
      <c r="J51" s="9" t="s">
        <v>1942</v>
      </c>
      <c r="K51" s="10"/>
      <c r="L51" s="10"/>
      <c r="M51" s="100"/>
      <c r="N51" s="100"/>
    </row>
    <row r="52" spans="1:14" ht="20.100000000000001" customHeight="1">
      <c r="B52" s="124" t="str">
        <f t="shared" si="1"/>
        <v>Development Contribution Revenue: Stormwater [SWF2]</v>
      </c>
      <c r="C52" s="36" t="s">
        <v>543</v>
      </c>
      <c r="D52" s="38" t="s">
        <v>377</v>
      </c>
      <c r="E52" s="43" t="s">
        <v>378</v>
      </c>
      <c r="F52" s="39" t="s">
        <v>108</v>
      </c>
      <c r="G52" s="529">
        <f>'Previous years'!I50</f>
        <v>571882.6</v>
      </c>
      <c r="H52" s="593"/>
      <c r="I52" s="428"/>
      <c r="J52" s="11" t="s">
        <v>1942</v>
      </c>
      <c r="K52" s="10"/>
      <c r="L52" s="10"/>
      <c r="M52" s="100"/>
      <c r="N52" s="100"/>
    </row>
    <row r="53" spans="1:14" ht="20.100000000000001" customHeight="1">
      <c r="B53" s="124" t="str">
        <f t="shared" si="1"/>
        <v>Total Revenue: Stormwater [SWF3]</v>
      </c>
      <c r="C53" s="36" t="s">
        <v>543</v>
      </c>
      <c r="D53" s="38" t="s">
        <v>379</v>
      </c>
      <c r="E53" s="44" t="s">
        <v>380</v>
      </c>
      <c r="F53" s="39" t="s">
        <v>108</v>
      </c>
      <c r="G53" s="529">
        <f>'Previous years'!I51</f>
        <v>3640893.15</v>
      </c>
      <c r="H53" s="594" t="str">
        <f>IF(NOT(COUNTA(H51:H52)),"",SUM(H51:H52))</f>
        <v/>
      </c>
      <c r="I53" s="439" t="s">
        <v>212</v>
      </c>
      <c r="J53" s="26"/>
      <c r="K53" s="26"/>
      <c r="L53" s="26"/>
      <c r="M53" s="249"/>
      <c r="N53" s="249"/>
    </row>
    <row r="54" spans="1:14" ht="20.100000000000001" customHeight="1">
      <c r="B54" s="124" t="str">
        <f t="shared" si="1"/>
        <v>Total Revenue per Property: Stormwater [SWF4]</v>
      </c>
      <c r="C54" s="36" t="s">
        <v>543</v>
      </c>
      <c r="D54" s="38" t="s">
        <v>381</v>
      </c>
      <c r="E54" s="42" t="s">
        <v>382</v>
      </c>
      <c r="F54" s="39" t="s">
        <v>139</v>
      </c>
      <c r="G54" s="529">
        <f>'Previous years'!I52</f>
        <v>131.53990931753316</v>
      </c>
      <c r="H54" s="594" t="str">
        <f>IFERROR(H53/H11,"")</f>
        <v/>
      </c>
      <c r="I54" s="438" t="s">
        <v>212</v>
      </c>
      <c r="J54" s="26"/>
      <c r="K54" s="25"/>
      <c r="L54" s="25"/>
      <c r="M54" s="99"/>
      <c r="N54" s="99"/>
    </row>
    <row r="55" spans="1:14" ht="20.100000000000001" customHeight="1" thickBot="1">
      <c r="B55" s="124" t="str">
        <f t="shared" si="1"/>
        <v>Debt funding: Stormwater [SWF5]</v>
      </c>
      <c r="C55" s="74" t="s">
        <v>543</v>
      </c>
      <c r="D55" s="79" t="s">
        <v>383</v>
      </c>
      <c r="E55" s="80" t="s">
        <v>384</v>
      </c>
      <c r="F55" s="84" t="s">
        <v>108</v>
      </c>
      <c r="G55" s="530">
        <f>'Previous years'!I53</f>
        <v>49771</v>
      </c>
      <c r="H55" s="595"/>
      <c r="I55" s="429"/>
      <c r="J55" s="422" t="s">
        <v>1942</v>
      </c>
      <c r="K55" s="82"/>
      <c r="L55" s="82"/>
      <c r="M55" s="418"/>
      <c r="N55" s="418"/>
    </row>
    <row r="56" spans="1:14" ht="20.100000000000001" customHeight="1" thickBot="1">
      <c r="B56" s="124" t="str">
        <f>E56&amp;" ["&amp;D56&amp;"]"</f>
        <v>External Grants: Stormwater [SWF22]</v>
      </c>
      <c r="C56" s="90" t="s">
        <v>552</v>
      </c>
      <c r="D56" s="91" t="s">
        <v>419</v>
      </c>
      <c r="E56" s="92" t="s">
        <v>420</v>
      </c>
      <c r="F56" s="93" t="s">
        <v>108</v>
      </c>
      <c r="G56" s="531">
        <f>'Previous years'!I54</f>
        <v>0</v>
      </c>
      <c r="H56" s="596"/>
      <c r="I56" s="440"/>
      <c r="J56" s="426" t="s">
        <v>1942</v>
      </c>
      <c r="K56" s="94"/>
      <c r="L56" s="94"/>
      <c r="M56" s="456"/>
      <c r="N56" s="456"/>
    </row>
    <row r="57" spans="1:14" ht="20.100000000000001" customHeight="1">
      <c r="B57" s="124" t="str">
        <f t="shared" si="1"/>
        <v>Routine maintenance: Stormwater  [SWF6a]</v>
      </c>
      <c r="C57" s="35" t="s">
        <v>544</v>
      </c>
      <c r="D57" s="185" t="s">
        <v>469</v>
      </c>
      <c r="E57" s="186" t="s">
        <v>889</v>
      </c>
      <c r="F57" s="40" t="s">
        <v>108</v>
      </c>
      <c r="G57" s="528">
        <f>'Previous years'!I55</f>
        <v>513591.98</v>
      </c>
      <c r="H57" s="593"/>
      <c r="I57" s="428"/>
      <c r="J57" s="9" t="s">
        <v>1958</v>
      </c>
      <c r="K57" s="10"/>
      <c r="L57" s="10"/>
      <c r="M57" s="100"/>
      <c r="N57" s="100"/>
    </row>
    <row r="58" spans="1:14" s="19" customFormat="1" ht="20.100000000000001" customHeight="1">
      <c r="A58" s="56"/>
      <c r="B58" s="124" t="str">
        <f t="shared" si="1"/>
        <v>Reactive maintenance: Stormwater  [SWF6b]</v>
      </c>
      <c r="C58" s="36" t="s">
        <v>544</v>
      </c>
      <c r="D58" s="172" t="s">
        <v>470</v>
      </c>
      <c r="E58" s="188" t="s">
        <v>890</v>
      </c>
      <c r="F58" s="49" t="s">
        <v>108</v>
      </c>
      <c r="G58" s="532">
        <f>'Previous years'!I56</f>
        <v>210544.4</v>
      </c>
      <c r="H58" s="593"/>
      <c r="I58" s="434"/>
      <c r="J58" s="11" t="s">
        <v>1958</v>
      </c>
      <c r="K58" s="9"/>
      <c r="L58" s="9"/>
      <c r="M58" s="251"/>
      <c r="N58" s="251"/>
    </row>
    <row r="59" spans="1:14" ht="20.100000000000001" customHeight="1">
      <c r="B59" s="124" t="str">
        <f t="shared" si="1"/>
        <v>Management Costs: Stormwater [SWF7]</v>
      </c>
      <c r="C59" s="36" t="s">
        <v>544</v>
      </c>
      <c r="D59" s="172" t="s">
        <v>385</v>
      </c>
      <c r="E59" s="173" t="s">
        <v>516</v>
      </c>
      <c r="F59" s="39" t="s">
        <v>108</v>
      </c>
      <c r="G59" s="529">
        <f>'Previous years'!I57</f>
        <v>123868.17</v>
      </c>
      <c r="H59" s="597"/>
      <c r="I59" s="433"/>
      <c r="J59" s="11" t="s">
        <v>1958</v>
      </c>
      <c r="K59" s="11"/>
      <c r="L59" s="11"/>
      <c r="M59" s="249"/>
      <c r="N59" s="249"/>
    </row>
    <row r="60" spans="1:14" ht="20.100000000000001" customHeight="1">
      <c r="B60" s="124" t="str">
        <f t="shared" si="1"/>
        <v>Council Contract Management Costs: Stormwater [SWF8]</v>
      </c>
      <c r="C60" s="36" t="s">
        <v>544</v>
      </c>
      <c r="D60" s="172" t="s">
        <v>421</v>
      </c>
      <c r="E60" s="187" t="s">
        <v>965</v>
      </c>
      <c r="F60" s="39" t="s">
        <v>108</v>
      </c>
      <c r="G60" s="529">
        <f>'Previous years'!I58</f>
        <v>0</v>
      </c>
      <c r="H60" s="597"/>
      <c r="I60" s="430"/>
      <c r="J60" s="11" t="s">
        <v>1959</v>
      </c>
      <c r="K60" s="12"/>
      <c r="L60" s="12"/>
      <c r="M60" s="99"/>
      <c r="N60" s="99"/>
    </row>
    <row r="61" spans="1:14" ht="20.100000000000001" customHeight="1">
      <c r="B61" s="124" t="str">
        <f t="shared" si="1"/>
        <v>Operating Cost: Stormwater [SWF9]</v>
      </c>
      <c r="C61" s="36" t="s">
        <v>544</v>
      </c>
      <c r="D61" s="38" t="s">
        <v>386</v>
      </c>
      <c r="E61" s="42" t="s">
        <v>387</v>
      </c>
      <c r="F61" s="39" t="s">
        <v>108</v>
      </c>
      <c r="G61" s="529">
        <f>'Previous years'!I59</f>
        <v>848004.55</v>
      </c>
      <c r="H61" s="594" t="str">
        <f>IF(NOT(COUNTA(H57:H60)),"",SUM(H57:H60))</f>
        <v/>
      </c>
      <c r="I61" s="438" t="s">
        <v>212</v>
      </c>
      <c r="J61" s="26"/>
      <c r="K61" s="25"/>
      <c r="L61" s="25"/>
      <c r="M61" s="99"/>
      <c r="N61" s="99"/>
    </row>
    <row r="62" spans="1:14" ht="20.100000000000001" customHeight="1">
      <c r="B62" s="124" t="str">
        <f t="shared" si="1"/>
        <v>Operating Cost per Property: Stormwater [SWF10]</v>
      </c>
      <c r="C62" s="36" t="s">
        <v>544</v>
      </c>
      <c r="D62" s="38" t="s">
        <v>388</v>
      </c>
      <c r="E62" s="43" t="s">
        <v>389</v>
      </c>
      <c r="F62" s="39" t="s">
        <v>139</v>
      </c>
      <c r="G62" s="529">
        <f>'Previous years'!I60</f>
        <v>30.637109360887315</v>
      </c>
      <c r="H62" s="594" t="str">
        <f>IFERROR(H61/H11,"")</f>
        <v/>
      </c>
      <c r="I62" s="431" t="s">
        <v>212</v>
      </c>
      <c r="J62" s="26"/>
      <c r="K62" s="24"/>
      <c r="L62" s="24"/>
      <c r="M62" s="100"/>
      <c r="N62" s="100"/>
    </row>
    <row r="63" spans="1:14" ht="20.100000000000001" customHeight="1">
      <c r="B63" s="124" t="str">
        <f t="shared" si="1"/>
        <v>Annual Depreciation: Stormwater [SWF11]</v>
      </c>
      <c r="C63" s="36" t="s">
        <v>544</v>
      </c>
      <c r="D63" s="38" t="s">
        <v>390</v>
      </c>
      <c r="E63" s="44" t="s">
        <v>391</v>
      </c>
      <c r="F63" s="39" t="s">
        <v>108</v>
      </c>
      <c r="G63" s="529">
        <f>'Previous years'!I61</f>
        <v>4552947.6500000004</v>
      </c>
      <c r="H63" s="597"/>
      <c r="I63" s="433"/>
      <c r="J63" s="11" t="s">
        <v>1942</v>
      </c>
      <c r="K63" s="11"/>
      <c r="L63" s="11"/>
      <c r="M63" s="249"/>
      <c r="N63" s="249"/>
    </row>
    <row r="64" spans="1:14" ht="20.100000000000001" customHeight="1">
      <c r="B64" s="124" t="str">
        <f t="shared" si="1"/>
        <v>Interest: Stormwater [SWF12a]</v>
      </c>
      <c r="C64" s="36" t="s">
        <v>544</v>
      </c>
      <c r="D64" s="38" t="s">
        <v>392</v>
      </c>
      <c r="E64" s="42" t="s">
        <v>393</v>
      </c>
      <c r="F64" s="39" t="s">
        <v>108</v>
      </c>
      <c r="G64" s="529">
        <f>'Previous years'!I62</f>
        <v>391257.15</v>
      </c>
      <c r="H64" s="597"/>
      <c r="I64" s="430"/>
      <c r="J64" s="11" t="s">
        <v>1942</v>
      </c>
      <c r="K64" s="12"/>
      <c r="L64" s="12"/>
      <c r="M64" s="99"/>
      <c r="N64" s="99"/>
    </row>
    <row r="65" spans="2:14" ht="20.100000000000001" customHeight="1">
      <c r="B65" s="124" t="str">
        <f t="shared" si="1"/>
        <v>Debt Affordability: Stormwater [SWF12b]</v>
      </c>
      <c r="C65" s="36" t="s">
        <v>544</v>
      </c>
      <c r="D65" s="38" t="s">
        <v>394</v>
      </c>
      <c r="E65" s="42" t="s">
        <v>395</v>
      </c>
      <c r="F65" s="39" t="s">
        <v>10</v>
      </c>
      <c r="G65" s="526">
        <f>'Previous years'!I63</f>
        <v>0.10746186001091519</v>
      </c>
      <c r="H65" s="598" t="str">
        <f>IFERROR(H64/H53,"")</f>
        <v/>
      </c>
      <c r="I65" s="438" t="s">
        <v>212</v>
      </c>
      <c r="J65" s="26"/>
      <c r="K65" s="25"/>
      <c r="L65" s="25"/>
      <c r="M65" s="99"/>
      <c r="N65" s="99"/>
    </row>
    <row r="66" spans="2:14" ht="20.100000000000001" customHeight="1">
      <c r="B66" s="124" t="str">
        <f t="shared" si="1"/>
        <v>Operational Cost Coverage: Stormwater [SWF13]</v>
      </c>
      <c r="C66" s="36" t="s">
        <v>544</v>
      </c>
      <c r="D66" s="38" t="s">
        <v>396</v>
      </c>
      <c r="E66" s="43" t="s">
        <v>397</v>
      </c>
      <c r="F66" s="39" t="s">
        <v>10</v>
      </c>
      <c r="G66" s="526">
        <f>'Previous years'!I64</f>
        <v>0.52985145469578021</v>
      </c>
      <c r="H66" s="598" t="str">
        <f>IFERROR(H51/(H64+H63+H61),"")</f>
        <v/>
      </c>
      <c r="I66" s="431" t="s">
        <v>212</v>
      </c>
      <c r="J66" s="26"/>
      <c r="K66" s="24"/>
      <c r="L66" s="24"/>
      <c r="M66" s="100"/>
      <c r="N66" s="100"/>
    </row>
    <row r="67" spans="2:14" ht="20.100000000000001" customHeight="1">
      <c r="B67" s="124" t="str">
        <f t="shared" si="1"/>
        <v>Total Cost: Stormwater [SWF14]</v>
      </c>
      <c r="C67" s="36" t="s">
        <v>544</v>
      </c>
      <c r="D67" s="38" t="s">
        <v>398</v>
      </c>
      <c r="E67" s="44" t="s">
        <v>399</v>
      </c>
      <c r="F67" s="39" t="s">
        <v>108</v>
      </c>
      <c r="G67" s="529">
        <f>'Previous years'!I65</f>
        <v>10363053.32</v>
      </c>
      <c r="H67" s="594" t="str">
        <f>IF(SUM(H61,H63,H64,H73)=0,"",SUM(H61,H63,H64,H73))</f>
        <v/>
      </c>
      <c r="I67" s="439" t="s">
        <v>212</v>
      </c>
      <c r="J67" s="26"/>
      <c r="K67" s="26"/>
      <c r="L67" s="26"/>
      <c r="M67" s="249"/>
      <c r="N67" s="249"/>
    </row>
    <row r="68" spans="2:14" ht="20.100000000000001" customHeight="1">
      <c r="B68" s="124" t="str">
        <f t="shared" si="1"/>
        <v>Total Cost per Property: Stormwater [SWF15]</v>
      </c>
      <c r="C68" s="36" t="s">
        <v>544</v>
      </c>
      <c r="D68" s="38" t="s">
        <v>400</v>
      </c>
      <c r="E68" s="42" t="s">
        <v>401</v>
      </c>
      <c r="F68" s="39" t="s">
        <v>139</v>
      </c>
      <c r="G68" s="529">
        <f>'Previous years'!I66</f>
        <v>374.40129050905017</v>
      </c>
      <c r="H68" s="594" t="str">
        <f>IFERROR(H67/H11,"")</f>
        <v/>
      </c>
      <c r="I68" s="438" t="s">
        <v>212</v>
      </c>
      <c r="J68" s="26"/>
      <c r="K68" s="25"/>
      <c r="L68" s="25"/>
      <c r="M68" s="99"/>
      <c r="N68" s="99"/>
    </row>
    <row r="69" spans="2:14" ht="20.100000000000001" customHeight="1">
      <c r="B69" s="124" t="str">
        <f t="shared" si="1"/>
        <v>Budgeted Capital Expenditure: Stormwater [SWF16]</v>
      </c>
      <c r="C69" s="36" t="s">
        <v>544</v>
      </c>
      <c r="D69" s="38" t="s">
        <v>402</v>
      </c>
      <c r="E69" s="42" t="s">
        <v>403</v>
      </c>
      <c r="F69" s="39" t="s">
        <v>108</v>
      </c>
      <c r="G69" s="529">
        <f>'Previous years'!I67</f>
        <v>11016701.539999999</v>
      </c>
      <c r="H69" s="594" t="str">
        <f>IF(NOT(COUNTA(H70:H72)),"",SUM(H70:H72))</f>
        <v/>
      </c>
      <c r="I69" s="438" t="s">
        <v>212</v>
      </c>
      <c r="J69" s="26"/>
      <c r="K69" s="25"/>
      <c r="L69" s="25"/>
      <c r="M69" s="99"/>
      <c r="N69" s="99"/>
    </row>
    <row r="70" spans="2:14" ht="20.100000000000001" customHeight="1">
      <c r="B70" s="124" t="str">
        <f t="shared" si="1"/>
        <v>Budgeted capital to meet additional demand [SWF16a]</v>
      </c>
      <c r="C70" s="36" t="s">
        <v>544</v>
      </c>
      <c r="D70" s="38" t="s">
        <v>404</v>
      </c>
      <c r="E70" s="51" t="s">
        <v>481</v>
      </c>
      <c r="F70" s="39" t="s">
        <v>108</v>
      </c>
      <c r="G70" s="529">
        <f>'Previous years'!I68</f>
        <v>5713617.0042369999</v>
      </c>
      <c r="H70" s="593"/>
      <c r="I70" s="428"/>
      <c r="J70" s="11" t="s">
        <v>1942</v>
      </c>
      <c r="K70" s="10"/>
      <c r="L70" s="10"/>
      <c r="M70" s="100"/>
      <c r="N70" s="100"/>
    </row>
    <row r="71" spans="2:14" ht="20.100000000000001" customHeight="1">
      <c r="B71" s="124" t="str">
        <f t="shared" ref="B71:B80" si="3">E71&amp;" ["&amp;D71&amp;"]"</f>
        <v>Budgeted capital to improve the level of service [SWF16b]</v>
      </c>
      <c r="C71" s="36" t="s">
        <v>544</v>
      </c>
      <c r="D71" s="38" t="s">
        <v>405</v>
      </c>
      <c r="E71" s="55" t="s">
        <v>482</v>
      </c>
      <c r="F71" s="39" t="s">
        <v>108</v>
      </c>
      <c r="G71" s="529">
        <f>'Previous years'!I69</f>
        <v>4066849.4151630001</v>
      </c>
      <c r="H71" s="597"/>
      <c r="I71" s="433"/>
      <c r="J71" s="11" t="s">
        <v>1942</v>
      </c>
      <c r="K71" s="11"/>
      <c r="L71" s="11"/>
      <c r="M71" s="249"/>
      <c r="N71" s="249"/>
    </row>
    <row r="72" spans="2:14" ht="20.100000000000001" customHeight="1">
      <c r="B72" s="124" t="str">
        <f t="shared" si="3"/>
        <v>Budgeted capital to replace existing assets [SWF16c]</v>
      </c>
      <c r="C72" s="36" t="s">
        <v>544</v>
      </c>
      <c r="D72" s="38" t="s">
        <v>406</v>
      </c>
      <c r="E72" s="48" t="s">
        <v>483</v>
      </c>
      <c r="F72" s="39" t="s">
        <v>108</v>
      </c>
      <c r="G72" s="529">
        <f>'Previous years'!I70</f>
        <v>1236235.1206</v>
      </c>
      <c r="H72" s="597"/>
      <c r="I72" s="430"/>
      <c r="J72" s="11" t="s">
        <v>1942</v>
      </c>
      <c r="K72" s="12"/>
      <c r="L72" s="12"/>
      <c r="M72" s="99"/>
      <c r="N72" s="99"/>
    </row>
    <row r="73" spans="2:14" ht="20.100000000000001" customHeight="1">
      <c r="B73" s="124" t="str">
        <f t="shared" si="3"/>
        <v>Actual Capital Expenditure: Stormwater [SWF17]</v>
      </c>
      <c r="C73" s="36" t="s">
        <v>544</v>
      </c>
      <c r="D73" s="38" t="s">
        <v>407</v>
      </c>
      <c r="E73" s="42" t="s">
        <v>408</v>
      </c>
      <c r="F73" s="39" t="s">
        <v>108</v>
      </c>
      <c r="G73" s="529">
        <f>'Previous years'!I71</f>
        <v>4570843.97</v>
      </c>
      <c r="H73" s="594" t="str">
        <f>IF(NOT(COUNTA(H74:H76)),"",SUM(H74:H76))</f>
        <v/>
      </c>
      <c r="I73" s="438" t="s">
        <v>212</v>
      </c>
      <c r="J73" s="26"/>
      <c r="K73" s="25"/>
      <c r="L73" s="25"/>
      <c r="M73" s="99"/>
      <c r="N73" s="99"/>
    </row>
    <row r="74" spans="2:14" ht="20.100000000000001" customHeight="1">
      <c r="B74" s="124" t="str">
        <f t="shared" si="3"/>
        <v>Actual capital to meet additional demand [SWF17a]</v>
      </c>
      <c r="C74" s="36" t="s">
        <v>544</v>
      </c>
      <c r="D74" s="38" t="s">
        <v>409</v>
      </c>
      <c r="E74" s="51" t="s">
        <v>484</v>
      </c>
      <c r="F74" s="39" t="s">
        <v>108</v>
      </c>
      <c r="G74" s="529">
        <f>'Previous years'!I72</f>
        <v>3537339.6872130004</v>
      </c>
      <c r="H74" s="593"/>
      <c r="I74" s="428"/>
      <c r="J74" s="11" t="s">
        <v>1942</v>
      </c>
      <c r="K74" s="10"/>
      <c r="L74" s="10"/>
      <c r="M74" s="100"/>
      <c r="N74" s="100"/>
    </row>
    <row r="75" spans="2:14" ht="20.100000000000001" customHeight="1">
      <c r="B75" s="124" t="str">
        <f t="shared" si="3"/>
        <v>Actual capital to improve the level of service [SWF17b]</v>
      </c>
      <c r="C75" s="36" t="s">
        <v>544</v>
      </c>
      <c r="D75" s="38" t="s">
        <v>410</v>
      </c>
      <c r="E75" s="55" t="s">
        <v>485</v>
      </c>
      <c r="F75" s="39" t="s">
        <v>108</v>
      </c>
      <c r="G75" s="529">
        <f>'Previous years'!I73</f>
        <v>697836.26243799995</v>
      </c>
      <c r="H75" s="597"/>
      <c r="I75" s="433"/>
      <c r="J75" s="11" t="s">
        <v>1942</v>
      </c>
      <c r="K75" s="11"/>
      <c r="L75" s="11"/>
      <c r="M75" s="249"/>
      <c r="N75" s="249"/>
    </row>
    <row r="76" spans="2:14" ht="20.100000000000001" customHeight="1">
      <c r="B76" s="124" t="str">
        <f t="shared" si="3"/>
        <v>Actual capital to replace existing assets [SWF17c]</v>
      </c>
      <c r="C76" s="36" t="s">
        <v>544</v>
      </c>
      <c r="D76" s="38" t="s">
        <v>411</v>
      </c>
      <c r="E76" s="48" t="s">
        <v>486</v>
      </c>
      <c r="F76" s="39" t="s">
        <v>108</v>
      </c>
      <c r="G76" s="529">
        <f>'Previous years'!I74</f>
        <v>335668.020349</v>
      </c>
      <c r="H76" s="597"/>
      <c r="I76" s="430"/>
      <c r="J76" s="11" t="s">
        <v>1942</v>
      </c>
      <c r="K76" s="12"/>
      <c r="L76" s="12"/>
      <c r="M76" s="99"/>
      <c r="N76" s="99"/>
    </row>
    <row r="77" spans="2:14" ht="20.100000000000001" customHeight="1" thickBot="1">
      <c r="B77" s="124" t="str">
        <f t="shared" si="3"/>
        <v>Actual Capital Expenditure per Property: Stormwater [SWF18]</v>
      </c>
      <c r="C77" s="74" t="s">
        <v>544</v>
      </c>
      <c r="D77" s="75" t="s">
        <v>412</v>
      </c>
      <c r="E77" s="76" t="s">
        <v>413</v>
      </c>
      <c r="F77" s="84" t="s">
        <v>139</v>
      </c>
      <c r="G77" s="530">
        <f>'Previous years'!I75</f>
        <v>165.13761226922938</v>
      </c>
      <c r="H77" s="599" t="str">
        <f>IFERROR(H73/H11,"")</f>
        <v/>
      </c>
      <c r="I77" s="441" t="s">
        <v>212</v>
      </c>
      <c r="J77" s="78"/>
      <c r="K77" s="77"/>
      <c r="L77" s="77"/>
      <c r="M77" s="418"/>
      <c r="N77" s="418"/>
    </row>
    <row r="78" spans="2:14" ht="20.100000000000001" customHeight="1">
      <c r="B78" s="124" t="str">
        <f t="shared" si="3"/>
        <v>Development Contributions: Stormwater assets [SWF19]</v>
      </c>
      <c r="C78" s="35" t="s">
        <v>545</v>
      </c>
      <c r="D78" s="58" t="s">
        <v>414</v>
      </c>
      <c r="E78" s="51" t="s">
        <v>550</v>
      </c>
      <c r="F78" s="40" t="s">
        <v>108</v>
      </c>
      <c r="G78" s="528">
        <f>'Previous years'!I76</f>
        <v>15366381.58</v>
      </c>
      <c r="H78" s="593"/>
      <c r="I78" s="428"/>
      <c r="J78" s="9" t="s">
        <v>1942</v>
      </c>
      <c r="K78" s="10"/>
      <c r="L78" s="10"/>
      <c r="M78" s="100"/>
      <c r="N78" s="100"/>
    </row>
    <row r="79" spans="2:14" ht="20.100000000000001" customHeight="1">
      <c r="B79" s="124" t="str">
        <f t="shared" si="3"/>
        <v>Stormwater asset value at end of reporting year [SWF20]</v>
      </c>
      <c r="C79" s="36" t="s">
        <v>545</v>
      </c>
      <c r="D79" s="38" t="s">
        <v>415</v>
      </c>
      <c r="E79" s="44" t="s">
        <v>416</v>
      </c>
      <c r="F79" s="39" t="s">
        <v>108</v>
      </c>
      <c r="G79" s="529">
        <f>'Previous years'!I77</f>
        <v>294308380</v>
      </c>
      <c r="H79" s="597"/>
      <c r="I79" s="433"/>
      <c r="J79" s="11" t="s">
        <v>1942</v>
      </c>
      <c r="K79" s="11"/>
      <c r="L79" s="11"/>
      <c r="M79" s="249"/>
      <c r="N79" s="249"/>
    </row>
    <row r="80" spans="2:14" ht="20.100000000000001" customHeight="1" thickBot="1">
      <c r="B80" s="124" t="str">
        <f t="shared" si="3"/>
        <v>Decline in Service Potential: Stormwater [SWF21]</v>
      </c>
      <c r="C80" s="74" t="s">
        <v>545</v>
      </c>
      <c r="D80" s="75" t="s">
        <v>417</v>
      </c>
      <c r="E80" s="76" t="s">
        <v>418</v>
      </c>
      <c r="F80" s="84" t="s">
        <v>444</v>
      </c>
      <c r="G80" s="84">
        <f>'Previous years'!I78</f>
        <v>7.3725429359812647E-2</v>
      </c>
      <c r="H80" s="562" t="str">
        <f>IFERROR(H76/H63,"")</f>
        <v/>
      </c>
      <c r="I80" s="441" t="s">
        <v>212</v>
      </c>
      <c r="J80" s="78"/>
      <c r="K80" s="77"/>
      <c r="L80" s="77"/>
      <c r="M80" s="418"/>
      <c r="N80" s="418"/>
    </row>
  </sheetData>
  <autoFilter ref="A5:AF80" xr:uid="{00000000-0009-0000-0000-000004000000}"/>
  <dataValidations xWindow="1092" yWindow="419" count="57">
    <dataValidation allowBlank="1" showInputMessage="1" showErrorMessage="1" prompt="Number of direct discharges from the piped network which discharge directly to open watercourses drains, rivers, coastal areas. This may also include discharge to soakage where quality/volume results in an environmental impact." sqref="H18" xr:uid="{00000000-0002-0000-0400-000000000000}"/>
    <dataValidation allowBlank="1" showInputMessage="1" showErrorMessage="1" prompt="The number of stormwater discharges (listed in SWE1a) covered by resource consents. If multiple discharges are covered by a smaller number of consents, provide details in the comments field." sqref="H19" xr:uid="{00000000-0002-0000-0400-000001000000}"/>
    <dataValidation allowBlank="1" showInputMessage="1" showErrorMessage="1" prompt="This cell is automatically calculated based on other supplied data. It can be overwritten if a more accurage value is available." sqref="H10" xr:uid="{00000000-0002-0000-0400-000002000000}"/>
    <dataValidation allowBlank="1" showInputMessage="1" showErrorMessage="1" prompt="This cell is automatically calculated based on other supplied data." sqref="H11 H42 H80 H53:H54 H61:H62 H65:H69 H73 H77 H45" xr:uid="{00000000-0002-0000-0400-000003000000}"/>
    <dataValidation allowBlank="1" showInputMessage="1" showErrorMessage="1" prompt="Stormwater serviced properties are defined as those billed for stormwater services. This includes properties that do not have an explicit stormwater charge but are billed through other means. Further detail is in the definitions guidelines." sqref="H8" xr:uid="{00000000-0002-0000-0400-000004000000}"/>
    <dataValidation allowBlank="1" showInputMessage="1" showErrorMessage="1" prompt="Stormwater serviced properties are defined as those billed for stormwater services. Non-residential is defined as any business or other property that is not identified as a residential connection. Further detail is in the definitions guidelines." sqref="H9:H10" xr:uid="{00000000-0002-0000-0400-000005000000}"/>
    <dataValidation allowBlank="1" showInputMessage="1" showErrorMessage="1" prompt="This includes all pipes, culverts and lined channels that form part of the primary stormwater reticulation network. It does not include pipes associated with  house branch connections, ditches, unlined channels, swales and streams._x000a_" sqref="H6" xr:uid="{00000000-0002-0000-0400-000006000000}"/>
    <dataValidation allowBlank="1" showInputMessage="1" showErrorMessage="1" prompt="The percentage of pipelines, above and below ground, by length, that have recieved a poor or very poor condition grade. The definitions of poor and very poor should align with the IPWEA IIMM manual. If they do not, list deviations in the comments." sqref="H13" xr:uid="{00000000-0002-0000-0400-000007000000}"/>
    <dataValidation type="list" allowBlank="1" showInputMessage="1" showErrorMessage="1" sqref="I40:I41 I43:I44 I55:I60 I63:I64 I70:I72 I74:I76 I78:I79 I46:I52 I6:I9 I12:I26 I29:I30 I34 I36:I37" xr:uid="{00000000-0002-0000-0400-000008000000}">
      <formula1>Data_confidence</formula1>
    </dataValidation>
    <dataValidation allowBlank="1" showInputMessage="1" showErrorMessage="1" prompt="The percentage of above ground assets that have recieved a poor or very poor condition grade, in alignment with the defintion in the IPWEA IIMM. If condition grades do not adhere to the definition, note deviations in the comments." sqref="H17" xr:uid="{00000000-0002-0000-0400-000009000000}"/>
    <dataValidation allowBlank="1" showInputMessage="1" showErrorMessage="1" prompt="The percentage of above ground assets that have recieved a condition grading. Provide information on the apporach used to determine the grading in the comments." sqref="H16" xr:uid="{00000000-0002-0000-0400-00000A000000}"/>
    <dataValidation allowBlank="1" showInputMessage="1" showErrorMessage="1" prompt="The number of stormwater pump stations. If not applicable to the organisation leave blank." sqref="H7" xr:uid="{00000000-0002-0000-0400-00000B000000}"/>
    <dataValidation allowBlank="1" showInputMessage="1" showErrorMessage="1" prompt="The number of abatement notices received by the organisation in relation to stormwater discharge consents." sqref="H20" xr:uid="{00000000-0002-0000-0400-00000C000000}"/>
    <dataValidation allowBlank="1" showInputMessage="1" showErrorMessage="1" prompt="The number of infringement notices received by the organisation in relation to stormwater discharge consents." sqref="H21" xr:uid="{00000000-0002-0000-0400-00000D000000}"/>
    <dataValidation allowBlank="1" showInputMessage="1" showErrorMessage="1" prompt="The number of enforcement orders received by the organisation in relation to stormwater discharge consents." sqref="H22" xr:uid="{00000000-0002-0000-0400-00000E000000}"/>
    <dataValidation allowBlank="1" showInputMessage="1" showErrorMessage="1" prompt="The number of successful prosecutions received by the organisation in relation to stormwater discharge consents." sqref="H23" xr:uid="{00000000-0002-0000-0400-00000F000000}"/>
    <dataValidation allowBlank="1" showInputMessage="1" showErrorMessage="1" prompt="Average annual targeted stormwater charge (GST included) for a urban residential property. If no stormwater charges apply, detail how customers contribute to costs in the comments field (e.g. stormwater included in roading rate or wastewater rate). " sqref="H37" xr:uid="{00000000-0002-0000-0400-000010000000}"/>
    <dataValidation type="list" allowBlank="1" showInputMessage="1" showErrorMessage="1" prompt="The manner in which the charge for stormwater services is levied. " sqref="H38" xr:uid="{00000000-0002-0000-0400-000011000000}">
      <formula1>Charge_type</formula1>
    </dataValidation>
    <dataValidation allowBlank="1" showInputMessage="1" showErrorMessage="1" prompt="Automatically calculated by summing complaints by type. The value can be overwritten if a breakdown of stormwater complaints by type is not known or other complaints are recorded. The defintion of a complaint is detailed in the definition guidelines." sqref="H39" xr:uid="{00000000-0002-0000-0400-000012000000}"/>
    <dataValidation allowBlank="1" showInputMessage="1" showErrorMessage="1" prompt="Number of flooding events that occured as a result of the capacity of the stormwater system (including primary and secondary networks) being exceeded." sqref="H43" xr:uid="{00000000-0002-0000-0400-000013000000}"/>
    <dataValidation allowBlank="1" showInputMessage="1" showErrorMessage="1" prompt="Number of habitable floors flooded as a result of the capacity of the stormwater system (including primary and secondary networks) being exceeded._x000a_" sqref="H44" xr:uid="{00000000-0002-0000-0400-000014000000}"/>
    <dataValidation allowBlank="1" showInputMessage="1" showErrorMessage="1" prompt="Median time taken for the local authority to attend call-outs in response to a flooding event, measured from the time that the territorial authority receives notification to the time that service personnel reach the site." sqref="H48" xr:uid="{00000000-0002-0000-0400-000015000000}"/>
    <dataValidation allowBlank="1" showInputMessage="1" showErrorMessage="1" prompt="The level of service targeted during primary (typically piped) stormwater network design as an annual exceedance probability (i.e. the probability of a flooding even occuring annually). Definitions guidelines contain further detail." sqref="H49" xr:uid="{00000000-0002-0000-0400-000016000000}"/>
    <dataValidation allowBlank="1" showInputMessage="1" showErrorMessage="1" prompt="The level of service targeted during secondary stormwater network design as an annual exceedance probability (i.e. the probability of a flooding even occuring annually). Definitions guidelines contain further detail." sqref="H50" xr:uid="{00000000-0002-0000-0400-000017000000}"/>
    <dataValidation allowBlank="1" showInputMessage="1" showErrorMessage="1" prompt="Operating revenue (income) for the reporting year relating to the total stormwater serviced area.  Further detail is provided in the definition guidelines." sqref="H51" xr:uid="{00000000-0002-0000-0400-000018000000}"/>
    <dataValidation allowBlank="1" showInputMessage="1" showErrorMessage="1" prompt="Developer revenue (income) for the reporting year. This includes all developer cash contributions. It excludes developer asset contributions." sqref="H52" xr:uid="{00000000-0002-0000-0400-000019000000}"/>
    <dataValidation allowBlank="1" showInputMessage="1" showErrorMessage="1" prompt="Increase in debt related to stormwater (negative value to indicate decrease in debt). Debt is considered any funding that is required to be repayed including internal loans. Funding from reserves or developer contributions is not to be included" sqref="H55" xr:uid="{00000000-0002-0000-0400-00001A000000}"/>
    <dataValidation allowBlank="1" showInputMessage="1" showErrorMessage="1" prompt="The costs (including consultant and contractor costs) associated with scheduled operation and maintenance of the stormwater network." sqref="H57" xr:uid="{00000000-0002-0000-0400-00001B000000}"/>
    <dataValidation allowBlank="1" showInputMessage="1" showErrorMessage="1" prompt="The costs (including consultant and contractor costs) associated with operation and maintenance of the stormwater network, not included as routine maintenance." sqref="H58" xr:uid="{00000000-0002-0000-0400-00001C000000}"/>
    <dataValidation allowBlank="1" showInputMessage="1" showErrorMessage="1" prompt="Organisational costs including costs related to salaries, accommodation, rate payment, IT,training, etc. " sqref="H59" xr:uid="{00000000-0002-0000-0400-00001D000000}"/>
    <dataValidation allowBlank="1" showInputMessage="1" showErrorMessage="1" prompt="Council's contract management costs where management of the network is carried out by a  Council Controlled Organisation or an external maintenance contractor.  " sqref="H60" xr:uid="{00000000-0002-0000-0400-00001E000000}"/>
    <dataValidation allowBlank="1" showInputMessage="1" showErrorMessage="1" prompt="The depreciation cost in the reporting year as reported in the latest replacement cost valuation." sqref="H63" xr:uid="{00000000-0002-0000-0400-00001F000000}"/>
    <dataValidation allowBlank="1" showInputMessage="1" showErrorMessage="1" prompt="The interest cost for the reporting year. " sqref="H64" xr:uid="{00000000-0002-0000-0400-000020000000}"/>
    <dataValidation allowBlank="1" showInputMessage="1" showErrorMessage="1" prompt="Budgeted capital expenditure related to growth in the stotmwater system including new works and subdivisions." sqref="H70" xr:uid="{00000000-0002-0000-0400-000021000000}"/>
    <dataValidation allowBlank="1" showInputMessage="1" showErrorMessage="1" prompt="Budgeted capital expenditure on existing stormwater assets that is not driven by asset condition or age." sqref="H71" xr:uid="{00000000-0002-0000-0400-000022000000}"/>
    <dataValidation allowBlank="1" showInputMessage="1" showErrorMessage="1" prompt="Budgeted capital expenditure related to renewals or replacements or other expenditure." sqref="H72" xr:uid="{00000000-0002-0000-0400-000023000000}"/>
    <dataValidation allowBlank="1" showInputMessage="1" showErrorMessage="1" prompt="Capital expenditure related to growth in the stotmwater system including new works and subdivisions." sqref="H74" xr:uid="{00000000-0002-0000-0400-000024000000}"/>
    <dataValidation allowBlank="1" showInputMessage="1" showErrorMessage="1" prompt="Capital expenditure on existing stormwater assets that is not driven by asset condition or age." sqref="H75" xr:uid="{00000000-0002-0000-0400-000025000000}"/>
    <dataValidation allowBlank="1" showInputMessage="1" showErrorMessage="1" prompt="Capital expenditure related to renewals or replacements or other expenditure on stormwater assets that would otherwise be referred to as capital." sqref="H76" xr:uid="{00000000-0002-0000-0400-000026000000}"/>
    <dataValidation allowBlank="1" showInputMessage="1" showErrorMessage="1" prompt="Value of assets vested in the council during the reporting year as part of development contributions (excludes cash payments)." sqref="H78" xr:uid="{00000000-0002-0000-0400-000027000000}"/>
    <dataValidation allowBlank="1" showInputMessage="1" showErrorMessage="1" prompt="The closing book value of stormwater assets." sqref="H79" xr:uid="{00000000-0002-0000-0400-000028000000}"/>
    <dataValidation allowBlank="1" showInputMessage="1" showErrorMessage="1" prompt="Any external grants received (not awarded) during the financial year for capital or operational costs related to the stormwater scheme." sqref="H56" xr:uid="{00000000-0002-0000-0400-000029000000}"/>
    <dataValidation allowBlank="1" showInputMessage="1" showErrorMessage="1" prompt="The number of breaches of stormwater discharge consent conditions. Include an outline of non-conformances in the comments field. Further detail in the definition guide." sqref="H24" xr:uid="{00000000-0002-0000-0400-00002A000000}"/>
    <dataValidation allowBlank="1" showInputMessage="1" showErrorMessage="1" prompt="The number of flooding events that occured as a result of events not related to stormwater capacity (e.g. tidal innundation or a river bursting flood banks)." sqref="H46" xr:uid="{00000000-0002-0000-0400-00002B000000}"/>
    <dataValidation allowBlank="1" showInputMessage="1" showErrorMessage="1" prompt="The number of habitable floors flooded as a result of events not related to stormwater capacity (e.g. tidal innundation or a river bursting flood banks)." sqref="H47" xr:uid="{00000000-0002-0000-0400-00002C000000}"/>
    <dataValidation allowBlank="1" showInputMessage="1" showErrorMessage="1" prompt="Detail on complaints definitions is included in the defintion guide." sqref="H40:H41" xr:uid="{00000000-0002-0000-0400-00002D000000}"/>
    <dataValidation allowBlank="1" showInputMessage="1" showErrorMessage="1" prompt="The number of letters of direction recieved in relation to stormwater discharge consent non-compliance." sqref="H25" xr:uid="{00000000-0002-0000-0400-00002E000000}"/>
    <dataValidation allowBlank="1" showInputMessage="1" showErrorMessage="1" prompt="The number of formal warnings recieved in relation to stormwater discharge consent non-compliance." sqref="H26" xr:uid="{00000000-0002-0000-0400-00002F000000}"/>
    <dataValidation allowBlank="1" showInputMessage="1" showErrorMessage="1" prompt="Weighted average age of all pipelines within the total stormwater serviced area." sqref="H8:H11" xr:uid="{00000000-0002-0000-0400-000030000000}"/>
    <dataValidation allowBlank="1" showInputMessage="1" showErrorMessage="1" prompt="Percentage of stormwater pipelines that have recieved a condition grading." sqref="H12" xr:uid="{00000000-0002-0000-0400-000031000000}"/>
    <dataValidation allowBlank="1" showInputMessage="1" showErrorMessage="1" prompt="Weighted average age of all stormwater pipelines within the total serviced area. " sqref="H14" xr:uid="{00000000-0002-0000-0400-000032000000}"/>
    <dataValidation allowBlank="1" showInputMessage="1" showErrorMessage="1" prompt="Percentage of the network inspected using CCTV in the last five years." sqref="H15" xr:uid="{00000000-0002-0000-0400-000033000000}"/>
    <dataValidation allowBlank="1" showInputMessage="1" showErrorMessage="1" prompt="The total electricity consumed by stormwater pumps, and treatment devices. Does not include energy use related to fleet vehicles or offices._x000a_Do not include energy used by other fuel sources such diesel, gas and biomass. " sqref="H29" xr:uid="{00000000-0002-0000-0400-000034000000}"/>
    <dataValidation allowBlank="1" showInputMessage="1" showErrorMessage="1" prompt="The total energy consumed from external sources other than electricity, by stormwater pumps and other network components. _x000a_This could include fuel provided by biomass, diesel, or gas. _x000a_Do not include energy use related to fleet vehicles or offices." sqref="H30" xr:uid="{00000000-0002-0000-0400-000035000000}"/>
    <dataValidation allowBlank="1" showInputMessage="1" showErrorMessage="1" prompt="Any external grants received (not awarded) during the financial year " sqref="H56" xr:uid="{00000000-0002-0000-0400-000036000000}"/>
    <dataValidation allowBlank="1" showInputMessage="1" showErrorMessage="1" prompt="List the litres of storage required for every m2 of impervious surface. If alternate units are in place list these in the comments field." sqref="H34" xr:uid="{00000000-0002-0000-0400-000037000000}"/>
    <dataValidation allowBlank="1" showInputMessage="1" showErrorMessage="1" prompt="A yes/no response indicating if an emissions baseline has been developed, to forecast greenhouse gas emissions from operational or capital works. Provide details in the comments field." sqref="H36" xr:uid="{00000000-0002-0000-0400-000038000000}"/>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1092" yWindow="419" count="6">
        <x14:dataValidation type="list" allowBlank="1" showInputMessage="1" showErrorMessage="1" prompt="Is stormwater quality regularly monitored. If so, include details in the comments field." xr:uid="{00000000-0002-0000-0400-000039000000}">
          <x14:formula1>
            <xm:f>'Data lists'!$C$1:$C$2</xm:f>
          </x14:formula1>
          <xm:sqref>H27</xm:sqref>
        </x14:dataValidation>
        <x14:dataValidation type="list" allowBlank="1" showInputMessage="1" showErrorMessage="1" prompt="Is there a plan (or similar document) implemented to manage stormwater quality. If so, include details in the comments field." xr:uid="{00000000-0002-0000-0400-00003A000000}">
          <x14:formula1>
            <xm:f>'Data lists'!$C$1:$C$2</xm:f>
          </x14:formula1>
          <xm:sqref>H28</xm:sqref>
        </x14:dataValidation>
        <x14:dataValidation type="list" allowBlank="1" showInputMessage="1" showErrorMessage="1" prompt="A yes/no response indiciating if a climate change risk assessment has been undertaken. If yes, include top three risks in the comments field." xr:uid="{00000000-0002-0000-0400-00003B000000}">
          <x14:formula1>
            <xm:f>'Data lists'!$C$1:$C$2</xm:f>
          </x14:formula1>
          <xm:sqref>H31</xm:sqref>
        </x14:dataValidation>
        <x14:dataValidation type="list" allowBlank="1" showInputMessage="1" showErrorMessage="1" prompt="A yes/no response indicating if the organisation has in place a plan to respond to risks identified in SWE6." xr:uid="{00000000-0002-0000-0400-00003C000000}">
          <x14:formula1>
            <xm:f>'Data lists'!$C$1:$C$2</xm:f>
          </x14:formula1>
          <xm:sqref>H32</xm:sqref>
        </x14:dataValidation>
        <x14:dataValidation type="list" allowBlank="1" showInputMessage="1" showErrorMessage="1" prompt="A yes/no response indicating if an emissions baseline has been developed, to forecast greenhouse gas emissions from operational or capital works. Provide details in the comments field." xr:uid="{00000000-0002-0000-0400-00003D000000}">
          <x14:formula1>
            <xm:f>'Data lists'!$C$1:$C$2</xm:f>
          </x14:formula1>
          <xm:sqref>H33</xm:sqref>
        </x14:dataValidation>
        <x14:dataValidation type="list" allowBlank="1" showInputMessage="1" showErrorMessage="1" prompt="Select, which of four commonly future scenarios have been considered in the design of the stormwater network. If other apporaches are used describe these in the comments. Leave blank if climate change has not been factored into design." xr:uid="{00000000-0002-0000-0400-00003E000000}">
          <x14:formula1>
            <xm:f>'Data lists'!$Q$2:$Q$6</xm:f>
          </x14:formula1>
          <xm:sqref>H35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Q9"/>
  <sheetViews>
    <sheetView topLeftCell="E1" workbookViewId="0">
      <selection activeCell="Q6" sqref="Q6"/>
    </sheetView>
  </sheetViews>
  <sheetFormatPr defaultRowHeight="15"/>
  <cols>
    <col min="1" max="1" width="22.28515625" bestFit="1" customWidth="1"/>
    <col min="2" max="2" width="58.7109375" bestFit="1" customWidth="1"/>
    <col min="3" max="3" width="4" bestFit="1" customWidth="1"/>
    <col min="4" max="4" width="59.5703125" bestFit="1" customWidth="1"/>
    <col min="5" max="5" width="37.42578125" bestFit="1" customWidth="1"/>
    <col min="8" max="8" width="47.28515625" bestFit="1" customWidth="1"/>
    <col min="10" max="10" width="60.140625" bestFit="1" customWidth="1"/>
  </cols>
  <sheetData>
    <row r="1" spans="1:17" s="19" customFormat="1">
      <c r="A1" s="19" t="s">
        <v>213</v>
      </c>
      <c r="B1" s="19" t="s">
        <v>848</v>
      </c>
      <c r="C1" s="19" t="s">
        <v>856</v>
      </c>
      <c r="D1" s="19" t="s">
        <v>859</v>
      </c>
      <c r="E1" s="19" t="s">
        <v>865</v>
      </c>
      <c r="F1" s="19" t="s">
        <v>870</v>
      </c>
      <c r="G1" s="19" t="s">
        <v>883</v>
      </c>
      <c r="H1" s="19" t="s">
        <v>884</v>
      </c>
      <c r="I1" s="19" t="s">
        <v>926</v>
      </c>
      <c r="J1" s="19" t="s">
        <v>927</v>
      </c>
      <c r="K1" s="19" t="s">
        <v>856</v>
      </c>
      <c r="L1" s="19" t="s">
        <v>1097</v>
      </c>
      <c r="M1" s="19" t="s">
        <v>1100</v>
      </c>
      <c r="N1" s="115" t="s">
        <v>1131</v>
      </c>
      <c r="O1" t="s">
        <v>1382</v>
      </c>
      <c r="P1" t="s">
        <v>1443</v>
      </c>
      <c r="Q1" s="19" t="s">
        <v>1460</v>
      </c>
    </row>
    <row r="2" spans="1:17">
      <c r="A2" t="s">
        <v>894</v>
      </c>
      <c r="B2" t="s">
        <v>853</v>
      </c>
      <c r="C2" t="s">
        <v>559</v>
      </c>
      <c r="D2" t="s">
        <v>853</v>
      </c>
      <c r="E2" t="s">
        <v>862</v>
      </c>
      <c r="F2" s="19" t="s">
        <v>562</v>
      </c>
      <c r="G2" s="19" t="s">
        <v>563</v>
      </c>
      <c r="H2" t="s">
        <v>559</v>
      </c>
      <c r="I2" s="19" t="s">
        <v>921</v>
      </c>
      <c r="J2" s="115" t="s">
        <v>928</v>
      </c>
      <c r="K2" t="s">
        <v>559</v>
      </c>
      <c r="L2" t="s">
        <v>1098</v>
      </c>
      <c r="M2" t="s">
        <v>1101</v>
      </c>
      <c r="N2" s="115" t="s">
        <v>1134</v>
      </c>
      <c r="O2" s="115" t="s">
        <v>1381</v>
      </c>
      <c r="P2" t="s">
        <v>1442</v>
      </c>
      <c r="Q2">
        <v>2.6</v>
      </c>
    </row>
    <row r="3" spans="1:17">
      <c r="A3" t="s">
        <v>895</v>
      </c>
      <c r="B3" t="s">
        <v>854</v>
      </c>
      <c r="D3" t="s">
        <v>854</v>
      </c>
      <c r="E3" t="s">
        <v>863</v>
      </c>
      <c r="F3" t="s">
        <v>867</v>
      </c>
      <c r="G3" t="s">
        <v>881</v>
      </c>
      <c r="I3" t="s">
        <v>922</v>
      </c>
      <c r="J3" s="115" t="s">
        <v>929</v>
      </c>
      <c r="L3" t="s">
        <v>1099</v>
      </c>
      <c r="M3" t="s">
        <v>1103</v>
      </c>
      <c r="N3" s="115" t="s">
        <v>1135</v>
      </c>
      <c r="O3" s="115" t="s">
        <v>1383</v>
      </c>
      <c r="P3" t="s">
        <v>1441</v>
      </c>
      <c r="Q3">
        <v>4.5</v>
      </c>
    </row>
    <row r="4" spans="1:17">
      <c r="A4" t="s">
        <v>843</v>
      </c>
      <c r="B4" t="s">
        <v>849</v>
      </c>
      <c r="D4" s="19" t="s">
        <v>849</v>
      </c>
      <c r="E4" t="s">
        <v>560</v>
      </c>
      <c r="F4" t="s">
        <v>868</v>
      </c>
      <c r="G4" t="s">
        <v>882</v>
      </c>
      <c r="I4" t="s">
        <v>923</v>
      </c>
      <c r="M4" t="s">
        <v>1104</v>
      </c>
      <c r="N4" s="115" t="s">
        <v>1132</v>
      </c>
      <c r="O4" s="115" t="s">
        <v>1384</v>
      </c>
      <c r="P4" t="s">
        <v>1440</v>
      </c>
      <c r="Q4">
        <v>6</v>
      </c>
    </row>
    <row r="5" spans="1:17">
      <c r="A5" t="s">
        <v>844</v>
      </c>
      <c r="B5" t="s">
        <v>561</v>
      </c>
      <c r="D5" t="s">
        <v>850</v>
      </c>
      <c r="E5" t="s">
        <v>864</v>
      </c>
      <c r="F5" t="s">
        <v>869</v>
      </c>
      <c r="G5" t="s">
        <v>864</v>
      </c>
      <c r="I5" t="s">
        <v>925</v>
      </c>
      <c r="N5" s="115" t="s">
        <v>1133</v>
      </c>
      <c r="O5" s="115" t="s">
        <v>864</v>
      </c>
      <c r="P5" t="s">
        <v>1439</v>
      </c>
      <c r="Q5">
        <v>8.5</v>
      </c>
    </row>
    <row r="6" spans="1:17">
      <c r="A6" t="s">
        <v>845</v>
      </c>
      <c r="B6" t="s">
        <v>850</v>
      </c>
      <c r="D6" t="s">
        <v>857</v>
      </c>
      <c r="I6" t="s">
        <v>924</v>
      </c>
      <c r="N6" s="115"/>
      <c r="P6" s="115" t="s">
        <v>864</v>
      </c>
      <c r="Q6" t="s">
        <v>1607</v>
      </c>
    </row>
    <row r="7" spans="1:17">
      <c r="B7" t="s">
        <v>851</v>
      </c>
      <c r="D7" t="s">
        <v>858</v>
      </c>
      <c r="I7" t="s">
        <v>1065</v>
      </c>
    </row>
    <row r="8" spans="1:17">
      <c r="B8" t="s">
        <v>852</v>
      </c>
      <c r="D8" t="s">
        <v>855</v>
      </c>
    </row>
    <row r="9" spans="1:17">
      <c r="B9" t="s">
        <v>855</v>
      </c>
    </row>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441"/>
  <sheetViews>
    <sheetView zoomScale="85" zoomScaleNormal="85" workbookViewId="0">
      <selection activeCell="Q6" sqref="Q6"/>
    </sheetView>
  </sheetViews>
  <sheetFormatPr defaultRowHeight="15"/>
  <cols>
    <col min="1" max="1" width="18.85546875" style="56" customWidth="1"/>
    <col min="2" max="3" width="27.140625" style="115" customWidth="1"/>
    <col min="4" max="4" width="24.140625" style="56" customWidth="1"/>
    <col min="5" max="5" width="15.42578125" style="56" customWidth="1"/>
    <col min="6" max="6" width="29.7109375" style="56" customWidth="1"/>
    <col min="7" max="7" width="29.140625" style="56" customWidth="1"/>
    <col min="8" max="8" width="24.85546875" style="56" customWidth="1"/>
    <col min="9" max="9" width="21.42578125" style="112" customWidth="1"/>
    <col min="10" max="11" width="25.140625" style="110" customWidth="1"/>
  </cols>
  <sheetData>
    <row r="1" spans="1:11" s="115" customFormat="1">
      <c r="A1" s="115" t="s">
        <v>1611</v>
      </c>
    </row>
    <row r="2" spans="1:11">
      <c r="A2" s="103" t="s">
        <v>841</v>
      </c>
      <c r="D2" s="104" t="s">
        <v>842</v>
      </c>
      <c r="E2" s="105"/>
      <c r="F2" s="106" t="s">
        <v>186</v>
      </c>
      <c r="G2" s="107"/>
      <c r="H2" s="109" t="s">
        <v>187</v>
      </c>
      <c r="I2" s="115"/>
      <c r="J2" s="110" t="s">
        <v>836</v>
      </c>
    </row>
    <row r="3" spans="1:11">
      <c r="A3" s="103"/>
      <c r="D3" s="104" t="s">
        <v>1</v>
      </c>
      <c r="E3" s="105"/>
      <c r="F3" s="106" t="s">
        <v>1</v>
      </c>
      <c r="G3" s="107"/>
      <c r="H3" s="109" t="s">
        <v>1</v>
      </c>
      <c r="I3" s="115"/>
      <c r="J3" s="110" t="s">
        <v>837</v>
      </c>
    </row>
    <row r="4" spans="1:11">
      <c r="A4" s="115" t="s">
        <v>1612</v>
      </c>
      <c r="B4" s="115">
        <v>9375.1977179000005</v>
      </c>
      <c r="C4" s="115">
        <v>9375.1977179000005</v>
      </c>
      <c r="D4" s="115" t="s">
        <v>1613</v>
      </c>
      <c r="E4" s="115" t="s">
        <v>1614</v>
      </c>
      <c r="F4" s="115" t="s">
        <v>1615</v>
      </c>
      <c r="G4" s="115">
        <v>68</v>
      </c>
      <c r="H4" s="115" t="s">
        <v>1616</v>
      </c>
      <c r="I4" s="115">
        <v>420.86</v>
      </c>
      <c r="J4" s="110" t="s">
        <v>838</v>
      </c>
    </row>
    <row r="5" spans="1:11">
      <c r="A5" s="115" t="s">
        <v>1617</v>
      </c>
      <c r="B5" s="115">
        <v>47400</v>
      </c>
      <c r="C5" s="115">
        <v>48300</v>
      </c>
      <c r="D5" s="115" t="s">
        <v>1618</v>
      </c>
      <c r="E5" s="115">
        <v>12</v>
      </c>
      <c r="F5" s="115" t="s">
        <v>1619</v>
      </c>
      <c r="G5" s="115">
        <v>613.904</v>
      </c>
      <c r="H5" s="115" t="s">
        <v>1620</v>
      </c>
      <c r="I5" s="115">
        <v>0</v>
      </c>
      <c r="J5" s="110" t="s">
        <v>839</v>
      </c>
    </row>
    <row r="6" spans="1:11">
      <c r="A6" s="115" t="s">
        <v>1621</v>
      </c>
      <c r="B6" s="115">
        <v>28124</v>
      </c>
      <c r="D6" s="115" t="s">
        <v>1622</v>
      </c>
      <c r="E6" s="115">
        <v>47</v>
      </c>
      <c r="F6" s="115" t="s">
        <v>1623</v>
      </c>
      <c r="G6" s="115">
        <v>0</v>
      </c>
      <c r="H6" s="115" t="s">
        <v>1624</v>
      </c>
      <c r="I6" s="115">
        <v>25552</v>
      </c>
      <c r="J6" s="110" t="s">
        <v>840</v>
      </c>
    </row>
    <row r="7" spans="1:11">
      <c r="A7" s="115" t="s">
        <v>1625</v>
      </c>
      <c r="B7" s="115">
        <v>2939</v>
      </c>
      <c r="D7" s="115" t="s">
        <v>1626</v>
      </c>
      <c r="E7" s="115">
        <v>33</v>
      </c>
      <c r="F7" s="115" t="s">
        <v>1627</v>
      </c>
      <c r="G7" s="115">
        <v>6</v>
      </c>
      <c r="H7" s="115" t="s">
        <v>1628</v>
      </c>
      <c r="I7" s="115">
        <v>2127</v>
      </c>
    </row>
    <row r="8" spans="1:11">
      <c r="A8" s="115" t="s">
        <v>1629</v>
      </c>
      <c r="B8" s="115">
        <v>31063</v>
      </c>
      <c r="D8" s="115" t="s">
        <v>1630</v>
      </c>
      <c r="E8" s="115">
        <v>701.33799999999997</v>
      </c>
      <c r="F8" s="115" t="s">
        <v>1631</v>
      </c>
      <c r="G8" s="115" t="s">
        <v>1614</v>
      </c>
      <c r="H8" s="115" t="s">
        <v>1632</v>
      </c>
      <c r="I8" s="115">
        <v>43065.168539325838</v>
      </c>
    </row>
    <row r="9" spans="1:11">
      <c r="A9" s="115" t="s">
        <v>1633</v>
      </c>
      <c r="B9" s="115">
        <v>1.6853932584269662</v>
      </c>
      <c r="D9" s="115" t="s">
        <v>1634</v>
      </c>
      <c r="E9" s="115" t="s">
        <v>1614</v>
      </c>
      <c r="F9" s="115" t="s">
        <v>1635</v>
      </c>
      <c r="G9" s="115">
        <v>4726397</v>
      </c>
      <c r="H9" s="115" t="s">
        <v>1636</v>
      </c>
      <c r="I9" s="115">
        <v>27679</v>
      </c>
    </row>
    <row r="10" spans="1:11">
      <c r="A10" s="115" t="s">
        <v>1637</v>
      </c>
      <c r="B10" s="115">
        <v>19.5</v>
      </c>
      <c r="D10" s="115" t="s">
        <v>1638</v>
      </c>
      <c r="E10" s="115" t="s">
        <v>1614</v>
      </c>
      <c r="F10" s="115" t="s">
        <v>1639</v>
      </c>
      <c r="G10" s="115" t="s">
        <v>1614</v>
      </c>
      <c r="H10" s="115" t="s">
        <v>1640</v>
      </c>
      <c r="I10" s="115" t="s">
        <v>1614</v>
      </c>
      <c r="J10" s="110" t="s">
        <v>205</v>
      </c>
      <c r="K10" s="110" t="s">
        <v>342</v>
      </c>
    </row>
    <row r="11" spans="1:11">
      <c r="A11" s="115" t="s">
        <v>1641</v>
      </c>
      <c r="B11" s="115">
        <v>2</v>
      </c>
      <c r="D11" s="115" t="s">
        <v>1642</v>
      </c>
      <c r="E11" s="115" t="s">
        <v>1614</v>
      </c>
      <c r="F11" s="115" t="s">
        <v>1643</v>
      </c>
      <c r="G11" s="115">
        <v>0</v>
      </c>
      <c r="H11" s="115" t="s">
        <v>1644</v>
      </c>
      <c r="I11" s="115" t="s">
        <v>1614</v>
      </c>
      <c r="K11" s="110" t="s">
        <v>1498</v>
      </c>
    </row>
    <row r="12" spans="1:11">
      <c r="A12" s="115" t="s">
        <v>1645</v>
      </c>
      <c r="B12" s="115">
        <v>37</v>
      </c>
      <c r="D12" s="115" t="s">
        <v>1646</v>
      </c>
      <c r="E12" s="115">
        <v>25582</v>
      </c>
      <c r="F12" s="115" t="s">
        <v>1647</v>
      </c>
      <c r="G12" s="115">
        <v>0</v>
      </c>
      <c r="H12" s="115" t="s">
        <v>1648</v>
      </c>
      <c r="I12" s="115">
        <v>23.43</v>
      </c>
      <c r="K12" s="110" t="s">
        <v>343</v>
      </c>
    </row>
    <row r="13" spans="1:11">
      <c r="A13" s="115" t="s">
        <v>1649</v>
      </c>
      <c r="B13" s="115" t="s">
        <v>1614</v>
      </c>
      <c r="D13" s="115" t="s">
        <v>1650</v>
      </c>
      <c r="E13" s="115">
        <v>2251</v>
      </c>
      <c r="F13" s="115" t="s">
        <v>1651</v>
      </c>
      <c r="G13" s="115" t="s">
        <v>1614</v>
      </c>
      <c r="H13" s="115" t="s">
        <v>1652</v>
      </c>
      <c r="I13" s="115" t="s">
        <v>1614</v>
      </c>
      <c r="K13" s="110" t="s">
        <v>346</v>
      </c>
    </row>
    <row r="14" spans="1:11">
      <c r="A14" s="115" t="s">
        <v>1653</v>
      </c>
      <c r="B14" s="115" t="s">
        <v>1614</v>
      </c>
      <c r="D14" s="115" t="s">
        <v>1654</v>
      </c>
      <c r="E14" s="115">
        <v>43115.730337078647</v>
      </c>
      <c r="F14" s="115" t="s">
        <v>1655</v>
      </c>
      <c r="G14" s="115" t="s">
        <v>1614</v>
      </c>
      <c r="H14" s="115" t="s">
        <v>1656</v>
      </c>
      <c r="I14" s="115" t="s">
        <v>1614</v>
      </c>
      <c r="K14" s="110" t="s">
        <v>345</v>
      </c>
    </row>
    <row r="15" spans="1:11">
      <c r="A15" s="115" t="s">
        <v>1657</v>
      </c>
      <c r="B15" s="115" t="s">
        <v>1614</v>
      </c>
      <c r="D15" s="115" t="s">
        <v>1658</v>
      </c>
      <c r="E15" s="115">
        <v>0.90961456407338925</v>
      </c>
      <c r="F15" s="115" t="s">
        <v>1659</v>
      </c>
      <c r="G15" s="115" t="s">
        <v>1614</v>
      </c>
      <c r="H15" s="115" t="s">
        <v>1660</v>
      </c>
      <c r="I15" s="115" t="s">
        <v>1614</v>
      </c>
      <c r="K15" s="110" t="s">
        <v>1540</v>
      </c>
    </row>
    <row r="16" spans="1:11">
      <c r="A16" s="115" t="s">
        <v>1661</v>
      </c>
      <c r="B16" s="115" t="s">
        <v>1614</v>
      </c>
      <c r="D16" s="115" t="s">
        <v>1662</v>
      </c>
      <c r="E16" s="115">
        <v>27833</v>
      </c>
      <c r="F16" s="115" t="s">
        <v>1663</v>
      </c>
      <c r="G16" s="115" t="s">
        <v>1104</v>
      </c>
      <c r="H16" s="115" t="s">
        <v>1664</v>
      </c>
      <c r="I16" s="115">
        <v>510</v>
      </c>
    </row>
    <row r="17" spans="1:9">
      <c r="A17" s="115" t="s">
        <v>1665</v>
      </c>
      <c r="B17" s="115" t="s">
        <v>1614</v>
      </c>
      <c r="D17" s="115" t="s">
        <v>1666</v>
      </c>
      <c r="E17" s="115">
        <v>12251029</v>
      </c>
      <c r="F17" s="115" t="s">
        <v>1667</v>
      </c>
      <c r="G17" s="115">
        <v>3798</v>
      </c>
      <c r="H17" s="115" t="s">
        <v>1668</v>
      </c>
      <c r="I17" s="115">
        <v>0</v>
      </c>
    </row>
    <row r="18" spans="1:9">
      <c r="A18" s="115" t="s">
        <v>1669</v>
      </c>
      <c r="B18" s="115" t="s">
        <v>1614</v>
      </c>
      <c r="D18" s="115" t="s">
        <v>1670</v>
      </c>
      <c r="E18" s="115">
        <v>2450205.8000000003</v>
      </c>
      <c r="F18" s="115" t="s">
        <v>1671</v>
      </c>
      <c r="G18" s="115" t="s">
        <v>1614</v>
      </c>
      <c r="H18" s="115" t="s">
        <v>1672</v>
      </c>
      <c r="I18" s="115">
        <v>0</v>
      </c>
    </row>
    <row r="19" spans="1:9">
      <c r="A19" s="115" t="s">
        <v>1673</v>
      </c>
      <c r="B19" s="115" t="s">
        <v>1614</v>
      </c>
      <c r="D19" s="115" t="s">
        <v>1674</v>
      </c>
      <c r="E19" s="115">
        <v>0</v>
      </c>
      <c r="F19" s="115" t="s">
        <v>1675</v>
      </c>
      <c r="G19" s="115">
        <v>0</v>
      </c>
      <c r="H19" s="115" t="s">
        <v>1676</v>
      </c>
      <c r="I19" s="115">
        <v>0</v>
      </c>
    </row>
    <row r="20" spans="1:9">
      <c r="A20" s="115" t="s">
        <v>1677</v>
      </c>
      <c r="B20" s="115" t="s">
        <v>1614</v>
      </c>
      <c r="D20" s="115" t="s">
        <v>1678</v>
      </c>
      <c r="E20" s="115">
        <v>0</v>
      </c>
      <c r="F20" s="115" t="s">
        <v>1679</v>
      </c>
      <c r="G20" s="115">
        <v>1</v>
      </c>
      <c r="H20" s="115" t="s">
        <v>1680</v>
      </c>
      <c r="I20" s="115">
        <v>0</v>
      </c>
    </row>
    <row r="21" spans="1:9">
      <c r="A21" s="115" t="s">
        <v>1681</v>
      </c>
      <c r="B21" s="115" t="s">
        <v>1614</v>
      </c>
      <c r="D21" s="115" t="s">
        <v>1682</v>
      </c>
      <c r="E21" s="115" t="s">
        <v>1614</v>
      </c>
      <c r="F21" s="115" t="s">
        <v>1683</v>
      </c>
      <c r="G21" s="115">
        <v>0</v>
      </c>
      <c r="H21" s="115" t="s">
        <v>1684</v>
      </c>
      <c r="I21" s="115">
        <v>0</v>
      </c>
    </row>
    <row r="22" spans="1:9">
      <c r="A22" s="115" t="s">
        <v>1685</v>
      </c>
      <c r="B22" s="115">
        <v>0.3</v>
      </c>
      <c r="D22" s="115" t="s">
        <v>1686</v>
      </c>
      <c r="E22" s="115" t="s">
        <v>1614</v>
      </c>
      <c r="F22" s="115" t="s">
        <v>1687</v>
      </c>
      <c r="G22" s="115">
        <v>0</v>
      </c>
      <c r="H22" s="115" t="s">
        <v>1688</v>
      </c>
      <c r="I22" s="115">
        <v>0</v>
      </c>
    </row>
    <row r="23" spans="1:9">
      <c r="A23" s="115" t="s">
        <v>1689</v>
      </c>
      <c r="B23" s="115">
        <v>0.7</v>
      </c>
      <c r="D23" s="115" t="s">
        <v>1690</v>
      </c>
      <c r="E23" s="115" t="s">
        <v>1614</v>
      </c>
      <c r="F23" s="115" t="s">
        <v>1691</v>
      </c>
      <c r="G23" s="115" t="s">
        <v>1614</v>
      </c>
      <c r="H23" s="115" t="s">
        <v>1692</v>
      </c>
      <c r="I23" s="115">
        <v>0</v>
      </c>
    </row>
    <row r="24" spans="1:9">
      <c r="A24" s="115" t="s">
        <v>1693</v>
      </c>
      <c r="B24" s="115">
        <v>0.45</v>
      </c>
      <c r="D24" s="115" t="s">
        <v>1694</v>
      </c>
      <c r="E24" s="115" t="s">
        <v>1614</v>
      </c>
      <c r="F24" s="115" t="s">
        <v>1695</v>
      </c>
      <c r="G24" s="115">
        <v>2.1074990018824065</v>
      </c>
      <c r="H24" s="115" t="s">
        <v>1696</v>
      </c>
      <c r="I24" s="115">
        <v>0</v>
      </c>
    </row>
    <row r="25" spans="1:9">
      <c r="A25" s="115" t="s">
        <v>1697</v>
      </c>
      <c r="B25" s="115">
        <v>1</v>
      </c>
      <c r="D25" s="115" t="s">
        <v>1698</v>
      </c>
      <c r="E25" s="115">
        <v>0.43666666666666665</v>
      </c>
      <c r="F25" s="115" t="s">
        <v>1699</v>
      </c>
      <c r="G25" s="115">
        <v>5005</v>
      </c>
      <c r="H25" s="115" t="s">
        <v>1700</v>
      </c>
      <c r="I25" s="115" t="s">
        <v>559</v>
      </c>
    </row>
    <row r="26" spans="1:9">
      <c r="D26" s="115" t="s">
        <v>1701</v>
      </c>
      <c r="E26" s="115">
        <v>6.7666666666666666</v>
      </c>
      <c r="F26" s="115" t="s">
        <v>1702</v>
      </c>
      <c r="G26" s="115">
        <v>0</v>
      </c>
      <c r="H26" s="115" t="s">
        <v>1703</v>
      </c>
      <c r="I26" s="115" t="s">
        <v>559</v>
      </c>
    </row>
    <row r="27" spans="1:9">
      <c r="D27" s="115" t="s">
        <v>1704</v>
      </c>
      <c r="E27" s="115">
        <v>10.783333333333333</v>
      </c>
      <c r="F27" s="115" t="s">
        <v>1705</v>
      </c>
      <c r="G27" s="115">
        <v>0</v>
      </c>
      <c r="H27" s="115" t="s">
        <v>1706</v>
      </c>
      <c r="I27" s="115">
        <v>0</v>
      </c>
    </row>
    <row r="28" spans="1:9">
      <c r="D28" s="115" t="s">
        <v>1707</v>
      </c>
      <c r="E28" s="115">
        <v>42.85</v>
      </c>
      <c r="F28" s="115" t="s">
        <v>1708</v>
      </c>
      <c r="G28" s="115">
        <v>0</v>
      </c>
      <c r="H28" s="115" t="s">
        <v>1709</v>
      </c>
      <c r="I28" s="115" t="s">
        <v>1614</v>
      </c>
    </row>
    <row r="29" spans="1:9">
      <c r="A29" s="56">
        <v>20</v>
      </c>
      <c r="D29" s="115" t="s">
        <v>1710</v>
      </c>
      <c r="E29" s="115">
        <v>47</v>
      </c>
      <c r="F29" s="115" t="s">
        <v>1711</v>
      </c>
      <c r="G29" s="115">
        <v>0</v>
      </c>
      <c r="H29" s="115" t="s">
        <v>1712</v>
      </c>
      <c r="I29" s="115" t="s">
        <v>1614</v>
      </c>
    </row>
    <row r="30" spans="1:9">
      <c r="A30" s="56">
        <v>50</v>
      </c>
      <c r="D30" s="115" t="s">
        <v>1713</v>
      </c>
      <c r="E30" s="115">
        <v>50</v>
      </c>
      <c r="F30" s="115" t="s">
        <v>1714</v>
      </c>
      <c r="G30" s="115">
        <v>24231</v>
      </c>
      <c r="H30" s="115" t="s">
        <v>1715</v>
      </c>
      <c r="I30" s="115" t="s">
        <v>1614</v>
      </c>
    </row>
    <row r="31" spans="1:9">
      <c r="D31" s="115" t="s">
        <v>1716</v>
      </c>
      <c r="E31" s="115">
        <v>133</v>
      </c>
      <c r="F31" s="115" t="s">
        <v>1717</v>
      </c>
      <c r="G31" s="115">
        <v>2939</v>
      </c>
      <c r="H31" s="115" t="s">
        <v>1718</v>
      </c>
      <c r="I31" s="115" t="s">
        <v>1614</v>
      </c>
    </row>
    <row r="32" spans="1:9">
      <c r="D32" s="115" t="s">
        <v>1719</v>
      </c>
      <c r="E32" s="115">
        <v>4.7785003413214531</v>
      </c>
      <c r="F32" s="115" t="s">
        <v>1720</v>
      </c>
      <c r="G32" s="115">
        <v>40838.764044943819</v>
      </c>
      <c r="H32" s="115" t="s">
        <v>1721</v>
      </c>
      <c r="I32" s="115" t="s">
        <v>1614</v>
      </c>
    </row>
    <row r="33" spans="4:9">
      <c r="D33" s="115" t="s">
        <v>1722</v>
      </c>
      <c r="E33" s="115"/>
      <c r="F33" s="115" t="s">
        <v>1723</v>
      </c>
      <c r="G33" s="115">
        <v>0.86157730052624093</v>
      </c>
      <c r="H33" s="115" t="s">
        <v>1724</v>
      </c>
      <c r="I33" s="115" t="s">
        <v>1614</v>
      </c>
    </row>
    <row r="34" spans="4:9">
      <c r="D34" s="115" t="s">
        <v>1725</v>
      </c>
      <c r="E34" s="115"/>
      <c r="F34" s="115" t="s">
        <v>1726</v>
      </c>
      <c r="G34" s="115">
        <v>27170</v>
      </c>
      <c r="H34" s="115" t="s">
        <v>1727</v>
      </c>
      <c r="I34" s="115" t="s">
        <v>1614</v>
      </c>
    </row>
    <row r="35" spans="4:9">
      <c r="D35" s="115" t="s">
        <v>1728</v>
      </c>
      <c r="E35" s="115">
        <v>19.3</v>
      </c>
      <c r="F35" s="115" t="s">
        <v>1729</v>
      </c>
      <c r="G35" s="115">
        <v>0.28333333333333333</v>
      </c>
      <c r="H35" s="115" t="s">
        <v>1730</v>
      </c>
      <c r="I35" s="115">
        <v>138.63168914572606</v>
      </c>
    </row>
    <row r="36" spans="4:9">
      <c r="D36" s="115" t="s">
        <v>1731</v>
      </c>
      <c r="E36" s="115"/>
      <c r="F36" s="115" t="s">
        <v>1732</v>
      </c>
      <c r="G36" s="115">
        <v>2.2000000000000002</v>
      </c>
      <c r="H36" s="115" t="s">
        <v>1733</v>
      </c>
      <c r="I36" s="115" t="s">
        <v>560</v>
      </c>
    </row>
    <row r="37" spans="4:9">
      <c r="D37" s="115" t="s">
        <v>1734</v>
      </c>
      <c r="E37" s="115" t="s">
        <v>1614</v>
      </c>
      <c r="F37" s="115" t="s">
        <v>1735</v>
      </c>
      <c r="G37" s="115">
        <v>0</v>
      </c>
      <c r="H37" s="115" t="s">
        <v>1736</v>
      </c>
      <c r="I37" s="115">
        <v>178</v>
      </c>
    </row>
    <row r="38" spans="4:9">
      <c r="D38" s="115" t="s">
        <v>1737</v>
      </c>
      <c r="E38" s="115">
        <v>60</v>
      </c>
      <c r="F38" s="115" t="s">
        <v>1738</v>
      </c>
      <c r="G38" s="115">
        <v>0</v>
      </c>
      <c r="H38" s="115" t="s">
        <v>1739</v>
      </c>
      <c r="I38" s="115">
        <v>178</v>
      </c>
    </row>
    <row r="39" spans="4:9">
      <c r="D39" s="115" t="s">
        <v>1740</v>
      </c>
      <c r="E39" s="115" t="s">
        <v>1614</v>
      </c>
      <c r="F39" s="115" t="s">
        <v>1741</v>
      </c>
      <c r="G39" s="115">
        <v>0</v>
      </c>
      <c r="H39" s="115" t="s">
        <v>1742</v>
      </c>
      <c r="I39" s="115" t="s">
        <v>1614</v>
      </c>
    </row>
    <row r="40" spans="4:9">
      <c r="D40" s="115" t="s">
        <v>1743</v>
      </c>
      <c r="E40" s="115">
        <v>0</v>
      </c>
      <c r="F40" s="115" t="s">
        <v>1744</v>
      </c>
      <c r="G40" s="115" t="s">
        <v>1614</v>
      </c>
      <c r="H40" s="115" t="s">
        <v>1745</v>
      </c>
      <c r="I40" s="115">
        <v>6.430868167202572</v>
      </c>
    </row>
    <row r="41" spans="4:9">
      <c r="D41" s="115" t="s">
        <v>1746</v>
      </c>
      <c r="E41" s="115" t="s">
        <v>1614</v>
      </c>
      <c r="F41" s="115" t="s">
        <v>1747</v>
      </c>
      <c r="G41" s="115" t="s">
        <v>1614</v>
      </c>
      <c r="H41" s="115" t="s">
        <v>1748</v>
      </c>
      <c r="I41" s="115">
        <v>0</v>
      </c>
    </row>
    <row r="42" spans="4:9">
      <c r="D42" s="115" t="s">
        <v>1749</v>
      </c>
      <c r="E42" s="115" t="s">
        <v>1614</v>
      </c>
      <c r="F42" s="115" t="s">
        <v>1750</v>
      </c>
      <c r="G42" s="115">
        <v>21.1</v>
      </c>
      <c r="H42" s="115" t="s">
        <v>1751</v>
      </c>
      <c r="I42" s="115">
        <v>0</v>
      </c>
    </row>
    <row r="43" spans="4:9">
      <c r="D43" s="115" t="s">
        <v>1752</v>
      </c>
      <c r="E43" s="115">
        <v>0</v>
      </c>
      <c r="F43" s="115" t="s">
        <v>1753</v>
      </c>
      <c r="G43" s="115">
        <v>3.2814576871953924E-2</v>
      </c>
      <c r="H43" s="115" t="s">
        <v>1754</v>
      </c>
      <c r="I43" s="115">
        <v>0</v>
      </c>
    </row>
    <row r="44" spans="4:9">
      <c r="D44" s="115" t="s">
        <v>1755</v>
      </c>
      <c r="E44" s="115">
        <v>3752138.39</v>
      </c>
      <c r="F44" s="115" t="s">
        <v>1756</v>
      </c>
      <c r="G44" s="115" t="s">
        <v>1614</v>
      </c>
      <c r="H44" s="115" t="s">
        <v>1757</v>
      </c>
      <c r="I44" s="115">
        <v>0</v>
      </c>
    </row>
    <row r="45" spans="4:9">
      <c r="D45" s="115" t="s">
        <v>1758</v>
      </c>
      <c r="E45" s="115">
        <v>553</v>
      </c>
      <c r="F45" s="115" t="s">
        <v>1759</v>
      </c>
      <c r="G45" s="115" t="s">
        <v>1614</v>
      </c>
      <c r="H45" s="115" t="s">
        <v>1760</v>
      </c>
      <c r="I45" s="115">
        <v>0</v>
      </c>
    </row>
    <row r="46" spans="4:9">
      <c r="D46" s="115" t="s">
        <v>1761</v>
      </c>
      <c r="E46" s="115">
        <v>16.861525247562504</v>
      </c>
      <c r="F46" s="115" t="s">
        <v>1762</v>
      </c>
      <c r="G46" s="115">
        <v>57</v>
      </c>
      <c r="H46" s="115" t="s">
        <v>1763</v>
      </c>
      <c r="I46" s="115">
        <v>0</v>
      </c>
    </row>
    <row r="47" spans="4:9">
      <c r="D47" s="115" t="s">
        <v>1764</v>
      </c>
      <c r="E47" s="115">
        <v>11.512343045326439</v>
      </c>
      <c r="F47" s="115" t="s">
        <v>1765</v>
      </c>
      <c r="G47" s="115">
        <v>57</v>
      </c>
      <c r="H47" s="115" t="s">
        <v>1766</v>
      </c>
      <c r="I47" s="115">
        <v>0.05</v>
      </c>
    </row>
    <row r="48" spans="4:9">
      <c r="D48" s="115" t="s">
        <v>1767</v>
      </c>
      <c r="E48" s="115">
        <v>384.3548300335317</v>
      </c>
      <c r="F48" s="115" t="s">
        <v>1768</v>
      </c>
      <c r="G48" s="115">
        <v>0</v>
      </c>
      <c r="H48" s="115" t="s">
        <v>1769</v>
      </c>
      <c r="I48" s="115">
        <v>0.01</v>
      </c>
    </row>
    <row r="49" spans="4:9">
      <c r="D49" s="115" t="s">
        <v>1749</v>
      </c>
      <c r="E49" s="115" t="s">
        <v>1614</v>
      </c>
      <c r="F49" s="115" t="s">
        <v>1770</v>
      </c>
      <c r="G49" s="115">
        <v>0</v>
      </c>
      <c r="H49" s="115" t="s">
        <v>1771</v>
      </c>
      <c r="I49" s="115">
        <v>3069010.55</v>
      </c>
    </row>
    <row r="50" spans="4:9">
      <c r="D50" s="115" t="s">
        <v>1772</v>
      </c>
      <c r="E50" s="115">
        <v>960</v>
      </c>
      <c r="F50" s="115" t="s">
        <v>1773</v>
      </c>
      <c r="G50" s="115">
        <v>0</v>
      </c>
      <c r="H50" s="115" t="s">
        <v>1774</v>
      </c>
      <c r="I50" s="115">
        <v>571882.6</v>
      </c>
    </row>
    <row r="51" spans="4:9">
      <c r="D51" s="115" t="s">
        <v>1775</v>
      </c>
      <c r="E51" s="115">
        <v>71</v>
      </c>
      <c r="F51" s="115" t="s">
        <v>1776</v>
      </c>
      <c r="G51" s="115">
        <v>57</v>
      </c>
      <c r="H51" s="115" t="s">
        <v>1777</v>
      </c>
      <c r="I51" s="115">
        <v>3640893.15</v>
      </c>
    </row>
    <row r="52" spans="4:9">
      <c r="D52" s="115" t="s">
        <v>1778</v>
      </c>
      <c r="E52" s="115" t="s">
        <v>1614</v>
      </c>
      <c r="F52" s="115" t="s">
        <v>1779</v>
      </c>
      <c r="G52" s="115" t="s">
        <v>1614</v>
      </c>
      <c r="H52" s="115" t="s">
        <v>1780</v>
      </c>
      <c r="I52" s="115">
        <v>131.53990931753316</v>
      </c>
    </row>
    <row r="53" spans="4:9">
      <c r="D53" s="115" t="s">
        <v>1781</v>
      </c>
      <c r="E53" s="115" t="s">
        <v>1614</v>
      </c>
      <c r="F53" s="115" t="s">
        <v>1782</v>
      </c>
      <c r="G53" s="115" t="s">
        <v>1097</v>
      </c>
      <c r="H53" s="115" t="s">
        <v>1783</v>
      </c>
      <c r="I53" s="115">
        <v>49771</v>
      </c>
    </row>
    <row r="54" spans="4:9">
      <c r="D54" s="115" t="s">
        <v>1784</v>
      </c>
      <c r="E54" s="115">
        <v>0</v>
      </c>
      <c r="F54" s="115" t="s">
        <v>1785</v>
      </c>
      <c r="G54" s="115" t="s">
        <v>1614</v>
      </c>
      <c r="H54" s="115" t="s">
        <v>1786</v>
      </c>
      <c r="I54" s="115">
        <v>0</v>
      </c>
    </row>
    <row r="55" spans="4:9">
      <c r="D55" s="115" t="s">
        <v>1787</v>
      </c>
      <c r="E55" s="115" t="s">
        <v>1614</v>
      </c>
      <c r="F55" s="115" t="s">
        <v>1788</v>
      </c>
      <c r="G55" s="115" t="s">
        <v>856</v>
      </c>
      <c r="H55" s="115" t="s">
        <v>1789</v>
      </c>
      <c r="I55" s="115">
        <v>513591.98</v>
      </c>
    </row>
    <row r="56" spans="4:9">
      <c r="D56" s="115" t="s">
        <v>1790</v>
      </c>
      <c r="E56" s="115" t="s">
        <v>1614</v>
      </c>
      <c r="F56" s="115" t="s">
        <v>1791</v>
      </c>
      <c r="G56" s="115" t="s">
        <v>856</v>
      </c>
      <c r="H56" s="115" t="s">
        <v>1792</v>
      </c>
      <c r="I56" s="115">
        <v>210544.4</v>
      </c>
    </row>
    <row r="57" spans="4:9">
      <c r="D57" s="115" t="s">
        <v>1793</v>
      </c>
      <c r="E57" s="115" t="s">
        <v>1614</v>
      </c>
      <c r="F57" s="115" t="s">
        <v>1794</v>
      </c>
      <c r="G57" s="115" t="s">
        <v>856</v>
      </c>
      <c r="H57" s="115" t="s">
        <v>1795</v>
      </c>
      <c r="I57" s="115">
        <v>123868.17</v>
      </c>
    </row>
    <row r="58" spans="4:9">
      <c r="D58" s="115" t="s">
        <v>1796</v>
      </c>
      <c r="E58" s="115" t="s">
        <v>1614</v>
      </c>
      <c r="F58" s="115" t="s">
        <v>1797</v>
      </c>
      <c r="G58" s="115" t="s">
        <v>559</v>
      </c>
      <c r="H58" s="115" t="s">
        <v>1798</v>
      </c>
      <c r="I58" s="115">
        <v>0</v>
      </c>
    </row>
    <row r="59" spans="4:9">
      <c r="D59" s="115" t="s">
        <v>1799</v>
      </c>
      <c r="E59" s="115">
        <v>41</v>
      </c>
      <c r="F59" s="115" t="s">
        <v>1800</v>
      </c>
      <c r="G59" s="115">
        <v>2</v>
      </c>
      <c r="H59" s="115" t="s">
        <v>1801</v>
      </c>
      <c r="I59" s="115">
        <v>848004.55</v>
      </c>
    </row>
    <row r="60" spans="4:9">
      <c r="D60" s="115" t="s">
        <v>1802</v>
      </c>
      <c r="E60" s="115">
        <v>5</v>
      </c>
      <c r="F60" s="115" t="s">
        <v>1803</v>
      </c>
      <c r="G60" s="115">
        <v>1</v>
      </c>
      <c r="H60" s="115" t="s">
        <v>1804</v>
      </c>
      <c r="I60" s="115">
        <v>30.637109360887315</v>
      </c>
    </row>
    <row r="61" spans="4:9">
      <c r="D61" s="115" t="s">
        <v>1805</v>
      </c>
      <c r="E61" s="115">
        <v>2</v>
      </c>
      <c r="F61" s="115" t="s">
        <v>1806</v>
      </c>
      <c r="G61" s="115">
        <v>0</v>
      </c>
      <c r="H61" s="115" t="s">
        <v>1807</v>
      </c>
      <c r="I61" s="115">
        <v>4552947.6500000004</v>
      </c>
    </row>
    <row r="62" spans="4:9">
      <c r="D62" s="115" t="s">
        <v>1808</v>
      </c>
      <c r="E62" s="115">
        <v>75</v>
      </c>
      <c r="F62" s="115" t="s">
        <v>1809</v>
      </c>
      <c r="G62" s="115">
        <v>0</v>
      </c>
      <c r="H62" s="115" t="s">
        <v>1810</v>
      </c>
      <c r="I62" s="115">
        <v>391257.15</v>
      </c>
    </row>
    <row r="63" spans="4:9">
      <c r="D63" s="115" t="s">
        <v>1811</v>
      </c>
      <c r="E63" s="115">
        <v>72</v>
      </c>
      <c r="F63" s="115" t="s">
        <v>1812</v>
      </c>
      <c r="G63" s="115">
        <v>5</v>
      </c>
      <c r="H63" s="115" t="s">
        <v>1813</v>
      </c>
      <c r="I63" s="115">
        <v>0.10746186001091519</v>
      </c>
    </row>
    <row r="64" spans="4:9">
      <c r="D64" s="115" t="s">
        <v>1814</v>
      </c>
      <c r="E64" s="115">
        <v>1</v>
      </c>
      <c r="F64" s="115" t="s">
        <v>1815</v>
      </c>
      <c r="G64" s="115">
        <v>0</v>
      </c>
      <c r="H64" s="115" t="s">
        <v>1816</v>
      </c>
      <c r="I64" s="115">
        <v>0.52985145469578021</v>
      </c>
    </row>
    <row r="65" spans="4:9">
      <c r="D65" s="115" t="s">
        <v>1817</v>
      </c>
      <c r="E65" s="115">
        <v>196</v>
      </c>
      <c r="F65" s="115" t="s">
        <v>1818</v>
      </c>
      <c r="G65" s="115">
        <v>0</v>
      </c>
      <c r="H65" s="115" t="s">
        <v>1819</v>
      </c>
      <c r="I65" s="115">
        <v>10363053.32</v>
      </c>
    </row>
    <row r="66" spans="4:9">
      <c r="D66" s="115" t="s">
        <v>1820</v>
      </c>
      <c r="E66" s="115">
        <v>7.0420005030000361</v>
      </c>
      <c r="F66" s="115" t="s">
        <v>1821</v>
      </c>
      <c r="G66" s="115">
        <v>0</v>
      </c>
      <c r="H66" s="115" t="s">
        <v>1822</v>
      </c>
      <c r="I66" s="115">
        <v>374.40129050905017</v>
      </c>
    </row>
    <row r="67" spans="4:9">
      <c r="D67" s="115" t="s">
        <v>1823</v>
      </c>
      <c r="E67" s="115">
        <v>839.81596731674881</v>
      </c>
      <c r="F67" s="115" t="s">
        <v>1824</v>
      </c>
      <c r="G67" s="115" t="s">
        <v>1614</v>
      </c>
      <c r="H67" s="115" t="s">
        <v>1825</v>
      </c>
      <c r="I67" s="115">
        <v>11016701.539999999</v>
      </c>
    </row>
    <row r="68" spans="4:9">
      <c r="D68" s="115" t="s">
        <v>1826</v>
      </c>
      <c r="E68" s="115" t="s">
        <v>560</v>
      </c>
      <c r="F68" s="115" t="s">
        <v>1827</v>
      </c>
      <c r="G68" s="115" t="s">
        <v>1614</v>
      </c>
      <c r="H68" s="115" t="s">
        <v>1828</v>
      </c>
      <c r="I68" s="115">
        <v>5713617.0042369999</v>
      </c>
    </row>
    <row r="69" spans="4:9">
      <c r="D69" s="115" t="s">
        <v>1829</v>
      </c>
      <c r="E69" s="115" t="s">
        <v>1614</v>
      </c>
      <c r="F69" s="115" t="s">
        <v>1830</v>
      </c>
      <c r="G69" s="115" t="s">
        <v>1614</v>
      </c>
      <c r="H69" s="115" t="s">
        <v>1831</v>
      </c>
      <c r="I69" s="115">
        <v>4066849.4151630001</v>
      </c>
    </row>
    <row r="70" spans="4:9">
      <c r="D70" s="115" t="s">
        <v>1832</v>
      </c>
      <c r="E70" s="115">
        <v>481.78551731985988</v>
      </c>
      <c r="F70" s="115" t="s">
        <v>1833</v>
      </c>
      <c r="G70" s="115" t="s">
        <v>1614</v>
      </c>
      <c r="H70" s="115" t="s">
        <v>1834</v>
      </c>
      <c r="I70" s="115">
        <v>1236235.1206</v>
      </c>
    </row>
    <row r="71" spans="4:9">
      <c r="D71" s="115" t="s">
        <v>1835</v>
      </c>
      <c r="E71" s="115" t="s">
        <v>560</v>
      </c>
      <c r="F71" s="115" t="s">
        <v>1836</v>
      </c>
      <c r="G71" s="115" t="s">
        <v>1614</v>
      </c>
      <c r="H71" s="115" t="s">
        <v>1837</v>
      </c>
      <c r="I71" s="115">
        <v>4570843.97</v>
      </c>
    </row>
    <row r="72" spans="4:9">
      <c r="D72" s="115" t="s">
        <v>1838</v>
      </c>
      <c r="E72" s="115" t="s">
        <v>1614</v>
      </c>
      <c r="F72" s="115" t="s">
        <v>1839</v>
      </c>
      <c r="G72" s="115" t="s">
        <v>1614</v>
      </c>
      <c r="H72" s="115" t="s">
        <v>1840</v>
      </c>
      <c r="I72" s="115">
        <v>3537339.6872130004</v>
      </c>
    </row>
    <row r="73" spans="4:9">
      <c r="D73" s="115" t="s">
        <v>1841</v>
      </c>
      <c r="E73" s="115">
        <v>481.78551731985988</v>
      </c>
      <c r="F73" s="115" t="s">
        <v>1842</v>
      </c>
      <c r="G73" s="115" t="s">
        <v>1614</v>
      </c>
      <c r="H73" s="115" t="s">
        <v>1843</v>
      </c>
      <c r="I73" s="115">
        <v>697836.26243799995</v>
      </c>
    </row>
    <row r="74" spans="4:9">
      <c r="D74" s="115" t="s">
        <v>1844</v>
      </c>
      <c r="E74" s="115">
        <v>0</v>
      </c>
      <c r="F74" s="115" t="s">
        <v>1845</v>
      </c>
      <c r="G74" s="115" t="s">
        <v>856</v>
      </c>
      <c r="H74" s="115" t="s">
        <v>1846</v>
      </c>
      <c r="I74" s="115">
        <v>335668.020349</v>
      </c>
    </row>
    <row r="75" spans="4:9">
      <c r="D75" s="115" t="s">
        <v>1847</v>
      </c>
      <c r="E75" s="115">
        <v>9647695.7100000009</v>
      </c>
      <c r="F75" s="115" t="s">
        <v>1848</v>
      </c>
      <c r="G75" s="115">
        <v>0</v>
      </c>
      <c r="H75" s="115" t="s">
        <v>1849</v>
      </c>
      <c r="I75" s="115">
        <v>165.13761226922938</v>
      </c>
    </row>
    <row r="76" spans="4:9">
      <c r="D76" s="115" t="s">
        <v>1850</v>
      </c>
      <c r="E76" s="115">
        <v>4562106.17</v>
      </c>
      <c r="F76" s="115" t="s">
        <v>1851</v>
      </c>
      <c r="G76" s="115">
        <v>0</v>
      </c>
      <c r="H76" s="115" t="s">
        <v>1852</v>
      </c>
      <c r="I76" s="115">
        <v>15366381.58</v>
      </c>
    </row>
    <row r="77" spans="4:9">
      <c r="D77" s="115" t="s">
        <v>1853</v>
      </c>
      <c r="E77" s="115">
        <v>14209801.880000001</v>
      </c>
      <c r="F77" s="115" t="s">
        <v>1854</v>
      </c>
      <c r="G77" s="115">
        <v>0</v>
      </c>
      <c r="H77" s="115" t="s">
        <v>1855</v>
      </c>
      <c r="I77" s="115">
        <v>294308380</v>
      </c>
    </row>
    <row r="78" spans="4:9">
      <c r="D78" s="115" t="s">
        <v>1856</v>
      </c>
      <c r="E78" s="115">
        <v>510.53791829842277</v>
      </c>
      <c r="F78" s="115" t="s">
        <v>1857</v>
      </c>
      <c r="G78" s="115">
        <v>664</v>
      </c>
      <c r="H78" s="115" t="s">
        <v>1858</v>
      </c>
      <c r="I78" s="115">
        <v>7.3725429359812647E-2</v>
      </c>
    </row>
    <row r="79" spans="4:9">
      <c r="D79" s="115" t="s">
        <v>1859</v>
      </c>
      <c r="E79" s="115">
        <v>1292515</v>
      </c>
      <c r="F79" s="115" t="s">
        <v>1860</v>
      </c>
      <c r="G79" s="115" t="s">
        <v>560</v>
      </c>
      <c r="H79" s="115" t="s">
        <v>1861</v>
      </c>
      <c r="I79" s="115" t="s">
        <v>1614</v>
      </c>
    </row>
    <row r="80" spans="4:9">
      <c r="D80" s="115" t="s">
        <v>1862</v>
      </c>
      <c r="E80" s="115">
        <v>2388380.5</v>
      </c>
      <c r="F80" s="115" t="s">
        <v>1863</v>
      </c>
      <c r="G80" s="115" t="s">
        <v>1614</v>
      </c>
      <c r="H80" s="115" t="s">
        <v>1861</v>
      </c>
      <c r="I80" s="115" t="s">
        <v>1614</v>
      </c>
    </row>
    <row r="81" spans="4:9">
      <c r="D81" s="115" t="s">
        <v>1864</v>
      </c>
      <c r="E81" s="115">
        <v>961100</v>
      </c>
      <c r="F81" s="115" t="s">
        <v>1865</v>
      </c>
      <c r="G81" s="115" t="s">
        <v>1614</v>
      </c>
      <c r="I81" s="115"/>
    </row>
    <row r="82" spans="4:9">
      <c r="D82" s="115" t="s">
        <v>1866</v>
      </c>
      <c r="E82" s="115" t="s">
        <v>1614</v>
      </c>
      <c r="F82" s="115" t="s">
        <v>1867</v>
      </c>
      <c r="G82" s="115">
        <v>664</v>
      </c>
      <c r="I82" s="115"/>
    </row>
    <row r="83" spans="4:9">
      <c r="D83" s="115" t="s">
        <v>1868</v>
      </c>
      <c r="E83" s="115">
        <v>1316368.1599999999</v>
      </c>
      <c r="F83" s="115" t="s">
        <v>1869</v>
      </c>
      <c r="G83" s="115" t="s">
        <v>560</v>
      </c>
      <c r="I83" s="115"/>
    </row>
    <row r="84" spans="4:9">
      <c r="D84" s="115" t="s">
        <v>1870</v>
      </c>
      <c r="E84" s="115">
        <v>1818731.15</v>
      </c>
      <c r="F84" s="115" t="s">
        <v>1871</v>
      </c>
      <c r="G84" s="115" t="s">
        <v>1614</v>
      </c>
      <c r="I84" s="115"/>
    </row>
    <row r="85" spans="4:9">
      <c r="D85" s="115" t="s">
        <v>1872</v>
      </c>
      <c r="E85" s="115">
        <v>1116746.79</v>
      </c>
      <c r="F85" s="115" t="s">
        <v>1873</v>
      </c>
      <c r="G85" s="115">
        <v>664</v>
      </c>
      <c r="I85" s="115"/>
    </row>
    <row r="86" spans="4:9">
      <c r="D86" s="115" t="s">
        <v>1874</v>
      </c>
      <c r="E86" s="115">
        <v>0</v>
      </c>
      <c r="F86" s="115" t="s">
        <v>1875</v>
      </c>
      <c r="G86" s="115">
        <v>204</v>
      </c>
      <c r="I86" s="115"/>
    </row>
    <row r="87" spans="4:9">
      <c r="D87" s="115" t="s">
        <v>1876</v>
      </c>
      <c r="E87" s="115">
        <v>5212946.0999999996</v>
      </c>
      <c r="F87" s="115" t="s">
        <v>1877</v>
      </c>
      <c r="G87" s="115">
        <v>46</v>
      </c>
      <c r="I87" s="115"/>
    </row>
    <row r="88" spans="4:9">
      <c r="D88" s="115" t="s">
        <v>1878</v>
      </c>
      <c r="E88" s="115">
        <v>187.29371968526567</v>
      </c>
      <c r="F88" s="115" t="s">
        <v>1879</v>
      </c>
      <c r="G88" s="115">
        <v>101</v>
      </c>
      <c r="I88" s="115"/>
    </row>
    <row r="89" spans="4:9">
      <c r="D89" s="115" t="s">
        <v>1880</v>
      </c>
      <c r="E89" s="115">
        <v>5290202.1100000003</v>
      </c>
      <c r="F89" s="115" t="s">
        <v>1881</v>
      </c>
      <c r="G89" s="115">
        <v>57</v>
      </c>
      <c r="I89" s="115"/>
    </row>
    <row r="90" spans="4:9">
      <c r="D90" s="115" t="s">
        <v>1882</v>
      </c>
      <c r="E90" s="115">
        <v>703394.48</v>
      </c>
      <c r="F90" s="115" t="s">
        <v>1883</v>
      </c>
      <c r="G90" s="115">
        <v>0</v>
      </c>
      <c r="I90" s="115"/>
    </row>
    <row r="91" spans="4:9">
      <c r="D91" s="115" t="s">
        <v>1884</v>
      </c>
      <c r="E91" s="115">
        <v>4.9500653558725051E-2</v>
      </c>
      <c r="F91" s="115" t="s">
        <v>1885</v>
      </c>
      <c r="G91" s="115">
        <v>7.5082811924917188</v>
      </c>
      <c r="I91" s="115"/>
    </row>
    <row r="92" spans="4:9">
      <c r="D92" s="115" t="s">
        <v>1886</v>
      </c>
      <c r="E92" s="115">
        <v>0.86089849268222429</v>
      </c>
      <c r="F92" s="115" t="s">
        <v>1887</v>
      </c>
      <c r="G92" s="115">
        <v>0</v>
      </c>
      <c r="I92" s="115"/>
    </row>
    <row r="93" spans="4:9">
      <c r="D93" s="115" t="s">
        <v>1888</v>
      </c>
      <c r="E93" s="115">
        <v>22645031.109999999</v>
      </c>
      <c r="F93" s="115" t="s">
        <v>1889</v>
      </c>
      <c r="G93" s="115">
        <v>13703952.459999999</v>
      </c>
      <c r="I93" s="115"/>
    </row>
    <row r="94" spans="4:9">
      <c r="D94" s="115" t="s">
        <v>1890</v>
      </c>
      <c r="E94" s="115">
        <v>813.60367585240544</v>
      </c>
      <c r="F94" s="115" t="s">
        <v>1891</v>
      </c>
      <c r="G94" s="115">
        <v>4620066.58</v>
      </c>
      <c r="I94" s="115"/>
    </row>
    <row r="95" spans="4:9">
      <c r="D95" s="115" t="s">
        <v>1892</v>
      </c>
      <c r="E95" s="115">
        <v>21979917.669999998</v>
      </c>
      <c r="F95" s="115" t="s">
        <v>1893</v>
      </c>
      <c r="G95" s="115">
        <v>18324019.039999999</v>
      </c>
      <c r="I95" s="115"/>
    </row>
    <row r="96" spans="4:9">
      <c r="D96" s="115" t="s">
        <v>1894</v>
      </c>
      <c r="E96" s="115">
        <v>11671354.385540003</v>
      </c>
      <c r="F96" s="115" t="s">
        <v>1895</v>
      </c>
      <c r="G96" s="115">
        <v>674.42101729849094</v>
      </c>
      <c r="I96" s="115"/>
    </row>
    <row r="97" spans="1:9">
      <c r="D97" s="115" t="s">
        <v>1896</v>
      </c>
      <c r="E97" s="115">
        <v>7704196.4855199978</v>
      </c>
      <c r="F97" s="115" t="s">
        <v>1897</v>
      </c>
      <c r="G97" s="115">
        <v>5454832</v>
      </c>
      <c r="I97" s="115"/>
    </row>
    <row r="98" spans="1:9">
      <c r="A98" s="103"/>
      <c r="D98" s="115" t="s">
        <v>1898</v>
      </c>
      <c r="E98" s="115">
        <v>2604366.7989400006</v>
      </c>
      <c r="F98" s="115" t="s">
        <v>1899</v>
      </c>
      <c r="G98" s="115">
        <v>7098939.5</v>
      </c>
      <c r="I98" s="115"/>
    </row>
    <row r="99" spans="1:9">
      <c r="A99" s="103"/>
      <c r="D99" s="115" t="s">
        <v>1900</v>
      </c>
      <c r="E99" s="115">
        <v>11438488.419999998</v>
      </c>
      <c r="F99" s="115" t="s">
        <v>1901</v>
      </c>
      <c r="G99" s="115">
        <v>936359.42</v>
      </c>
      <c r="I99" s="115"/>
    </row>
    <row r="100" spans="1:9">
      <c r="A100" s="103"/>
      <c r="D100" s="115" t="s">
        <v>1902</v>
      </c>
      <c r="E100" s="115">
        <v>5247675.2231299998</v>
      </c>
      <c r="F100" s="115" t="s">
        <v>1903</v>
      </c>
      <c r="G100" s="115">
        <v>1663637.69</v>
      </c>
      <c r="I100" s="115"/>
    </row>
    <row r="101" spans="1:9">
      <c r="A101" s="103"/>
      <c r="D101" s="115" t="s">
        <v>1904</v>
      </c>
      <c r="E101" s="115">
        <v>4850437.8629719988</v>
      </c>
      <c r="F101" s="115" t="s">
        <v>1905</v>
      </c>
      <c r="G101" s="115">
        <v>1503256.73</v>
      </c>
      <c r="I101" s="115"/>
    </row>
    <row r="102" spans="1:9">
      <c r="A102" s="103"/>
      <c r="D102" s="115" t="s">
        <v>1906</v>
      </c>
      <c r="E102" s="115">
        <v>1340375.333898</v>
      </c>
      <c r="F102" s="115" t="s">
        <v>1907</v>
      </c>
      <c r="G102" s="115">
        <v>935357.19</v>
      </c>
      <c r="I102" s="115"/>
    </row>
    <row r="103" spans="1:9">
      <c r="A103" s="103"/>
      <c r="D103" s="115" t="s">
        <v>1908</v>
      </c>
      <c r="E103" s="115">
        <v>410.96857758775548</v>
      </c>
      <c r="F103" s="115" t="s">
        <v>1909</v>
      </c>
      <c r="G103" s="115">
        <v>1965636.58</v>
      </c>
      <c r="I103" s="115"/>
    </row>
    <row r="104" spans="1:9">
      <c r="A104" s="103"/>
      <c r="D104" s="115" t="s">
        <v>1910</v>
      </c>
      <c r="E104" s="115">
        <v>8110448.5</v>
      </c>
      <c r="F104" s="115" t="s">
        <v>1911</v>
      </c>
      <c r="G104" s="115">
        <v>0</v>
      </c>
      <c r="I104" s="115"/>
    </row>
    <row r="105" spans="1:9">
      <c r="A105" s="103"/>
      <c r="D105" s="115" t="s">
        <v>1912</v>
      </c>
      <c r="E105" s="115">
        <v>36560159</v>
      </c>
      <c r="F105" s="115" t="s">
        <v>1913</v>
      </c>
      <c r="G105" s="115">
        <v>7004247.6099999994</v>
      </c>
      <c r="I105" s="115"/>
    </row>
    <row r="106" spans="1:9">
      <c r="A106" s="103"/>
      <c r="D106" s="115" t="s">
        <v>1914</v>
      </c>
      <c r="E106" s="115">
        <v>239371338</v>
      </c>
      <c r="F106" s="115" t="s">
        <v>1915</v>
      </c>
      <c r="G106" s="115">
        <v>257.79343430253954</v>
      </c>
      <c r="I106" s="115"/>
    </row>
    <row r="107" spans="1:9">
      <c r="A107" s="103"/>
      <c r="D107" s="115" t="s">
        <v>1916</v>
      </c>
      <c r="E107" s="115">
        <v>0.25336939988820195</v>
      </c>
      <c r="F107" s="115" t="s">
        <v>1917</v>
      </c>
      <c r="G107" s="115">
        <v>7448815.54</v>
      </c>
      <c r="I107" s="115"/>
    </row>
    <row r="108" spans="1:9">
      <c r="A108" s="103"/>
      <c r="D108" s="115"/>
      <c r="E108" s="115"/>
      <c r="F108" s="115" t="s">
        <v>1918</v>
      </c>
      <c r="G108" s="115">
        <v>1539308.76</v>
      </c>
      <c r="I108" s="115"/>
    </row>
    <row r="109" spans="1:9">
      <c r="A109" s="103"/>
      <c r="D109" s="115"/>
      <c r="E109" s="115"/>
      <c r="F109" s="115" t="s">
        <v>1919</v>
      </c>
      <c r="G109" s="115">
        <v>8.4004974926068413E-2</v>
      </c>
      <c r="I109" s="115"/>
    </row>
    <row r="110" spans="1:9">
      <c r="A110" s="103"/>
      <c r="D110" s="115"/>
      <c r="E110" s="115"/>
      <c r="F110" s="115" t="s">
        <v>1920</v>
      </c>
      <c r="G110" s="115">
        <v>0.85690556329739576</v>
      </c>
      <c r="I110" s="115"/>
    </row>
    <row r="111" spans="1:9">
      <c r="A111" s="103"/>
      <c r="D111" s="115"/>
      <c r="E111" s="115"/>
      <c r="F111" s="115" t="s">
        <v>1921</v>
      </c>
      <c r="G111" s="115">
        <v>43482125.620000005</v>
      </c>
      <c r="I111" s="115"/>
    </row>
    <row r="112" spans="1:9">
      <c r="A112" s="103"/>
      <c r="D112" s="115"/>
      <c r="E112" s="115"/>
      <c r="F112" s="115" t="s">
        <v>1922</v>
      </c>
      <c r="G112" s="115">
        <v>1600.3726764814135</v>
      </c>
      <c r="I112" s="115"/>
    </row>
    <row r="113" spans="1:11">
      <c r="A113" s="103"/>
      <c r="D113" s="115"/>
      <c r="E113" s="115"/>
      <c r="F113" s="115" t="s">
        <v>1923</v>
      </c>
      <c r="G113" s="115">
        <v>34291984.880000003</v>
      </c>
      <c r="I113" s="115"/>
      <c r="K113" s="111"/>
    </row>
    <row r="114" spans="1:11">
      <c r="A114" s="103"/>
      <c r="D114" s="115"/>
      <c r="E114" s="115"/>
      <c r="F114" s="115" t="s">
        <v>1924</v>
      </c>
      <c r="G114" s="115">
        <v>12406855.640910001</v>
      </c>
    </row>
    <row r="115" spans="1:11">
      <c r="A115" s="103"/>
      <c r="E115" s="115"/>
      <c r="F115" s="115" t="s">
        <v>1925</v>
      </c>
      <c r="G115" s="115">
        <v>15056647.497052999</v>
      </c>
    </row>
    <row r="116" spans="1:11">
      <c r="A116" s="103"/>
      <c r="D116" s="104"/>
      <c r="E116" s="115"/>
      <c r="F116" s="115" t="s">
        <v>1926</v>
      </c>
      <c r="G116" s="115">
        <v>6828481.7420370001</v>
      </c>
    </row>
    <row r="117" spans="1:11">
      <c r="A117" s="103"/>
      <c r="D117" s="104"/>
      <c r="E117" s="105"/>
      <c r="F117" s="115" t="s">
        <v>1927</v>
      </c>
      <c r="G117" s="115">
        <v>27489753.710000001</v>
      </c>
    </row>
    <row r="118" spans="1:11">
      <c r="A118" s="103"/>
      <c r="D118" s="104"/>
      <c r="E118" s="105"/>
      <c r="F118" s="115" t="s">
        <v>1928</v>
      </c>
      <c r="G118" s="115">
        <v>9731850.0347700007</v>
      </c>
    </row>
    <row r="119" spans="1:11">
      <c r="A119" s="103"/>
      <c r="D119" s="104"/>
      <c r="E119" s="105"/>
      <c r="F119" s="115" t="s">
        <v>1929</v>
      </c>
      <c r="G119" s="115">
        <v>12038943.593265003</v>
      </c>
    </row>
    <row r="120" spans="1:11">
      <c r="A120" s="103"/>
      <c r="D120" s="104"/>
      <c r="E120" s="105"/>
      <c r="F120" s="115" t="s">
        <v>1930</v>
      </c>
      <c r="G120" s="115">
        <v>5718960.0819650004</v>
      </c>
    </row>
    <row r="121" spans="1:11">
      <c r="A121" s="103"/>
      <c r="D121" s="104"/>
      <c r="E121" s="105"/>
      <c r="F121" s="115" t="s">
        <v>1931</v>
      </c>
      <c r="G121" s="115">
        <v>1011.7686312108945</v>
      </c>
    </row>
    <row r="122" spans="1:11">
      <c r="A122" s="103"/>
      <c r="D122" s="104"/>
      <c r="E122" s="105"/>
      <c r="F122" s="115" t="s">
        <v>1932</v>
      </c>
      <c r="G122" s="115">
        <v>8352525.9400000004</v>
      </c>
    </row>
    <row r="123" spans="1:11">
      <c r="A123" s="103"/>
      <c r="D123" s="104"/>
      <c r="E123" s="105"/>
      <c r="F123" s="115" t="s">
        <v>1933</v>
      </c>
      <c r="G123" s="115">
        <v>59807523</v>
      </c>
    </row>
    <row r="124" spans="1:11">
      <c r="A124" s="103"/>
      <c r="D124" s="104"/>
      <c r="E124" s="105"/>
      <c r="F124" s="115" t="s">
        <v>1934</v>
      </c>
      <c r="G124" s="115">
        <v>303411948</v>
      </c>
    </row>
    <row r="125" spans="1:11">
      <c r="A125" s="103"/>
      <c r="D125" s="104"/>
      <c r="E125" s="105"/>
      <c r="F125" s="115" t="s">
        <v>1935</v>
      </c>
      <c r="G125" s="115">
        <v>0.76776771437744584</v>
      </c>
    </row>
    <row r="126" spans="1:11">
      <c r="A126" s="103"/>
      <c r="D126" s="104"/>
      <c r="E126" s="105"/>
      <c r="F126" s="115" t="s">
        <v>1861</v>
      </c>
      <c r="G126" s="115" t="s">
        <v>1614</v>
      </c>
    </row>
    <row r="127" spans="1:11">
      <c r="A127" s="103"/>
      <c r="D127" s="104"/>
      <c r="E127" s="105"/>
    </row>
    <row r="128" spans="1:11">
      <c r="A128" s="103"/>
      <c r="D128" s="104"/>
      <c r="E128" s="105"/>
    </row>
    <row r="129" spans="1:5">
      <c r="A129" s="103"/>
      <c r="D129" s="104"/>
      <c r="E129" s="105"/>
    </row>
    <row r="130" spans="1:5">
      <c r="A130" s="103"/>
      <c r="D130" s="104"/>
      <c r="E130" s="105"/>
    </row>
    <row r="131" spans="1:5">
      <c r="A131" s="103"/>
      <c r="D131" s="104"/>
      <c r="E131" s="105"/>
    </row>
    <row r="132" spans="1:5">
      <c r="A132" s="103"/>
      <c r="D132" s="104"/>
      <c r="E132" s="105"/>
    </row>
    <row r="133" spans="1:5">
      <c r="A133" s="103"/>
      <c r="D133" s="104"/>
      <c r="E133" s="105"/>
    </row>
    <row r="134" spans="1:5">
      <c r="A134" s="103"/>
      <c r="D134" s="104"/>
      <c r="E134" s="105"/>
    </row>
    <row r="135" spans="1:5">
      <c r="A135" s="103"/>
      <c r="D135" s="104"/>
      <c r="E135" s="105"/>
    </row>
    <row r="136" spans="1:5">
      <c r="A136" s="103"/>
      <c r="D136" s="104"/>
      <c r="E136" s="105"/>
    </row>
    <row r="137" spans="1:5">
      <c r="A137" s="103"/>
      <c r="D137" s="104"/>
      <c r="E137" s="105"/>
    </row>
    <row r="138" spans="1:5">
      <c r="A138" s="103"/>
      <c r="D138" s="104"/>
      <c r="E138" s="105"/>
    </row>
    <row r="139" spans="1:5">
      <c r="A139" s="103"/>
      <c r="D139" s="104"/>
      <c r="E139" s="105"/>
    </row>
    <row r="140" spans="1:5">
      <c r="A140" s="103"/>
      <c r="D140" s="104"/>
      <c r="E140" s="105"/>
    </row>
    <row r="141" spans="1:5">
      <c r="A141" s="103"/>
      <c r="D141" s="104"/>
      <c r="E141" s="105"/>
    </row>
    <row r="142" spans="1:5">
      <c r="A142" s="103"/>
      <c r="D142" s="104"/>
      <c r="E142" s="105"/>
    </row>
    <row r="143" spans="1:5">
      <c r="A143" s="103"/>
      <c r="D143" s="104"/>
      <c r="E143" s="105"/>
    </row>
    <row r="144" spans="1:5">
      <c r="A144" s="103"/>
      <c r="D144" s="104"/>
      <c r="E144" s="105"/>
    </row>
    <row r="145" spans="1:5">
      <c r="A145" s="103"/>
      <c r="D145" s="104"/>
      <c r="E145" s="105"/>
    </row>
    <row r="146" spans="1:5">
      <c r="A146" s="103"/>
      <c r="D146" s="104"/>
      <c r="E146" s="105"/>
    </row>
    <row r="147" spans="1:5">
      <c r="A147" s="103"/>
      <c r="D147" s="104"/>
      <c r="E147" s="105"/>
    </row>
    <row r="148" spans="1:5">
      <c r="A148" s="103"/>
      <c r="D148" s="104"/>
      <c r="E148" s="105"/>
    </row>
    <row r="149" spans="1:5">
      <c r="A149" s="103"/>
      <c r="D149" s="104"/>
      <c r="E149" s="105"/>
    </row>
    <row r="150" spans="1:5">
      <c r="A150" s="103"/>
      <c r="D150" s="104"/>
      <c r="E150" s="105"/>
    </row>
    <row r="151" spans="1:5">
      <c r="A151" s="103"/>
      <c r="D151" s="104"/>
      <c r="E151" s="105"/>
    </row>
    <row r="152" spans="1:5">
      <c r="A152" s="103"/>
      <c r="D152" s="104"/>
      <c r="E152" s="105"/>
    </row>
    <row r="153" spans="1:5">
      <c r="A153" s="103"/>
      <c r="D153" s="104"/>
      <c r="E153" s="105"/>
    </row>
    <row r="154" spans="1:5">
      <c r="A154" s="103"/>
      <c r="D154" s="104"/>
      <c r="E154" s="105"/>
    </row>
    <row r="155" spans="1:5">
      <c r="A155" s="103"/>
      <c r="D155" s="104"/>
      <c r="E155" s="105"/>
    </row>
    <row r="156" spans="1:5">
      <c r="A156" s="103"/>
      <c r="D156" s="104"/>
      <c r="E156" s="105"/>
    </row>
    <row r="157" spans="1:5">
      <c r="A157" s="103"/>
      <c r="D157" s="104"/>
      <c r="E157" s="105"/>
    </row>
    <row r="158" spans="1:5">
      <c r="A158" s="103"/>
      <c r="D158" s="104"/>
      <c r="E158" s="105"/>
    </row>
    <row r="159" spans="1:5">
      <c r="A159" s="103"/>
      <c r="D159" s="104"/>
      <c r="E159" s="105"/>
    </row>
    <row r="160" spans="1:5">
      <c r="A160" s="103"/>
      <c r="D160" s="104"/>
      <c r="E160" s="105"/>
    </row>
    <row r="161" spans="1:5">
      <c r="A161" s="103"/>
      <c r="D161" s="104"/>
      <c r="E161" s="105"/>
    </row>
    <row r="162" spans="1:5">
      <c r="A162" s="103"/>
      <c r="D162" s="104"/>
      <c r="E162" s="105"/>
    </row>
    <row r="163" spans="1:5">
      <c r="A163" s="103"/>
      <c r="D163" s="104"/>
      <c r="E163" s="105"/>
    </row>
    <row r="164" spans="1:5">
      <c r="A164" s="103"/>
      <c r="D164" s="104"/>
      <c r="E164" s="105"/>
    </row>
    <row r="165" spans="1:5">
      <c r="A165" s="103"/>
      <c r="D165" s="104"/>
      <c r="E165" s="105"/>
    </row>
    <row r="166" spans="1:5">
      <c r="A166" s="103"/>
      <c r="D166" s="104"/>
      <c r="E166" s="105"/>
    </row>
    <row r="167" spans="1:5">
      <c r="A167" s="103"/>
      <c r="D167" s="104"/>
      <c r="E167" s="105"/>
    </row>
    <row r="168" spans="1:5">
      <c r="A168" s="103"/>
      <c r="D168" s="104"/>
      <c r="E168" s="105"/>
    </row>
    <row r="169" spans="1:5">
      <c r="A169" s="103"/>
      <c r="D169" s="104"/>
      <c r="E169" s="105"/>
    </row>
    <row r="170" spans="1:5">
      <c r="A170" s="103"/>
      <c r="D170" s="104"/>
      <c r="E170" s="105"/>
    </row>
    <row r="171" spans="1:5">
      <c r="A171" s="103"/>
      <c r="D171" s="104"/>
      <c r="E171" s="105"/>
    </row>
    <row r="172" spans="1:5">
      <c r="A172" s="103"/>
      <c r="D172" s="104"/>
      <c r="E172" s="105"/>
    </row>
    <row r="173" spans="1:5">
      <c r="A173" s="103"/>
      <c r="D173" s="104"/>
      <c r="E173" s="105"/>
    </row>
    <row r="174" spans="1:5">
      <c r="A174" s="103"/>
      <c r="D174" s="104"/>
      <c r="E174" s="105"/>
    </row>
    <row r="175" spans="1:5">
      <c r="A175" s="103"/>
      <c r="D175" s="104"/>
      <c r="E175" s="105"/>
    </row>
    <row r="176" spans="1:5">
      <c r="A176" s="103"/>
      <c r="D176" s="104"/>
      <c r="E176" s="105"/>
    </row>
    <row r="177" spans="1:5">
      <c r="A177" s="103"/>
      <c r="D177" s="104"/>
      <c r="E177" s="105"/>
    </row>
    <row r="178" spans="1:5">
      <c r="A178" s="103"/>
      <c r="D178" s="104"/>
      <c r="E178" s="105"/>
    </row>
    <row r="179" spans="1:5">
      <c r="A179" s="103"/>
      <c r="D179" s="104"/>
      <c r="E179" s="105"/>
    </row>
    <row r="180" spans="1:5">
      <c r="A180" s="103"/>
      <c r="D180" s="104"/>
      <c r="E180" s="105"/>
    </row>
    <row r="181" spans="1:5">
      <c r="A181" s="103"/>
      <c r="D181" s="104"/>
      <c r="E181" s="105"/>
    </row>
    <row r="182" spans="1:5">
      <c r="A182" s="103"/>
      <c r="D182" s="104"/>
      <c r="E182" s="105"/>
    </row>
    <row r="183" spans="1:5">
      <c r="A183" s="103"/>
      <c r="D183" s="104"/>
      <c r="E183" s="105"/>
    </row>
    <row r="184" spans="1:5">
      <c r="A184" s="103"/>
      <c r="D184" s="104"/>
      <c r="E184" s="105"/>
    </row>
    <row r="185" spans="1:5">
      <c r="A185" s="103"/>
      <c r="D185" s="104"/>
      <c r="E185" s="105"/>
    </row>
    <row r="186" spans="1:5">
      <c r="A186" s="103"/>
      <c r="D186" s="104"/>
      <c r="E186" s="105"/>
    </row>
    <row r="187" spans="1:5">
      <c r="A187" s="103"/>
      <c r="D187" s="104"/>
      <c r="E187" s="105"/>
    </row>
    <row r="188" spans="1:5">
      <c r="A188" s="103"/>
      <c r="D188" s="104"/>
      <c r="E188" s="105"/>
    </row>
    <row r="189" spans="1:5">
      <c r="A189" s="103"/>
      <c r="D189" s="104"/>
      <c r="E189" s="105"/>
    </row>
    <row r="190" spans="1:5">
      <c r="A190" s="103"/>
      <c r="D190" s="104"/>
      <c r="E190" s="105"/>
    </row>
    <row r="191" spans="1:5">
      <c r="A191" s="103"/>
      <c r="D191" s="104"/>
      <c r="E191" s="105"/>
    </row>
    <row r="192" spans="1:5">
      <c r="A192" s="103"/>
      <c r="D192" s="104"/>
      <c r="E192" s="105"/>
    </row>
    <row r="193" spans="1:5">
      <c r="A193" s="103"/>
      <c r="D193" s="104"/>
      <c r="E193" s="105"/>
    </row>
    <row r="194" spans="1:5">
      <c r="A194" s="103"/>
      <c r="D194" s="104"/>
      <c r="E194" s="105"/>
    </row>
    <row r="195" spans="1:5">
      <c r="A195" s="103"/>
      <c r="D195" s="104"/>
      <c r="E195" s="105"/>
    </row>
    <row r="196" spans="1:5">
      <c r="A196" s="103"/>
      <c r="D196" s="104"/>
      <c r="E196" s="105"/>
    </row>
    <row r="197" spans="1:5">
      <c r="A197" s="103"/>
      <c r="D197" s="104"/>
      <c r="E197" s="105"/>
    </row>
    <row r="198" spans="1:5">
      <c r="A198" s="103"/>
      <c r="D198" s="104"/>
      <c r="E198" s="105"/>
    </row>
    <row r="199" spans="1:5">
      <c r="A199" s="103"/>
      <c r="D199" s="104"/>
      <c r="E199" s="105"/>
    </row>
    <row r="200" spans="1:5">
      <c r="A200" s="103"/>
      <c r="D200" s="104"/>
      <c r="E200" s="105"/>
    </row>
    <row r="201" spans="1:5">
      <c r="A201" s="103"/>
      <c r="D201" s="104"/>
      <c r="E201" s="105"/>
    </row>
    <row r="202" spans="1:5">
      <c r="A202" s="103"/>
      <c r="D202" s="104"/>
      <c r="E202" s="105"/>
    </row>
    <row r="203" spans="1:5">
      <c r="A203" s="103"/>
      <c r="D203" s="104"/>
      <c r="E203" s="105"/>
    </row>
    <row r="204" spans="1:5">
      <c r="A204" s="103"/>
      <c r="D204" s="104"/>
      <c r="E204" s="105"/>
    </row>
    <row r="205" spans="1:5">
      <c r="A205" s="103"/>
      <c r="D205" s="104"/>
      <c r="E205" s="105"/>
    </row>
    <row r="206" spans="1:5">
      <c r="A206" s="103"/>
      <c r="D206" s="104"/>
      <c r="E206" s="105"/>
    </row>
    <row r="207" spans="1:5">
      <c r="A207" s="103"/>
      <c r="D207" s="104"/>
      <c r="E207" s="105"/>
    </row>
    <row r="208" spans="1:5">
      <c r="A208" s="103"/>
      <c r="D208" s="104"/>
      <c r="E208" s="105"/>
    </row>
    <row r="209" spans="1:5">
      <c r="A209" s="103"/>
      <c r="D209" s="104"/>
      <c r="E209" s="105"/>
    </row>
    <row r="210" spans="1:5">
      <c r="A210" s="103"/>
      <c r="D210" s="104"/>
      <c r="E210" s="105"/>
    </row>
    <row r="211" spans="1:5">
      <c r="A211" s="103"/>
      <c r="D211" s="104"/>
      <c r="E211" s="105"/>
    </row>
    <row r="212" spans="1:5">
      <c r="A212" s="103"/>
      <c r="D212" s="104"/>
      <c r="E212" s="105"/>
    </row>
    <row r="213" spans="1:5">
      <c r="A213" s="103"/>
      <c r="D213" s="104"/>
      <c r="E213" s="105"/>
    </row>
    <row r="214" spans="1:5">
      <c r="A214" s="103"/>
      <c r="D214" s="104"/>
      <c r="E214" s="105"/>
    </row>
    <row r="215" spans="1:5">
      <c r="A215" s="103"/>
      <c r="D215" s="104"/>
      <c r="E215" s="105"/>
    </row>
    <row r="216" spans="1:5">
      <c r="A216" s="103"/>
      <c r="D216" s="104"/>
      <c r="E216" s="105"/>
    </row>
    <row r="217" spans="1:5">
      <c r="A217" s="103"/>
      <c r="D217" s="104"/>
      <c r="E217" s="105"/>
    </row>
    <row r="218" spans="1:5">
      <c r="A218" s="103"/>
      <c r="D218" s="104"/>
      <c r="E218" s="105"/>
    </row>
    <row r="219" spans="1:5">
      <c r="A219" s="103"/>
      <c r="D219" s="104"/>
      <c r="E219" s="105"/>
    </row>
    <row r="220" spans="1:5">
      <c r="A220" s="103"/>
      <c r="D220" s="104"/>
      <c r="E220" s="105"/>
    </row>
    <row r="221" spans="1:5">
      <c r="A221" s="103"/>
    </row>
    <row r="222" spans="1:5">
      <c r="A222" s="103"/>
    </row>
    <row r="223" spans="1:5">
      <c r="A223" s="103"/>
    </row>
    <row r="224" spans="1:5">
      <c r="A224" s="103"/>
    </row>
    <row r="225" spans="1:1">
      <c r="A225" s="103"/>
    </row>
    <row r="226" spans="1:1">
      <c r="A226" s="103"/>
    </row>
    <row r="227" spans="1:1">
      <c r="A227" s="103"/>
    </row>
    <row r="228" spans="1:1">
      <c r="A228" s="103"/>
    </row>
    <row r="229" spans="1:1">
      <c r="A229" s="103"/>
    </row>
    <row r="230" spans="1:1">
      <c r="A230" s="103"/>
    </row>
    <row r="231" spans="1:1">
      <c r="A231" s="103"/>
    </row>
    <row r="232" spans="1:1">
      <c r="A232" s="103"/>
    </row>
    <row r="233" spans="1:1">
      <c r="A233" s="103"/>
    </row>
    <row r="234" spans="1:1">
      <c r="A234" s="103"/>
    </row>
    <row r="235" spans="1:1">
      <c r="A235" s="103"/>
    </row>
    <row r="236" spans="1:1">
      <c r="A236" s="103"/>
    </row>
    <row r="237" spans="1:1">
      <c r="A237" s="103"/>
    </row>
    <row r="238" spans="1:1">
      <c r="A238" s="103"/>
    </row>
    <row r="239" spans="1:1">
      <c r="A239" s="103"/>
    </row>
    <row r="240" spans="1:1">
      <c r="A240" s="103"/>
    </row>
    <row r="241" spans="1:1">
      <c r="A241" s="103"/>
    </row>
    <row r="242" spans="1:1">
      <c r="A242" s="103"/>
    </row>
    <row r="243" spans="1:1">
      <c r="A243" s="103"/>
    </row>
    <row r="244" spans="1:1">
      <c r="A244" s="103"/>
    </row>
    <row r="245" spans="1:1">
      <c r="A245" s="103"/>
    </row>
    <row r="246" spans="1:1">
      <c r="A246" s="103"/>
    </row>
    <row r="247" spans="1:1">
      <c r="A247" s="103"/>
    </row>
    <row r="248" spans="1:1">
      <c r="A248" s="103"/>
    </row>
    <row r="249" spans="1:1">
      <c r="A249" s="103"/>
    </row>
    <row r="250" spans="1:1">
      <c r="A250" s="103"/>
    </row>
    <row r="251" spans="1:1">
      <c r="A251" s="103"/>
    </row>
    <row r="252" spans="1:1">
      <c r="A252" s="103"/>
    </row>
    <row r="253" spans="1:1">
      <c r="A253" s="103"/>
    </row>
    <row r="254" spans="1:1">
      <c r="A254" s="103"/>
    </row>
    <row r="255" spans="1:1">
      <c r="A255" s="103"/>
    </row>
    <row r="256" spans="1:1">
      <c r="A256" s="103"/>
    </row>
    <row r="257" spans="1:1">
      <c r="A257" s="103"/>
    </row>
    <row r="258" spans="1:1">
      <c r="A258" s="103"/>
    </row>
    <row r="259" spans="1:1">
      <c r="A259" s="103"/>
    </row>
    <row r="260" spans="1:1">
      <c r="A260" s="103"/>
    </row>
    <row r="261" spans="1:1">
      <c r="A261" s="103"/>
    </row>
    <row r="262" spans="1:1">
      <c r="A262" s="103"/>
    </row>
    <row r="263" spans="1:1">
      <c r="A263" s="103"/>
    </row>
    <row r="264" spans="1:1">
      <c r="A264" s="103"/>
    </row>
    <row r="265" spans="1:1">
      <c r="A265" s="103"/>
    </row>
    <row r="266" spans="1:1">
      <c r="A266" s="103"/>
    </row>
    <row r="267" spans="1:1">
      <c r="A267" s="103"/>
    </row>
    <row r="268" spans="1:1">
      <c r="A268" s="103"/>
    </row>
    <row r="269" spans="1:1">
      <c r="A269" s="103"/>
    </row>
    <row r="270" spans="1:1">
      <c r="A270" s="103"/>
    </row>
    <row r="271" spans="1:1">
      <c r="A271" s="103"/>
    </row>
    <row r="272" spans="1:1">
      <c r="A272" s="103"/>
    </row>
    <row r="273" spans="1:1">
      <c r="A273" s="103"/>
    </row>
    <row r="274" spans="1:1">
      <c r="A274" s="103"/>
    </row>
    <row r="275" spans="1:1">
      <c r="A275" s="103"/>
    </row>
    <row r="276" spans="1:1">
      <c r="A276" s="103"/>
    </row>
    <row r="277" spans="1:1">
      <c r="A277" s="103"/>
    </row>
    <row r="278" spans="1:1">
      <c r="A278" s="103"/>
    </row>
    <row r="279" spans="1:1">
      <c r="A279" s="103"/>
    </row>
    <row r="280" spans="1:1">
      <c r="A280" s="103"/>
    </row>
    <row r="281" spans="1:1">
      <c r="A281" s="103"/>
    </row>
    <row r="282" spans="1:1">
      <c r="A282" s="103"/>
    </row>
    <row r="283" spans="1:1">
      <c r="A283" s="103"/>
    </row>
    <row r="284" spans="1:1">
      <c r="A284" s="103"/>
    </row>
    <row r="285" spans="1:1">
      <c r="A285" s="103"/>
    </row>
    <row r="286" spans="1:1">
      <c r="A286" s="103"/>
    </row>
    <row r="287" spans="1:1">
      <c r="A287" s="103"/>
    </row>
    <row r="288" spans="1:1">
      <c r="A288" s="103"/>
    </row>
    <row r="289" spans="1:1">
      <c r="A289" s="103"/>
    </row>
    <row r="290" spans="1:1">
      <c r="A290" s="103"/>
    </row>
    <row r="291" spans="1:1">
      <c r="A291" s="103"/>
    </row>
    <row r="292" spans="1:1">
      <c r="A292" s="103"/>
    </row>
    <row r="293" spans="1:1">
      <c r="A293" s="103"/>
    </row>
    <row r="294" spans="1:1">
      <c r="A294" s="103"/>
    </row>
    <row r="295" spans="1:1">
      <c r="A295" s="103"/>
    </row>
    <row r="296" spans="1:1">
      <c r="A296" s="103"/>
    </row>
    <row r="297" spans="1:1">
      <c r="A297" s="103"/>
    </row>
    <row r="298" spans="1:1">
      <c r="A298" s="103"/>
    </row>
    <row r="299" spans="1:1">
      <c r="A299" s="103"/>
    </row>
    <row r="300" spans="1:1">
      <c r="A300" s="103"/>
    </row>
    <row r="301" spans="1:1">
      <c r="A301" s="103"/>
    </row>
    <row r="302" spans="1:1">
      <c r="A302" s="103"/>
    </row>
    <row r="303" spans="1:1">
      <c r="A303" s="103"/>
    </row>
    <row r="304" spans="1:1">
      <c r="A304" s="103"/>
    </row>
    <row r="305" spans="1:1">
      <c r="A305" s="103"/>
    </row>
    <row r="306" spans="1:1">
      <c r="A306" s="103"/>
    </row>
    <row r="307" spans="1:1">
      <c r="A307" s="103"/>
    </row>
    <row r="308" spans="1:1">
      <c r="A308" s="103"/>
    </row>
    <row r="309" spans="1:1">
      <c r="A309" s="103"/>
    </row>
    <row r="310" spans="1:1">
      <c r="A310" s="103"/>
    </row>
    <row r="311" spans="1:1">
      <c r="A311" s="103"/>
    </row>
    <row r="312" spans="1:1">
      <c r="A312" s="103"/>
    </row>
    <row r="313" spans="1:1">
      <c r="A313" s="103"/>
    </row>
    <row r="314" spans="1:1">
      <c r="A314" s="103"/>
    </row>
    <row r="315" spans="1:1">
      <c r="A315" s="103"/>
    </row>
    <row r="316" spans="1:1">
      <c r="A316" s="103"/>
    </row>
    <row r="317" spans="1:1">
      <c r="A317" s="103"/>
    </row>
    <row r="318" spans="1:1">
      <c r="A318" s="103"/>
    </row>
    <row r="319" spans="1:1">
      <c r="A319" s="103"/>
    </row>
    <row r="320" spans="1:1">
      <c r="A320" s="103"/>
    </row>
    <row r="321" spans="1:1">
      <c r="A321" s="103"/>
    </row>
    <row r="322" spans="1:1">
      <c r="A322" s="103"/>
    </row>
    <row r="323" spans="1:1">
      <c r="A323" s="103"/>
    </row>
    <row r="324" spans="1:1">
      <c r="A324" s="103"/>
    </row>
    <row r="325" spans="1:1">
      <c r="A325" s="103"/>
    </row>
    <row r="326" spans="1:1">
      <c r="A326" s="103"/>
    </row>
    <row r="327" spans="1:1">
      <c r="A327" s="103"/>
    </row>
    <row r="328" spans="1:1">
      <c r="A328" s="103"/>
    </row>
    <row r="329" spans="1:1">
      <c r="A329" s="103"/>
    </row>
    <row r="330" spans="1:1">
      <c r="A330" s="103"/>
    </row>
    <row r="331" spans="1:1">
      <c r="A331" s="103"/>
    </row>
    <row r="332" spans="1:1">
      <c r="A332" s="103"/>
    </row>
    <row r="333" spans="1:1">
      <c r="A333" s="103"/>
    </row>
    <row r="334" spans="1:1">
      <c r="A334" s="103"/>
    </row>
    <row r="335" spans="1:1">
      <c r="A335" s="103"/>
    </row>
    <row r="336" spans="1:1">
      <c r="A336" s="103"/>
    </row>
    <row r="337" spans="1:1">
      <c r="A337" s="103"/>
    </row>
    <row r="338" spans="1:1">
      <c r="A338" s="103"/>
    </row>
    <row r="339" spans="1:1">
      <c r="A339" s="103"/>
    </row>
    <row r="340" spans="1:1">
      <c r="A340" s="103"/>
    </row>
    <row r="341" spans="1:1">
      <c r="A341" s="103"/>
    </row>
    <row r="342" spans="1:1">
      <c r="A342" s="103"/>
    </row>
    <row r="343" spans="1:1">
      <c r="A343" s="103"/>
    </row>
    <row r="344" spans="1:1">
      <c r="A344" s="103"/>
    </row>
    <row r="345" spans="1:1">
      <c r="A345" s="103"/>
    </row>
    <row r="346" spans="1:1">
      <c r="A346" s="103"/>
    </row>
    <row r="347" spans="1:1">
      <c r="A347" s="103"/>
    </row>
    <row r="348" spans="1:1">
      <c r="A348" s="103"/>
    </row>
    <row r="349" spans="1:1">
      <c r="A349" s="103"/>
    </row>
    <row r="350" spans="1:1">
      <c r="A350" s="103"/>
    </row>
    <row r="351" spans="1:1">
      <c r="A351" s="103"/>
    </row>
    <row r="352" spans="1:1">
      <c r="A352" s="103"/>
    </row>
    <row r="353" spans="1:1">
      <c r="A353" s="103"/>
    </row>
    <row r="354" spans="1:1">
      <c r="A354" s="103"/>
    </row>
    <row r="355" spans="1:1">
      <c r="A355" s="103"/>
    </row>
    <row r="356" spans="1:1">
      <c r="A356" s="103"/>
    </row>
    <row r="357" spans="1:1">
      <c r="A357" s="103"/>
    </row>
    <row r="358" spans="1:1">
      <c r="A358" s="103"/>
    </row>
    <row r="359" spans="1:1">
      <c r="A359" s="103"/>
    </row>
    <row r="360" spans="1:1">
      <c r="A360" s="103"/>
    </row>
    <row r="361" spans="1:1">
      <c r="A361" s="103"/>
    </row>
    <row r="362" spans="1:1">
      <c r="A362" s="103"/>
    </row>
    <row r="363" spans="1:1">
      <c r="A363" s="103"/>
    </row>
    <row r="364" spans="1:1">
      <c r="A364" s="103"/>
    </row>
    <row r="365" spans="1:1">
      <c r="A365" s="103"/>
    </row>
    <row r="366" spans="1:1">
      <c r="A366" s="103"/>
    </row>
    <row r="367" spans="1:1">
      <c r="A367" s="103"/>
    </row>
    <row r="368" spans="1:1">
      <c r="A368" s="103"/>
    </row>
    <row r="369" spans="1:1">
      <c r="A369" s="103"/>
    </row>
    <row r="370" spans="1:1">
      <c r="A370" s="103"/>
    </row>
    <row r="371" spans="1:1">
      <c r="A371" s="103"/>
    </row>
    <row r="372" spans="1:1">
      <c r="A372" s="103"/>
    </row>
    <row r="373" spans="1:1">
      <c r="A373" s="103"/>
    </row>
    <row r="374" spans="1:1">
      <c r="A374" s="103"/>
    </row>
    <row r="375" spans="1:1">
      <c r="A375" s="103"/>
    </row>
    <row r="376" spans="1:1">
      <c r="A376" s="103"/>
    </row>
    <row r="377" spans="1:1">
      <c r="A377" s="103"/>
    </row>
    <row r="378" spans="1:1">
      <c r="A378" s="103"/>
    </row>
    <row r="379" spans="1:1">
      <c r="A379" s="103"/>
    </row>
    <row r="380" spans="1:1">
      <c r="A380" s="103"/>
    </row>
    <row r="381" spans="1:1">
      <c r="A381" s="103"/>
    </row>
    <row r="382" spans="1:1">
      <c r="A382" s="103"/>
    </row>
    <row r="383" spans="1:1">
      <c r="A383" s="103"/>
    </row>
    <row r="384" spans="1:1">
      <c r="A384" s="103"/>
    </row>
    <row r="385" spans="1:1">
      <c r="A385" s="103"/>
    </row>
    <row r="386" spans="1:1">
      <c r="A386" s="103"/>
    </row>
    <row r="387" spans="1:1">
      <c r="A387" s="103"/>
    </row>
    <row r="388" spans="1:1">
      <c r="A388" s="103"/>
    </row>
    <row r="389" spans="1:1">
      <c r="A389" s="103"/>
    </row>
    <row r="390" spans="1:1">
      <c r="A390" s="103"/>
    </row>
    <row r="391" spans="1:1">
      <c r="A391" s="103"/>
    </row>
    <row r="392" spans="1:1">
      <c r="A392" s="103"/>
    </row>
    <row r="393" spans="1:1">
      <c r="A393" s="103"/>
    </row>
    <row r="394" spans="1:1">
      <c r="A394" s="103"/>
    </row>
    <row r="395" spans="1:1">
      <c r="A395" s="103"/>
    </row>
    <row r="396" spans="1:1">
      <c r="A396" s="103"/>
    </row>
    <row r="397" spans="1:1">
      <c r="A397" s="103"/>
    </row>
    <row r="398" spans="1:1">
      <c r="A398" s="103"/>
    </row>
    <row r="399" spans="1:1">
      <c r="A399" s="103"/>
    </row>
    <row r="400" spans="1:1">
      <c r="A400" s="103"/>
    </row>
    <row r="401" spans="1:1">
      <c r="A401" s="103"/>
    </row>
    <row r="402" spans="1:1">
      <c r="A402" s="103"/>
    </row>
    <row r="403" spans="1:1">
      <c r="A403" s="103"/>
    </row>
    <row r="404" spans="1:1">
      <c r="A404" s="103"/>
    </row>
    <row r="405" spans="1:1">
      <c r="A405" s="103"/>
    </row>
    <row r="406" spans="1:1">
      <c r="A406" s="103"/>
    </row>
    <row r="407" spans="1:1">
      <c r="A407" s="103"/>
    </row>
    <row r="408" spans="1:1">
      <c r="A408" s="103"/>
    </row>
    <row r="409" spans="1:1">
      <c r="A409" s="103"/>
    </row>
    <row r="410" spans="1:1">
      <c r="A410" s="103"/>
    </row>
    <row r="411" spans="1:1">
      <c r="A411" s="103"/>
    </row>
    <row r="412" spans="1:1">
      <c r="A412" s="103"/>
    </row>
    <row r="413" spans="1:1">
      <c r="A413" s="103"/>
    </row>
    <row r="414" spans="1:1">
      <c r="A414" s="103"/>
    </row>
    <row r="415" spans="1:1">
      <c r="A415" s="103"/>
    </row>
    <row r="416" spans="1:1">
      <c r="A416" s="103"/>
    </row>
    <row r="417" spans="1:1">
      <c r="A417" s="103"/>
    </row>
    <row r="418" spans="1:1">
      <c r="A418" s="103"/>
    </row>
    <row r="419" spans="1:1">
      <c r="A419" s="103"/>
    </row>
    <row r="420" spans="1:1">
      <c r="A420" s="103"/>
    </row>
    <row r="421" spans="1:1">
      <c r="A421" s="103"/>
    </row>
    <row r="422" spans="1:1">
      <c r="A422" s="103"/>
    </row>
    <row r="423" spans="1:1">
      <c r="A423" s="103"/>
    </row>
    <row r="424" spans="1:1">
      <c r="A424" s="103"/>
    </row>
    <row r="425" spans="1:1">
      <c r="A425" s="103"/>
    </row>
    <row r="426" spans="1:1">
      <c r="A426" s="103"/>
    </row>
    <row r="427" spans="1:1">
      <c r="A427" s="103"/>
    </row>
    <row r="428" spans="1:1">
      <c r="A428" s="103"/>
    </row>
    <row r="429" spans="1:1">
      <c r="A429" s="103"/>
    </row>
    <row r="430" spans="1:1">
      <c r="A430" s="103"/>
    </row>
    <row r="431" spans="1:1">
      <c r="A431" s="103"/>
    </row>
    <row r="432" spans="1:1">
      <c r="A432" s="103"/>
    </row>
    <row r="433" spans="1:1">
      <c r="A433" s="103"/>
    </row>
    <row r="434" spans="1:1">
      <c r="A434" s="103"/>
    </row>
    <row r="435" spans="1:1">
      <c r="A435" s="103"/>
    </row>
    <row r="436" spans="1:1">
      <c r="A436" s="103"/>
    </row>
    <row r="437" spans="1:1">
      <c r="A437" s="103"/>
    </row>
    <row r="438" spans="1:1">
      <c r="A438" s="103"/>
    </row>
    <row r="439" spans="1:1">
      <c r="A439" s="103"/>
    </row>
    <row r="440" spans="1:1">
      <c r="A440" s="103"/>
    </row>
    <row r="441" spans="1:1">
      <c r="A441" s="10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PJ119"/>
  <sheetViews>
    <sheetView zoomScale="85" zoomScaleNormal="85" workbookViewId="0">
      <selection activeCell="Q6" sqref="Q6"/>
    </sheetView>
  </sheetViews>
  <sheetFormatPr defaultRowHeight="15"/>
  <cols>
    <col min="1" max="1" width="11" bestFit="1" customWidth="1"/>
    <col min="22" max="22" width="9.140625" style="115"/>
    <col min="48" max="50" width="9.140625" style="56"/>
    <col min="95" max="95" width="9.140625" style="115"/>
    <col min="127" max="127" width="37.7109375" bestFit="1" customWidth="1"/>
    <col min="183" max="183" width="9.140625" style="56"/>
    <col min="213" max="213" width="8.5703125" customWidth="1"/>
    <col min="258" max="258" width="16" customWidth="1"/>
    <col min="282" max="282" width="9.140625" style="56"/>
    <col min="290" max="290" width="10.7109375" customWidth="1"/>
    <col min="307" max="307" width="9.140625" style="56"/>
    <col min="324" max="324" width="81.28515625" bestFit="1" customWidth="1"/>
    <col min="325" max="325" width="47.7109375" bestFit="1" customWidth="1"/>
    <col min="326" max="326" width="51.28515625" bestFit="1" customWidth="1"/>
    <col min="327" max="327" width="39.140625" bestFit="1" customWidth="1"/>
    <col min="328" max="328" width="62.28515625" bestFit="1" customWidth="1"/>
    <col min="329" max="329" width="67" bestFit="1" customWidth="1"/>
    <col min="330" max="330" width="28.85546875" bestFit="1" customWidth="1"/>
    <col min="331" max="331" width="37.28515625" bestFit="1" customWidth="1"/>
    <col min="332" max="332" width="40" bestFit="1" customWidth="1"/>
    <col min="333" max="333" width="67.85546875" bestFit="1" customWidth="1"/>
    <col min="334" max="334" width="59.42578125" bestFit="1" customWidth="1"/>
    <col min="335" max="335" width="74.140625" bestFit="1" customWidth="1"/>
    <col min="336" max="336" width="74.85546875" bestFit="1" customWidth="1"/>
    <col min="337" max="337" width="64" bestFit="1" customWidth="1"/>
    <col min="338" max="338" width="60.42578125" bestFit="1" customWidth="1"/>
    <col min="340" max="340" width="33.85546875" bestFit="1" customWidth="1"/>
    <col min="341" max="341" width="57.7109375" bestFit="1" customWidth="1"/>
    <col min="343" max="343" width="45.85546875" bestFit="1" customWidth="1"/>
    <col min="346" max="346" width="59.28515625" bestFit="1" customWidth="1"/>
    <col min="347" max="347" width="45.5703125" bestFit="1" customWidth="1"/>
    <col min="348" max="348" width="62.28515625" bestFit="1" customWidth="1"/>
    <col min="352" max="352" width="62.5703125" bestFit="1" customWidth="1"/>
    <col min="356" max="356" width="62.140625" bestFit="1" customWidth="1"/>
    <col min="357" max="357" width="62.85546875" bestFit="1" customWidth="1"/>
    <col min="358" max="358" width="50.85546875" bestFit="1" customWidth="1"/>
    <col min="360" max="364" width="47.7109375" customWidth="1"/>
    <col min="365" max="365" width="51.140625" bestFit="1" customWidth="1"/>
    <col min="417" max="417" width="36" bestFit="1" customWidth="1"/>
    <col min="418" max="418" width="35.7109375" bestFit="1" customWidth="1"/>
    <col min="419" max="419" width="61.28515625" bestFit="1" customWidth="1"/>
    <col min="420" max="420" width="61.140625" bestFit="1" customWidth="1"/>
    <col min="421" max="421" width="36.5703125" bestFit="1" customWidth="1"/>
    <col min="422" max="422" width="36.42578125" bestFit="1" customWidth="1"/>
    <col min="423" max="423" width="36.5703125" bestFit="1" customWidth="1"/>
    <col min="424" max="424" width="36.42578125" bestFit="1" customWidth="1"/>
    <col min="425" max="425" width="58.140625" bestFit="1" customWidth="1"/>
    <col min="426" max="426" width="58" bestFit="1" customWidth="1"/>
    <col min="427" max="427" width="68.42578125" bestFit="1" customWidth="1"/>
    <col min="428" max="428" width="68.140625" bestFit="1" customWidth="1"/>
  </cols>
  <sheetData>
    <row r="1" spans="1:426" s="115" customFormat="1">
      <c r="A1" s="115" t="s">
        <v>629</v>
      </c>
      <c r="B1" s="140" t="s">
        <v>630</v>
      </c>
      <c r="C1" s="115" t="s">
        <v>631</v>
      </c>
      <c r="D1" s="115" t="s">
        <v>632</v>
      </c>
      <c r="E1" s="115" t="s">
        <v>633</v>
      </c>
      <c r="F1" s="115" t="s">
        <v>634</v>
      </c>
      <c r="G1" s="115" t="s">
        <v>635</v>
      </c>
      <c r="H1" s="115" t="s">
        <v>636</v>
      </c>
      <c r="I1" s="115" t="s">
        <v>637</v>
      </c>
      <c r="J1" s="115" t="s">
        <v>638</v>
      </c>
      <c r="K1" s="115" t="s">
        <v>639</v>
      </c>
      <c r="L1" s="115" t="s">
        <v>1105</v>
      </c>
      <c r="M1" s="115" t="s">
        <v>1106</v>
      </c>
      <c r="N1" s="115" t="s">
        <v>1107</v>
      </c>
      <c r="O1" s="115" t="s">
        <v>989</v>
      </c>
      <c r="P1" s="115" t="s">
        <v>990</v>
      </c>
      <c r="Q1" s="115" t="s">
        <v>1063</v>
      </c>
      <c r="R1" s="115" t="s">
        <v>1064</v>
      </c>
      <c r="S1" s="115" t="s">
        <v>1108</v>
      </c>
      <c r="T1" s="115" t="s">
        <v>1109</v>
      </c>
      <c r="U1" s="115" t="s">
        <v>1110</v>
      </c>
      <c r="V1" s="115" t="s">
        <v>1111</v>
      </c>
      <c r="W1" s="115" t="s">
        <v>640</v>
      </c>
      <c r="X1" s="115" t="s">
        <v>641</v>
      </c>
      <c r="Y1" s="115" t="s">
        <v>642</v>
      </c>
      <c r="Z1" s="115" t="s">
        <v>643</v>
      </c>
      <c r="AA1" s="115" t="s">
        <v>644</v>
      </c>
      <c r="AB1" s="115" t="s">
        <v>645</v>
      </c>
      <c r="AC1" s="115" t="s">
        <v>991</v>
      </c>
      <c r="AD1" s="115" t="s">
        <v>992</v>
      </c>
      <c r="AE1" s="115" t="s">
        <v>646</v>
      </c>
      <c r="AF1" s="115" t="s">
        <v>647</v>
      </c>
      <c r="AG1" s="115" t="s">
        <v>648</v>
      </c>
      <c r="AH1" s="115" t="s">
        <v>993</v>
      </c>
      <c r="AI1" s="115" t="s">
        <v>649</v>
      </c>
      <c r="AJ1" s="115" t="s">
        <v>650</v>
      </c>
      <c r="AK1" s="115" t="s">
        <v>651</v>
      </c>
      <c r="AL1" s="115" t="s">
        <v>652</v>
      </c>
      <c r="AM1" s="115" t="s">
        <v>653</v>
      </c>
      <c r="AN1" s="115" t="s">
        <v>654</v>
      </c>
      <c r="AO1" s="115" t="s">
        <v>655</v>
      </c>
      <c r="AP1" s="115" t="s">
        <v>656</v>
      </c>
      <c r="AQ1" s="115" t="s">
        <v>657</v>
      </c>
      <c r="AR1" s="115" t="s">
        <v>658</v>
      </c>
      <c r="AS1" s="115" t="s">
        <v>659</v>
      </c>
      <c r="AT1" s="115" t="s">
        <v>660</v>
      </c>
      <c r="AU1" s="115" t="s">
        <v>661</v>
      </c>
      <c r="AV1" s="115" t="s">
        <v>662</v>
      </c>
      <c r="AW1" s="115" t="s">
        <v>663</v>
      </c>
      <c r="AX1" s="115" t="s">
        <v>664</v>
      </c>
      <c r="AY1" s="115" t="s">
        <v>665</v>
      </c>
      <c r="AZ1" s="115" t="s">
        <v>666</v>
      </c>
      <c r="BA1" s="115" t="s">
        <v>667</v>
      </c>
      <c r="BB1" s="115" t="s">
        <v>668</v>
      </c>
      <c r="BC1" s="115" t="s">
        <v>669</v>
      </c>
      <c r="BD1" s="115" t="s">
        <v>670</v>
      </c>
      <c r="BE1" s="124" t="s">
        <v>671</v>
      </c>
      <c r="BF1" s="115" t="s">
        <v>672</v>
      </c>
      <c r="BG1" s="115" t="s">
        <v>673</v>
      </c>
      <c r="BH1" s="115" t="s">
        <v>674</v>
      </c>
      <c r="BI1" s="115" t="s">
        <v>675</v>
      </c>
      <c r="BJ1" s="115" t="s">
        <v>676</v>
      </c>
      <c r="BK1" s="115" t="s">
        <v>677</v>
      </c>
      <c r="BL1" s="115" t="s">
        <v>678</v>
      </c>
      <c r="BM1" s="115" t="s">
        <v>679</v>
      </c>
      <c r="BN1" s="115" t="s">
        <v>680</v>
      </c>
      <c r="BO1" s="115" t="s">
        <v>681</v>
      </c>
      <c r="BP1" s="115" t="s">
        <v>682</v>
      </c>
      <c r="BQ1" s="115" t="s">
        <v>683</v>
      </c>
      <c r="BR1" s="115" t="s">
        <v>684</v>
      </c>
      <c r="BS1" s="115" t="s">
        <v>1112</v>
      </c>
      <c r="BT1" s="115" t="s">
        <v>685</v>
      </c>
      <c r="BU1" s="115" t="s">
        <v>686</v>
      </c>
      <c r="BV1" s="115" t="s">
        <v>687</v>
      </c>
      <c r="BW1" s="115" t="s">
        <v>688</v>
      </c>
      <c r="BX1" s="115" t="s">
        <v>896</v>
      </c>
      <c r="BY1" s="115" t="s">
        <v>689</v>
      </c>
      <c r="BZ1" s="115" t="s">
        <v>690</v>
      </c>
      <c r="CA1" s="115" t="s">
        <v>691</v>
      </c>
      <c r="CB1" s="115" t="s">
        <v>692</v>
      </c>
      <c r="CC1" s="115" t="s">
        <v>693</v>
      </c>
      <c r="CD1" s="115" t="s">
        <v>1113</v>
      </c>
      <c r="CE1" s="115" t="s">
        <v>897</v>
      </c>
      <c r="CF1" s="115" t="s">
        <v>694</v>
      </c>
      <c r="CG1" s="115" t="s">
        <v>695</v>
      </c>
      <c r="CH1" s="115" t="s">
        <v>696</v>
      </c>
      <c r="CI1" s="115" t="s">
        <v>697</v>
      </c>
      <c r="CJ1" s="115" t="s">
        <v>698</v>
      </c>
      <c r="CK1" s="115" t="s">
        <v>699</v>
      </c>
      <c r="CL1" s="115" t="s">
        <v>700</v>
      </c>
      <c r="CM1" s="115" t="s">
        <v>701</v>
      </c>
      <c r="CN1" s="115" t="s">
        <v>702</v>
      </c>
      <c r="CO1" s="115" t="s">
        <v>703</v>
      </c>
      <c r="CP1" s="115" t="s">
        <v>704</v>
      </c>
      <c r="CQ1" s="115" t="s">
        <v>705</v>
      </c>
      <c r="CR1" s="115" t="s">
        <v>706</v>
      </c>
      <c r="CS1" s="115" t="s">
        <v>708</v>
      </c>
      <c r="CT1" s="115" t="s">
        <v>709</v>
      </c>
      <c r="CU1" s="115" t="s">
        <v>707</v>
      </c>
      <c r="CV1" s="115" t="s">
        <v>994</v>
      </c>
      <c r="CW1" s="115" t="s">
        <v>995</v>
      </c>
      <c r="CX1" s="115" t="s">
        <v>710</v>
      </c>
      <c r="CY1" s="115" t="s">
        <v>711</v>
      </c>
      <c r="CZ1" s="115" t="s">
        <v>712</v>
      </c>
      <c r="DA1" s="115" t="s">
        <v>713</v>
      </c>
      <c r="DB1" s="115" t="s">
        <v>714</v>
      </c>
      <c r="DC1" s="115" t="s">
        <v>715</v>
      </c>
      <c r="DD1" s="115" t="s">
        <v>716</v>
      </c>
      <c r="DE1" s="115" t="s">
        <v>717</v>
      </c>
      <c r="DF1" s="115" t="s">
        <v>718</v>
      </c>
      <c r="DG1" s="115" t="s">
        <v>719</v>
      </c>
      <c r="DH1" s="115" t="s">
        <v>720</v>
      </c>
      <c r="DI1" s="115" t="s">
        <v>996</v>
      </c>
      <c r="DJ1" s="115" t="s">
        <v>721</v>
      </c>
      <c r="DK1" s="115" t="s">
        <v>722</v>
      </c>
      <c r="DL1" s="115" t="s">
        <v>723</v>
      </c>
      <c r="DM1" s="115" t="s">
        <v>724</v>
      </c>
      <c r="DN1" s="115" t="s">
        <v>725</v>
      </c>
      <c r="DO1" s="115" t="s">
        <v>726</v>
      </c>
      <c r="DP1" s="115" t="s">
        <v>727</v>
      </c>
      <c r="DQ1" s="115" t="s">
        <v>728</v>
      </c>
      <c r="DR1" s="115" t="s">
        <v>729</v>
      </c>
      <c r="DS1" s="115" t="s">
        <v>730</v>
      </c>
      <c r="DT1" s="115" t="s">
        <v>731</v>
      </c>
      <c r="DU1" s="115" t="s">
        <v>732</v>
      </c>
      <c r="DV1" s="115" t="s">
        <v>733</v>
      </c>
      <c r="DW1" s="115" t="s">
        <v>734</v>
      </c>
      <c r="DX1" s="115" t="s">
        <v>735</v>
      </c>
      <c r="DY1" s="115" t="s">
        <v>736</v>
      </c>
      <c r="DZ1" s="115" t="s">
        <v>737</v>
      </c>
      <c r="EA1" s="115" t="s">
        <v>738</v>
      </c>
      <c r="EB1" s="115" t="s">
        <v>739</v>
      </c>
      <c r="EC1" s="115" t="s">
        <v>740</v>
      </c>
      <c r="ED1" s="115" t="s">
        <v>741</v>
      </c>
      <c r="EE1" s="115" t="s">
        <v>742</v>
      </c>
      <c r="EF1" s="115" t="s">
        <v>743</v>
      </c>
      <c r="EG1" s="115" t="s">
        <v>744</v>
      </c>
      <c r="EH1" s="115" t="s">
        <v>745</v>
      </c>
      <c r="EI1" s="115" t="s">
        <v>746</v>
      </c>
      <c r="EJ1" s="115" t="s">
        <v>747</v>
      </c>
      <c r="EK1" s="115" t="s">
        <v>997</v>
      </c>
      <c r="EL1" s="115" t="s">
        <v>898</v>
      </c>
      <c r="EM1" s="115" t="s">
        <v>748</v>
      </c>
      <c r="EN1" s="115" t="s">
        <v>749</v>
      </c>
      <c r="EO1" s="115" t="s">
        <v>750</v>
      </c>
      <c r="EP1" s="115" t="s">
        <v>751</v>
      </c>
      <c r="EQ1" s="115" t="s">
        <v>752</v>
      </c>
      <c r="ER1" s="115" t="s">
        <v>753</v>
      </c>
      <c r="ES1" s="115" t="s">
        <v>754</v>
      </c>
      <c r="ET1" s="115" t="s">
        <v>755</v>
      </c>
      <c r="EU1" s="115" t="s">
        <v>756</v>
      </c>
      <c r="EV1" s="115" t="s">
        <v>757</v>
      </c>
      <c r="EW1" s="115" t="s">
        <v>758</v>
      </c>
      <c r="EX1" s="115" t="s">
        <v>759</v>
      </c>
      <c r="EY1" s="115" t="s">
        <v>760</v>
      </c>
      <c r="EZ1" s="115" t="s">
        <v>761</v>
      </c>
      <c r="FA1" s="115" t="s">
        <v>762</v>
      </c>
      <c r="FB1" s="115" t="s">
        <v>763</v>
      </c>
      <c r="FC1" s="115" t="s">
        <v>764</v>
      </c>
      <c r="FD1" s="115" t="s">
        <v>765</v>
      </c>
      <c r="FE1" s="115" t="s">
        <v>766</v>
      </c>
      <c r="FF1" s="115" t="s">
        <v>767</v>
      </c>
      <c r="FG1" s="115" t="s">
        <v>768</v>
      </c>
      <c r="FH1" s="115" t="s">
        <v>769</v>
      </c>
      <c r="FI1" s="115" t="s">
        <v>998</v>
      </c>
      <c r="FJ1" s="115" t="s">
        <v>770</v>
      </c>
      <c r="FK1" s="115" t="s">
        <v>771</v>
      </c>
      <c r="FL1" s="115" t="s">
        <v>1114</v>
      </c>
      <c r="FM1" s="115" t="s">
        <v>1115</v>
      </c>
      <c r="FN1" s="115" t="s">
        <v>899</v>
      </c>
      <c r="FO1" s="115" t="s">
        <v>772</v>
      </c>
      <c r="FP1" s="115" t="s">
        <v>773</v>
      </c>
      <c r="FQ1" s="115" t="s">
        <v>774</v>
      </c>
      <c r="FR1" s="115" t="s">
        <v>999</v>
      </c>
      <c r="FS1" s="115" t="s">
        <v>900</v>
      </c>
      <c r="FT1" s="115" t="s">
        <v>901</v>
      </c>
      <c r="FU1" s="115" t="s">
        <v>775</v>
      </c>
      <c r="FV1" s="115" t="s">
        <v>776</v>
      </c>
      <c r="FW1" s="115" t="s">
        <v>777</v>
      </c>
      <c r="FX1" s="115" t="s">
        <v>1000</v>
      </c>
      <c r="FY1" s="115" t="s">
        <v>902</v>
      </c>
      <c r="FZ1" s="115" t="s">
        <v>903</v>
      </c>
      <c r="GA1" s="115" t="s">
        <v>778</v>
      </c>
      <c r="GB1" s="115" t="s">
        <v>1001</v>
      </c>
      <c r="GC1" s="115" t="s">
        <v>1137</v>
      </c>
      <c r="GD1" s="115" t="s">
        <v>1138</v>
      </c>
      <c r="GE1" s="115" t="s">
        <v>779</v>
      </c>
      <c r="GF1" s="115" t="s">
        <v>780</v>
      </c>
      <c r="GG1" s="115" t="s">
        <v>904</v>
      </c>
      <c r="GH1" s="115" t="s">
        <v>905</v>
      </c>
      <c r="GI1" s="115" t="s">
        <v>781</v>
      </c>
      <c r="GJ1" s="115" t="s">
        <v>782</v>
      </c>
      <c r="GK1" s="115" t="s">
        <v>783</v>
      </c>
      <c r="GL1" s="115" t="s">
        <v>784</v>
      </c>
      <c r="GM1" s="115" t="s">
        <v>1002</v>
      </c>
      <c r="GN1" s="115" t="s">
        <v>1003</v>
      </c>
      <c r="GO1" s="115" t="s">
        <v>1116</v>
      </c>
      <c r="GP1" s="115" t="s">
        <v>1117</v>
      </c>
      <c r="GQ1" s="115" t="s">
        <v>1118</v>
      </c>
      <c r="GR1" s="115" t="s">
        <v>785</v>
      </c>
      <c r="GS1" s="115" t="s">
        <v>786</v>
      </c>
      <c r="GT1" s="115" t="s">
        <v>1119</v>
      </c>
      <c r="GU1" s="115" t="s">
        <v>1120</v>
      </c>
      <c r="GV1" s="115" t="s">
        <v>1121</v>
      </c>
      <c r="GW1" s="115" t="s">
        <v>787</v>
      </c>
      <c r="GX1" s="115" t="s">
        <v>788</v>
      </c>
      <c r="GY1" s="115" t="s">
        <v>789</v>
      </c>
      <c r="GZ1" s="115" t="s">
        <v>790</v>
      </c>
      <c r="HA1" s="115" t="s">
        <v>791</v>
      </c>
      <c r="HB1" s="115" t="s">
        <v>792</v>
      </c>
      <c r="HC1" s="115" t="s">
        <v>793</v>
      </c>
      <c r="HD1" s="115" t="s">
        <v>794</v>
      </c>
      <c r="HE1" s="115" t="s">
        <v>795</v>
      </c>
      <c r="HF1" s="115" t="s">
        <v>796</v>
      </c>
      <c r="HG1" s="115" t="s">
        <v>797</v>
      </c>
      <c r="HH1" s="115" t="s">
        <v>798</v>
      </c>
      <c r="HI1" s="115" t="s">
        <v>799</v>
      </c>
      <c r="HJ1" s="115" t="s">
        <v>1122</v>
      </c>
      <c r="HK1" s="115" t="s">
        <v>800</v>
      </c>
      <c r="HL1" s="115" t="s">
        <v>832</v>
      </c>
      <c r="HM1" s="115" t="s">
        <v>833</v>
      </c>
      <c r="HN1" s="115" t="s">
        <v>1004</v>
      </c>
      <c r="HO1" s="115" t="s">
        <v>1012</v>
      </c>
      <c r="HP1" s="115" t="s">
        <v>1123</v>
      </c>
      <c r="HQ1" s="115" t="s">
        <v>801</v>
      </c>
      <c r="HR1" s="115" t="s">
        <v>802</v>
      </c>
      <c r="HS1" s="115" t="s">
        <v>803</v>
      </c>
      <c r="HT1" s="115" t="s">
        <v>804</v>
      </c>
      <c r="HU1" s="115" t="s">
        <v>805</v>
      </c>
      <c r="HV1" s="115" t="s">
        <v>806</v>
      </c>
      <c r="HW1" s="115" t="s">
        <v>807</v>
      </c>
      <c r="HX1" s="115" t="s">
        <v>808</v>
      </c>
      <c r="HY1" s="115" t="s">
        <v>906</v>
      </c>
      <c r="HZ1" s="115" t="s">
        <v>907</v>
      </c>
      <c r="IA1" s="115" t="s">
        <v>809</v>
      </c>
      <c r="IB1" s="115" t="s">
        <v>1005</v>
      </c>
      <c r="IC1" s="115" t="s">
        <v>810</v>
      </c>
      <c r="ID1" s="115" t="s">
        <v>811</v>
      </c>
      <c r="IE1" s="115" t="s">
        <v>812</v>
      </c>
      <c r="IF1" s="115" t="s">
        <v>813</v>
      </c>
      <c r="IG1" s="115" t="s">
        <v>814</v>
      </c>
      <c r="IH1" s="115" t="s">
        <v>815</v>
      </c>
      <c r="II1" s="115" t="s">
        <v>816</v>
      </c>
      <c r="IJ1" s="115" t="s">
        <v>817</v>
      </c>
      <c r="IK1" s="115" t="s">
        <v>818</v>
      </c>
      <c r="IL1" s="115" t="s">
        <v>819</v>
      </c>
      <c r="IM1" s="115" t="s">
        <v>820</v>
      </c>
      <c r="IN1" s="115" t="s">
        <v>821</v>
      </c>
      <c r="IO1" s="115" t="s">
        <v>822</v>
      </c>
      <c r="IP1" s="115" t="s">
        <v>823</v>
      </c>
      <c r="IQ1" s="115" t="s">
        <v>824</v>
      </c>
      <c r="IR1" s="115" t="s">
        <v>825</v>
      </c>
      <c r="IS1" s="115" t="s">
        <v>826</v>
      </c>
      <c r="IT1" s="115" t="s">
        <v>827</v>
      </c>
      <c r="IU1" s="115" t="s">
        <v>828</v>
      </c>
      <c r="IV1" s="115" t="s">
        <v>829</v>
      </c>
      <c r="IW1" s="115" t="s">
        <v>830</v>
      </c>
      <c r="IX1" s="115" t="s">
        <v>831</v>
      </c>
      <c r="IY1" s="115" t="s">
        <v>619</v>
      </c>
      <c r="IZ1" s="115" t="s">
        <v>621</v>
      </c>
      <c r="JA1" s="115" t="s">
        <v>620</v>
      </c>
      <c r="JB1" s="115" t="s">
        <v>628</v>
      </c>
      <c r="JC1" s="115" t="s">
        <v>625</v>
      </c>
      <c r="JD1" s="115" t="s">
        <v>591</v>
      </c>
      <c r="JE1" s="115" t="s">
        <v>590</v>
      </c>
      <c r="JF1" s="115" t="s">
        <v>577</v>
      </c>
      <c r="JG1" s="115" t="s">
        <v>578</v>
      </c>
      <c r="JH1" s="115" t="s">
        <v>579</v>
      </c>
      <c r="JI1" s="115" t="s">
        <v>580</v>
      </c>
      <c r="JJ1" s="115" t="s">
        <v>581</v>
      </c>
      <c r="JK1" s="115" t="s">
        <v>593</v>
      </c>
      <c r="JL1" s="115" t="s">
        <v>616</v>
      </c>
      <c r="JM1" s="115" t="s">
        <v>572</v>
      </c>
      <c r="JN1" s="115" t="s">
        <v>565</v>
      </c>
      <c r="JO1" s="115" t="s">
        <v>602</v>
      </c>
      <c r="JP1" s="115" t="s">
        <v>600</v>
      </c>
      <c r="JQ1" s="115" t="s">
        <v>615</v>
      </c>
      <c r="JR1" s="115" t="s">
        <v>617</v>
      </c>
      <c r="JS1" s="115" t="s">
        <v>595</v>
      </c>
      <c r="JT1" s="115" t="s">
        <v>908</v>
      </c>
      <c r="JU1" s="115" t="s">
        <v>611</v>
      </c>
      <c r="JV1" s="115" t="s">
        <v>613</v>
      </c>
      <c r="JW1" s="115" t="s">
        <v>612</v>
      </c>
      <c r="JX1" s="115" t="s">
        <v>622</v>
      </c>
      <c r="JY1" s="115" t="s">
        <v>1006</v>
      </c>
      <c r="JZ1" s="115" t="s">
        <v>1124</v>
      </c>
      <c r="KA1" s="115" t="s">
        <v>1125</v>
      </c>
      <c r="KB1" s="115" t="s">
        <v>618</v>
      </c>
      <c r="KC1" s="115" t="s">
        <v>606</v>
      </c>
      <c r="KD1" s="115" t="s">
        <v>1126</v>
      </c>
      <c r="KE1" s="115" t="s">
        <v>607</v>
      </c>
      <c r="KF1" s="115" t="s">
        <v>608</v>
      </c>
      <c r="KG1" s="115" t="s">
        <v>609</v>
      </c>
      <c r="KH1" s="115" t="s">
        <v>605</v>
      </c>
      <c r="KI1" s="115" t="s">
        <v>614</v>
      </c>
      <c r="KJ1" s="115" t="s">
        <v>610</v>
      </c>
      <c r="KK1" s="115" t="s">
        <v>1007</v>
      </c>
      <c r="KL1" s="115" t="s">
        <v>1008</v>
      </c>
      <c r="KM1" s="115" t="s">
        <v>594</v>
      </c>
      <c r="KN1" s="115" t="s">
        <v>1009</v>
      </c>
      <c r="KO1" s="115" t="s">
        <v>1014</v>
      </c>
      <c r="KP1" s="115" t="s">
        <v>588</v>
      </c>
      <c r="KQ1" s="115" t="s">
        <v>601</v>
      </c>
      <c r="KR1" s="115" t="s">
        <v>603</v>
      </c>
      <c r="KS1" s="115" t="s">
        <v>598</v>
      </c>
      <c r="KT1" s="115" t="s">
        <v>585</v>
      </c>
      <c r="KU1" s="115" t="s">
        <v>627</v>
      </c>
      <c r="KV1" s="115" t="s">
        <v>626</v>
      </c>
      <c r="KW1" s="115" t="s">
        <v>583</v>
      </c>
      <c r="KX1" s="115" t="s">
        <v>909</v>
      </c>
      <c r="KY1" s="115" t="s">
        <v>910</v>
      </c>
      <c r="KZ1" s="115" t="s">
        <v>592</v>
      </c>
      <c r="LA1" s="115" t="s">
        <v>1010</v>
      </c>
      <c r="LB1" s="115" t="s">
        <v>597</v>
      </c>
      <c r="LC1" s="115" t="s">
        <v>596</v>
      </c>
      <c r="LD1" s="115" t="s">
        <v>571</v>
      </c>
      <c r="LE1" s="115" t="s">
        <v>589</v>
      </c>
      <c r="LF1" s="115" t="s">
        <v>582</v>
      </c>
      <c r="LG1" s="115" t="s">
        <v>599</v>
      </c>
      <c r="LH1" s="115" t="s">
        <v>624</v>
      </c>
      <c r="LI1" s="115" t="s">
        <v>623</v>
      </c>
      <c r="LJ1" s="115" t="s">
        <v>573</v>
      </c>
      <c r="LK1" s="115" t="s">
        <v>575</v>
      </c>
      <c r="LL1" s="115" t="s">
        <v>574</v>
      </c>
      <c r="LM1" s="115" t="s">
        <v>576</v>
      </c>
      <c r="LN1" s="115" t="s">
        <v>567</v>
      </c>
      <c r="LO1" s="115" t="s">
        <v>569</v>
      </c>
      <c r="LP1" s="115" t="s">
        <v>568</v>
      </c>
      <c r="LQ1" s="115" t="s">
        <v>570</v>
      </c>
      <c r="LR1" s="115" t="s">
        <v>566</v>
      </c>
      <c r="LS1" s="115" t="s">
        <v>586</v>
      </c>
      <c r="LT1" s="115" t="s">
        <v>604</v>
      </c>
      <c r="LU1" s="115" t="s">
        <v>584</v>
      </c>
      <c r="LV1" s="115" t="s">
        <v>587</v>
      </c>
      <c r="LW1" s="141" t="s">
        <v>1015</v>
      </c>
      <c r="LX1" s="141" t="s">
        <v>1016</v>
      </c>
      <c r="LY1" s="141" t="s">
        <v>1017</v>
      </c>
      <c r="LZ1" s="141" t="s">
        <v>1018</v>
      </c>
      <c r="MA1" s="141" t="s">
        <v>1019</v>
      </c>
      <c r="MB1" s="141" t="s">
        <v>1020</v>
      </c>
      <c r="MC1" s="141" t="s">
        <v>1021</v>
      </c>
      <c r="MD1" s="141" t="s">
        <v>1022</v>
      </c>
      <c r="ME1" s="141" t="s">
        <v>1023</v>
      </c>
      <c r="MF1" s="141" t="s">
        <v>1024</v>
      </c>
      <c r="MG1" s="141" t="s">
        <v>1025</v>
      </c>
      <c r="MH1" s="141" t="s">
        <v>1026</v>
      </c>
      <c r="MI1" s="141" t="s">
        <v>1027</v>
      </c>
      <c r="MJ1" s="141" t="s">
        <v>1028</v>
      </c>
      <c r="MK1" s="141" t="s">
        <v>1029</v>
      </c>
      <c r="ML1" s="141" t="s">
        <v>1030</v>
      </c>
      <c r="MM1" s="141" t="s">
        <v>1031</v>
      </c>
      <c r="MN1" s="141" t="s">
        <v>1032</v>
      </c>
      <c r="MO1" s="141" t="s">
        <v>1033</v>
      </c>
      <c r="MP1" s="141" t="s">
        <v>1034</v>
      </c>
      <c r="MQ1" s="141" t="s">
        <v>1035</v>
      </c>
      <c r="MR1" s="141" t="s">
        <v>1036</v>
      </c>
      <c r="MS1" s="141" t="s">
        <v>1058</v>
      </c>
      <c r="MT1" s="141" t="s">
        <v>1037</v>
      </c>
      <c r="MU1" s="141" t="s">
        <v>1038</v>
      </c>
      <c r="MV1" s="141" t="s">
        <v>1039</v>
      </c>
      <c r="MW1" s="141" t="s">
        <v>1040</v>
      </c>
      <c r="MX1" s="141" t="s">
        <v>1041</v>
      </c>
      <c r="MY1" s="141" t="s">
        <v>1042</v>
      </c>
      <c r="MZ1" s="141" t="s">
        <v>1043</v>
      </c>
      <c r="NA1" s="141" t="s">
        <v>1044</v>
      </c>
      <c r="NB1" s="141" t="s">
        <v>1045</v>
      </c>
      <c r="NC1" s="141" t="s">
        <v>1046</v>
      </c>
      <c r="ND1" s="141" t="s">
        <v>1047</v>
      </c>
      <c r="NE1" s="141" t="s">
        <v>1048</v>
      </c>
      <c r="NF1" s="141" t="s">
        <v>1049</v>
      </c>
      <c r="NG1" s="141" t="s">
        <v>1050</v>
      </c>
      <c r="NH1" s="141" t="s">
        <v>1051</v>
      </c>
      <c r="NI1" s="141" t="s">
        <v>1052</v>
      </c>
      <c r="NJ1" s="141" t="s">
        <v>1053</v>
      </c>
      <c r="NK1" s="141" t="s">
        <v>1054</v>
      </c>
      <c r="NL1" s="141" t="s">
        <v>1055</v>
      </c>
      <c r="NM1" s="141" t="s">
        <v>1056</v>
      </c>
      <c r="NN1" s="141" t="s">
        <v>1057</v>
      </c>
      <c r="NO1" s="115" t="s">
        <v>1548</v>
      </c>
      <c r="NP1" s="115" t="s">
        <v>1549</v>
      </c>
      <c r="NQ1" s="115" t="s">
        <v>1550</v>
      </c>
      <c r="NR1" s="115" t="s">
        <v>1551</v>
      </c>
      <c r="NS1" s="115" t="s">
        <v>1552</v>
      </c>
      <c r="NT1" s="115" t="s">
        <v>1553</v>
      </c>
      <c r="NU1" s="115" t="s">
        <v>1554</v>
      </c>
      <c r="NV1" s="115" t="s">
        <v>1555</v>
      </c>
      <c r="NW1" s="115" t="s">
        <v>1556</v>
      </c>
      <c r="NX1" s="115" t="s">
        <v>1557</v>
      </c>
      <c r="NY1" s="115" t="s">
        <v>1558</v>
      </c>
      <c r="NZ1" s="115" t="s">
        <v>1559</v>
      </c>
      <c r="OA1" s="115" t="s">
        <v>1560</v>
      </c>
      <c r="OB1" s="115" t="s">
        <v>1561</v>
      </c>
      <c r="OC1" s="115" t="s">
        <v>1562</v>
      </c>
      <c r="OD1" s="115" t="s">
        <v>1563</v>
      </c>
      <c r="OE1" s="115" t="s">
        <v>1564</v>
      </c>
      <c r="OF1" s="115" t="s">
        <v>1565</v>
      </c>
      <c r="OG1" s="115" t="s">
        <v>1566</v>
      </c>
      <c r="OH1" s="115" t="s">
        <v>1567</v>
      </c>
      <c r="OI1" s="115" t="s">
        <v>1568</v>
      </c>
      <c r="OJ1" s="115" t="s">
        <v>1569</v>
      </c>
      <c r="OK1" s="115" t="s">
        <v>1570</v>
      </c>
      <c r="OL1" s="115" t="s">
        <v>1571</v>
      </c>
      <c r="OM1" s="115" t="s">
        <v>1572</v>
      </c>
      <c r="ON1" s="115" t="s">
        <v>1573</v>
      </c>
      <c r="OO1" s="115" t="s">
        <v>1574</v>
      </c>
      <c r="OP1" s="115" t="s">
        <v>1575</v>
      </c>
      <c r="OQ1" s="115" t="s">
        <v>1576</v>
      </c>
      <c r="OR1" s="115" t="s">
        <v>1577</v>
      </c>
      <c r="OS1" s="115" t="s">
        <v>1578</v>
      </c>
      <c r="OT1" s="115" t="s">
        <v>1579</v>
      </c>
      <c r="OU1" s="115" t="s">
        <v>1580</v>
      </c>
      <c r="OV1" s="115" t="s">
        <v>1581</v>
      </c>
      <c r="OW1" s="115" t="s">
        <v>1582</v>
      </c>
      <c r="OX1" s="115" t="s">
        <v>1583</v>
      </c>
      <c r="OY1" s="115" t="s">
        <v>1584</v>
      </c>
      <c r="OZ1" s="115" t="s">
        <v>1585</v>
      </c>
      <c r="PA1" s="115" t="s">
        <v>1586</v>
      </c>
      <c r="PB1" s="115" t="s">
        <v>1587</v>
      </c>
      <c r="PC1" s="115" t="s">
        <v>1588</v>
      </c>
      <c r="PD1" s="115" t="s">
        <v>1589</v>
      </c>
      <c r="PE1" s="115" t="s">
        <v>1590</v>
      </c>
      <c r="PF1" s="115" t="s">
        <v>1591</v>
      </c>
      <c r="PG1" s="115" t="s">
        <v>1592</v>
      </c>
      <c r="PH1" s="115" t="s">
        <v>1593</v>
      </c>
      <c r="PI1" s="115" t="s">
        <v>1594</v>
      </c>
      <c r="PJ1" s="115" t="s">
        <v>1595</v>
      </c>
    </row>
    <row r="2" spans="1:426" s="115" customFormat="1">
      <c r="A2" s="115" t="s">
        <v>188</v>
      </c>
      <c r="B2" s="115" t="s">
        <v>189</v>
      </c>
      <c r="C2" s="115" t="s">
        <v>190</v>
      </c>
      <c r="D2" s="115" t="s">
        <v>191</v>
      </c>
      <c r="E2" s="115" t="s">
        <v>192</v>
      </c>
      <c r="F2" s="115" t="s">
        <v>193</v>
      </c>
      <c r="G2" s="115" t="s">
        <v>194</v>
      </c>
      <c r="H2" s="115" t="s">
        <v>195</v>
      </c>
      <c r="I2" s="115" t="s">
        <v>196</v>
      </c>
      <c r="J2" s="115" t="s">
        <v>197</v>
      </c>
      <c r="K2" s="115" t="s">
        <v>198</v>
      </c>
      <c r="L2" s="115" t="s">
        <v>1093</v>
      </c>
      <c r="M2" s="115" t="s">
        <v>1094</v>
      </c>
      <c r="N2" s="115" t="s">
        <v>913</v>
      </c>
      <c r="O2" s="115" t="s">
        <v>915</v>
      </c>
      <c r="P2" s="115" t="s">
        <v>914</v>
      </c>
      <c r="Q2" s="115" t="s">
        <v>916</v>
      </c>
      <c r="R2" s="115" t="s">
        <v>912</v>
      </c>
      <c r="S2" s="115" t="s">
        <v>447</v>
      </c>
      <c r="T2" s="115" t="s">
        <v>448</v>
      </c>
      <c r="U2" s="115" t="s">
        <v>449</v>
      </c>
      <c r="V2" s="115" t="s">
        <v>450</v>
      </c>
      <c r="W2" s="115" t="s">
        <v>6</v>
      </c>
      <c r="X2" s="115" t="s">
        <v>8</v>
      </c>
      <c r="Y2" s="115" t="s">
        <v>11</v>
      </c>
      <c r="Z2" s="115" t="s">
        <v>13</v>
      </c>
      <c r="AA2" s="115" t="s">
        <v>15</v>
      </c>
      <c r="AB2" s="115" t="s">
        <v>17</v>
      </c>
      <c r="AC2" s="115" t="s">
        <v>946</v>
      </c>
      <c r="AD2" s="115" t="s">
        <v>947</v>
      </c>
      <c r="AE2" s="115" t="s">
        <v>19</v>
      </c>
      <c r="AF2" s="115" t="s">
        <v>21</v>
      </c>
      <c r="AG2" s="115" t="s">
        <v>23</v>
      </c>
      <c r="AH2" s="115" t="s">
        <v>933</v>
      </c>
      <c r="AI2" s="115" t="s">
        <v>25</v>
      </c>
      <c r="AJ2" s="115" t="s">
        <v>28</v>
      </c>
      <c r="AK2" s="115" t="s">
        <v>30</v>
      </c>
      <c r="AL2" s="115" t="s">
        <v>32</v>
      </c>
      <c r="AM2" s="115" t="s">
        <v>33</v>
      </c>
      <c r="AN2" s="115" t="s">
        <v>34</v>
      </c>
      <c r="AO2" s="115" t="s">
        <v>35</v>
      </c>
      <c r="AP2" s="115" t="s">
        <v>36</v>
      </c>
      <c r="AQ2" s="115" t="s">
        <v>37</v>
      </c>
      <c r="AR2" s="115" t="s">
        <v>38</v>
      </c>
      <c r="AS2" s="115" t="s">
        <v>41</v>
      </c>
      <c r="AT2" s="115" t="s">
        <v>44</v>
      </c>
      <c r="AU2" s="115" t="s">
        <v>46</v>
      </c>
      <c r="AV2" s="115" t="s">
        <v>48</v>
      </c>
      <c r="AW2" s="115" t="s">
        <v>50</v>
      </c>
      <c r="AX2" s="115" t="s">
        <v>52</v>
      </c>
      <c r="AY2" s="115" t="s">
        <v>54</v>
      </c>
      <c r="AZ2" s="115" t="s">
        <v>56</v>
      </c>
      <c r="BA2" s="115" t="s">
        <v>58</v>
      </c>
      <c r="BB2" s="115" t="s">
        <v>60</v>
      </c>
      <c r="BC2" s="115" t="s">
        <v>62</v>
      </c>
      <c r="BD2" s="115" t="s">
        <v>64</v>
      </c>
      <c r="BE2" s="115" t="s">
        <v>67</v>
      </c>
      <c r="BF2" s="115" t="s">
        <v>69</v>
      </c>
      <c r="BG2" s="115" t="s">
        <v>70</v>
      </c>
      <c r="BH2" s="115" t="s">
        <v>71</v>
      </c>
      <c r="BI2" s="115" t="s">
        <v>73</v>
      </c>
      <c r="BJ2" s="115" t="s">
        <v>75</v>
      </c>
      <c r="BK2" s="115" t="s">
        <v>77</v>
      </c>
      <c r="BL2" s="115" t="s">
        <v>78</v>
      </c>
      <c r="BM2" s="115" t="s">
        <v>79</v>
      </c>
      <c r="BN2" s="115" t="s">
        <v>81</v>
      </c>
      <c r="BO2" s="115" t="s">
        <v>82</v>
      </c>
      <c r="BP2" s="115" t="s">
        <v>85</v>
      </c>
      <c r="BQ2" s="115" t="s">
        <v>88</v>
      </c>
      <c r="BR2" s="115" t="s">
        <v>90</v>
      </c>
      <c r="BS2" s="115" t="s">
        <v>1078</v>
      </c>
      <c r="BT2" s="115" t="s">
        <v>92</v>
      </c>
      <c r="BU2" s="115" t="s">
        <v>94</v>
      </c>
      <c r="BV2" s="115" t="s">
        <v>96</v>
      </c>
      <c r="BW2" s="115" t="s">
        <v>98</v>
      </c>
      <c r="BX2" s="115" t="s">
        <v>100</v>
      </c>
      <c r="BY2" s="115" t="s">
        <v>101</v>
      </c>
      <c r="BZ2" s="115" t="s">
        <v>102</v>
      </c>
      <c r="CA2" s="115" t="s">
        <v>103</v>
      </c>
      <c r="CB2" s="115" t="s">
        <v>104</v>
      </c>
      <c r="CC2" s="115" t="s">
        <v>105</v>
      </c>
      <c r="CD2" s="115" t="s">
        <v>1088</v>
      </c>
      <c r="CE2" s="115" t="s">
        <v>106</v>
      </c>
      <c r="CF2" s="115" t="s">
        <v>441</v>
      </c>
      <c r="CG2" s="115" t="s">
        <v>107</v>
      </c>
      <c r="CH2" s="115" t="s">
        <v>109</v>
      </c>
      <c r="CI2" s="115" t="s">
        <v>522</v>
      </c>
      <c r="CJ2" s="115" t="s">
        <v>112</v>
      </c>
      <c r="CK2" s="115" t="s">
        <v>114</v>
      </c>
      <c r="CL2" s="115" t="s">
        <v>116</v>
      </c>
      <c r="CM2" s="115" t="s">
        <v>118</v>
      </c>
      <c r="CN2" s="115" t="s">
        <v>120</v>
      </c>
      <c r="CO2" s="115" t="s">
        <v>122</v>
      </c>
      <c r="CP2" s="115" t="s">
        <v>123</v>
      </c>
      <c r="CQ2" s="115" t="s">
        <v>124</v>
      </c>
      <c r="CR2" s="115" t="s">
        <v>125</v>
      </c>
      <c r="CS2" s="115" t="s">
        <v>127</v>
      </c>
      <c r="CT2" s="115" t="s">
        <v>128</v>
      </c>
      <c r="CU2" s="115" t="s">
        <v>527</v>
      </c>
      <c r="CV2" s="115" t="s">
        <v>917</v>
      </c>
      <c r="CW2" s="115" t="s">
        <v>918</v>
      </c>
      <c r="CX2" s="115" t="s">
        <v>129</v>
      </c>
      <c r="CY2" s="115" t="s">
        <v>131</v>
      </c>
      <c r="CZ2" s="115" t="s">
        <v>133</v>
      </c>
      <c r="DA2" s="115" t="s">
        <v>135</v>
      </c>
      <c r="DB2" s="115" t="s">
        <v>137</v>
      </c>
      <c r="DC2" s="115" t="s">
        <v>140</v>
      </c>
      <c r="DD2" s="115" t="s">
        <v>142</v>
      </c>
      <c r="DE2" s="115" t="s">
        <v>143</v>
      </c>
      <c r="DF2" s="115" t="s">
        <v>467</v>
      </c>
      <c r="DG2" s="115" t="s">
        <v>468</v>
      </c>
      <c r="DH2" s="115" t="s">
        <v>144</v>
      </c>
      <c r="DI2" s="115" t="s">
        <v>145</v>
      </c>
      <c r="DJ2" s="115" t="s">
        <v>146</v>
      </c>
      <c r="DK2" s="115" t="s">
        <v>148</v>
      </c>
      <c r="DL2" s="115" t="s">
        <v>150</v>
      </c>
      <c r="DM2" s="115" t="s">
        <v>152</v>
      </c>
      <c r="DN2" s="115" t="s">
        <v>154</v>
      </c>
      <c r="DO2" s="115" t="s">
        <v>156</v>
      </c>
      <c r="DP2" s="115" t="s">
        <v>158</v>
      </c>
      <c r="DQ2" s="115" t="s">
        <v>160</v>
      </c>
      <c r="DR2" s="115" t="s">
        <v>162</v>
      </c>
      <c r="DS2" s="115" t="s">
        <v>164</v>
      </c>
      <c r="DT2" s="115" t="s">
        <v>165</v>
      </c>
      <c r="DU2" s="115" t="s">
        <v>166</v>
      </c>
      <c r="DV2" s="115" t="s">
        <v>167</v>
      </c>
      <c r="DW2" s="115" t="s">
        <v>169</v>
      </c>
      <c r="DX2" s="115" t="s">
        <v>170</v>
      </c>
      <c r="DY2" s="115" t="s">
        <v>171</v>
      </c>
      <c r="DZ2" s="115" t="s">
        <v>172</v>
      </c>
      <c r="EA2" s="115" t="s">
        <v>174</v>
      </c>
      <c r="EB2" s="115" t="s">
        <v>175</v>
      </c>
      <c r="EC2" s="115" t="s">
        <v>177</v>
      </c>
      <c r="ED2" s="115" t="s">
        <v>179</v>
      </c>
      <c r="EE2" s="115" t="s">
        <v>181</v>
      </c>
      <c r="EF2" s="115" t="s">
        <v>215</v>
      </c>
      <c r="EG2" s="115" t="s">
        <v>217</v>
      </c>
      <c r="EH2" s="115" t="s">
        <v>219</v>
      </c>
      <c r="EI2" s="115" t="s">
        <v>220</v>
      </c>
      <c r="EJ2" s="115" t="s">
        <v>221</v>
      </c>
      <c r="EK2" s="115" t="s">
        <v>222</v>
      </c>
      <c r="EL2" s="115" t="s">
        <v>223</v>
      </c>
      <c r="EM2" s="115" t="s">
        <v>1477</v>
      </c>
      <c r="EN2" s="115" t="s">
        <v>224</v>
      </c>
      <c r="EO2" s="115" t="s">
        <v>1478</v>
      </c>
      <c r="EP2" s="115" t="s">
        <v>1479</v>
      </c>
      <c r="EQ2" s="115" t="s">
        <v>1480</v>
      </c>
      <c r="ER2" s="115" t="s">
        <v>1481</v>
      </c>
      <c r="ES2" s="115" t="s">
        <v>1482</v>
      </c>
      <c r="ET2" s="115" t="s">
        <v>1483</v>
      </c>
      <c r="EU2" s="115" t="s">
        <v>1484</v>
      </c>
      <c r="EV2" s="115" t="s">
        <v>226</v>
      </c>
      <c r="EW2" s="115" t="s">
        <v>1485</v>
      </c>
      <c r="EX2" s="115" t="s">
        <v>227</v>
      </c>
      <c r="EY2" s="115" t="s">
        <v>229</v>
      </c>
      <c r="EZ2" s="115" t="s">
        <v>231</v>
      </c>
      <c r="FA2" s="115" t="s">
        <v>1486</v>
      </c>
      <c r="FB2" s="115" t="s">
        <v>233</v>
      </c>
      <c r="FC2" s="115" t="s">
        <v>1487</v>
      </c>
      <c r="FD2" s="115" t="s">
        <v>1488</v>
      </c>
      <c r="FE2" s="115" t="s">
        <v>440</v>
      </c>
      <c r="FF2" s="115" t="s">
        <v>234</v>
      </c>
      <c r="FG2" s="115" t="s">
        <v>235</v>
      </c>
      <c r="FH2" s="115" t="s">
        <v>236</v>
      </c>
      <c r="FI2" s="115" t="s">
        <v>950</v>
      </c>
      <c r="FJ2" s="115" t="s">
        <v>237</v>
      </c>
      <c r="FK2" s="115" t="s">
        <v>530</v>
      </c>
      <c r="FL2" s="115" t="s">
        <v>1071</v>
      </c>
      <c r="FM2" s="115" t="s">
        <v>1072</v>
      </c>
      <c r="FN2" s="115" t="s">
        <v>534</v>
      </c>
      <c r="FO2" s="115" t="s">
        <v>535</v>
      </c>
      <c r="FP2" s="115" t="s">
        <v>536</v>
      </c>
      <c r="FQ2" s="115" t="s">
        <v>537</v>
      </c>
      <c r="FR2" s="115" t="s">
        <v>935</v>
      </c>
      <c r="FS2" s="115" t="s">
        <v>1489</v>
      </c>
      <c r="FT2" s="115" t="s">
        <v>238</v>
      </c>
      <c r="FU2" s="115" t="s">
        <v>239</v>
      </c>
      <c r="FV2" s="115" t="s">
        <v>241</v>
      </c>
      <c r="FW2" s="115" t="s">
        <v>460</v>
      </c>
      <c r="FX2" s="115" t="s">
        <v>461</v>
      </c>
      <c r="FY2" s="115" t="s">
        <v>875</v>
      </c>
      <c r="FZ2" s="115" t="s">
        <v>876</v>
      </c>
      <c r="GA2" s="115" t="s">
        <v>243</v>
      </c>
      <c r="GB2" s="115" t="s">
        <v>932</v>
      </c>
      <c r="GC2" s="115" t="s">
        <v>1127</v>
      </c>
      <c r="GD2" s="115" t="s">
        <v>1128</v>
      </c>
      <c r="GE2" s="115" t="s">
        <v>453</v>
      </c>
      <c r="GF2" s="115" t="s">
        <v>454</v>
      </c>
      <c r="GG2" s="115" t="s">
        <v>455</v>
      </c>
      <c r="GH2" s="115" t="s">
        <v>456</v>
      </c>
      <c r="GI2" s="115" t="s">
        <v>244</v>
      </c>
      <c r="GJ2" s="115" t="s">
        <v>245</v>
      </c>
      <c r="GK2" s="115" t="s">
        <v>246</v>
      </c>
      <c r="GL2" s="115" t="s">
        <v>247</v>
      </c>
      <c r="GM2" s="115" t="s">
        <v>952</v>
      </c>
      <c r="GN2" s="115" t="s">
        <v>956</v>
      </c>
      <c r="GO2" s="115" t="s">
        <v>957</v>
      </c>
      <c r="GP2" s="115" t="s">
        <v>1080</v>
      </c>
      <c r="GQ2" s="115" t="s">
        <v>1081</v>
      </c>
      <c r="GR2" s="115" t="s">
        <v>248</v>
      </c>
      <c r="GS2" s="115" t="s">
        <v>249</v>
      </c>
      <c r="GT2" s="115" t="s">
        <v>1075</v>
      </c>
      <c r="GU2" s="115" t="s">
        <v>1490</v>
      </c>
      <c r="GV2" s="115" t="s">
        <v>1491</v>
      </c>
      <c r="GW2" s="115" t="s">
        <v>1492</v>
      </c>
      <c r="GX2" s="115" t="s">
        <v>250</v>
      </c>
      <c r="GY2" s="115" t="s">
        <v>252</v>
      </c>
      <c r="GZ2" s="115" t="s">
        <v>254</v>
      </c>
      <c r="HA2" s="115" t="s">
        <v>256</v>
      </c>
      <c r="HB2" s="115" t="s">
        <v>258</v>
      </c>
      <c r="HC2" s="115" t="s">
        <v>260</v>
      </c>
      <c r="HD2" s="115" t="s">
        <v>262</v>
      </c>
      <c r="HE2" s="115" t="s">
        <v>264</v>
      </c>
      <c r="HF2" s="115" t="s">
        <v>265</v>
      </c>
      <c r="HG2" s="115" t="s">
        <v>267</v>
      </c>
      <c r="HH2" s="115" t="s">
        <v>268</v>
      </c>
      <c r="HI2" s="115" t="s">
        <v>269</v>
      </c>
      <c r="HJ2" s="115" t="s">
        <v>1090</v>
      </c>
      <c r="HK2" s="115" t="s">
        <v>270</v>
      </c>
      <c r="HL2" s="115" t="s">
        <v>271</v>
      </c>
      <c r="HM2" s="115" t="s">
        <v>272</v>
      </c>
      <c r="HN2" s="115" t="s">
        <v>942</v>
      </c>
      <c r="HO2" s="115" t="s">
        <v>941</v>
      </c>
      <c r="HP2" s="115" t="s">
        <v>943</v>
      </c>
      <c r="HQ2" s="115" t="s">
        <v>273</v>
      </c>
      <c r="HR2" s="115" t="s">
        <v>275</v>
      </c>
      <c r="HS2" s="115" t="s">
        <v>277</v>
      </c>
      <c r="HT2" s="115" t="s">
        <v>279</v>
      </c>
      <c r="HU2" s="115" t="s">
        <v>281</v>
      </c>
      <c r="HV2" s="115" t="s">
        <v>283</v>
      </c>
      <c r="HW2" s="115" t="s">
        <v>285</v>
      </c>
      <c r="HX2" s="115" t="s">
        <v>287</v>
      </c>
      <c r="HY2" s="115" t="s">
        <v>289</v>
      </c>
      <c r="HZ2" s="115" t="s">
        <v>290</v>
      </c>
      <c r="IA2" s="115" t="s">
        <v>291</v>
      </c>
      <c r="IB2" s="115" t="s">
        <v>292</v>
      </c>
      <c r="IC2" s="115" t="s">
        <v>325</v>
      </c>
      <c r="ID2" s="115" t="s">
        <v>294</v>
      </c>
      <c r="IE2" s="115" t="s">
        <v>296</v>
      </c>
      <c r="IF2" s="115" t="s">
        <v>298</v>
      </c>
      <c r="IG2" s="115" t="s">
        <v>300</v>
      </c>
      <c r="IH2" s="115" t="s">
        <v>302</v>
      </c>
      <c r="II2" s="115" t="s">
        <v>326</v>
      </c>
      <c r="IJ2" s="115" t="s">
        <v>305</v>
      </c>
      <c r="IK2" s="115" t="s">
        <v>327</v>
      </c>
      <c r="IL2" s="115" t="s">
        <v>308</v>
      </c>
      <c r="IM2" s="115" t="s">
        <v>309</v>
      </c>
      <c r="IN2" s="115" t="s">
        <v>310</v>
      </c>
      <c r="IO2" s="115" t="s">
        <v>311</v>
      </c>
      <c r="IP2" s="115" t="s">
        <v>313</v>
      </c>
      <c r="IQ2" s="115" t="s">
        <v>314</v>
      </c>
      <c r="IR2" s="115" t="s">
        <v>315</v>
      </c>
      <c r="IS2" s="115" t="s">
        <v>328</v>
      </c>
      <c r="IT2" s="115" t="s">
        <v>317</v>
      </c>
      <c r="IU2" s="115" t="s">
        <v>318</v>
      </c>
      <c r="IV2" s="115" t="s">
        <v>319</v>
      </c>
      <c r="IW2" s="115" t="s">
        <v>330</v>
      </c>
      <c r="IX2" s="115" t="s">
        <v>322</v>
      </c>
      <c r="IY2" s="115" t="s">
        <v>332</v>
      </c>
      <c r="IZ2" s="115" t="s">
        <v>334</v>
      </c>
      <c r="JA2" s="115" t="s">
        <v>336</v>
      </c>
      <c r="JB2" s="115" t="s">
        <v>338</v>
      </c>
      <c r="JC2" s="115" t="s">
        <v>340</v>
      </c>
      <c r="JD2" s="115" t="s">
        <v>1493</v>
      </c>
      <c r="JE2" s="115" t="s">
        <v>1494</v>
      </c>
      <c r="JF2" s="115" t="s">
        <v>1495</v>
      </c>
      <c r="JG2" s="115" t="s">
        <v>1496</v>
      </c>
      <c r="JH2" s="115" t="s">
        <v>1497</v>
      </c>
      <c r="JI2" s="115" t="s">
        <v>1498</v>
      </c>
      <c r="JJ2" s="115" t="s">
        <v>1499</v>
      </c>
      <c r="JK2" s="115" t="s">
        <v>342</v>
      </c>
      <c r="JL2" s="115" t="s">
        <v>1500</v>
      </c>
      <c r="JM2" s="115" t="s">
        <v>343</v>
      </c>
      <c r="JN2" s="115" t="s">
        <v>1501</v>
      </c>
      <c r="JO2" s="115" t="s">
        <v>1502</v>
      </c>
      <c r="JP2" s="115" t="s">
        <v>345</v>
      </c>
      <c r="JQ2" s="115" t="s">
        <v>346</v>
      </c>
      <c r="JR2" s="115" t="s">
        <v>442</v>
      </c>
      <c r="JS2" s="115" t="s">
        <v>347</v>
      </c>
      <c r="JT2" s="115" t="s">
        <v>348</v>
      </c>
      <c r="JU2" s="115" t="s">
        <v>349</v>
      </c>
      <c r="JV2" s="115" t="s">
        <v>350</v>
      </c>
      <c r="JW2" s="115" t="s">
        <v>351</v>
      </c>
      <c r="JX2" s="115" t="s">
        <v>352</v>
      </c>
      <c r="JY2" s="115" t="s">
        <v>958</v>
      </c>
      <c r="JZ2" s="115" t="s">
        <v>1084</v>
      </c>
      <c r="KA2" s="115" t="s">
        <v>1085</v>
      </c>
      <c r="KB2" s="115" t="s">
        <v>463</v>
      </c>
      <c r="KC2" s="115" t="s">
        <v>464</v>
      </c>
      <c r="KD2" s="115" t="s">
        <v>1077</v>
      </c>
      <c r="KE2" s="115" t="s">
        <v>353</v>
      </c>
      <c r="KF2" s="115" t="s">
        <v>355</v>
      </c>
      <c r="KG2" s="115" t="s">
        <v>357</v>
      </c>
      <c r="KH2" s="115" t="s">
        <v>359</v>
      </c>
      <c r="KI2" s="115" t="s">
        <v>361</v>
      </c>
      <c r="KJ2" s="115" t="s">
        <v>363</v>
      </c>
      <c r="KK2" s="115" t="s">
        <v>365</v>
      </c>
      <c r="KL2" s="115" t="s">
        <v>366</v>
      </c>
      <c r="KM2" s="115" t="s">
        <v>367</v>
      </c>
      <c r="KN2" s="115" t="s">
        <v>959</v>
      </c>
      <c r="KO2" s="115" t="s">
        <v>960</v>
      </c>
      <c r="KP2" s="115" t="s">
        <v>369</v>
      </c>
      <c r="KQ2" s="115" t="s">
        <v>371</v>
      </c>
      <c r="KR2" s="115" t="s">
        <v>373</v>
      </c>
      <c r="KS2" s="115" t="s">
        <v>375</v>
      </c>
      <c r="KT2" s="115" t="s">
        <v>377</v>
      </c>
      <c r="KU2" s="115" t="s">
        <v>379</v>
      </c>
      <c r="KV2" s="115" t="s">
        <v>381</v>
      </c>
      <c r="KW2" s="115" t="s">
        <v>383</v>
      </c>
      <c r="KX2" s="115" t="s">
        <v>469</v>
      </c>
      <c r="KY2" s="115" t="s">
        <v>470</v>
      </c>
      <c r="KZ2" s="115" t="s">
        <v>385</v>
      </c>
      <c r="LA2" s="115" t="s">
        <v>421</v>
      </c>
      <c r="LB2" s="115" t="s">
        <v>386</v>
      </c>
      <c r="LC2" s="115" t="s">
        <v>388</v>
      </c>
      <c r="LD2" s="115" t="s">
        <v>390</v>
      </c>
      <c r="LE2" s="115" t="s">
        <v>392</v>
      </c>
      <c r="LF2" s="115" t="s">
        <v>394</v>
      </c>
      <c r="LG2" s="115" t="s">
        <v>396</v>
      </c>
      <c r="LH2" s="115" t="s">
        <v>398</v>
      </c>
      <c r="LI2" s="115" t="s">
        <v>400</v>
      </c>
      <c r="LJ2" s="115" t="s">
        <v>402</v>
      </c>
      <c r="LK2" s="115" t="s">
        <v>404</v>
      </c>
      <c r="LL2" s="115" t="s">
        <v>405</v>
      </c>
      <c r="LM2" s="115" t="s">
        <v>406</v>
      </c>
      <c r="LN2" s="115" t="s">
        <v>407</v>
      </c>
      <c r="LO2" s="115" t="s">
        <v>409</v>
      </c>
      <c r="LP2" s="115" t="s">
        <v>410</v>
      </c>
      <c r="LQ2" s="115" t="s">
        <v>411</v>
      </c>
      <c r="LR2" s="115" t="s">
        <v>412</v>
      </c>
      <c r="LS2" s="115" t="s">
        <v>414</v>
      </c>
      <c r="LT2" s="115" t="s">
        <v>415</v>
      </c>
      <c r="LU2" s="115" t="s">
        <v>417</v>
      </c>
      <c r="LV2" s="115" t="s">
        <v>419</v>
      </c>
      <c r="LW2" s="115" t="s">
        <v>1503</v>
      </c>
      <c r="LX2" s="115" t="s">
        <v>1504</v>
      </c>
      <c r="LY2" s="115" t="s">
        <v>1505</v>
      </c>
      <c r="LZ2" s="115" t="s">
        <v>1506</v>
      </c>
      <c r="MA2" s="115" t="s">
        <v>1507</v>
      </c>
      <c r="MB2" s="115" t="s">
        <v>1508</v>
      </c>
      <c r="MC2" s="115" t="s">
        <v>1509</v>
      </c>
      <c r="MD2" s="115" t="s">
        <v>1510</v>
      </c>
      <c r="ME2" s="115" t="s">
        <v>1511</v>
      </c>
      <c r="MF2" s="115" t="s">
        <v>1512</v>
      </c>
      <c r="MG2" s="115" t="s">
        <v>1513</v>
      </c>
      <c r="MH2" s="115" t="s">
        <v>1514</v>
      </c>
      <c r="MI2" s="115" t="s">
        <v>1515</v>
      </c>
      <c r="MJ2" s="115" t="s">
        <v>1516</v>
      </c>
      <c r="MK2" s="115" t="s">
        <v>1517</v>
      </c>
      <c r="ML2" s="115" t="s">
        <v>1518</v>
      </c>
      <c r="MM2" s="115" t="s">
        <v>1519</v>
      </c>
      <c r="MN2" s="115" t="s">
        <v>1520</v>
      </c>
      <c r="MO2" s="115" t="e">
        <v>#VALUE!</v>
      </c>
      <c r="MP2" s="115" t="s">
        <v>1521</v>
      </c>
      <c r="MQ2" s="115" t="s">
        <v>1522</v>
      </c>
      <c r="MR2" s="115" t="s">
        <v>1523</v>
      </c>
      <c r="MS2" s="115" t="s">
        <v>1524</v>
      </c>
      <c r="MT2" s="115" t="s">
        <v>1525</v>
      </c>
      <c r="MU2" s="115" t="s">
        <v>1526</v>
      </c>
      <c r="MV2" s="115" t="s">
        <v>1527</v>
      </c>
      <c r="MW2" s="115" t="s">
        <v>1528</v>
      </c>
      <c r="MX2" s="115" t="s">
        <v>1529</v>
      </c>
      <c r="MY2" s="115" t="s">
        <v>1530</v>
      </c>
      <c r="MZ2" s="115" t="s">
        <v>1531</v>
      </c>
      <c r="NA2" s="115" t="s">
        <v>1532</v>
      </c>
      <c r="NB2" s="115" t="s">
        <v>1533</v>
      </c>
      <c r="NC2" s="115" t="s">
        <v>1534</v>
      </c>
      <c r="ND2" s="115" t="s">
        <v>1535</v>
      </c>
      <c r="NE2" s="115" t="s">
        <v>1536</v>
      </c>
      <c r="NF2" s="115" t="s">
        <v>1537</v>
      </c>
      <c r="NG2" s="115" t="s">
        <v>1538</v>
      </c>
      <c r="NH2" s="115" t="s">
        <v>1539</v>
      </c>
      <c r="NI2" s="115" t="e">
        <v>#VALUE!</v>
      </c>
      <c r="NJ2" s="115" t="e">
        <v>#VALUE!</v>
      </c>
      <c r="NK2" s="115" t="e">
        <v>#VALUE!</v>
      </c>
      <c r="NL2" s="115" t="e">
        <v>#VALUE!</v>
      </c>
      <c r="NM2" s="115" t="e">
        <v>#VALUE!</v>
      </c>
      <c r="NN2" s="115" t="e">
        <v>#VALUE!</v>
      </c>
      <c r="NO2" s="586" t="s">
        <v>1329</v>
      </c>
      <c r="NP2" s="587" t="s">
        <v>1373</v>
      </c>
      <c r="NQ2" s="587" t="s">
        <v>1330</v>
      </c>
      <c r="NR2" s="587" t="s">
        <v>1331</v>
      </c>
      <c r="NS2" s="587" t="s">
        <v>1332</v>
      </c>
      <c r="NT2" s="587" t="s">
        <v>1333</v>
      </c>
      <c r="NU2" s="587" t="s">
        <v>1334</v>
      </c>
      <c r="NV2" s="587" t="s">
        <v>1335</v>
      </c>
      <c r="NW2" s="587" t="s">
        <v>70</v>
      </c>
      <c r="NX2" s="587" t="s">
        <v>1261</v>
      </c>
      <c r="NY2" s="587" t="s">
        <v>1336</v>
      </c>
      <c r="NZ2" s="587" t="s">
        <v>1337</v>
      </c>
      <c r="OA2" s="587" t="s">
        <v>1338</v>
      </c>
      <c r="OB2" s="588" t="s">
        <v>1338</v>
      </c>
      <c r="OC2" s="588" t="s">
        <v>88</v>
      </c>
      <c r="OD2" s="587" t="s">
        <v>90</v>
      </c>
      <c r="OE2" s="588" t="s">
        <v>1339</v>
      </c>
      <c r="OF2" s="588" t="s">
        <v>1340</v>
      </c>
      <c r="OG2" s="588" t="s">
        <v>1341</v>
      </c>
      <c r="OH2" s="588" t="s">
        <v>1342</v>
      </c>
      <c r="OI2" s="211" t="s">
        <v>233</v>
      </c>
      <c r="OJ2" s="211" t="s">
        <v>1451</v>
      </c>
      <c r="OK2" s="211" t="s">
        <v>1452</v>
      </c>
      <c r="OL2" s="211" t="s">
        <v>1453</v>
      </c>
      <c r="OM2" s="211" t="s">
        <v>1542</v>
      </c>
      <c r="ON2" s="211" t="s">
        <v>1543</v>
      </c>
      <c r="OO2" s="211" t="s">
        <v>1544</v>
      </c>
      <c r="OP2" s="211" t="s">
        <v>1454</v>
      </c>
      <c r="OQ2" s="589" t="s">
        <v>345</v>
      </c>
      <c r="OR2" s="589" t="s">
        <v>1540</v>
      </c>
      <c r="OS2" s="589" t="s">
        <v>1077</v>
      </c>
      <c r="OT2" s="589" t="s">
        <v>1459</v>
      </c>
      <c r="OU2" s="589" t="s">
        <v>1294</v>
      </c>
      <c r="OV2" s="589" t="s">
        <v>1295</v>
      </c>
      <c r="OW2" s="589" t="s">
        <v>1296</v>
      </c>
      <c r="OX2" s="589" t="s">
        <v>1444</v>
      </c>
      <c r="OY2" s="589" t="s">
        <v>1445</v>
      </c>
      <c r="OZ2" s="589" t="s">
        <v>1446</v>
      </c>
    </row>
    <row r="3" spans="1:426" s="115" customFormat="1">
      <c r="A3" s="115">
        <f>IF(ISBLANK(VLOOKUP(A2,Common!$D$6:$H$27,5,FALSE)),"",VLOOKUP(A2,Common!$D$6:$H$27,5,FALSE))</f>
        <v>9375.1977179000005</v>
      </c>
      <c r="B3" s="115">
        <f>IF(ISBLANK(VLOOKUP(B2,Common!$D$6:$H$27,5,FALSE)),"",VLOOKUP(B2,Common!$D$6:$H$27,5,FALSE))</f>
        <v>48300</v>
      </c>
      <c r="C3" s="115">
        <f>IF(ISBLANK(VLOOKUP(C2,Common!$D$6:$H$27,5,FALSE)),"",VLOOKUP(C2,Common!$D$6:$H$27,5,FALSE))</f>
        <v>28144</v>
      </c>
      <c r="D3" s="115">
        <f>IF(ISBLANK(VLOOKUP(D2,Common!$D$6:$H$27,5,FALSE)),"",VLOOKUP(D2,Common!$D$6:$H$27,5,FALSE))</f>
        <v>3040</v>
      </c>
      <c r="E3" s="115">
        <f>IF(ISBLANK(VLOOKUP(E2,Common!$D$6:$H$27,5,FALSE)),"",VLOOKUP(E2,Common!$D$6:$H$27,5,FALSE))</f>
        <v>31184</v>
      </c>
      <c r="F3" s="115">
        <f>IF(ISBLANK(VLOOKUP(F2,Common!$D$6:$H$27,5,FALSE)),"",VLOOKUP(F2,Common!$D$6:$H$27,5,FALSE))</f>
        <v>1.7161739624786811</v>
      </c>
      <c r="G3" s="115" t="str">
        <f>IF(ISBLANK(VLOOKUP(G2,Common!$D$6:$H$27,5,FALSE)),"",VLOOKUP(G2,Common!$D$6:$H$27,5,FALSE))</f>
        <v/>
      </c>
      <c r="H3" s="115" t="str">
        <f>IF(ISBLANK(VLOOKUP(H2,Common!$D$6:$H$27,5,FALSE)),"",VLOOKUP(H2,Common!$D$6:$H$27,5,FALSE))</f>
        <v/>
      </c>
      <c r="I3" s="115" t="str">
        <f>IF(ISBLANK(VLOOKUP(I2,Common!$D$6:$H$27,5,FALSE)),"",VLOOKUP(I2,Common!$D$6:$H$27,5,FALSE))</f>
        <v/>
      </c>
      <c r="J3" s="115" t="str">
        <f>IF(ISBLANK(VLOOKUP(J2,Common!$D$6:$H$27,5,FALSE)),"",VLOOKUP(J2,Common!$D$6:$H$27,5,FALSE))</f>
        <v/>
      </c>
      <c r="K3" s="115" t="str">
        <f>IF(ISBLANK(VLOOKUP(K2,Common!$D$6:$H$27,5,FALSE)),"",VLOOKUP(K2,Common!$D$6:$H$27,5,FALSE))</f>
        <v/>
      </c>
      <c r="L3" s="115" t="str">
        <f>IF(ISBLANK(VLOOKUP(L2,Common!$D$6:$H$27,5,FALSE)),"",VLOOKUP(L2,Common!$D$6:$H$27,5,FALSE))</f>
        <v/>
      </c>
      <c r="M3" s="115" t="str">
        <f>IF(ISBLANK(VLOOKUP(M2,Common!$D$6:$H$27,5,FALSE)),"",VLOOKUP(M2,Common!$D$6:$H$27,5,FALSE))</f>
        <v/>
      </c>
      <c r="N3" s="115" t="str">
        <f>IF(ISBLANK(VLOOKUP(N2,Common!$D$6:$H$27,5,FALSE)),"",VLOOKUP(N2,Common!$D$6:$H$27,5,FALSE))</f>
        <v/>
      </c>
      <c r="O3" s="115" t="str">
        <f>IF(ISBLANK(VLOOKUP(O2,Common!$D$6:$H$27,5,FALSE)),"",VLOOKUP(O2,Common!$D$6:$H$27,5,FALSE))</f>
        <v/>
      </c>
      <c r="P3" s="115" t="str">
        <f>IF(ISBLANK(VLOOKUP(P2,Common!$D$6:$H$27,5,FALSE)),"",VLOOKUP(P2,Common!$D$6:$H$27,5,FALSE))</f>
        <v/>
      </c>
      <c r="Q3" s="115" t="str">
        <f>IF(ISBLANK(VLOOKUP(Q2,Common!$D$6:$H$27,5,FALSE)),"",VLOOKUP(Q2,Common!$D$6:$H$27,5,FALSE))</f>
        <v/>
      </c>
      <c r="R3" s="115" t="str">
        <f>IF(ISBLANK(VLOOKUP(R2,Common!$D$6:$H$27,5,FALSE)),"",VLOOKUP(R2,Common!$D$6:$H$27,5,FALSE))</f>
        <v/>
      </c>
      <c r="S3" s="115" t="str">
        <f>IF(ISBLANK(VLOOKUP(S2,Common!$D$6:$H$27,5,FALSE)),"",VLOOKUP(S2,Common!$D$6:$H$27,5,FALSE))</f>
        <v/>
      </c>
      <c r="T3" s="115" t="str">
        <f>IF(ISBLANK(VLOOKUP(T2,Common!$D$6:$H$27,5,FALSE)),"",VLOOKUP(T2,Common!$D$6:$H$27,5,FALSE))</f>
        <v/>
      </c>
      <c r="U3" s="115" t="str">
        <f>IF(ISBLANK(VLOOKUP(U2,Common!$D$6:$H$27,5,FALSE)),"",VLOOKUP(U2,Common!$D$6:$H$27,5,FALSE))</f>
        <v/>
      </c>
      <c r="V3" s="115" t="str">
        <f>IF(ISBLANK(VLOOKUP(V2,Common!$D$6:$H$27,5,FALSE)),"",VLOOKUP(V2,Common!$D$6:$H$27,5,FALSE))</f>
        <v/>
      </c>
      <c r="W3" s="115" t="str">
        <f>IF(ISBLANK(VLOOKUP(W2,Water!$D$6:$J$109,7,FALSE)),"",VLOOKUP(W2,Water!$D$6:$J$109,7,FALSE))</f>
        <v/>
      </c>
      <c r="X3" s="115" t="str">
        <f>IF(ISBLANK(VLOOKUP(X2,Water!$D$6:$J$109,7,FALSE)),"",VLOOKUP(X2,Water!$D$6:$J$109,7,FALSE))</f>
        <v/>
      </c>
      <c r="Y3" s="115" t="str">
        <f>IF(ISBLANK(VLOOKUP(Y2,Water!$D$6:$J$109,7,FALSE)),"",VLOOKUP(Y2,Water!$D$6:$J$109,7,FALSE))</f>
        <v/>
      </c>
      <c r="Z3" s="115" t="str">
        <f>IF(ISBLANK(VLOOKUP(Z2,Water!$D$6:$J$109,7,FALSE)),"",VLOOKUP(Z2,Water!$D$6:$J$109,7,FALSE))</f>
        <v/>
      </c>
      <c r="AA3" s="115" t="str">
        <f>IF(ISBLANK(VLOOKUP(AA2,Water!$D$6:$J$109,7,FALSE)),"",VLOOKUP(AA2,Water!$D$6:$J$109,7,FALSE))</f>
        <v/>
      </c>
      <c r="AB3" s="115" t="str">
        <f>IF(ISBLANK(VLOOKUP(AB2,Water!$D$6:$J$109,7,FALSE)),"",VLOOKUP(AB2,Water!$D$6:$J$109,7,FALSE))</f>
        <v/>
      </c>
      <c r="AC3" s="115" t="str">
        <f>IF(ISBLANK(VLOOKUP(AC2,Water!$D$6:$J$109,7,FALSE)),"",VLOOKUP(AC2,Water!$D$6:$J$109,7,FALSE))</f>
        <v/>
      </c>
      <c r="AD3" s="115" t="str">
        <f>IF(ISBLANK(VLOOKUP(AD2,Water!$D$6:$J$109,7,FALSE)),"",VLOOKUP(AD2,Water!$D$6:$J$109,7,FALSE))</f>
        <v/>
      </c>
      <c r="AF3" s="115" t="str">
        <f>IF(ISBLANK(VLOOKUP(AF2,Water!$D$6:$J$109,7,FALSE)),"",VLOOKUP(AF2,Water!$D$6:$J$109,7,FALSE))</f>
        <v/>
      </c>
      <c r="AG3" s="115" t="str">
        <f>IF(ISBLANK(VLOOKUP(AG2,Water!$D$6:$J$109,7,FALSE)),"",VLOOKUP(AG2,Water!$D$6:$J$109,7,FALSE))</f>
        <v/>
      </c>
      <c r="AI3" s="115">
        <f>IF(ISBLANK(VLOOKUP(AI2,Water!$D$6:$J$109,7,FALSE)),"",VLOOKUP(AI2,Water!$D$6:$J$109,7,FALSE))</f>
        <v>619.62</v>
      </c>
      <c r="AO3" s="115" t="str">
        <f>IF(ISBLANK(VLOOKUP(AO2,Water!$D$6:$J$109,7,FALSE)),"",VLOOKUP(AO2,Water!$D$6:$J$109,7,FALSE))</f>
        <v/>
      </c>
      <c r="AQ3" s="115" t="str">
        <f>IF(ISBLANK(VLOOKUP(AQ2,Water!$D$6:$J$109,7,FALSE)),"",VLOOKUP(AQ2,Water!$D$6:$J$109,7,FALSE))</f>
        <v/>
      </c>
      <c r="AS3" s="115" t="str">
        <f>IF(ISBLANK(VLOOKUP(AS2,Water!$D$6:$J$109,7,FALSE)),"",VLOOKUP(AS2,Water!$D$6:$J$109,7,FALSE))</f>
        <v/>
      </c>
      <c r="AT3" s="115">
        <f>IF(ISBLANK(VLOOKUP(AT2,Water!$D$6:$J$109,7,FALSE)),"",VLOOKUP(AT2,Water!$D$6:$J$109,7,FALSE))</f>
        <v>12</v>
      </c>
      <c r="AV3" s="115">
        <f>IF(ISBLANK(VLOOKUP(AV2,Water!$D$6:$J$109,7,FALSE)),"",VLOOKUP(AV2,Water!$D$6:$J$109,7,FALSE))</f>
        <v>34</v>
      </c>
      <c r="AX3" s="115">
        <f>IF(ISBLANK(VLOOKUP(AX2,Water!$D$6:$J$109,7,FALSE)),"",VLOOKUP(AX2,Water!$D$6:$J$109,7,FALSE))</f>
        <v>52</v>
      </c>
      <c r="BA3" s="115" t="str">
        <f>IF(ISBLANK(VLOOKUP(BA2,Water!$D$6:$J$109,7,FALSE)),"",VLOOKUP(BA2,Water!$D$6:$J$109,7,FALSE))</f>
        <v/>
      </c>
      <c r="BB3" s="115" t="str">
        <f>IF(ISBLANK(VLOOKUP(BB2,Water!$D$6:$J$109,7,FALSE)),"",VLOOKUP(BB2,Water!$D$6:$J$109,7,FALSE))</f>
        <v/>
      </c>
      <c r="BG3" s="115" t="str">
        <f>IF(ISBLANK(VLOOKUP(BG2,Water!$D$6:$J$109,7,FALSE)),"",VLOOKUP(BG2,Water!$D$6:$J$109,7,FALSE))</f>
        <v/>
      </c>
      <c r="BH3" s="115" t="str">
        <f>IF(ISBLANK(VLOOKUP(BH2,Water!$D$6:$J$109,7,FALSE)),"",VLOOKUP(BH2,Water!$D$6:$J$109,7,FALSE))</f>
        <v/>
      </c>
      <c r="BK3" s="115" t="str">
        <f>IF(ISBLANK(VLOOKUP(BK2,Water!$D$6:$J$109,7,FALSE)),"",VLOOKUP(BK2,Water!$D$6:$J$109,7,FALSE))</f>
        <v/>
      </c>
      <c r="BL3" s="115" t="str">
        <f>IF(ISBLANK(VLOOKUP(BL2,Water!$D$6:$J$109,7,FALSE)),"",VLOOKUP(BL2,Water!$D$6:$J$109,7,FALSE))</f>
        <v/>
      </c>
      <c r="BO3" s="115" t="str">
        <f>IF(ISBLANK(VLOOKUP(BO2,Water!$D$6:$J$109,7,FALSE)),"",VLOOKUP(BO2,Water!$D$6:$J$109,7,FALSE))</f>
        <v/>
      </c>
      <c r="BP3" s="115" t="str">
        <f>IF(ISBLANK(VLOOKUP(BP2,Water!$D$6:$J$109,7,FALSE)),"",VLOOKUP(BP2,Water!$D$6:$J$109,7,FALSE))</f>
        <v/>
      </c>
      <c r="BQ3" s="115" t="str">
        <f>IF(ISBLANK(VLOOKUP(BQ2,Water!$D$6:$J$109,7,FALSE)),"",VLOOKUP(BQ2,Water!$D$6:$J$109,7,FALSE))</f>
        <v/>
      </c>
      <c r="BR3" s="115" t="str">
        <f>IF(ISBLANK(VLOOKUP(BR2,Water!$D$6:$J$109,7,FALSE)),"",VLOOKUP(BR2,Water!$D$6:$J$109,7,FALSE))</f>
        <v/>
      </c>
      <c r="BS3" s="115" t="str">
        <f>IF(ISBLANK(VLOOKUP(BS2,Water!$D$6:$J$109,7,FALSE)),"",VLOOKUP(BS2,Water!$D$6:$J$109,7,FALSE))</f>
        <v/>
      </c>
      <c r="BT3" s="115" t="str">
        <f>IF(ISBLANK(VLOOKUP(BT2,Water!$D$6:$J$109,7,FALSE)),"",VLOOKUP(BT2,Water!$D$6:$J$109,7,FALSE))</f>
        <v/>
      </c>
      <c r="BU3" s="115" t="str">
        <f>IF(ISBLANK(VLOOKUP(BU2,Water!$D$6:$J$109,7,FALSE)),"",VLOOKUP(BU2,Water!$D$6:$J$109,7,FALSE))</f>
        <v/>
      </c>
      <c r="BV3" s="115" t="str">
        <f>IF(ISBLANK(VLOOKUP(BV2,Water!$D$6:$J$109,7,FALSE)),"",VLOOKUP(BV2,Water!$D$6:$J$109,7,FALSE))</f>
        <v/>
      </c>
      <c r="BW3" s="115" t="str">
        <f>IF(ISBLANK(VLOOKUP(BW2,Water!$D$6:$J$109,7,FALSE)),"",VLOOKUP(BW2,Water!$D$6:$J$109,7,FALSE))</f>
        <v/>
      </c>
      <c r="BX3" s="115" t="str">
        <f>IF(ISBLANK(VLOOKUP(BX2,Water!$D$6:$J$109,7,FALSE)),"",VLOOKUP(BX2,Water!$D$6:$J$109,7,FALSE))</f>
        <v/>
      </c>
      <c r="BY3" s="115" t="str">
        <f>IF(ISBLANK(VLOOKUP(BY2,Water!$D$6:$J$109,7,FALSE)),"",VLOOKUP(BY2,Water!$D$6:$J$109,7,FALSE))</f>
        <v/>
      </c>
      <c r="BZ3" s="115" t="str">
        <f>IF(ISBLANK(VLOOKUP(BZ2,Water!$D$6:$J$109,7,FALSE)),"",VLOOKUP(BZ2,Water!$D$6:$J$109,7,FALSE))</f>
        <v/>
      </c>
      <c r="CA3" s="115" t="str">
        <f>IF(ISBLANK(VLOOKUP(CA2,Water!$D$6:$J$109,7,FALSE)),"",VLOOKUP(CA2,Water!$D$6:$J$109,7,FALSE))</f>
        <v/>
      </c>
      <c r="CB3" s="115" t="str">
        <f>IF(ISBLANK(VLOOKUP(CB2,Water!$D$6:$J$109,7,FALSE)),"",VLOOKUP(CB2,Water!$D$6:$J$109,7,FALSE))</f>
        <v/>
      </c>
      <c r="CC3" s="115" t="str">
        <f>IF(ISBLANK(VLOOKUP(CC2,Water!$D$6:$J$109,7,FALSE)),"",VLOOKUP(CC2,Water!$D$6:$J$109,7,FALSE))</f>
        <v/>
      </c>
      <c r="CD3" s="115" t="str">
        <f>IF(ISBLANK(VLOOKUP(CD2,Water!$D$6:$J$109,7,FALSE)),"",VLOOKUP(CD2,Water!$D$6:$J$109,7,FALSE))</f>
        <v/>
      </c>
      <c r="CE3" s="115" t="str">
        <f>IF(ISBLANK(VLOOKUP(CE2,Water!$D$6:$J$109,7,FALSE)),"",VLOOKUP(CE2,Water!$D$6:$J$109,7,FALSE))</f>
        <v/>
      </c>
      <c r="CG3" s="115" t="str">
        <f>IF(ISBLANK(VLOOKUP(CG2,Water!$D$6:$J$109,7,FALSE)),"",VLOOKUP(CG2,Water!$D$6:$J$109,7,FALSE))</f>
        <v/>
      </c>
      <c r="CH3" s="115" t="str">
        <f>IF(ISBLANK(VLOOKUP(CH2,Water!$D$6:$J$109,7,FALSE)),"",VLOOKUP(CH2,Water!$D$6:$J$109,7,FALSE))</f>
        <v/>
      </c>
      <c r="CI3" s="115" t="str">
        <f>IF(ISBLANK(VLOOKUP(CI2,Water!$D$6:$J$109,7,FALSE)),"",VLOOKUP(CI2,Water!$D$6:$J$109,7,FALSE))</f>
        <v/>
      </c>
      <c r="CJ3" s="115" t="str">
        <f>IF(ISBLANK(VLOOKUP(CJ2,Water!$D$6:$J$109,7,FALSE)),"",VLOOKUP(CJ2,Water!$D$6:$J$109,7,FALSE))</f>
        <v/>
      </c>
      <c r="CK3" s="115" t="str">
        <f>IF(ISBLANK(VLOOKUP(CK2,Water!$D$6:$J$109,7,FALSE)),"",VLOOKUP(CK2,Water!$D$6:$J$109,7,FALSE))</f>
        <v/>
      </c>
      <c r="CL3" s="115" t="str">
        <f>IF(ISBLANK(VLOOKUP(CL2,Water!$D$6:$J$109,7,FALSE)),"",VLOOKUP(CL2,Water!$D$6:$J$109,7,FALSE))</f>
        <v/>
      </c>
      <c r="CM3" s="115" t="str">
        <f>IF(ISBLANK(VLOOKUP(CM2,Water!$D$6:$J$109,7,FALSE)),"",VLOOKUP(CM2,Water!$D$6:$J$109,7,FALSE))</f>
        <v/>
      </c>
      <c r="CN3" s="115" t="str">
        <f>IF(ISBLANK(VLOOKUP(CN2,Water!$D$6:$J$109,7,FALSE)),"",VLOOKUP(CN2,Water!$D$6:$J$109,7,FALSE))</f>
        <v/>
      </c>
      <c r="CO3" s="115" t="str">
        <f>IF(ISBLANK(VLOOKUP(CO2,Water!$D$6:$J$109,7,FALSE)),"",VLOOKUP(CO2,Water!$D$6:$J$109,7,FALSE))</f>
        <v/>
      </c>
      <c r="CP3" s="115" t="str">
        <f>IF(ISBLANK(VLOOKUP(CP2,Water!$D$6:$J$109,7,FALSE)),"",VLOOKUP(CP2,Water!$D$6:$J$109,7,FALSE))</f>
        <v/>
      </c>
      <c r="CQ3" s="115" t="str">
        <f>IF(ISBLANK(VLOOKUP(CQ2,Water!$D$6:$J$109,7,FALSE)),"",VLOOKUP(CQ2,Water!$D$6:$J$109,7,FALSE))</f>
        <v/>
      </c>
      <c r="CR3" s="115" t="str">
        <f>IF(ISBLANK(VLOOKUP(CR2,Water!$D$6:$J$109,7,FALSE)),"",VLOOKUP(CR2,Water!$D$6:$J$109,7,FALSE))</f>
        <v/>
      </c>
      <c r="CS3" s="115" t="str">
        <f>IF(ISBLANK(VLOOKUP(CS2,Water!$D$6:$J$109,7,FALSE)),"",VLOOKUP(CS2,Water!$D$6:$J$109,7,FALSE))</f>
        <v/>
      </c>
      <c r="CX3" s="115" t="str">
        <f>IF(ISBLANK(VLOOKUP(CX2,Water!$D$6:$J$109,7,FALSE)),"",VLOOKUP(CX2,Water!$D$6:$J$109,7,FALSE))</f>
        <v/>
      </c>
      <c r="CY3" s="115" t="str">
        <f>IF(ISBLANK(VLOOKUP(CY2,Water!$D$6:$J$109,7,FALSE)),"",VLOOKUP(CY2,Water!$D$6:$J$109,7,FALSE))</f>
        <v/>
      </c>
      <c r="CZ3" s="115" t="str">
        <f>IF(ISBLANK(VLOOKUP(CZ2,Water!$D$6:$J$109,7,FALSE)),"",VLOOKUP(CZ2,Water!$D$6:$J$109,7,FALSE))</f>
        <v/>
      </c>
      <c r="DA3" s="115" t="str">
        <f>IF(ISBLANK(VLOOKUP(DA2,Water!$D$6:$J$109,7,FALSE)),"",VLOOKUP(DA2,Water!$D$6:$J$109,7,FALSE))</f>
        <v/>
      </c>
      <c r="DB3" s="115" t="str">
        <f>IF(ISBLANK(VLOOKUP(DB2,Water!$D$6:$J$109,7,FALSE)),"",VLOOKUP(DB2,Water!$D$6:$J$109,7,FALSE))</f>
        <v/>
      </c>
      <c r="DC3" s="115" t="str">
        <f>IF(ISBLANK(VLOOKUP(DC2,Water!$D$6:$J$109,7,FALSE)),"",VLOOKUP(DC2,Water!$D$6:$J$109,7,FALSE))</f>
        <v/>
      </c>
      <c r="DD3" s="115" t="str">
        <f>IF(ISBLANK(VLOOKUP(DD2,Water!$D$6:$J$109,7,FALSE)),"",VLOOKUP(DD2,Water!$D$6:$J$109,7,FALSE))</f>
        <v/>
      </c>
      <c r="DE3" s="115" t="str">
        <f>IF(ISBLANK(VLOOKUP(DE2,Water!$D$6:$J$109,7,FALSE)),"",VLOOKUP(DE2,Water!$D$6:$J$109,7,FALSE))</f>
        <v/>
      </c>
      <c r="DF3" s="115" t="str">
        <f>IF(ISBLANK(VLOOKUP(DF2,Water!$D$6:$J$109,7,FALSE)),"",VLOOKUP(DF2,Water!$D$6:$J$109,7,FALSE))</f>
        <v/>
      </c>
      <c r="DG3" s="115" t="str">
        <f>IF(ISBLANK(VLOOKUP(DG2,Water!$D$6:$J$109,7,FALSE)),"",VLOOKUP(DG2,Water!$D$6:$J$109,7,FALSE))</f>
        <v/>
      </c>
      <c r="DH3" s="115" t="str">
        <f>IF(ISBLANK(VLOOKUP(DH2,Water!$D$6:$J$109,7,FALSE)),"",VLOOKUP(DH2,Water!$D$6:$J$109,7,FALSE))</f>
        <v/>
      </c>
      <c r="DI3" s="115" t="str">
        <f>IF(ISBLANK(VLOOKUP(DI2,Water!$D$6:$J$109,7,FALSE)),"",VLOOKUP(DI2,Water!$D$6:$J$109,7,FALSE))</f>
        <v/>
      </c>
      <c r="DJ3" s="115" t="str">
        <f>IF(ISBLANK(VLOOKUP(DJ2,Water!$D$6:$J$109,7,FALSE)),"",VLOOKUP(DJ2,Water!$D$6:$J$109,7,FALSE))</f>
        <v/>
      </c>
      <c r="DK3" s="115" t="str">
        <f>IF(ISBLANK(VLOOKUP(DK2,Water!$D$6:$J$109,7,FALSE)),"",VLOOKUP(DK2,Water!$D$6:$J$109,7,FALSE))</f>
        <v/>
      </c>
      <c r="DL3" s="115" t="str">
        <f>IF(ISBLANK(VLOOKUP(DL2,Water!$D$6:$J$109,7,FALSE)),"",VLOOKUP(DL2,Water!$D$6:$J$109,7,FALSE))</f>
        <v/>
      </c>
      <c r="DM3" s="115" t="str">
        <f>IF(ISBLANK(VLOOKUP(DM2,Water!$D$6:$J$109,7,FALSE)),"",VLOOKUP(DM2,Water!$D$6:$J$109,7,FALSE))</f>
        <v/>
      </c>
      <c r="DN3" s="115" t="str">
        <f>IF(ISBLANK(VLOOKUP(DN2,Water!$D$6:$J$109,7,FALSE)),"",VLOOKUP(DN2,Water!$D$6:$J$109,7,FALSE))</f>
        <v/>
      </c>
      <c r="DO3" s="115" t="str">
        <f>IF(ISBLANK(VLOOKUP(DO2,Water!$D$6:$J$109,7,FALSE)),"",VLOOKUP(DO2,Water!$D$6:$J$109,7,FALSE))</f>
        <v/>
      </c>
      <c r="DP3" s="115" t="str">
        <f>IF(ISBLANK(VLOOKUP(DP2,Water!$D$6:$J$109,7,FALSE)),"",VLOOKUP(DP2,Water!$D$6:$J$109,7,FALSE))</f>
        <v/>
      </c>
      <c r="DQ3" s="115" t="str">
        <f>IF(ISBLANK(VLOOKUP(DQ2,Water!$D$6:$J$109,7,FALSE)),"",VLOOKUP(DQ2,Water!$D$6:$J$109,7,FALSE))</f>
        <v/>
      </c>
      <c r="DR3" s="115" t="str">
        <f>IF(ISBLANK(VLOOKUP(DR2,Water!$D$6:$J$109,7,FALSE)),"",VLOOKUP(DR2,Water!$D$6:$J$109,7,FALSE))</f>
        <v/>
      </c>
      <c r="DS3" s="115" t="str">
        <f>IF(ISBLANK(VLOOKUP(DS2,Water!$D$6:$J$109,7,FALSE)),"",VLOOKUP(DS2,Water!$D$6:$J$109,7,FALSE))</f>
        <v/>
      </c>
      <c r="DT3" s="115" t="str">
        <f>IF(ISBLANK(VLOOKUP(DT2,Water!$D$6:$J$109,7,FALSE)),"",VLOOKUP(DT2,Water!$D$6:$J$109,7,FALSE))</f>
        <v/>
      </c>
      <c r="DU3" s="115" t="str">
        <f>IF(ISBLANK(VLOOKUP(DU2,Water!$D$6:$J$109,7,FALSE)),"",VLOOKUP(DU2,Water!$D$6:$J$109,7,FALSE))</f>
        <v/>
      </c>
      <c r="DV3" s="115" t="str">
        <f>IF(ISBLANK(VLOOKUP(DV2,Water!$D$6:$J$109,7,FALSE)),"",VLOOKUP(DV2,Water!$D$6:$J$109,7,FALSE))</f>
        <v/>
      </c>
      <c r="DW3" s="115" t="str">
        <f>IF(ISBLANK(VLOOKUP(DW2,Water!$D$6:$J$109,7,FALSE)),"",VLOOKUP(DW2,Water!$D$6:$J$109,7,FALSE))</f>
        <v/>
      </c>
      <c r="DX3" s="115" t="str">
        <f>IF(ISBLANK(VLOOKUP(DX2,Water!$D$6:$J$109,7,FALSE)),"",VLOOKUP(DX2,Water!$D$6:$J$109,7,FALSE))</f>
        <v/>
      </c>
      <c r="DY3" s="115" t="str">
        <f>IF(ISBLANK(VLOOKUP(DY2,Water!$D$6:$J$109,7,FALSE)),"",VLOOKUP(DY2,Water!$D$6:$J$109,7,FALSE))</f>
        <v/>
      </c>
      <c r="DZ3" s="115" t="str">
        <f>IF(ISBLANK(VLOOKUP(DZ2,Water!$D$6:$J$109,7,FALSE)),"",VLOOKUP(DZ2,Water!$D$6:$J$109,7,FALSE))</f>
        <v/>
      </c>
      <c r="EA3" s="115" t="str">
        <f>IF(ISBLANK(VLOOKUP(EA2,Water!$D$6:$J$109,7,FALSE)),"",VLOOKUP(EA2,Water!$D$6:$J$109,7,FALSE))</f>
        <v/>
      </c>
      <c r="EB3" s="115" t="str">
        <f>IF(ISBLANK(VLOOKUP(EB2,Water!$D$6:$J$109,7,FALSE)),"",VLOOKUP(EB2,Water!$D$6:$J$109,7,FALSE))</f>
        <v/>
      </c>
      <c r="EC3" s="115" t="str">
        <f>IF(ISBLANK(VLOOKUP(EC2,Water!$D$6:$J$109,7,FALSE)),"",VLOOKUP(EC2,Water!$D$6:$J$109,7,FALSE))</f>
        <v/>
      </c>
      <c r="ED3" s="115" t="str">
        <f>IF(ISBLANK(VLOOKUP(ED2,Water!$D$6:$J$109,7,FALSE)),"",VLOOKUP(ED2,Water!$D$6:$J$109,7,FALSE))</f>
        <v/>
      </c>
      <c r="EE3" s="115" t="str">
        <f>IF(ISBLANK(VLOOKUP(EE2,Water!$D$6:$J$109,7,FALSE)),"",VLOOKUP(EE2,Water!$D$6:$J$109,7,FALSE))</f>
        <v/>
      </c>
      <c r="EF3" s="115">
        <f>IF(ISBLANK(VLOOKUP(EF2,Wastewater!$D$6:$H$127,5,FALSE)),"",VLOOKUP(EF2,Wastewater!$D$6:$H$127,5,FALSE))</f>
        <v>0</v>
      </c>
      <c r="EG3" s="115">
        <f>IF(ISBLANK(VLOOKUP(EG2,Wastewater!$D$6:$H$127,5,FALSE)),"",VLOOKUP(EG2,Wastewater!$D$6:$H$127,5,FALSE))</f>
        <v>0</v>
      </c>
      <c r="EH3" s="115" t="str">
        <f>IF(ISBLANK(VLOOKUP(EH2,Wastewater!$D$6:$H$127,5,FALSE)),"",VLOOKUP(EH2,Wastewater!$D$6:$H$127,5,FALSE))</f>
        <v/>
      </c>
      <c r="EI3" s="115" t="str">
        <f>IF(ISBLANK(VLOOKUP(EI2,Wastewater!$D$6:$H$127,5,FALSE)),"",VLOOKUP(EI2,Wastewater!$D$6:$H$127,5,FALSE))</f>
        <v/>
      </c>
      <c r="EJ3" s="115" t="str">
        <f>IF(ISBLANK(VLOOKUP(EJ2,Wastewater!$D$6:$H$127,5,FALSE)),"",VLOOKUP(EJ2,Wastewater!$D$6:$H$127,5,FALSE))</f>
        <v/>
      </c>
      <c r="EK3" s="115" t="str">
        <f>IF(ISBLANK(VLOOKUP(EK2,Wastewater!$D$6:$H$127,5,FALSE)),"",VLOOKUP(EK2,Wastewater!$D$6:$H$127,5,FALSE))</f>
        <v/>
      </c>
      <c r="EL3" s="115" t="str">
        <f>IF(ISBLANK(VLOOKUP(EL2,Wastewater!$D$6:$H$127,5,FALSE)),"",VLOOKUP(EL2,Wastewater!$D$6:$H$127,5,FALSE))</f>
        <v/>
      </c>
      <c r="EN3" s="115">
        <f>IF(ISBLANK(VLOOKUP(EN2,Wastewater!$D$6:$H$127,5,FALSE)),"",VLOOKUP(EN2,Wastewater!$D$6:$H$127,5,FALSE))</f>
        <v>597.95000000000005</v>
      </c>
      <c r="ET3" s="115" t="str">
        <f>IF(ISBLANK(VLOOKUP(ET2,Wastewater!$D$6:$H$127,5,FALSE)),"",VLOOKUP(ET2,Wastewater!$D$6:$H$127,5,FALSE))</f>
        <v/>
      </c>
      <c r="EV3" s="115" t="str">
        <f>IF(ISBLANK(VLOOKUP(EV2,Wastewater!$D$6:$H$127,5,FALSE)),"",VLOOKUP(EV2,Wastewater!$D$6:$H$127,5,FALSE))</f>
        <v/>
      </c>
      <c r="EX3" s="115" t="str">
        <f>IF(ISBLANK(VLOOKUP(EX2,Wastewater!$D$6:$H$127,5,FALSE)),"",VLOOKUP(EX2,Wastewater!$D$6:$H$127,5,FALSE))</f>
        <v/>
      </c>
      <c r="EY3" s="115" t="str">
        <f>IF(ISBLANK(VLOOKUP(EY2,Wastewater!$D$6:$H$127,5,FALSE)),"",VLOOKUP(EY2,Wastewater!$D$6:$H$127,5,FALSE))</f>
        <v/>
      </c>
      <c r="EZ3" s="115">
        <f>IF(ISBLANK(VLOOKUP(EZ2,Wastewater!$D$6:$H$127,5,FALSE)),"",VLOOKUP(EZ2,Wastewater!$D$6:$H$127,5,FALSE))</f>
        <v>73</v>
      </c>
      <c r="FB3" s="115" t="str">
        <f>IF(ISBLANK(VLOOKUP(FB2,Wastewater!$D$6:$H$127,5,FALSE)),"",VLOOKUP(FB2,Wastewater!$D$6:$H$127,5,FALSE))</f>
        <v/>
      </c>
      <c r="FE3" s="115">
        <f>IF(ISBLANK(VLOOKUP(FE2,Wastewater!$D$6:$H$127,5,FALSE)),"",VLOOKUP(FE2,Wastewater!$D$6:$H$127,5,FALSE))</f>
        <v>6</v>
      </c>
      <c r="FF3" s="115" t="str">
        <f>IF(ISBLANK(VLOOKUP(FF2,Wastewater!$D$6:$H$127,5,FALSE)),"",VLOOKUP(FF2,Wastewater!$D$6:$H$127,5,FALSE))</f>
        <v/>
      </c>
      <c r="FG3" s="115" t="str">
        <f>IF(ISBLANK(VLOOKUP(FG2,Wastewater!$D$6:$H$127,5,FALSE)),"",VLOOKUP(FG2,Wastewater!$D$6:$H$127,5,FALSE))</f>
        <v/>
      </c>
      <c r="FH3" s="115" t="str">
        <f>IF(ISBLANK(VLOOKUP(FH2,Wastewater!$D$6:$H$127,5,FALSE)),"",VLOOKUP(FH2,Wastewater!$D$6:$H$127,5,FALSE))</f>
        <v/>
      </c>
      <c r="FI3" s="115" t="str">
        <f>IF(ISBLANK(VLOOKUP(FI2,Wastewater!$D$6:$H$127,5,FALSE)),"",VLOOKUP(FI2,Wastewater!$D$6:$H$127,5,FALSE))</f>
        <v/>
      </c>
      <c r="FJ3" s="115" t="str">
        <f>IF(ISBLANK(VLOOKUP(FJ2,Wastewater!$D$6:$H$127,5,FALSE)),"",VLOOKUP(FJ2,Wastewater!$D$6:$H$127,5,FALSE))</f>
        <v/>
      </c>
      <c r="FK3" s="115" t="str">
        <f>IF(ISBLANK(VLOOKUP(FK2,Wastewater!$D$6:$H$127,5,FALSE)),"",VLOOKUP(FK2,Wastewater!$D$6:$H$127,5,FALSE))</f>
        <v/>
      </c>
      <c r="FL3" s="115" t="str">
        <f>IF(ISBLANK(VLOOKUP(FL2,Wastewater!$D$6:$H$127,5,FALSE)),"",VLOOKUP(FL2,Wastewater!$D$6:$H$127,5,FALSE))</f>
        <v/>
      </c>
      <c r="FM3" s="115" t="str">
        <f>IF(ISBLANK(VLOOKUP(FM2,Wastewater!$D$6:$H$127,5,FALSE)),"",VLOOKUP(FM2,Wastewater!$D$6:$H$127,5,FALSE))</f>
        <v/>
      </c>
      <c r="FN3" s="115" t="str">
        <f>IF(ISBLANK(VLOOKUP(FN2,Wastewater!$D$6:$H$127,5,FALSE)),"",VLOOKUP(FN2,Wastewater!$D$6:$H$127,5,FALSE))</f>
        <v/>
      </c>
      <c r="FO3" s="115" t="str">
        <f>IF(ISBLANK(VLOOKUP(FO2,Wastewater!$D$6:$H$127,5,FALSE)),"",VLOOKUP(FO2,Wastewater!$D$6:$H$127,5,FALSE))</f>
        <v/>
      </c>
      <c r="FP3" s="115" t="str">
        <f>IF(ISBLANK(VLOOKUP(FP2,Wastewater!$D$6:$H$127,5,FALSE)),"",VLOOKUP(FP2,Wastewater!$D$6:$H$127,5,FALSE))</f>
        <v/>
      </c>
      <c r="FQ3" s="115" t="str">
        <f>IF(ISBLANK(VLOOKUP(FQ2,Wastewater!$D$6:$H$127,5,FALSE)),"",VLOOKUP(FQ2,Wastewater!$D$6:$H$127,5,FALSE))</f>
        <v/>
      </c>
      <c r="FR3" s="115" t="str">
        <f>IF(ISBLANK(VLOOKUP(FR2,Wastewater!$D$6:$H$127,5,FALSE)),"",VLOOKUP(FR2,Wastewater!$D$6:$H$127,5,FALSE))</f>
        <v/>
      </c>
      <c r="FT3" s="115" t="str">
        <f>IF(ISBLANK(VLOOKUP(FT2,Wastewater!$D$6:$H$127,5,FALSE)),"",VLOOKUP(FT2,Wastewater!$D$6:$H$127,5,FALSE))</f>
        <v/>
      </c>
      <c r="FU3" s="115">
        <f>IF(ISBLANK(VLOOKUP(FU2,Wastewater!$D$6:$H$127,5,FALSE)),"",VLOOKUP(FU2,Wastewater!$D$6:$H$127,5,FALSE))</f>
        <v>1043.02</v>
      </c>
      <c r="FV3" s="115" t="str">
        <f>IF(ISBLANK(VLOOKUP(FV2,Wastewater!$D$6:$H$127,5,FALSE)),"",VLOOKUP(FV2,Wastewater!$D$6:$H$127,5,FALSE))</f>
        <v/>
      </c>
      <c r="FW3" s="115" t="str">
        <f>IF(ISBLANK(VLOOKUP(FW2,Wastewater!$D$6:$H$127,5,FALSE)),"",VLOOKUP(FW2,Wastewater!$D$6:$H$127,5,FALSE))</f>
        <v/>
      </c>
      <c r="FX3" s="115" t="str">
        <f>IF(ISBLANK(VLOOKUP(FX2,Wastewater!$D$6:$H$127,5,FALSE)),"",VLOOKUP(FX2,Wastewater!$D$6:$H$127,5,FALSE))</f>
        <v/>
      </c>
      <c r="FY3" s="115" t="str">
        <f>IF(ISBLANK(VLOOKUP(FY2,Wastewater!$D$6:$H$127,5,FALSE)),"",VLOOKUP(FY2,Wastewater!$D$6:$H$127,5,FALSE))</f>
        <v/>
      </c>
      <c r="FZ3" s="115" t="str">
        <f>IF(ISBLANK(VLOOKUP(FZ2,Wastewater!$D$6:$H$127,5,FALSE)),"",VLOOKUP(FZ2,Wastewater!$D$6:$H$127,5,FALSE))</f>
        <v/>
      </c>
      <c r="GA3" s="115" t="str">
        <f>IF(ISBLANK(VLOOKUP(GA2,Wastewater!$D$6:$H$127,5,FALSE)),"",VLOOKUP(GA2,Wastewater!$D$6:$H$127,5,FALSE))</f>
        <v/>
      </c>
      <c r="GB3" s="115" t="str">
        <f>IF(ISBLANK(VLOOKUP(GB2,Wastewater!$D$6:$H$127,5,FALSE)),"",VLOOKUP(GB2,Wastewater!$D$6:$H$127,5,FALSE))</f>
        <v/>
      </c>
      <c r="GC3" s="115" t="str">
        <f>IF(ISBLANK(VLOOKUP(GC2,Wastewater!$D$6:$H$127,5,FALSE)),"",VLOOKUP(GC2,Wastewater!$D$6:$H$127,5,FALSE))</f>
        <v>NZS4404</v>
      </c>
      <c r="GD3" s="115" t="str">
        <f>IF(ISBLANK(VLOOKUP(GD2,Wastewater!$D$6:$H$127,5,FALSE)),"",VLOOKUP(GD2,Wastewater!$D$6:$H$127,5,FALSE))</f>
        <v/>
      </c>
      <c r="GE3" s="115" t="str">
        <f>IF(ISBLANK(VLOOKUP(GE2,Wastewater!$D$6:$H$127,5,FALSE)),"",VLOOKUP(GE2,Wastewater!$D$6:$H$127,5,FALSE))</f>
        <v>Yes</v>
      </c>
      <c r="GF3" s="115" t="str">
        <f>IF(ISBLANK(VLOOKUP(GF2,Wastewater!$D$6:$H$127,5,FALSE)),"",VLOOKUP(GF2,Wastewater!$D$6:$H$127,5,FALSE))</f>
        <v>Yes</v>
      </c>
      <c r="GG3" s="115" t="str">
        <f>IF(ISBLANK(VLOOKUP(GG2,Wastewater!$D$6:$H$127,5,FALSE)),"",VLOOKUP(GG2,Wastewater!$D$6:$H$127,5,FALSE))</f>
        <v>Yes</v>
      </c>
      <c r="GH3" s="115" t="str">
        <f>IF(ISBLANK(VLOOKUP(GH2,Wastewater!$D$6:$H$127,5,FALSE)),"",VLOOKUP(GH2,Wastewater!$D$6:$H$127,5,FALSE))</f>
        <v>No</v>
      </c>
      <c r="GI3" s="115" t="str">
        <f>IF(ISBLANK(VLOOKUP(GI2,Wastewater!$D$6:$H$127,5,FALSE)),"",VLOOKUP(GI2,Wastewater!$D$6:$H$127,5,FALSE))</f>
        <v/>
      </c>
      <c r="GJ3" s="115" t="str">
        <f>IF(ISBLANK(VLOOKUP(GJ2,Wastewater!$D$6:$H$127,5,FALSE)),"",VLOOKUP(GJ2,Wastewater!$D$6:$H$127,5,FALSE))</f>
        <v/>
      </c>
      <c r="GK3" s="115" t="str">
        <f>IF(ISBLANK(VLOOKUP(GK2,Wastewater!$D$6:$H$127,5,FALSE)),"",VLOOKUP(GK2,Wastewater!$D$6:$H$127,5,FALSE))</f>
        <v/>
      </c>
      <c r="GL3" s="115" t="str">
        <f>IF(ISBLANK(VLOOKUP(GL2,Wastewater!$D$6:$H$127,5,FALSE)),"",VLOOKUP(GL2,Wastewater!$D$6:$H$127,5,FALSE))</f>
        <v/>
      </c>
      <c r="GM3" s="115" t="str">
        <f>IF(ISBLANK(VLOOKUP(GM2,Wastewater!$D$6:$H$127,5,FALSE)),"",VLOOKUP(GM2,Wastewater!$D$6:$H$127,5,FALSE))</f>
        <v/>
      </c>
      <c r="GN3" s="115" t="str">
        <f>IF(ISBLANK(VLOOKUP(GN2,Wastewater!$D$6:$H$127,5,FALSE)),"",VLOOKUP(GN2,Wastewater!$D$6:$H$127,5,FALSE))</f>
        <v/>
      </c>
      <c r="GO3" s="115" t="str">
        <f>IF(ISBLANK(VLOOKUP(GO2,Wastewater!$D$6:$H$127,5,FALSE)),"",VLOOKUP(GO2,Wastewater!$D$6:$H$127,5,FALSE))</f>
        <v/>
      </c>
      <c r="GP3" s="115" t="str">
        <f>IF(ISBLANK(VLOOKUP(GP2,Wastewater!$D$6:$H$127,5,FALSE)),"",VLOOKUP(GP2,Wastewater!$D$6:$H$127,5,FALSE))</f>
        <v/>
      </c>
      <c r="GQ3" s="115" t="str">
        <f>IF(ISBLANK(VLOOKUP(GQ2,Wastewater!$D$6:$H$127,5,FALSE)),"",VLOOKUP(GQ2,Wastewater!$D$6:$H$127,5,FALSE))</f>
        <v/>
      </c>
      <c r="GT3" s="115" t="str">
        <f>IF(ISBLANK(VLOOKUP(GT2,Wastewater!$D$6:$H$127,5,FALSE)),"",VLOOKUP(GT2,Wastewater!$D$6:$H$127,5,FALSE))</f>
        <v/>
      </c>
      <c r="GX3" s="115" t="str">
        <f>IF(ISBLANK(VLOOKUP(GX2,Wastewater!$D$6:$H$127,5,FALSE)),"",VLOOKUP(GX2,Wastewater!$D$6:$H$127,5,FALSE))</f>
        <v/>
      </c>
      <c r="GY3" s="115" t="str">
        <f>IF(ISBLANK(VLOOKUP(GY2,Wastewater!$D$6:$H$127,5,FALSE)),"",VLOOKUP(GY2,Wastewater!$D$6:$H$127,5,FALSE))</f>
        <v/>
      </c>
      <c r="GZ3" s="115" t="str">
        <f>IF(ISBLANK(VLOOKUP(GZ2,Wastewater!$D$6:$H$127,5,FALSE)),"",VLOOKUP(GZ2,Wastewater!$D$6:$H$127,5,FALSE))</f>
        <v/>
      </c>
      <c r="HA3" s="115" t="str">
        <f>IF(ISBLANK(VLOOKUP(HA2,Wastewater!$D$6:$H$127,5,FALSE)),"",VLOOKUP(HA2,Wastewater!$D$6:$H$127,5,FALSE))</f>
        <v/>
      </c>
      <c r="HB3" s="115" t="str">
        <f>IF(ISBLANK(VLOOKUP(HB2,Wastewater!$D$6:$H$127,5,FALSE)),"",VLOOKUP(HB2,Wastewater!$D$6:$H$127,5,FALSE))</f>
        <v/>
      </c>
      <c r="HC3" s="115" t="str">
        <f>IF(ISBLANK(VLOOKUP(HC2,Wastewater!$D$6:$H$127,5,FALSE)),"",VLOOKUP(HC2,Wastewater!$D$6:$H$127,5,FALSE))</f>
        <v/>
      </c>
      <c r="HD3" s="115" t="str">
        <f>IF(ISBLANK(VLOOKUP(HD2,Wastewater!$D$6:$H$127,5,FALSE)),"",VLOOKUP(HD2,Wastewater!$D$6:$H$127,5,FALSE))</f>
        <v/>
      </c>
      <c r="HE3" s="115" t="str">
        <f>IF(ISBLANK(VLOOKUP(HE2,Wastewater!$D$6:$H$127,5,FALSE)),"",VLOOKUP(HE2,Wastewater!$D$6:$H$127,5,FALSE))</f>
        <v/>
      </c>
      <c r="HF3" s="115" t="str">
        <f>IF(ISBLANK(VLOOKUP(HF2,Wastewater!$D$6:$H$127,5,FALSE)),"",VLOOKUP(HF2,Wastewater!$D$6:$H$127,5,FALSE))</f>
        <v/>
      </c>
      <c r="HG3" s="115" t="str">
        <f>IF(ISBLANK(VLOOKUP(HG2,Wastewater!$D$6:$H$127,5,FALSE)),"",VLOOKUP(HG2,Wastewater!$D$6:$H$127,5,FALSE))</f>
        <v/>
      </c>
      <c r="HH3" s="115" t="str">
        <f>IF(ISBLANK(VLOOKUP(HH2,Wastewater!$D$6:$H$127,5,FALSE)),"",VLOOKUP(HH2,Wastewater!$D$6:$H$127,5,FALSE))</f>
        <v/>
      </c>
      <c r="HI3" s="115" t="str">
        <f>IF(ISBLANK(VLOOKUP(HI2,Wastewater!$D$6:$H$127,5,FALSE)),"",VLOOKUP(HI2,Wastewater!$D$6:$H$127,5,FALSE))</f>
        <v/>
      </c>
      <c r="HJ3" s="115" t="str">
        <f>IF(ISBLANK(VLOOKUP(HJ2,Wastewater!$D$6:$H$127,5,FALSE)),"",VLOOKUP(HJ2,Wastewater!$D$6:$H$127,5,FALSE))</f>
        <v/>
      </c>
      <c r="HK3" s="115" t="str">
        <f>IF(ISBLANK(VLOOKUP(HK2,Wastewater!$D$6:$H$127,5,FALSE)),"",VLOOKUP(HK2,Wastewater!$D$6:$H$127,5,FALSE))</f>
        <v/>
      </c>
      <c r="HL3" s="115" t="str">
        <f>IF(ISBLANK(VLOOKUP(HL2,Wastewater!$D$6:$H$127,5,FALSE)),"",VLOOKUP(HL2,Wastewater!$D$6:$H$127,5,FALSE))</f>
        <v/>
      </c>
      <c r="HM3" s="115" t="str">
        <f>IF(ISBLANK(VLOOKUP(HM2,Wastewater!$D$6:$H$127,5,FALSE)),"",VLOOKUP(HM2,Wastewater!$D$6:$H$127,5,FALSE))</f>
        <v/>
      </c>
      <c r="HN3" s="115" t="str">
        <f>IF(ISBLANK(VLOOKUP(HN2,Wastewater!$D$6:$H$127,5,FALSE)),"",VLOOKUP(HN2,Wastewater!$D$6:$H$127,5,FALSE))</f>
        <v/>
      </c>
      <c r="HO3" s="115" t="str">
        <f>IF(ISBLANK(VLOOKUP(HO2,Wastewater!$D$6:$H$127,5,FALSE)),"",VLOOKUP(HO2,Wastewater!$D$6:$H$127,5,FALSE))</f>
        <v/>
      </c>
      <c r="HP3" s="115" t="str">
        <f>IF(ISBLANK(VLOOKUP(HP2,Wastewater!$D$6:$H$127,5,FALSE)),"",VLOOKUP(HP2,Wastewater!$D$6:$H$127,5,FALSE))</f>
        <v/>
      </c>
      <c r="HQ3" s="115" t="str">
        <f>IF(ISBLANK(VLOOKUP(HQ2,Wastewater!$D$6:$H$127,5,FALSE)),"",VLOOKUP(HQ2,Wastewater!$D$6:$H$127,5,FALSE))</f>
        <v/>
      </c>
      <c r="HR3" s="115" t="str">
        <f>IF(ISBLANK(VLOOKUP(HR2,Wastewater!$D$6:$H$127,5,FALSE)),"",VLOOKUP(HR2,Wastewater!$D$6:$H$127,5,FALSE))</f>
        <v/>
      </c>
      <c r="HS3" s="115" t="str">
        <f>IF(ISBLANK(VLOOKUP(HS2,Wastewater!$D$6:$H$127,5,FALSE)),"",VLOOKUP(HS2,Wastewater!$D$6:$H$127,5,FALSE))</f>
        <v/>
      </c>
      <c r="HT3" s="115" t="str">
        <f>IF(ISBLANK(VLOOKUP(HT2,Wastewater!$D$6:$H$127,5,FALSE)),"",VLOOKUP(HT2,Wastewater!$D$6:$H$127,5,FALSE))</f>
        <v/>
      </c>
      <c r="HU3" s="115" t="str">
        <f>IF(ISBLANK(VLOOKUP(HU2,Wastewater!$D$6:$H$127,5,FALSE)),"",VLOOKUP(HU2,Wastewater!$D$6:$H$127,5,FALSE))</f>
        <v/>
      </c>
      <c r="HV3" s="115" t="str">
        <f>IF(ISBLANK(VLOOKUP(HV2,Wastewater!$D$6:$H$127,5,FALSE)),"",VLOOKUP(HV2,Wastewater!$D$6:$H$127,5,FALSE))</f>
        <v/>
      </c>
      <c r="HW3" s="115" t="str">
        <f>IF(ISBLANK(VLOOKUP(HW2,Wastewater!$D$6:$H$127,5,FALSE)),"",VLOOKUP(HW2,Wastewater!$D$6:$H$127,5,FALSE))</f>
        <v/>
      </c>
      <c r="HX3" s="115" t="str">
        <f>IF(ISBLANK(VLOOKUP(HX2,Wastewater!$D$6:$H$127,5,FALSE)),"",VLOOKUP(HX2,Wastewater!$D$6:$H$127,5,FALSE))</f>
        <v/>
      </c>
      <c r="HY3" s="115" t="str">
        <f>IF(ISBLANK(VLOOKUP(HY2,Wastewater!$D$6:$H$127,5,FALSE)),"",VLOOKUP(HY2,Wastewater!$D$6:$H$127,5,FALSE))</f>
        <v/>
      </c>
      <c r="HZ3" s="115" t="str">
        <f>IF(ISBLANK(VLOOKUP(HZ2,Wastewater!$D$6:$H$127,5,FALSE)),"",VLOOKUP(HZ2,Wastewater!$D$6:$H$127,5,FALSE))</f>
        <v/>
      </c>
      <c r="IA3" s="115" t="str">
        <f>IF(ISBLANK(VLOOKUP(IA2,Wastewater!$D$6:$H$127,5,FALSE)),"",VLOOKUP(IA2,Wastewater!$D$6:$H$127,5,FALSE))</f>
        <v/>
      </c>
      <c r="IB3" s="115" t="str">
        <f>IF(ISBLANK(VLOOKUP(IB2,Wastewater!$D$6:$H$127,5,FALSE)),"",VLOOKUP(IB2,Wastewater!$D$6:$H$127,5,FALSE))</f>
        <v/>
      </c>
      <c r="IC3" s="115" t="str">
        <f>IF(ISBLANK(VLOOKUP(IC2,Wastewater!$D$6:$H$127,5,FALSE)),"",VLOOKUP(IC2,Wastewater!$D$6:$H$127,5,FALSE))</f>
        <v/>
      </c>
      <c r="ID3" s="115" t="str">
        <f>IF(ISBLANK(VLOOKUP(ID2,Wastewater!$D$6:$H$127,5,FALSE)),"",VLOOKUP(ID2,Wastewater!$D$6:$H$127,5,FALSE))</f>
        <v/>
      </c>
      <c r="IE3" s="115" t="str">
        <f>IF(ISBLANK(VLOOKUP(IE2,Wastewater!$D$6:$H$127,5,FALSE)),"",VLOOKUP(IE2,Wastewater!$D$6:$H$127,5,FALSE))</f>
        <v/>
      </c>
      <c r="IF3" s="115" t="str">
        <f>IF(ISBLANK(VLOOKUP(IF2,Wastewater!$D$6:$H$127,5,FALSE)),"",VLOOKUP(IF2,Wastewater!$D$6:$H$127,5,FALSE))</f>
        <v/>
      </c>
      <c r="IG3" s="115" t="str">
        <f>IF(ISBLANK(VLOOKUP(IG2,Wastewater!$D$6:$H$127,5,FALSE)),"",VLOOKUP(IG2,Wastewater!$D$6:$H$127,5,FALSE))</f>
        <v/>
      </c>
      <c r="IH3" s="115" t="str">
        <f>IF(ISBLANK(VLOOKUP(IH2,Wastewater!$D$6:$H$127,5,FALSE)),"",VLOOKUP(IH2,Wastewater!$D$6:$H$127,5,FALSE))</f>
        <v/>
      </c>
      <c r="II3" s="115" t="str">
        <f>IF(ISBLANK(VLOOKUP(II2,Wastewater!$D$6:$H$127,5,FALSE)),"",VLOOKUP(II2,Wastewater!$D$6:$H$127,5,FALSE))</f>
        <v/>
      </c>
      <c r="IJ3" s="115" t="str">
        <f>IF(ISBLANK(VLOOKUP(IJ2,Wastewater!$D$6:$H$127,5,FALSE)),"",VLOOKUP(IJ2,Wastewater!$D$6:$H$127,5,FALSE))</f>
        <v/>
      </c>
      <c r="IK3" s="115" t="str">
        <f>IF(ISBLANK(VLOOKUP(IK2,Wastewater!$D$6:$H$127,5,FALSE)),"",VLOOKUP(IK2,Wastewater!$D$6:$H$127,5,FALSE))</f>
        <v/>
      </c>
      <c r="IL3" s="115" t="str">
        <f>IF(ISBLANK(VLOOKUP(IL2,Wastewater!$D$6:$H$127,5,FALSE)),"",VLOOKUP(IL2,Wastewater!$D$6:$H$127,5,FALSE))</f>
        <v/>
      </c>
      <c r="IM3" s="115" t="str">
        <f>IF(ISBLANK(VLOOKUP(IM2,Wastewater!$D$6:$H$127,5,FALSE)),"",VLOOKUP(IM2,Wastewater!$D$6:$H$127,5,FALSE))</f>
        <v/>
      </c>
      <c r="IN3" s="115" t="str">
        <f>IF(ISBLANK(VLOOKUP(IN2,Wastewater!$D$6:$H$127,5,FALSE)),"",VLOOKUP(IN2,Wastewater!$D$6:$H$127,5,FALSE))</f>
        <v/>
      </c>
      <c r="IO3" s="115" t="str">
        <f>IF(ISBLANK(VLOOKUP(IO2,Wastewater!$D$6:$H$127,5,FALSE)),"",VLOOKUP(IO2,Wastewater!$D$6:$H$127,5,FALSE))</f>
        <v/>
      </c>
      <c r="IP3" s="115" t="str">
        <f>IF(ISBLANK(VLOOKUP(IP2,Wastewater!$D$6:$H$127,5,FALSE)),"",VLOOKUP(IP2,Wastewater!$D$6:$H$127,5,FALSE))</f>
        <v/>
      </c>
      <c r="IQ3" s="115" t="str">
        <f>IF(ISBLANK(VLOOKUP(IQ2,Wastewater!$D$6:$H$127,5,FALSE)),"",VLOOKUP(IQ2,Wastewater!$D$6:$H$127,5,FALSE))</f>
        <v/>
      </c>
      <c r="IR3" s="115" t="str">
        <f>IF(ISBLANK(VLOOKUP(IR2,Wastewater!$D$6:$H$127,5,FALSE)),"",VLOOKUP(IR2,Wastewater!$D$6:$H$127,5,FALSE))</f>
        <v/>
      </c>
      <c r="IS3" s="115" t="str">
        <f>IF(ISBLANK(VLOOKUP(IS2,Wastewater!$D$6:$H$127,5,FALSE)),"",VLOOKUP(IS2,Wastewater!$D$6:$H$127,5,FALSE))</f>
        <v/>
      </c>
      <c r="IT3" s="115" t="str">
        <f>IF(ISBLANK(VLOOKUP(IT2,Wastewater!$D$6:$H$127,5,FALSE)),"",VLOOKUP(IT2,Wastewater!$D$6:$H$127,5,FALSE))</f>
        <v/>
      </c>
      <c r="IU3" s="115" t="str">
        <f>IF(ISBLANK(VLOOKUP(IU2,Wastewater!$D$6:$H$127,5,FALSE)),"",VLOOKUP(IU2,Wastewater!$D$6:$H$127,5,FALSE))</f>
        <v/>
      </c>
      <c r="IV3" s="115" t="str">
        <f>IF(ISBLANK(VLOOKUP(IV2,Wastewater!$D$6:$H$127,5,FALSE)),"",VLOOKUP(IV2,Wastewater!$D$6:$H$127,5,FALSE))</f>
        <v/>
      </c>
      <c r="IW3" s="115" t="str">
        <f>IF(ISBLANK(VLOOKUP(IW2,Wastewater!$D$6:$H$127,5,FALSE)),"",VLOOKUP(IW2,Wastewater!$D$6:$H$127,5,FALSE))</f>
        <v/>
      </c>
      <c r="IX3" s="115" t="str">
        <f>IF(ISBLANK(VLOOKUP(IX2,Wastewater!$D$6:$H$127,5,FALSE)),"",VLOOKUP(IX2,Wastewater!$D$6:$H$127,5,FALSE))</f>
        <v/>
      </c>
      <c r="IY3" s="115">
        <f>IF(ISBLANK(VLOOKUP(IY2,Stormwater!$D$6:$H$80,5,FALSE)),"",VLOOKUP(IY2,Stormwater!$D$6:$H$80,5,FALSE))</f>
        <v>0</v>
      </c>
      <c r="IZ3" s="115" t="str">
        <f>IF(ISBLANK(VLOOKUP(IZ2,Stormwater!$D$6:$H$80,5,FALSE)),"",VLOOKUP(IZ2,Stormwater!$D$6:$H$80,5,FALSE))</f>
        <v/>
      </c>
      <c r="JA3" s="115" t="str">
        <f>IF(ISBLANK(VLOOKUP(JA2,Stormwater!$D$6:$H$80,5,FALSE)),"",VLOOKUP(JA2,Stormwater!$D$6:$H$80,5,FALSE))</f>
        <v/>
      </c>
      <c r="JB3" s="115" t="str">
        <f>IF(ISBLANK(VLOOKUP(JB2,Stormwater!$D$6:$H$80,5,FALSE)),"",VLOOKUP(JB2,Stormwater!$D$6:$H$80,5,FALSE))</f>
        <v/>
      </c>
      <c r="JC3" s="115">
        <f>IF(ISBLANK(VLOOKUP(JC2,Stormwater!$D$6:$H$80,5,FALSE)),"",VLOOKUP(JC2,Stormwater!$D$6:$H$80,5,FALSE))</f>
        <v>445.07</v>
      </c>
      <c r="JI3" s="115" t="str">
        <f>IF(ISBLANK(VLOOKUP(JI2,Stormwater!$D$6:$H$80,5,FALSE)),"",VLOOKUP(JI2,Stormwater!$D$6:$H$80,5,FALSE))</f>
        <v/>
      </c>
      <c r="JK3" s="115" t="str">
        <f>IF(ISBLANK(VLOOKUP(JK2,Stormwater!$D$6:$H$80,5,FALSE)),"",VLOOKUP(JK2,Stormwater!$D$6:$H$80,5,FALSE))</f>
        <v/>
      </c>
      <c r="JM3" s="115" t="str">
        <f>IF(ISBLANK(VLOOKUP(JM2,Stormwater!$D$6:$H$80,5,FALSE)),"",VLOOKUP(JM2,Stormwater!$D$6:$H$80,5,FALSE))</f>
        <v/>
      </c>
      <c r="JP3" s="115" t="str">
        <f>IF(ISBLANK(VLOOKUP(JP2,Stormwater!$D$6:$H$80,5,FALSE)),"",VLOOKUP(JP2,Stormwater!$D$6:$H$80,5,FALSE))</f>
        <v/>
      </c>
      <c r="JQ3" s="115" t="str">
        <f>IF(ISBLANK(VLOOKUP(JQ2,Stormwater!$D$6:$H$80,5,FALSE)),"",VLOOKUP(JQ2,Stormwater!$D$6:$H$80,5,FALSE))</f>
        <v/>
      </c>
      <c r="JR3" s="115" t="str">
        <f>IF(ISBLANK(VLOOKUP(JR2,Stormwater!$D$6:$H$80,5,FALSE)),"",VLOOKUP(JR2,Stormwater!$D$6:$H$80,5,FALSE))</f>
        <v/>
      </c>
      <c r="JS3" s="115" t="str">
        <f>IF(ISBLANK(VLOOKUP(JS2,Stormwater!$D$6:$H$80,5,FALSE)),"",VLOOKUP(JS2,Stormwater!$D$6:$H$80,5,FALSE))</f>
        <v/>
      </c>
      <c r="JT3" s="115" t="str">
        <f>IF(ISBLANK(VLOOKUP(JT2,Stormwater!$D$6:$H$80,5,FALSE)),"",VLOOKUP(JT2,Stormwater!$D$6:$H$80,5,FALSE))</f>
        <v/>
      </c>
      <c r="JU3" s="115" t="str">
        <f>IF(ISBLANK(VLOOKUP(JU2,Stormwater!$D$6:$H$80,5,FALSE)),"",VLOOKUP(JU2,Stormwater!$D$6:$H$80,5,FALSE))</f>
        <v/>
      </c>
      <c r="JV3" s="115" t="str">
        <f>IF(ISBLANK(VLOOKUP(JV2,Stormwater!$D$6:$H$80,5,FALSE)),"",VLOOKUP(JV2,Stormwater!$D$6:$H$80,5,FALSE))</f>
        <v/>
      </c>
      <c r="JW3" s="115" t="str">
        <f>IF(ISBLANK(VLOOKUP(JW2,Stormwater!$D$6:$H$80,5,FALSE)),"",VLOOKUP(JW2,Stormwater!$D$6:$H$80,5,FALSE))</f>
        <v/>
      </c>
      <c r="JX3" s="115" t="str">
        <f>IF(ISBLANK(VLOOKUP(JX2,Stormwater!$D$6:$H$80,5,FALSE)),"",VLOOKUP(JX2,Stormwater!$D$6:$H$80,5,FALSE))</f>
        <v/>
      </c>
      <c r="JY3" s="115" t="str">
        <f>IF(ISBLANK(VLOOKUP(JY2,Stormwater!$D$6:$H$80,5,FALSE)),"",VLOOKUP(JY2,Stormwater!$D$6:$H$80,5,FALSE))</f>
        <v/>
      </c>
      <c r="JZ3" s="115" t="str">
        <f>IF(ISBLANK(VLOOKUP(JZ2,Stormwater!$D$6:$H$80,5,FALSE)),"",VLOOKUP(JZ2,Stormwater!$D$6:$H$80,5,FALSE))</f>
        <v/>
      </c>
      <c r="KA3" s="115" t="str">
        <f>IF(ISBLANK(VLOOKUP(KA2,Stormwater!$D$6:$H$80,5,FALSE)),"",VLOOKUP(KA2,Stormwater!$D$6:$H$80,5,FALSE))</f>
        <v/>
      </c>
      <c r="KB3" s="115" t="str">
        <f>IF(ISBLANK(VLOOKUP(KB2,Stormwater!$D$6:$H$80,5,FALSE)),"",VLOOKUP(KB2,Stormwater!$D$6:$H$80,5,FALSE))</f>
        <v/>
      </c>
      <c r="KC3" s="115" t="str">
        <f>IF(ISBLANK(VLOOKUP(KC2,Stormwater!$D$6:$H$80,5,FALSE)),"",VLOOKUP(KC2,Stormwater!$D$6:$H$80,5,FALSE))</f>
        <v/>
      </c>
      <c r="KD3" s="115" t="str">
        <f>IF(ISBLANK(VLOOKUP(KD2,Stormwater!$D$6:$H$80,5,FALSE)),"",VLOOKUP(KD2,Stormwater!$D$6:$H$80,5,FALSE))</f>
        <v/>
      </c>
      <c r="KE3" s="115" t="str">
        <f>IF(ISBLANK(VLOOKUP(KE2,Stormwater!$D$6:$H$80,5,FALSE)),"",VLOOKUP(KE2,Stormwater!$D$6:$H$80,5,FALSE))</f>
        <v/>
      </c>
      <c r="KF3" s="115" t="str">
        <f>IF(ISBLANK(VLOOKUP(KF2,Stormwater!$D$6:$H$80,5,FALSE)),"",VLOOKUP(KF2,Stormwater!$D$6:$H$80,5,FALSE))</f>
        <v/>
      </c>
      <c r="KG3" s="115" t="str">
        <f>IF(ISBLANK(VLOOKUP(KG2,Stormwater!$D$6:$H$80,5,FALSE)),"",VLOOKUP(KG2,Stormwater!$D$6:$H$80,5,FALSE))</f>
        <v/>
      </c>
      <c r="KH3" s="115" t="str">
        <f>IF(ISBLANK(VLOOKUP(KH2,Stormwater!$D$6:$H$80,5,FALSE)),"",VLOOKUP(KH2,Stormwater!$D$6:$H$80,5,FALSE))</f>
        <v/>
      </c>
      <c r="KI3" s="115" t="str">
        <f>IF(ISBLANK(VLOOKUP(KI2,Stormwater!$D$6:$H$80,5,FALSE)),"",VLOOKUP(KI2,Stormwater!$D$6:$H$80,5,FALSE))</f>
        <v/>
      </c>
      <c r="KJ3" s="115" t="str">
        <f>IF(ISBLANK(VLOOKUP(KJ2,Stormwater!$D$6:$H$80,5,FALSE)),"",VLOOKUP(KJ2,Stormwater!$D$6:$H$80,5,FALSE))</f>
        <v/>
      </c>
      <c r="KK3" s="115" t="str">
        <f>IF(ISBLANK(VLOOKUP(KK2,Stormwater!$D$6:$H$80,5,FALSE)),"",VLOOKUP(KK2,Stormwater!$D$6:$H$80,5,FALSE))</f>
        <v/>
      </c>
      <c r="KL3" s="115" t="str">
        <f>IF(ISBLANK(VLOOKUP(KL2,Stormwater!$D$6:$H$80,5,FALSE)),"",VLOOKUP(KL2,Stormwater!$D$6:$H$80,5,FALSE))</f>
        <v/>
      </c>
      <c r="KM3" s="115" t="str">
        <f>IF(ISBLANK(VLOOKUP(KM2,Stormwater!$D$6:$H$80,5,FALSE)),"",VLOOKUP(KM2,Stormwater!$D$6:$H$80,5,FALSE))</f>
        <v/>
      </c>
      <c r="KN3" s="115" t="str">
        <f>IF(ISBLANK(VLOOKUP(KN2,Stormwater!$D$6:$H$80,5,FALSE)),"",VLOOKUP(KN2,Stormwater!$D$6:$H$80,5,FALSE))</f>
        <v/>
      </c>
      <c r="KO3" s="115" t="str">
        <f>IF(ISBLANK(VLOOKUP(KO2,Stormwater!$D$6:$H$80,5,FALSE)),"",VLOOKUP(KO2,Stormwater!$D$6:$H$80,5,FALSE))</f>
        <v/>
      </c>
      <c r="KP3" s="115" t="str">
        <f>IF(ISBLANK(VLOOKUP(KP2,Stormwater!$D$6:$H$80,5,FALSE)),"",VLOOKUP(KP2,Stormwater!$D$6:$H$80,5,FALSE))</f>
        <v/>
      </c>
      <c r="KQ3" s="115" t="str">
        <f>IF(ISBLANK(VLOOKUP(KQ2,Stormwater!$D$6:$H$80,5,FALSE)),"",VLOOKUP(KQ2,Stormwater!$D$6:$H$80,5,FALSE))</f>
        <v/>
      </c>
      <c r="KR3" s="115" t="str">
        <f>IF(ISBLANK(VLOOKUP(KR2,Stormwater!$D$6:$H$80,5,FALSE)),"",VLOOKUP(KR2,Stormwater!$D$6:$H$80,5,FALSE))</f>
        <v/>
      </c>
      <c r="KS3" s="115" t="str">
        <f>IF(ISBLANK(VLOOKUP(KS2,Stormwater!$D$6:$H$80,5,FALSE)),"",VLOOKUP(KS2,Stormwater!$D$6:$H$80,5,FALSE))</f>
        <v/>
      </c>
      <c r="KT3" s="115" t="str">
        <f>IF(ISBLANK(VLOOKUP(KT2,Stormwater!$D$6:$H$80,5,FALSE)),"",VLOOKUP(KT2,Stormwater!$D$6:$H$80,5,FALSE))</f>
        <v/>
      </c>
      <c r="KU3" s="115" t="str">
        <f>IF(ISBLANK(VLOOKUP(KU2,Stormwater!$D$6:$H$80,5,FALSE)),"",VLOOKUP(KU2,Stormwater!$D$6:$H$80,5,FALSE))</f>
        <v/>
      </c>
      <c r="KV3" s="115" t="str">
        <f>IF(ISBLANK(VLOOKUP(KV2,Stormwater!$D$6:$H$80,5,FALSE)),"",VLOOKUP(KV2,Stormwater!$D$6:$H$80,5,FALSE))</f>
        <v/>
      </c>
      <c r="KW3" s="115" t="str">
        <f>IF(ISBLANK(VLOOKUP(KW2,Stormwater!$D$6:$H$80,5,FALSE)),"",VLOOKUP(KW2,Stormwater!$D$6:$H$80,5,FALSE))</f>
        <v/>
      </c>
      <c r="KX3" s="115" t="str">
        <f>IF(ISBLANK(VLOOKUP(KX2,Stormwater!$D$6:$H$80,5,FALSE)),"",VLOOKUP(KX2,Stormwater!$D$6:$H$80,5,FALSE))</f>
        <v/>
      </c>
      <c r="KY3" s="115" t="str">
        <f>IF(ISBLANK(VLOOKUP(KY2,Stormwater!$D$6:$H$80,5,FALSE)),"",VLOOKUP(KY2,Stormwater!$D$6:$H$80,5,FALSE))</f>
        <v/>
      </c>
      <c r="KZ3" s="115" t="str">
        <f>IF(ISBLANK(VLOOKUP(KZ2,Stormwater!$D$6:$H$80,5,FALSE)),"",VLOOKUP(KZ2,Stormwater!$D$6:$H$80,5,FALSE))</f>
        <v/>
      </c>
      <c r="LA3" s="115" t="str">
        <f>IF(ISBLANK(VLOOKUP(LA2,Stormwater!$D$6:$H$80,5,FALSE)),"",VLOOKUP(LA2,Stormwater!$D$6:$H$80,5,FALSE))</f>
        <v/>
      </c>
      <c r="LB3" s="115" t="str">
        <f>IF(ISBLANK(VLOOKUP(LB2,Stormwater!$D$6:$H$80,5,FALSE)),"",VLOOKUP(LB2,Stormwater!$D$6:$H$80,5,FALSE))</f>
        <v/>
      </c>
      <c r="LC3" s="115" t="str">
        <f>IF(ISBLANK(VLOOKUP(LC2,Stormwater!$D$6:$H$80,5,FALSE)),"",VLOOKUP(LC2,Stormwater!$D$6:$H$80,5,FALSE))</f>
        <v/>
      </c>
      <c r="LD3" s="115" t="str">
        <f>IF(ISBLANK(VLOOKUP(LD2,Stormwater!$D$6:$H$80,5,FALSE)),"",VLOOKUP(LD2,Stormwater!$D$6:$H$80,5,FALSE))</f>
        <v/>
      </c>
      <c r="LE3" s="115" t="str">
        <f>IF(ISBLANK(VLOOKUP(LE2,Stormwater!$D$6:$H$80,5,FALSE)),"",VLOOKUP(LE2,Stormwater!$D$6:$H$80,5,FALSE))</f>
        <v/>
      </c>
      <c r="LF3" s="115" t="str">
        <f>IF(ISBLANK(VLOOKUP(LF2,Stormwater!$D$6:$H$80,5,FALSE)),"",VLOOKUP(LF2,Stormwater!$D$6:$H$80,5,FALSE))</f>
        <v/>
      </c>
      <c r="LG3" s="115" t="str">
        <f>IF(ISBLANK(VLOOKUP(LG2,Stormwater!$D$6:$H$80,5,FALSE)),"",VLOOKUP(LG2,Stormwater!$D$6:$H$80,5,FALSE))</f>
        <v/>
      </c>
      <c r="LH3" s="115" t="str">
        <f>IF(ISBLANK(VLOOKUP(LH2,Stormwater!$D$6:$H$80,5,FALSE)),"",VLOOKUP(LH2,Stormwater!$D$6:$H$80,5,FALSE))</f>
        <v/>
      </c>
      <c r="LI3" s="115" t="str">
        <f>IF(ISBLANK(VLOOKUP(LI2,Stormwater!$D$6:$H$80,5,FALSE)),"",VLOOKUP(LI2,Stormwater!$D$6:$H$80,5,FALSE))</f>
        <v/>
      </c>
      <c r="LJ3" s="115" t="str">
        <f>IF(ISBLANK(VLOOKUP(LJ2,Stormwater!$D$6:$H$80,5,FALSE)),"",VLOOKUP(LJ2,Stormwater!$D$6:$H$80,5,FALSE))</f>
        <v/>
      </c>
      <c r="LK3" s="115" t="str">
        <f>IF(ISBLANK(VLOOKUP(LK2,Stormwater!$D$6:$H$80,5,FALSE)),"",VLOOKUP(LK2,Stormwater!$D$6:$H$80,5,FALSE))</f>
        <v/>
      </c>
      <c r="LL3" s="115" t="str">
        <f>IF(ISBLANK(VLOOKUP(LL2,Stormwater!$D$6:$H$80,5,FALSE)),"",VLOOKUP(LL2,Stormwater!$D$6:$H$80,5,FALSE))</f>
        <v/>
      </c>
      <c r="LM3" s="115" t="str">
        <f>IF(ISBLANK(VLOOKUP(LM2,Stormwater!$D$6:$H$80,5,FALSE)),"",VLOOKUP(LM2,Stormwater!$D$6:$H$80,5,FALSE))</f>
        <v/>
      </c>
      <c r="LN3" s="115" t="str">
        <f>IF(ISBLANK(VLOOKUP(LN2,Stormwater!$D$6:$H$80,5,FALSE)),"",VLOOKUP(LN2,Stormwater!$D$6:$H$80,5,FALSE))</f>
        <v/>
      </c>
      <c r="LO3" s="115" t="str">
        <f>IF(ISBLANK(VLOOKUP(LO2,Stormwater!$D$6:$H$80,5,FALSE)),"",VLOOKUP(LO2,Stormwater!$D$6:$H$80,5,FALSE))</f>
        <v/>
      </c>
      <c r="LP3" s="115" t="str">
        <f>IF(ISBLANK(VLOOKUP(LP2,Stormwater!$D$6:$H$80,5,FALSE)),"",VLOOKUP(LP2,Stormwater!$D$6:$H$80,5,FALSE))</f>
        <v/>
      </c>
      <c r="LQ3" s="115" t="str">
        <f>IF(ISBLANK(VLOOKUP(LQ2,Stormwater!$D$6:$H$80,5,FALSE)),"",VLOOKUP(LQ2,Stormwater!$D$6:$H$80,5,FALSE))</f>
        <v/>
      </c>
      <c r="LR3" s="115" t="str">
        <f>IF(ISBLANK(VLOOKUP(LR2,Stormwater!$D$6:$H$80,5,FALSE)),"",VLOOKUP(LR2,Stormwater!$D$6:$H$80,5,FALSE))</f>
        <v/>
      </c>
      <c r="LS3" s="115" t="str">
        <f>IF(ISBLANK(VLOOKUP(LS2,Stormwater!$D$6:$H$80,5,FALSE)),"",VLOOKUP(LS2,Stormwater!$D$6:$H$80,5,FALSE))</f>
        <v/>
      </c>
      <c r="LT3" s="115" t="str">
        <f>IF(ISBLANK(VLOOKUP(LT2,Stormwater!$D$6:$H$80,5,FALSE)),"",VLOOKUP(LT2,Stormwater!$D$6:$H$80,5,FALSE))</f>
        <v/>
      </c>
      <c r="LU3" s="115" t="str">
        <f>IF(ISBLANK(VLOOKUP(LU2,Stormwater!$D$6:$H$80,5,FALSE)),"",VLOOKUP(LU2,Stormwater!$D$6:$H$80,5,FALSE))</f>
        <v/>
      </c>
      <c r="LV3" s="115" t="str">
        <f>IF(ISBLANK(VLOOKUP(LV2,Stormwater!$D$6:$H$80,5,FALSE)),"",VLOOKUP(LV2,Stormwater!$D$6:$H$80,5,FALSE))</f>
        <v/>
      </c>
      <c r="LW3" s="115" t="str">
        <f>IFERROR((Actual_Capital_Expenditure__Water_Supply__WSF20+Actual_Capital_Expenditure__Wastewater__WWF21+Actual_Capital_Expenditure__Stormwater__SWF17)/(Budgeted_Capital_Expenditure__Water_Supply__WSF19+Budgeted_Capital_Expenditure__Wastewater__WWF20+Budgeted_Capital_Expenditure__Stormwater__SWF16),"")</f>
        <v/>
      </c>
      <c r="LX3" s="115" t="str">
        <f>IFERROR((Revenue_from_Supply_of_Water_to_Other_Local_Authorities__WSF1+Operating_Revenue__Water_Supply__WSF2)/(Operating_Cost__Water_Supply__WSF12+Interest__Water_Supply__WSF15a),"")</f>
        <v/>
      </c>
      <c r="LY3" s="115" t="str">
        <f>IFERROR((Revenue_from_the_Provision_of_Wastewater_Treatment_Services_to_Another_Local_Authority__WWF1+Operating_Revenue__Wastewater__WWF2)/(Operating_Cost__Wastewater__WWF13+Interest__Wastewater__WWF16a),"")</f>
        <v/>
      </c>
      <c r="LZ3" s="115" t="str">
        <f>IFERROR(Operating_Revenue__Stormwater__SWF1/(Operating_Cost__Stormwater__SWF9+Interest__Stormwater__SWF12a),"")</f>
        <v/>
      </c>
      <c r="MA3" s="115" t="str">
        <f>IFERROR(Contracted_staff__CB11*1000/(Total_Water_Serviced_Properties__WSB4+Total_Wastewater_Serviced_Properties__WWB4),"")</f>
        <v/>
      </c>
      <c r="MB3" s="115" t="str">
        <f>IFERROR(Water_Stored_in_Reservoirs__WSA7/(Water_Supplied_to_Own_System__WSB5*365),"")</f>
        <v/>
      </c>
      <c r="MC3" s="115" t="str">
        <f>IFERROR(Interest__Stormwater__SWF12a/Operating_Revenue__Stormwater__SWF1,"")</f>
        <v/>
      </c>
      <c r="MD3" s="115" t="str">
        <f>IFERROR(Interest__Water_Supply__WSF15a/(Operating_Revenue__Water_Supply__WSF2+Revenue_from_Supply_of_Water_to_Other_Local_Authorities__WSF1),"")</f>
        <v/>
      </c>
      <c r="ME3" s="115" t="str">
        <f>IFERROR(Interest__Wastewater__WWF16a/(Operating_Revenue__Wastewater__WWF2+Revenue_from_the_Provision_of_Wastewater_Treatment_Services_to_Another_Local_Authority__WWF1),"")</f>
        <v/>
      </c>
      <c r="MF3" s="115" t="str">
        <f>IFERROR(Dry_Weather_Wastewater_Overflows__WWE1/Total_Wastewater_Serviced_Properties__WWB4*1000,"")</f>
        <v/>
      </c>
      <c r="MG3" s="115" t="str">
        <f>IFERROR(Internal_staff__CB10*1000/(Total_Water_Serviced_Properties__WSB4+Total_Wastewater_Serviced_Properties__WWB4),"")</f>
        <v/>
      </c>
      <c r="MH3" s="115" t="str">
        <f>IFERROR(Lost_time_injuries__CB13/(Internal_staff__CB10+Contracted_staff__CB11),"")</f>
        <v/>
      </c>
      <c r="MI3" s="115" t="str">
        <f>IFERROR(Near_miss_reports__CB12/(Internal_staff__CB10+Contracted_staff__CB11),"")</f>
        <v/>
      </c>
      <c r="MJ3" s="115" t="str">
        <f>IFERROR(Properties_with_Water_Meters___Non_Residential___WSA9b/Water_Serviced_Properties__Non_Residential__WSB3,"")</f>
        <v/>
      </c>
      <c r="MK3" s="115" t="str">
        <f>IFERROR(Properties_with_Water_Meters___Residential__WSA9a/Water_Serviced_Properties__Residential__WSB2,"")</f>
        <v/>
      </c>
      <c r="ML3" s="115" t="str">
        <f>IFERROR(Water_Stored_in_Reservoirs__WSA7/Capacity_of_Water_Storage_Reservoirs__WSA8,"")</f>
        <v/>
      </c>
      <c r="MM3" s="115" t="str">
        <f>IFERROR(Total_Revenue__Stormwater__SWF3+Total_Revenue__Wastewater__WWF4+Total_Revenue__Water_Supply__WSF4,"")</f>
        <v/>
      </c>
      <c r="MN3" s="115" t="str">
        <f>IFERROR(Staff_vacancies__CB10a/(Total_Water_Serviced_Properties__WSB4+Total_Wastewater_Serviced_Properties__WWB4)*-1000,"")</f>
        <v/>
      </c>
      <c r="MO3" s="115" t="str">
        <f>IFERROR(Volumetric_Charge__Residential_water__WSS8c*200,"")</f>
        <v/>
      </c>
      <c r="MP3" s="115" t="str">
        <f>IFERROR(Total_Wastewater_Serviced_Properties__WWB4/Total_Length_of_Public_Wastewater_Network__WWA1a,"")</f>
        <v/>
      </c>
      <c r="MQ3" s="115">
        <f>IFERROR(IF((Wastewater_Pump_Stations__WWA5-Wastewater_Pump_Stations_Standby_Generators__WWA5a)&gt;0,(Wastewater_Pump_Stations__WWA5-Wastewater_Pump_Stations_Standby_Generators__WWA5a),0),"")</f>
        <v>73</v>
      </c>
      <c r="MR3" s="115">
        <f>IFERROR(IF((Number_of_wastewater_treatment_plants__WWA7-Treatment_Plant_backup_generators__WWA7l)&gt;0,(Number_of_wastewater_treatment_plants__WWA7-Treatment_Plant_backup_generators__WWA7l),0),"")</f>
        <v>6</v>
      </c>
      <c r="MS3" s="115">
        <f>IFERROR(IF((Water_Pump_Stations__WSA5-Water_Pump_Stations_Standby_Generators__WSA5a)&gt;0,(Water_Pump_Stations__WSA5-Water_Pump_Stations_Standby_Generators__WSA5a),0),"")</f>
        <v>34</v>
      </c>
      <c r="MT3" s="115" t="str">
        <f>IFERROR(Total_Water_Serviced_Properties__WSB4/Length_of_Water_Supply_Network__WSA1a,"")</f>
        <v/>
      </c>
      <c r="MU3" s="115">
        <f>IFERROR(IF((Water_Treatment_Plants__WSA4-Water_Treatment_Plant_Standby_Generators__WSA4a)&gt;0,(Water_Treatment_Plants__WSA4-Water_Treatment_Plant_Standby_Generators__WSA4a),0),"")</f>
        <v>12</v>
      </c>
      <c r="MV3" s="115" t="str">
        <f>IFERROR(Wet_weather_overflows_from_the_wastewater_network__WWE2a/Total_Wastewater_Serviced_Properties__WWB4*1000,"")</f>
        <v/>
      </c>
      <c r="MW3" s="115" t="str">
        <f>IFERROR(Actual_Capital_Expenditure__Water_Supply__WSF20/Annual_Depreciation__Water_Supply__WSF14,"")</f>
        <v/>
      </c>
      <c r="MX3" s="115" t="str">
        <f>IFERROR(Actual_Capital_Expenditure__Wastewater__WWF21/Annual_Depreciation__Wastewater__WWF15,"")</f>
        <v/>
      </c>
      <c r="MY3" s="115" t="str">
        <f>IFERROR(Actual_Capital_Expenditure__Stormwater__SWF17/Annual_Depreciation__Stormwater__SWF11,"")</f>
        <v/>
      </c>
      <c r="MZ3" s="115" t="e">
        <f>Total_Water_Serviced_Properties__WSB4+Total_Wastewater_Serviced_Properties__WWB4</f>
        <v>#VALUE!</v>
      </c>
      <c r="NA3" s="108">
        <f>MAX(Water!J72,Water!O72:AH72)</f>
        <v>0</v>
      </c>
      <c r="NB3" s="115">
        <f>MIN(Water!J72,Water!O72:AH72)</f>
        <v>0</v>
      </c>
      <c r="NC3" s="115">
        <f>MAX(Water!J75,Water!O75:AH75)</f>
        <v>0</v>
      </c>
      <c r="ND3" s="115">
        <f>MIN(Water!J75,Water!O75:AH75)</f>
        <v>0</v>
      </c>
      <c r="NE3" s="115" t="str">
        <f>IF(MAX(MAX(Wastewater!M26:AD26))=0,"",MAX(MAX(Wastewater!M26:AD26)))</f>
        <v/>
      </c>
      <c r="NF3" s="115" t="str">
        <f>IF(MIN(Wastewater!M26:AD26)=0,"",MIN(Wastewater!M26:AD26))</f>
        <v/>
      </c>
      <c r="NG3" s="115" t="str">
        <f>IFERROR(Routine_Maintenance__Wastewater__WWF9+Reactive_Maintenance__Wastewater__WWF10,"")</f>
        <v/>
      </c>
      <c r="NH3" s="115" t="str">
        <f>IFERROR(Actual_Capital_Expenditure__Stormwater__SWF17+Actual_Capital_Expenditure__Wastewater__WWF21+Actual_Capital_Expenditure__Water_Supply__WSF20,"")</f>
        <v/>
      </c>
      <c r="NI3" s="115" t="str">
        <f>IF(IF(Other_wastewater_asset_value__WWF24b="",0,Other_wastewater_asset_value__WWF24b)+IF(Wastewater_facility_value_at_end_of_reporting_year__WWF24a="",0,Wastewater_facility_value_at_end_of_reporting_year__WWF24a)+IF(Stormwater_asset_value_at_end_of_reporting_year__SWF20="",0,Stormwater_asset_value_at_end_of_reporting_year__SWF20)+IF(Other_water_supply_asset_value__WSF23b="",0,Other_water_supply_asset_value__WSF23b)+IF(Water_treatment_facility_value_at_end_of_reporting_year__WSF23a="",0,Water_treatment_facility_value_at_end_of_reporting_year__WSF23a)=0,"",IF(Other_wastewater_asset_value__WWF24b="",0,Other_wastewater_asset_value__WWF24b)+IF(Wastewater_facility_value_at_end_of_reporting_year__WWF24a="",0,Wastewater_facility_value_at_end_of_reporting_year__WWF24a)+IF(Stormwater_asset_value_at_end_of_reporting_year__SWF20="",0,Stormwater_asset_value_at_end_of_reporting_year__SWF20)+IF(Other_water_supply_asset_value__WSF23b="",0,Other_water_supply_asset_value__WSF23b)+IF(Water_treatment_facility_value_at_end_of_reporting_year__WSF23a="",0,Water_treatment_facility_value_at_end_of_reporting_year__WSF23a))</f>
        <v/>
      </c>
      <c r="NJ3" s="115" t="str">
        <f>IFERROR(Development_Contributions__Water_Supply_assets__WSF22+Development_Contributions__Wastewater_assets__WWF23+Development_Contributions__Stormwater_assets__SWF19,"")</f>
        <v/>
      </c>
      <c r="NK3" s="115" t="str">
        <f>IFERROR(Reactive_maintenance__Water_Supply__WSF9b/Routine_maintenance__Water_Supply__WSF9a,"")</f>
        <v/>
      </c>
      <c r="NL3" s="115" t="str">
        <f>IFERROR(Reactive_Maintenance__Wastewater__WWF10/Routine_Maintenance__Wastewater__WWF9,"")</f>
        <v/>
      </c>
      <c r="NM3" s="115" t="str">
        <f>IFERROR(Reactive_maintenance__Stormwater___SWF6b/Routine_maintenance__Stormwater___SWF6a,"")</f>
        <v/>
      </c>
      <c r="NO3" s="115">
        <f>IF(ISBLANK(VLOOKUP(NO2,Water!$D$6:$J$109,7,FALSE)),"",VLOOKUP(NO2,Water!$D$6:$J$109,7,FALSE))</f>
        <v>1</v>
      </c>
      <c r="NP3" s="115" t="str">
        <f>IF(ISBLANK(VLOOKUP(NP2,Water!$D$6:$J$109,7,FALSE)),"",VLOOKUP(NP2,Water!$D$6:$J$109,7,FALSE))</f>
        <v/>
      </c>
      <c r="NQ3" s="115" t="str">
        <f>IF(ISBLANK(VLOOKUP(NQ2,Water!$D$6:$J$109,7,FALSE)),"",VLOOKUP(NQ2,Water!$D$6:$J$109,7,FALSE))</f>
        <v/>
      </c>
      <c r="NR3" s="115" t="str">
        <f>IF(ISBLANK(VLOOKUP(NR2,Water!$D$6:$J$109,7,FALSE)),"",VLOOKUP(NR2,Water!$D$6:$J$109,7,FALSE))</f>
        <v/>
      </c>
      <c r="NS3" s="115" t="str">
        <f>IF(ISBLANK(VLOOKUP(NS2,Water!$D$6:$J$109,7,FALSE)),"",VLOOKUP(NS2,Water!$D$6:$J$109,7,FALSE))</f>
        <v/>
      </c>
      <c r="NT3" s="115" t="str">
        <f>IF(ISBLANK(VLOOKUP(NT2,Water!$D$6:$J$109,7,FALSE)),"",VLOOKUP(NT2,Water!$D$6:$J$109,7,FALSE))</f>
        <v/>
      </c>
      <c r="NU3" s="115" t="str">
        <f>IF(ISBLANK(VLOOKUP(NU2,Water!$D$6:$J$109,7,FALSE)),"",VLOOKUP(NU2,Water!$D$6:$J$109,7,FALSE))</f>
        <v/>
      </c>
      <c r="NV3" s="115" t="str">
        <f>IF(ISBLANK(VLOOKUP(NV2,Water!$D$6:$J$109,7,FALSE)),"",VLOOKUP(NV2,Water!$D$6:$J$109,7,FALSE))</f>
        <v/>
      </c>
      <c r="NW3" s="115" t="str">
        <f>IF(ISBLANK(VLOOKUP(NW2,Water!$D$6:$J$109,7,FALSE)),"",VLOOKUP(NW2,Water!$D$6:$J$109,7,FALSE))</f>
        <v/>
      </c>
      <c r="NX3" s="115" t="str">
        <f>IF(ISBLANK(VLOOKUP(NX2,Water!$D$6:$J$109,7,FALSE)),"",VLOOKUP(NX2,Water!$D$6:$J$109,7,FALSE))</f>
        <v/>
      </c>
      <c r="NY3" s="115" t="str">
        <f>IF(ISBLANK(VLOOKUP(NY2,Water!$D$6:$J$109,7,FALSE)),"",VLOOKUP(NY2,Water!$D$6:$J$109,7,FALSE))</f>
        <v/>
      </c>
      <c r="NZ3" s="115" t="str">
        <f>IF(ISBLANK(VLOOKUP(NZ2,Water!$D$6:$J$109,7,FALSE)),"",VLOOKUP(NZ2,Water!$D$6:$J$109,7,FALSE))</f>
        <v/>
      </c>
      <c r="OA3" s="115" t="str">
        <f>IF(ISBLANK(VLOOKUP(OA2,Water!$D$6:$J$109,7,FALSE)),"",VLOOKUP(OA2,Water!$D$6:$J$109,7,FALSE))</f>
        <v/>
      </c>
      <c r="OB3" s="115" t="str">
        <f>IF(ISBLANK(VLOOKUP(OB2,Water!$D$6:$J$109,7,FALSE)),"",VLOOKUP(OB2,Water!$D$6:$J$109,7,FALSE))</f>
        <v/>
      </c>
      <c r="OC3" s="115" t="str">
        <f>IF(ISBLANK(VLOOKUP(OC2,Water!$D$6:$J$109,7,FALSE)),"",VLOOKUP(OC2,Water!$D$6:$J$109,7,FALSE))</f>
        <v/>
      </c>
      <c r="OD3" s="115" t="str">
        <f>IF(ISBLANK(VLOOKUP(OD2,Water!$D$6:$J$109,7,FALSE)),"",VLOOKUP(OD2,Water!$D$6:$J$109,7,FALSE))</f>
        <v/>
      </c>
      <c r="OE3" s="115" t="str">
        <f>IF(ISBLANK(VLOOKUP(OC2,Water!$D$6:$J$109,7,FALSE)),"",VLOOKUP(OC2,Water!$D$6:$J$109,7,FALSE))</f>
        <v/>
      </c>
      <c r="OF3" s="115" t="str">
        <f>IF(ISBLANK(VLOOKUP(OD2,Water!$D$6:$J$109,7,FALSE)),"",VLOOKUP(OD2,Water!$D$6:$J$109,7,FALSE))</f>
        <v/>
      </c>
      <c r="OG3" s="115" t="str">
        <f>IF(ISBLANK(VLOOKUP(OE2,Water!$D$6:$J$109,7,FALSE)),"",VLOOKUP(OE2,Water!$D$6:$J$109,7,FALSE))</f>
        <v>Yes</v>
      </c>
      <c r="OH3" s="115" t="str">
        <f>IF(ISBLANK(VLOOKUP(OF2,Water!$D$6:$J$109,7,FALSE)),"",VLOOKUP(OF2,Water!$D$6:$J$109,7,FALSE))</f>
        <v>No</v>
      </c>
      <c r="OI3" s="115" t="str">
        <f>IF(ISBLANK(VLOOKUP(OI2,Wastewater!$D$6:$H$127,5,FALSE)),"",VLOOKUP(OI2,Wastewater!$D$6:$H$127,5,FALSE))</f>
        <v/>
      </c>
      <c r="OJ3" s="115" t="str">
        <f>IF(ISBLANK(VLOOKUP(OJ2,Wastewater!$D$6:$H$127,5,FALSE)),"",VLOOKUP(OJ2,Wastewater!$D$6:$H$127,5,FALSE))</f>
        <v/>
      </c>
      <c r="OK3" s="115" t="str">
        <f>IF(ISBLANK(VLOOKUP(OK2,Wastewater!$D$6:$H$127,5,FALSE)),"",VLOOKUP(OK2,Wastewater!$D$6:$H$127,5,FALSE))</f>
        <v/>
      </c>
      <c r="OL3" s="115" t="str">
        <f>IF(ISBLANK(VLOOKUP(OL2,Wastewater!$D$6:$H$127,5,FALSE)),"",VLOOKUP(OL2,Wastewater!$D$6:$H$127,5,FALSE))</f>
        <v/>
      </c>
      <c r="OM3" s="115" t="str">
        <f>IF(ISBLANK(VLOOKUP(OM2,Wastewater!$D$6:$H$127,5,FALSE)),"",VLOOKUP(OM2,Wastewater!$D$6:$H$127,5,FALSE))</f>
        <v/>
      </c>
      <c r="ON3" s="115" t="str">
        <f>IF(ISBLANK(VLOOKUP(ON2,Wastewater!$D$6:$H$127,5,FALSE)),"",VLOOKUP(ON2,Wastewater!$D$6:$H$127,5,FALSE))</f>
        <v/>
      </c>
      <c r="OO3" s="115" t="str">
        <f>IF(ISBLANK(VLOOKUP(OO2,Wastewater!$D$6:$H$127,5,FALSE)),"",VLOOKUP(OO2,Wastewater!$D$6:$H$127,5,FALSE))</f>
        <v/>
      </c>
      <c r="OP3" s="115" t="str">
        <f>IF(ISBLANK(VLOOKUP(OP2,Wastewater!$D$6:$H$127,5,FALSE)),"",VLOOKUP(OP2,Wastewater!$D$6:$H$127,5,FALSE))</f>
        <v/>
      </c>
      <c r="OQ3" s="115" t="str">
        <f>IF(ISBLANK(VLOOKUP(OQ2,Stormwater!$D$6:$H$80,5,FALSE)),"",VLOOKUP(OQ2,Stormwater!$D$6:$H$80,5,FALSE))</f>
        <v/>
      </c>
      <c r="OR3" s="115" t="str">
        <f>IF(ISBLANK(VLOOKUP(OR2,Stormwater!$D$6:$H$80,5,FALSE)),"",VLOOKUP(OR2,Stormwater!$D$6:$H$80,5,FALSE))</f>
        <v/>
      </c>
      <c r="OS3" s="115" t="str">
        <f>IF(ISBLANK(VLOOKUP(OS2,Stormwater!$D$6:$H$80,5,FALSE)),"",VLOOKUP(OS2,Stormwater!$D$6:$H$80,5,FALSE))</f>
        <v/>
      </c>
      <c r="OT3" s="115" t="str">
        <f>IF(ISBLANK(VLOOKUP(OT2,Stormwater!$D$6:$H$80,5,FALSE)),"",VLOOKUP(OT2,Stormwater!$D$6:$H$80,5,FALSE))</f>
        <v/>
      </c>
      <c r="OU3" s="115" t="str">
        <f>IF(ISBLANK(VLOOKUP(OU2,Stormwater!$D$6:$H$80,5,FALSE)),"",VLOOKUP(OU2,Stormwater!$D$6:$H$80,5,FALSE))</f>
        <v/>
      </c>
      <c r="OV3" s="115" t="str">
        <f>IF(ISBLANK(VLOOKUP(OV2,Stormwater!$D$6:$H$80,5,FALSE)),"",VLOOKUP(OV2,Stormwater!$D$6:$H$80,5,FALSE))</f>
        <v/>
      </c>
      <c r="OW3" s="115" t="str">
        <f>IF(ISBLANK(VLOOKUP(OW2,Stormwater!$D$6:$H$80,5,FALSE)),"",VLOOKUP(OW2,Stormwater!$D$6:$H$80,5,FALSE))</f>
        <v/>
      </c>
      <c r="OX3" s="115" t="str">
        <f>IF(ISBLANK(VLOOKUP(OX2,Stormwater!$D$6:$H$80,5,FALSE)),"",VLOOKUP(OX2,Stormwater!$D$6:$H$80,5,FALSE))</f>
        <v/>
      </c>
      <c r="OY3" s="115" t="str">
        <f>IF(ISBLANK(VLOOKUP(OY2,Stormwater!$D$6:$H$80,5,FALSE)),"",VLOOKUP(OY2,Stormwater!$D$6:$H$80,5,FALSE))</f>
        <v/>
      </c>
      <c r="OZ3" s="115" t="str">
        <f>IF(ISBLANK(VLOOKUP(OZ2,Stormwater!$D$6:$H$80,5,FALSE)),"",VLOOKUP(OZ2,Stormwater!$D$6:$H$80,5,FALSE))</f>
        <v/>
      </c>
      <c r="PA3" s="115" t="str">
        <f>IF(MAX(Water!O40:AH40)=0,"",MAX(Water!O40:AH40))</f>
        <v/>
      </c>
      <c r="PB3" s="115" t="str">
        <f>IF(MIN(Water!O40:AH40)=0,"",MIN(Water!O40:AH40))</f>
        <v/>
      </c>
      <c r="PC3" s="115" t="str">
        <f>IF(MAX(Water!O47:AH47)=0,"",MAX(Water!O47:AH47))</f>
        <v/>
      </c>
      <c r="PD3" s="115" t="str">
        <f>IF(MIN(Water!O47:AH47)=0,"",MIN(Water!O47:AH47))</f>
        <v/>
      </c>
      <c r="PE3" s="115" t="str">
        <f>IF(MAX(Water!O48:AH48)=0,"",MAX(Water!O48:AH48))</f>
        <v/>
      </c>
      <c r="PF3" s="115" t="str">
        <f>IF(MIN(Water!O48:AH48)=0,"",MIN(Water!O48:AH48))</f>
        <v/>
      </c>
      <c r="PG3" s="115" t="str">
        <f>IF(MAX(Water!Q49:AJ49)=0,"",MAX(Water!Q49:AJ49))</f>
        <v/>
      </c>
      <c r="PH3" s="115" t="str">
        <f>IF(MIN(Water!Q49:AJ49)=0,"",MIN(Water!Q49:AJ49))</f>
        <v/>
      </c>
      <c r="PI3" s="115" t="str">
        <f>IF(MAX(Water!S50:AL50)=0,"",MAX(Water!S50:AL50))</f>
        <v/>
      </c>
      <c r="PJ3" s="115" t="str">
        <f>IF(MIN(Water!S50:AL50)=0,"",MIN(Water!S50:AL50))</f>
        <v/>
      </c>
    </row>
    <row r="4" spans="1:426" s="115" customFormat="1">
      <c r="NE4" s="108"/>
      <c r="NJ4" s="115" t="str">
        <f>IF(Wastewater_facility_value_at_end_of_reporting_year__WWF24a&gt;0,Wastewater_facility_value_at_end_of_reporting_year__WWF24a,"anything at all please")</f>
        <v/>
      </c>
    </row>
    <row r="5" spans="1:426" s="115" customFormat="1">
      <c r="A5" s="115" t="s">
        <v>629</v>
      </c>
      <c r="B5" s="140" t="s">
        <v>630</v>
      </c>
      <c r="C5" s="115" t="s">
        <v>631</v>
      </c>
      <c r="D5" s="115" t="s">
        <v>632</v>
      </c>
      <c r="E5" s="115" t="s">
        <v>633</v>
      </c>
      <c r="F5" s="115" t="s">
        <v>634</v>
      </c>
      <c r="G5" s="115" t="s">
        <v>635</v>
      </c>
      <c r="H5" s="115" t="s">
        <v>636</v>
      </c>
      <c r="I5" s="115" t="s">
        <v>637</v>
      </c>
      <c r="J5" s="115" t="s">
        <v>638</v>
      </c>
      <c r="K5" s="115" t="s">
        <v>639</v>
      </c>
      <c r="L5" s="115" t="s">
        <v>1105</v>
      </c>
      <c r="M5" s="115" t="s">
        <v>1106</v>
      </c>
      <c r="N5" s="115" t="s">
        <v>1107</v>
      </c>
      <c r="O5" s="115" t="s">
        <v>989</v>
      </c>
      <c r="P5" s="115" t="s">
        <v>990</v>
      </c>
      <c r="Q5" s="115" t="s">
        <v>1063</v>
      </c>
      <c r="R5" s="115" t="s">
        <v>1064</v>
      </c>
      <c r="S5" s="115" t="s">
        <v>1108</v>
      </c>
      <c r="T5" s="115" t="s">
        <v>1109</v>
      </c>
      <c r="U5" s="115" t="s">
        <v>1110</v>
      </c>
      <c r="V5" s="115" t="s">
        <v>1111</v>
      </c>
      <c r="W5" s="115" t="s">
        <v>640</v>
      </c>
      <c r="X5" s="115" t="s">
        <v>641</v>
      </c>
      <c r="Y5" s="115" t="s">
        <v>642</v>
      </c>
      <c r="Z5" s="115" t="s">
        <v>643</v>
      </c>
      <c r="AA5" s="115" t="s">
        <v>644</v>
      </c>
      <c r="AB5" s="115" t="s">
        <v>645</v>
      </c>
      <c r="AC5" s="115" t="s">
        <v>991</v>
      </c>
      <c r="AD5" s="115" t="s">
        <v>992</v>
      </c>
      <c r="AE5" s="115" t="s">
        <v>646</v>
      </c>
      <c r="AF5" s="115" t="s">
        <v>647</v>
      </c>
      <c r="AG5" s="115" t="s">
        <v>648</v>
      </c>
      <c r="AH5" s="115" t="s">
        <v>993</v>
      </c>
      <c r="AI5" s="115" t="s">
        <v>649</v>
      </c>
      <c r="AJ5" s="115" t="s">
        <v>650</v>
      </c>
      <c r="AK5" s="115" t="s">
        <v>651</v>
      </c>
      <c r="AL5" s="115" t="s">
        <v>652</v>
      </c>
      <c r="AM5" s="115" t="s">
        <v>653</v>
      </c>
      <c r="AN5" s="115" t="s">
        <v>654</v>
      </c>
      <c r="AO5" s="115" t="s">
        <v>655</v>
      </c>
      <c r="AP5" s="115" t="s">
        <v>656</v>
      </c>
      <c r="AQ5" s="115" t="s">
        <v>657</v>
      </c>
      <c r="AR5" s="115" t="s">
        <v>658</v>
      </c>
      <c r="AS5" s="115" t="s">
        <v>659</v>
      </c>
      <c r="AT5" s="115" t="s">
        <v>660</v>
      </c>
      <c r="AU5" s="115" t="s">
        <v>661</v>
      </c>
      <c r="AV5" s="115" t="s">
        <v>662</v>
      </c>
      <c r="AW5" s="115" t="s">
        <v>663</v>
      </c>
      <c r="AX5" s="115" t="s">
        <v>664</v>
      </c>
      <c r="AY5" s="115" t="s">
        <v>665</v>
      </c>
      <c r="AZ5" s="115" t="s">
        <v>666</v>
      </c>
      <c r="BA5" s="115" t="s">
        <v>667</v>
      </c>
      <c r="BB5" s="115" t="s">
        <v>668</v>
      </c>
      <c r="BC5" s="115" t="s">
        <v>669</v>
      </c>
      <c r="BD5" s="115" t="s">
        <v>670</v>
      </c>
      <c r="BE5" s="124" t="s">
        <v>671</v>
      </c>
      <c r="BF5" s="115" t="s">
        <v>672</v>
      </c>
      <c r="BG5" s="115" t="s">
        <v>673</v>
      </c>
      <c r="BH5" s="115" t="s">
        <v>674</v>
      </c>
      <c r="BI5" s="115" t="s">
        <v>675</v>
      </c>
      <c r="BJ5" s="115" t="s">
        <v>676</v>
      </c>
      <c r="BK5" s="115" t="s">
        <v>677</v>
      </c>
      <c r="BL5" s="115" t="s">
        <v>678</v>
      </c>
      <c r="BM5" s="115" t="s">
        <v>679</v>
      </c>
      <c r="BN5" s="115" t="s">
        <v>680</v>
      </c>
      <c r="BO5" s="115" t="s">
        <v>681</v>
      </c>
      <c r="BP5" s="115" t="s">
        <v>682</v>
      </c>
      <c r="BQ5" s="115" t="s">
        <v>683</v>
      </c>
      <c r="BR5" s="115" t="s">
        <v>684</v>
      </c>
      <c r="BS5" s="115" t="s">
        <v>1112</v>
      </c>
      <c r="BT5" s="115" t="s">
        <v>685</v>
      </c>
      <c r="BU5" s="115" t="s">
        <v>686</v>
      </c>
      <c r="BV5" s="115" t="s">
        <v>687</v>
      </c>
      <c r="BW5" s="115" t="s">
        <v>688</v>
      </c>
      <c r="BX5" s="115" t="s">
        <v>896</v>
      </c>
      <c r="BY5" s="115" t="s">
        <v>689</v>
      </c>
      <c r="BZ5" s="115" t="s">
        <v>690</v>
      </c>
      <c r="CA5" s="115" t="s">
        <v>691</v>
      </c>
      <c r="CB5" s="115" t="s">
        <v>692</v>
      </c>
      <c r="CC5" s="115" t="s">
        <v>693</v>
      </c>
      <c r="CD5" s="115" t="s">
        <v>1113</v>
      </c>
      <c r="CE5" s="115" t="s">
        <v>897</v>
      </c>
      <c r="CF5" s="115" t="s">
        <v>694</v>
      </c>
      <c r="CG5" s="115" t="s">
        <v>695</v>
      </c>
      <c r="CH5" s="115" t="s">
        <v>696</v>
      </c>
      <c r="CI5" s="115" t="s">
        <v>697</v>
      </c>
      <c r="CJ5" s="115" t="s">
        <v>698</v>
      </c>
      <c r="CK5" s="115" t="s">
        <v>699</v>
      </c>
      <c r="CL5" s="115" t="s">
        <v>700</v>
      </c>
      <c r="CM5" s="115" t="s">
        <v>701</v>
      </c>
      <c r="CN5" s="115" t="s">
        <v>702</v>
      </c>
      <c r="CO5" s="115" t="s">
        <v>703</v>
      </c>
      <c r="CP5" s="115" t="s">
        <v>704</v>
      </c>
      <c r="CQ5" s="115" t="s">
        <v>705</v>
      </c>
      <c r="CR5" s="115" t="s">
        <v>706</v>
      </c>
      <c r="CS5" s="115" t="s">
        <v>708</v>
      </c>
      <c r="CT5" s="115" t="s">
        <v>709</v>
      </c>
      <c r="CU5" s="115" t="s">
        <v>707</v>
      </c>
      <c r="CV5" s="115" t="s">
        <v>994</v>
      </c>
      <c r="CW5" s="115" t="s">
        <v>995</v>
      </c>
      <c r="CX5" s="115" t="s">
        <v>710</v>
      </c>
      <c r="CY5" s="115" t="s">
        <v>711</v>
      </c>
      <c r="CZ5" s="115" t="s">
        <v>712</v>
      </c>
      <c r="DA5" s="115" t="s">
        <v>713</v>
      </c>
      <c r="DB5" s="115" t="s">
        <v>714</v>
      </c>
      <c r="DC5" s="115" t="s">
        <v>715</v>
      </c>
      <c r="DD5" s="115" t="s">
        <v>716</v>
      </c>
      <c r="DE5" s="115" t="s">
        <v>717</v>
      </c>
      <c r="DF5" s="115" t="s">
        <v>718</v>
      </c>
      <c r="DG5" s="115" t="s">
        <v>719</v>
      </c>
      <c r="DH5" s="115" t="s">
        <v>720</v>
      </c>
      <c r="DI5" s="115" t="s">
        <v>996</v>
      </c>
      <c r="DJ5" s="115" t="s">
        <v>721</v>
      </c>
      <c r="DK5" s="115" t="s">
        <v>722</v>
      </c>
      <c r="DL5" s="115" t="s">
        <v>723</v>
      </c>
      <c r="DM5" s="115" t="s">
        <v>724</v>
      </c>
      <c r="DN5" s="115" t="s">
        <v>725</v>
      </c>
      <c r="DO5" s="115" t="s">
        <v>726</v>
      </c>
      <c r="DP5" s="115" t="s">
        <v>727</v>
      </c>
      <c r="DQ5" s="115" t="s">
        <v>728</v>
      </c>
      <c r="DR5" s="115" t="s">
        <v>729</v>
      </c>
      <c r="DS5" s="115" t="s">
        <v>730</v>
      </c>
      <c r="DT5" s="115" t="s">
        <v>731</v>
      </c>
      <c r="DU5" s="115" t="s">
        <v>732</v>
      </c>
      <c r="DV5" s="115" t="s">
        <v>733</v>
      </c>
      <c r="DW5" s="115" t="s">
        <v>734</v>
      </c>
      <c r="DX5" s="115" t="s">
        <v>735</v>
      </c>
      <c r="DY5" s="115" t="s">
        <v>736</v>
      </c>
      <c r="DZ5" s="115" t="s">
        <v>737</v>
      </c>
      <c r="EA5" s="115" t="s">
        <v>738</v>
      </c>
      <c r="EB5" s="115" t="s">
        <v>739</v>
      </c>
      <c r="EC5" s="115" t="s">
        <v>740</v>
      </c>
      <c r="ED5" s="115" t="s">
        <v>741</v>
      </c>
      <c r="EE5" s="115" t="s">
        <v>742</v>
      </c>
      <c r="EF5" s="115" t="s">
        <v>743</v>
      </c>
      <c r="EG5" s="115" t="s">
        <v>744</v>
      </c>
      <c r="EH5" s="115" t="s">
        <v>745</v>
      </c>
      <c r="EI5" s="115" t="s">
        <v>746</v>
      </c>
      <c r="EJ5" s="115" t="s">
        <v>747</v>
      </c>
      <c r="EK5" s="115" t="s">
        <v>997</v>
      </c>
      <c r="EL5" s="115" t="s">
        <v>898</v>
      </c>
      <c r="EM5" s="115" t="s">
        <v>748</v>
      </c>
      <c r="EN5" s="115" t="s">
        <v>749</v>
      </c>
      <c r="EO5" s="115" t="s">
        <v>750</v>
      </c>
      <c r="EP5" s="115" t="s">
        <v>751</v>
      </c>
      <c r="EQ5" s="115" t="s">
        <v>752</v>
      </c>
      <c r="ER5" s="115" t="s">
        <v>753</v>
      </c>
      <c r="ES5" s="115" t="s">
        <v>754</v>
      </c>
      <c r="ET5" s="115" t="s">
        <v>755</v>
      </c>
      <c r="EU5" s="115" t="s">
        <v>756</v>
      </c>
      <c r="EV5" s="115" t="s">
        <v>757</v>
      </c>
      <c r="EW5" s="115" t="s">
        <v>758</v>
      </c>
      <c r="EX5" s="115" t="s">
        <v>759</v>
      </c>
      <c r="EY5" s="115" t="s">
        <v>760</v>
      </c>
      <c r="EZ5" s="115" t="s">
        <v>761</v>
      </c>
      <c r="FA5" s="115" t="s">
        <v>762</v>
      </c>
      <c r="FB5" s="115" t="s">
        <v>763</v>
      </c>
      <c r="FC5" s="115" t="s">
        <v>764</v>
      </c>
      <c r="FD5" s="115" t="s">
        <v>765</v>
      </c>
      <c r="FE5" s="115" t="s">
        <v>766</v>
      </c>
      <c r="FF5" s="115" t="s">
        <v>767</v>
      </c>
      <c r="FG5" s="115" t="s">
        <v>768</v>
      </c>
      <c r="FH5" s="115" t="s">
        <v>769</v>
      </c>
      <c r="FI5" s="115" t="s">
        <v>998</v>
      </c>
      <c r="FJ5" s="115" t="s">
        <v>770</v>
      </c>
      <c r="FK5" s="115" t="s">
        <v>771</v>
      </c>
      <c r="FL5" s="115" t="s">
        <v>1114</v>
      </c>
      <c r="FM5" s="115" t="s">
        <v>1115</v>
      </c>
      <c r="FN5" s="115" t="s">
        <v>899</v>
      </c>
      <c r="FO5" s="115" t="s">
        <v>772</v>
      </c>
      <c r="FP5" s="115" t="s">
        <v>773</v>
      </c>
      <c r="FQ5" s="115" t="s">
        <v>774</v>
      </c>
      <c r="FR5" s="115" t="s">
        <v>999</v>
      </c>
      <c r="FS5" s="115" t="s">
        <v>900</v>
      </c>
      <c r="FT5" s="115" t="s">
        <v>901</v>
      </c>
      <c r="FU5" s="115" t="s">
        <v>775</v>
      </c>
      <c r="FV5" s="115" t="s">
        <v>776</v>
      </c>
      <c r="FW5" s="115" t="s">
        <v>777</v>
      </c>
      <c r="FX5" s="115" t="s">
        <v>1000</v>
      </c>
      <c r="FY5" s="115" t="s">
        <v>902</v>
      </c>
      <c r="FZ5" s="115" t="s">
        <v>903</v>
      </c>
      <c r="GA5" s="115" t="s">
        <v>778</v>
      </c>
      <c r="GB5" s="115" t="s">
        <v>1001</v>
      </c>
      <c r="GC5" s="115" t="s">
        <v>1137</v>
      </c>
      <c r="GD5" s="115" t="s">
        <v>1138</v>
      </c>
      <c r="GE5" s="115" t="s">
        <v>779</v>
      </c>
      <c r="GF5" s="115" t="s">
        <v>780</v>
      </c>
      <c r="GG5" s="115" t="s">
        <v>904</v>
      </c>
      <c r="GH5" s="115" t="s">
        <v>905</v>
      </c>
      <c r="GI5" s="115" t="s">
        <v>781</v>
      </c>
      <c r="GJ5" s="115" t="s">
        <v>782</v>
      </c>
      <c r="GK5" s="115" t="s">
        <v>783</v>
      </c>
      <c r="GL5" s="115" t="s">
        <v>784</v>
      </c>
      <c r="GM5" s="115" t="s">
        <v>1002</v>
      </c>
      <c r="GN5" s="115" t="s">
        <v>1003</v>
      </c>
      <c r="GO5" s="115" t="s">
        <v>1116</v>
      </c>
      <c r="GP5" s="115" t="s">
        <v>1117</v>
      </c>
      <c r="GQ5" s="115" t="s">
        <v>1118</v>
      </c>
      <c r="GR5" s="115" t="s">
        <v>785</v>
      </c>
      <c r="GS5" s="115" t="s">
        <v>786</v>
      </c>
      <c r="GT5" s="115" t="s">
        <v>1119</v>
      </c>
      <c r="GU5" s="115" t="s">
        <v>1120</v>
      </c>
      <c r="GV5" s="115" t="s">
        <v>1121</v>
      </c>
      <c r="GW5" s="115" t="s">
        <v>787</v>
      </c>
      <c r="GX5" s="115" t="s">
        <v>788</v>
      </c>
      <c r="GY5" s="115" t="s">
        <v>789</v>
      </c>
      <c r="GZ5" s="115" t="s">
        <v>790</v>
      </c>
      <c r="HA5" s="115" t="s">
        <v>791</v>
      </c>
      <c r="HB5" s="115" t="s">
        <v>792</v>
      </c>
      <c r="HC5" s="115" t="s">
        <v>793</v>
      </c>
      <c r="HD5" s="115" t="s">
        <v>794</v>
      </c>
      <c r="HE5" s="115" t="s">
        <v>795</v>
      </c>
      <c r="HF5" s="115" t="s">
        <v>796</v>
      </c>
      <c r="HG5" s="115" t="s">
        <v>797</v>
      </c>
      <c r="HH5" s="115" t="s">
        <v>798</v>
      </c>
      <c r="HI5" s="115" t="s">
        <v>799</v>
      </c>
      <c r="HJ5" s="115" t="s">
        <v>1122</v>
      </c>
      <c r="HK5" s="115" t="s">
        <v>800</v>
      </c>
      <c r="HL5" s="115" t="s">
        <v>832</v>
      </c>
      <c r="HM5" s="115" t="s">
        <v>833</v>
      </c>
      <c r="HN5" s="115" t="s">
        <v>1004</v>
      </c>
      <c r="HO5" s="115" t="s">
        <v>1012</v>
      </c>
      <c r="HP5" s="115" t="s">
        <v>1123</v>
      </c>
      <c r="HQ5" s="115" t="s">
        <v>801</v>
      </c>
      <c r="HR5" s="115" t="s">
        <v>802</v>
      </c>
      <c r="HS5" s="115" t="s">
        <v>803</v>
      </c>
      <c r="HT5" s="115" t="s">
        <v>804</v>
      </c>
      <c r="HU5" s="115" t="s">
        <v>805</v>
      </c>
      <c r="HV5" s="115" t="s">
        <v>806</v>
      </c>
      <c r="HW5" s="115" t="s">
        <v>807</v>
      </c>
      <c r="HX5" s="115" t="s">
        <v>808</v>
      </c>
      <c r="HY5" s="115" t="s">
        <v>906</v>
      </c>
      <c r="HZ5" s="115" t="s">
        <v>907</v>
      </c>
      <c r="IA5" s="115" t="s">
        <v>809</v>
      </c>
      <c r="IB5" s="115" t="s">
        <v>1005</v>
      </c>
      <c r="IC5" s="115" t="s">
        <v>810</v>
      </c>
      <c r="ID5" s="115" t="s">
        <v>811</v>
      </c>
      <c r="IE5" s="115" t="s">
        <v>812</v>
      </c>
      <c r="IF5" s="115" t="s">
        <v>813</v>
      </c>
      <c r="IG5" s="115" t="s">
        <v>814</v>
      </c>
      <c r="IH5" s="115" t="s">
        <v>815</v>
      </c>
      <c r="II5" s="115" t="s">
        <v>816</v>
      </c>
      <c r="IJ5" s="115" t="s">
        <v>817</v>
      </c>
      <c r="IK5" s="115" t="s">
        <v>818</v>
      </c>
      <c r="IL5" s="115" t="s">
        <v>819</v>
      </c>
      <c r="IM5" s="115" t="s">
        <v>820</v>
      </c>
      <c r="IN5" s="115" t="s">
        <v>821</v>
      </c>
      <c r="IO5" s="115" t="s">
        <v>822</v>
      </c>
      <c r="IP5" s="115" t="s">
        <v>823</v>
      </c>
      <c r="IQ5" s="115" t="s">
        <v>824</v>
      </c>
      <c r="IR5" s="115" t="s">
        <v>825</v>
      </c>
      <c r="IS5" s="115" t="s">
        <v>826</v>
      </c>
      <c r="IT5" s="115" t="s">
        <v>827</v>
      </c>
      <c r="IU5" s="115" t="s">
        <v>828</v>
      </c>
      <c r="IV5" s="115" t="s">
        <v>829</v>
      </c>
      <c r="IW5" s="115" t="s">
        <v>830</v>
      </c>
      <c r="IX5" s="115" t="s">
        <v>831</v>
      </c>
      <c r="IY5" s="115" t="s">
        <v>619</v>
      </c>
      <c r="IZ5" s="115" t="s">
        <v>621</v>
      </c>
      <c r="JA5" s="115" t="s">
        <v>620</v>
      </c>
      <c r="JB5" s="115" t="s">
        <v>628</v>
      </c>
      <c r="JC5" s="115" t="s">
        <v>625</v>
      </c>
      <c r="JD5" s="115" t="s">
        <v>591</v>
      </c>
      <c r="JE5" s="115" t="s">
        <v>590</v>
      </c>
      <c r="JF5" s="115" t="s">
        <v>577</v>
      </c>
      <c r="JG5" s="115" t="s">
        <v>578</v>
      </c>
      <c r="JH5" s="115" t="s">
        <v>579</v>
      </c>
      <c r="JI5" s="115" t="s">
        <v>580</v>
      </c>
      <c r="JJ5" s="115" t="s">
        <v>581</v>
      </c>
      <c r="JK5" s="115" t="s">
        <v>593</v>
      </c>
      <c r="JL5" s="115" t="s">
        <v>616</v>
      </c>
      <c r="JM5" s="115" t="s">
        <v>572</v>
      </c>
      <c r="JN5" s="115" t="s">
        <v>565</v>
      </c>
      <c r="JO5" s="115" t="s">
        <v>602</v>
      </c>
      <c r="JP5" s="115" t="s">
        <v>600</v>
      </c>
      <c r="JQ5" s="115" t="s">
        <v>615</v>
      </c>
      <c r="JR5" s="115" t="s">
        <v>617</v>
      </c>
      <c r="JS5" s="115" t="s">
        <v>595</v>
      </c>
      <c r="JT5" s="115" t="s">
        <v>908</v>
      </c>
      <c r="JU5" s="115" t="s">
        <v>611</v>
      </c>
      <c r="JV5" s="115" t="s">
        <v>613</v>
      </c>
      <c r="JW5" s="115" t="s">
        <v>612</v>
      </c>
      <c r="JX5" s="115" t="s">
        <v>622</v>
      </c>
      <c r="JY5" s="115" t="s">
        <v>1006</v>
      </c>
      <c r="JZ5" s="115" t="s">
        <v>1124</v>
      </c>
      <c r="KA5" s="115" t="s">
        <v>1125</v>
      </c>
      <c r="KB5" s="115" t="s">
        <v>618</v>
      </c>
      <c r="KC5" s="115" t="s">
        <v>606</v>
      </c>
      <c r="KD5" s="115" t="s">
        <v>1126</v>
      </c>
      <c r="KE5" s="115" t="s">
        <v>607</v>
      </c>
      <c r="KF5" s="115" t="s">
        <v>608</v>
      </c>
      <c r="KG5" s="115" t="s">
        <v>609</v>
      </c>
      <c r="KH5" s="115" t="s">
        <v>605</v>
      </c>
      <c r="KI5" s="115" t="s">
        <v>614</v>
      </c>
      <c r="KJ5" s="115" t="s">
        <v>610</v>
      </c>
      <c r="KK5" s="115" t="s">
        <v>1007</v>
      </c>
      <c r="KL5" s="115" t="s">
        <v>1008</v>
      </c>
      <c r="KM5" s="115" t="s">
        <v>594</v>
      </c>
      <c r="KN5" s="115" t="s">
        <v>1009</v>
      </c>
      <c r="KO5" s="115" t="s">
        <v>1014</v>
      </c>
      <c r="KP5" s="115" t="s">
        <v>588</v>
      </c>
      <c r="KQ5" s="115" t="s">
        <v>601</v>
      </c>
      <c r="KR5" s="115" t="s">
        <v>603</v>
      </c>
      <c r="KS5" s="115" t="s">
        <v>598</v>
      </c>
      <c r="KT5" s="115" t="s">
        <v>585</v>
      </c>
      <c r="KU5" s="115" t="s">
        <v>627</v>
      </c>
      <c r="KV5" s="115" t="s">
        <v>626</v>
      </c>
      <c r="KW5" s="115" t="s">
        <v>583</v>
      </c>
      <c r="KX5" s="115" t="s">
        <v>909</v>
      </c>
      <c r="KY5" s="115" t="s">
        <v>910</v>
      </c>
      <c r="KZ5" s="115" t="s">
        <v>592</v>
      </c>
      <c r="LA5" s="115" t="s">
        <v>1010</v>
      </c>
      <c r="LB5" s="115" t="s">
        <v>597</v>
      </c>
      <c r="LC5" s="115" t="s">
        <v>596</v>
      </c>
      <c r="LD5" s="115" t="s">
        <v>571</v>
      </c>
      <c r="LE5" s="115" t="s">
        <v>589</v>
      </c>
      <c r="LF5" s="115" t="s">
        <v>582</v>
      </c>
      <c r="LG5" s="115" t="s">
        <v>599</v>
      </c>
      <c r="LH5" s="115" t="s">
        <v>624</v>
      </c>
      <c r="LI5" s="115" t="s">
        <v>623</v>
      </c>
      <c r="LJ5" s="115" t="s">
        <v>573</v>
      </c>
      <c r="LK5" s="115" t="s">
        <v>575</v>
      </c>
      <c r="LL5" s="115" t="s">
        <v>574</v>
      </c>
      <c r="LM5" s="115" t="s">
        <v>576</v>
      </c>
      <c r="LN5" s="115" t="s">
        <v>567</v>
      </c>
      <c r="LO5" s="115" t="s">
        <v>569</v>
      </c>
      <c r="LP5" s="115" t="s">
        <v>568</v>
      </c>
      <c r="LQ5" s="115" t="s">
        <v>570</v>
      </c>
      <c r="LR5" s="115" t="s">
        <v>566</v>
      </c>
      <c r="LS5" s="115" t="s">
        <v>586</v>
      </c>
      <c r="LT5" s="115" t="s">
        <v>604</v>
      </c>
      <c r="LU5" s="115" t="s">
        <v>584</v>
      </c>
      <c r="LV5" s="115" t="s">
        <v>587</v>
      </c>
      <c r="LW5" s="141" t="s">
        <v>1015</v>
      </c>
      <c r="LX5" s="141" t="s">
        <v>1016</v>
      </c>
      <c r="LY5" s="141" t="s">
        <v>1017</v>
      </c>
      <c r="LZ5" s="141" t="s">
        <v>1018</v>
      </c>
      <c r="MA5" s="141" t="s">
        <v>1019</v>
      </c>
      <c r="MB5" s="141" t="s">
        <v>1020</v>
      </c>
      <c r="MC5" s="141" t="s">
        <v>1021</v>
      </c>
      <c r="MD5" s="141" t="s">
        <v>1022</v>
      </c>
      <c r="ME5" s="141" t="s">
        <v>1023</v>
      </c>
      <c r="MF5" s="141" t="s">
        <v>1024</v>
      </c>
      <c r="MG5" s="141" t="s">
        <v>1025</v>
      </c>
      <c r="MH5" s="141" t="s">
        <v>1026</v>
      </c>
      <c r="MI5" s="141" t="s">
        <v>1027</v>
      </c>
      <c r="MJ5" s="141" t="s">
        <v>1028</v>
      </c>
      <c r="MK5" s="141" t="s">
        <v>1029</v>
      </c>
      <c r="ML5" s="141" t="s">
        <v>1030</v>
      </c>
      <c r="MM5" s="141" t="s">
        <v>1031</v>
      </c>
      <c r="MN5" s="141" t="s">
        <v>1032</v>
      </c>
      <c r="MO5" s="141" t="s">
        <v>1033</v>
      </c>
      <c r="MP5" s="141" t="s">
        <v>1034</v>
      </c>
      <c r="MQ5" s="141" t="s">
        <v>1035</v>
      </c>
      <c r="MR5" s="141" t="s">
        <v>1036</v>
      </c>
      <c r="MS5" s="141" t="s">
        <v>1058</v>
      </c>
      <c r="MT5" s="141" t="s">
        <v>1037</v>
      </c>
      <c r="MU5" s="141" t="s">
        <v>1038</v>
      </c>
      <c r="MV5" s="141" t="s">
        <v>1039</v>
      </c>
      <c r="MW5" s="141" t="s">
        <v>1040</v>
      </c>
      <c r="MX5" s="141" t="s">
        <v>1041</v>
      </c>
      <c r="MY5" s="141" t="s">
        <v>1042</v>
      </c>
      <c r="MZ5" s="141" t="s">
        <v>1043</v>
      </c>
      <c r="NA5" s="141" t="s">
        <v>1044</v>
      </c>
      <c r="NB5" s="141" t="s">
        <v>1045</v>
      </c>
      <c r="NC5" s="141" t="s">
        <v>1046</v>
      </c>
      <c r="ND5" s="141" t="s">
        <v>1047</v>
      </c>
      <c r="NE5" s="141" t="s">
        <v>1048</v>
      </c>
      <c r="NF5" s="141" t="s">
        <v>1049</v>
      </c>
      <c r="NG5" s="141" t="s">
        <v>1050</v>
      </c>
      <c r="NH5" s="141" t="s">
        <v>1051</v>
      </c>
      <c r="NI5" s="141" t="s">
        <v>1052</v>
      </c>
      <c r="NJ5" s="141" t="s">
        <v>1053</v>
      </c>
      <c r="NK5" s="141" t="s">
        <v>1054</v>
      </c>
      <c r="NL5" s="141" t="s">
        <v>1055</v>
      </c>
      <c r="NM5" s="141" t="s">
        <v>1056</v>
      </c>
      <c r="NN5" s="141" t="s">
        <v>1057</v>
      </c>
      <c r="NO5" s="115" t="s">
        <v>1548</v>
      </c>
      <c r="NP5" s="115" t="s">
        <v>1549</v>
      </c>
      <c r="NQ5" s="115" t="s">
        <v>1550</v>
      </c>
      <c r="NR5" s="115" t="s">
        <v>1551</v>
      </c>
      <c r="NS5" s="115" t="s">
        <v>1552</v>
      </c>
      <c r="NT5" s="115" t="s">
        <v>1553</v>
      </c>
      <c r="NU5" s="115" t="s">
        <v>1554</v>
      </c>
      <c r="NV5" s="115" t="s">
        <v>1555</v>
      </c>
      <c r="NW5" s="115" t="s">
        <v>1556</v>
      </c>
      <c r="NX5" s="115" t="s">
        <v>1557</v>
      </c>
      <c r="NY5" s="115" t="s">
        <v>1558</v>
      </c>
      <c r="NZ5" s="115" t="s">
        <v>1559</v>
      </c>
      <c r="OA5" s="115" t="s">
        <v>1560</v>
      </c>
      <c r="OB5" s="115" t="s">
        <v>1561</v>
      </c>
      <c r="OC5" s="115" t="s">
        <v>1562</v>
      </c>
      <c r="OD5" s="115" t="s">
        <v>1563</v>
      </c>
      <c r="OE5" s="115" t="s">
        <v>1564</v>
      </c>
      <c r="OF5" s="115" t="s">
        <v>1565</v>
      </c>
      <c r="OG5" s="115" t="s">
        <v>1566</v>
      </c>
      <c r="OH5" s="115" t="s">
        <v>1567</v>
      </c>
      <c r="OI5" s="115" t="s">
        <v>1568</v>
      </c>
      <c r="OJ5" s="115" t="s">
        <v>1569</v>
      </c>
      <c r="OK5" s="115" t="s">
        <v>1570</v>
      </c>
      <c r="OL5" s="115" t="s">
        <v>1571</v>
      </c>
      <c r="OM5" s="115" t="s">
        <v>1572</v>
      </c>
      <c r="ON5" s="115" t="s">
        <v>1573</v>
      </c>
      <c r="OO5" s="115" t="s">
        <v>1574</v>
      </c>
      <c r="OP5" s="115" t="s">
        <v>1575</v>
      </c>
      <c r="OQ5" s="115" t="s">
        <v>1576</v>
      </c>
      <c r="OR5" s="115" t="s">
        <v>1577</v>
      </c>
      <c r="OS5" s="115" t="s">
        <v>1578</v>
      </c>
      <c r="OT5" s="115" t="s">
        <v>1579</v>
      </c>
      <c r="OU5" s="115" t="s">
        <v>1580</v>
      </c>
      <c r="OV5" s="115" t="s">
        <v>1581</v>
      </c>
      <c r="OW5" s="115" t="s">
        <v>1582</v>
      </c>
      <c r="OX5" s="115" t="s">
        <v>1583</v>
      </c>
      <c r="OY5" s="115" t="s">
        <v>1584</v>
      </c>
      <c r="OZ5" s="115" t="s">
        <v>1585</v>
      </c>
    </row>
    <row r="6" spans="1:426">
      <c r="A6" t="str">
        <f>IF(ISBLANK(VLOOKUP(A2,Common!$D$6:$I$27,6,FALSE)),"",VLOOKUP(A2,Common!$D$6:$I$27,6,FALSE))</f>
        <v/>
      </c>
      <c r="B6" s="115" t="str">
        <f>IF(ISBLANK(VLOOKUP(B2,Common!$D$6:$I$27,6,FALSE)),"",VLOOKUP(B2,Common!$D$6:$I$27,6,FALSE))</f>
        <v/>
      </c>
      <c r="C6" s="115" t="str">
        <f>IF(ISBLANK(VLOOKUP(C2,Common!$D$6:$I$27,6,FALSE)),"",VLOOKUP(C2,Common!$D$6:$I$27,6,FALSE))</f>
        <v/>
      </c>
      <c r="D6" s="115" t="str">
        <f>IF(ISBLANK(VLOOKUP(D2,Common!$D$6:$I$27,6,FALSE)),"",VLOOKUP(D2,Common!$D$6:$I$27,6,FALSE))</f>
        <v/>
      </c>
      <c r="E6" s="115" t="str">
        <f>IF(ISBLANK(VLOOKUP(E2,Common!$D$6:$I$27,6,FALSE)),"",VLOOKUP(E2,Common!$D$6:$I$27,6,FALSE))</f>
        <v>Calc</v>
      </c>
      <c r="F6" s="115" t="str">
        <f>IF(ISBLANK(VLOOKUP(F2,Common!$D$6:$I$27,6,FALSE)),"",VLOOKUP(F2,Common!$D$6:$I$27,6,FALSE))</f>
        <v>Calc</v>
      </c>
      <c r="G6" s="115" t="str">
        <f>IF(ISBLANK(VLOOKUP(G2,Common!$D$6:$I$27,6,FALSE)),"",VLOOKUP(G2,Common!$D$6:$I$27,6,FALSE))</f>
        <v/>
      </c>
      <c r="H6" s="115" t="str">
        <f>IF(ISBLANK(VLOOKUP(H2,Common!$D$6:$I$27,6,FALSE)),"",VLOOKUP(H2,Common!$D$6:$I$27,6,FALSE))</f>
        <v/>
      </c>
      <c r="I6" s="115" t="str">
        <f>IF(ISBLANK(VLOOKUP(I2,Common!$D$6:$I$27,6,FALSE)),"",VLOOKUP(I2,Common!$D$6:$I$27,6,FALSE))</f>
        <v/>
      </c>
      <c r="J6" s="115" t="str">
        <f>IF(ISBLANK(VLOOKUP(J2,Common!$D$6:$I$27,6,FALSE)),"",VLOOKUP(J2,Common!$D$6:$I$27,6,FALSE))</f>
        <v/>
      </c>
      <c r="K6" s="115" t="str">
        <f>IF(ISBLANK(VLOOKUP(K2,Common!$D$6:$I$27,6,FALSE)),"",VLOOKUP(K2,Common!$D$6:$I$27,6,FALSE))</f>
        <v/>
      </c>
      <c r="L6" s="115" t="str">
        <f>IF(ISBLANK(VLOOKUP(L2,Common!$D$6:$I$27,6,FALSE)),"",VLOOKUP(L2,Common!$D$6:$I$27,6,FALSE))</f>
        <v/>
      </c>
      <c r="M6" s="115" t="str">
        <f>IF(ISBLANK(VLOOKUP(M2,Common!$D$6:$I$27,6,FALSE)),"",VLOOKUP(M2,Common!$D$6:$I$27,6,FALSE))</f>
        <v/>
      </c>
      <c r="N6" s="115" t="str">
        <f>IF(ISBLANK(VLOOKUP(N2,Common!$D$6:$I$27,6,FALSE)),"",VLOOKUP(N2,Common!$D$6:$I$27,6,FALSE))</f>
        <v/>
      </c>
      <c r="O6" s="115" t="str">
        <f>IF(ISBLANK(VLOOKUP(O2,Common!$D$6:$I$27,6,FALSE)),"",VLOOKUP(O2,Common!$D$6:$I$27,6,FALSE))</f>
        <v/>
      </c>
      <c r="P6" s="115" t="str">
        <f>IF(ISBLANK(VLOOKUP(P2,Common!$D$6:$I$27,6,FALSE)),"",VLOOKUP(P2,Common!$D$6:$I$27,6,FALSE))</f>
        <v/>
      </c>
      <c r="Q6" s="115" t="str">
        <f>IF(ISBLANK(VLOOKUP(Q2,Common!$D$6:$I$27,6,FALSE)),"",VLOOKUP(Q2,Common!$D$6:$I$27,6,FALSE))</f>
        <v/>
      </c>
      <c r="R6" s="115" t="str">
        <f>IF(ISBLANK(VLOOKUP(R2,Common!$D$6:$I$27,6,FALSE)),"",VLOOKUP(R2,Common!$D$6:$I$27,6,FALSE))</f>
        <v/>
      </c>
      <c r="S6" s="115" t="str">
        <f>IF(ISBLANK(VLOOKUP(S2,Common!$D$6:$I$27,6,FALSE)),"",VLOOKUP(S2,Common!$D$6:$I$27,6,FALSE))</f>
        <v/>
      </c>
      <c r="T6" s="115" t="str">
        <f>IF(ISBLANK(VLOOKUP(T2,Common!$D$6:$I$27,6,FALSE)),"",VLOOKUP(T2,Common!$D$6:$I$27,6,FALSE))</f>
        <v/>
      </c>
      <c r="U6" s="115" t="str">
        <f>IF(ISBLANK(VLOOKUP(U2,Common!$D$6:$I$27,6,FALSE)),"",VLOOKUP(U2,Common!$D$6:$I$27,6,FALSE))</f>
        <v/>
      </c>
      <c r="V6" s="115" t="str">
        <f>IF(ISBLANK(VLOOKUP(V2,Common!$D$6:$I$27,6,FALSE)),"",VLOOKUP(V2,Common!$D$6:$I$27,6,FALSE))</f>
        <v/>
      </c>
      <c r="W6" s="115" t="str">
        <f>IF(ISBLANK(VLOOKUP(W2,Water!$D$6:$K$109,8,FALSE)),"",VLOOKUP(W2,Water!$D$6:$K$109,8,FALSE))</f>
        <v/>
      </c>
      <c r="X6" s="115" t="str">
        <f>IF(ISBLANK(VLOOKUP(X2,Water!$D$6:$K$109,8,FALSE)),"",VLOOKUP(X2,Water!$D$6:$K$109,8,FALSE))</f>
        <v>Calc</v>
      </c>
      <c r="Y6" s="115" t="str">
        <f>IF(ISBLANK(VLOOKUP(Y2,Water!$D$6:$K$109,8,FALSE)),"",VLOOKUP(Y2,Water!$D$6:$K$109,8,FALSE))</f>
        <v/>
      </c>
      <c r="Z6" s="115" t="str">
        <f>IF(ISBLANK(VLOOKUP(Z2,Water!$D$6:$K$109,8,FALSE)),"",VLOOKUP(Z2,Water!$D$6:$K$109,8,FALSE))</f>
        <v/>
      </c>
      <c r="AA6" s="115" t="str">
        <f>IF(ISBLANK(VLOOKUP(AA2,Water!$D$6:$K$109,8,FALSE)),"",VLOOKUP(AA2,Water!$D$6:$K$109,8,FALSE))</f>
        <v>Calc</v>
      </c>
      <c r="AB6" s="115" t="str">
        <f>IF(ISBLANK(VLOOKUP(AB2,Water!$D$6:$K$109,8,FALSE)),"",VLOOKUP(AB2,Water!$D$6:$K$109,8,FALSE))</f>
        <v/>
      </c>
      <c r="AC6" s="115" t="str">
        <f>IF(ISBLANK(VLOOKUP(AC2,Water!$D$6:$K$109,8,FALSE)),"",VLOOKUP(AC2,Water!$D$6:$K$109,8,FALSE))</f>
        <v/>
      </c>
      <c r="AD6" s="115" t="str">
        <f>IF(ISBLANK(VLOOKUP(AD2,Water!$D$6:$K$109,8,FALSE)),"",VLOOKUP(AD2,Water!$D$6:$K$109,8,FALSE))</f>
        <v/>
      </c>
      <c r="AE6" s="115"/>
      <c r="AF6" s="115" t="str">
        <f>IF(ISBLANK(VLOOKUP(AF2,Water!$D$6:$K$109,8,FALSE)),"",VLOOKUP(AF2,Water!$D$6:$K$109,8,FALSE))</f>
        <v/>
      </c>
      <c r="AG6" s="115" t="str">
        <f>IF(ISBLANK(VLOOKUP(AG2,Water!$D$6:$K$109,8,FALSE)),"",VLOOKUP(AG2,Water!$D$6:$K$109,8,FALSE))</f>
        <v>Calc</v>
      </c>
      <c r="AH6" s="115"/>
      <c r="AI6" s="115" t="str">
        <f>IF(ISBLANK(VLOOKUP(AI2,Water!$D$6:$K$109,8,FALSE)),"",VLOOKUP(AI2,Water!$D$6:$K$109,8,FALSE))</f>
        <v>Reliable</v>
      </c>
      <c r="AJ6" s="115"/>
      <c r="AK6" s="115"/>
      <c r="AL6" s="115"/>
      <c r="AM6" s="115"/>
      <c r="AN6" s="115"/>
      <c r="AO6" s="115" t="str">
        <f>IF(ISBLANK(VLOOKUP(AO2,Water!$D$6:$K$109,8,FALSE)),"",VLOOKUP(AO2,Water!$D$6:$K$109,8,FALSE))</f>
        <v/>
      </c>
      <c r="AP6" s="115"/>
      <c r="AQ6" s="115" t="str">
        <f>IF(ISBLANK(VLOOKUP(AQ2,Water!$D$6:$K$109,8,FALSE)),"",VLOOKUP(AQ2,Water!$D$6:$K$109,8,FALSE))</f>
        <v/>
      </c>
      <c r="AR6" s="115"/>
      <c r="AS6" s="115" t="str">
        <f>IF(ISBLANK(VLOOKUP(AS2,Water!$D$6:$K$109,8,FALSE)),"",VLOOKUP(AS2,Water!$D$6:$K$109,8,FALSE))</f>
        <v/>
      </c>
      <c r="AT6" s="115" t="str">
        <f>IF(ISBLANK(VLOOKUP(AT2,Water!$D$6:$K$109,8,FALSE)),"",VLOOKUP(AT2,Water!$D$6:$K$109,8,FALSE))</f>
        <v>Reliable</v>
      </c>
      <c r="AU6" s="115"/>
      <c r="AV6" s="115" t="str">
        <f>IF(ISBLANK(VLOOKUP(AV2,Water!$D$6:$K$109,8,FALSE)),"",VLOOKUP(AV2,Water!$D$6:$K$109,8,FALSE))</f>
        <v>Reliable</v>
      </c>
      <c r="AW6" s="115"/>
      <c r="AX6" s="115" t="str">
        <f>IF(ISBLANK(VLOOKUP(AX2,Water!$D$6:$K$109,8,FALSE)),"",VLOOKUP(AX2,Water!$D$6:$K$109,8,FALSE))</f>
        <v>Reliable</v>
      </c>
      <c r="AY6" s="115"/>
      <c r="AZ6" s="115"/>
      <c r="BA6" s="115" t="str">
        <f>IF(ISBLANK(VLOOKUP(BA2,Water!$D$6:$K$109,8,FALSE)),"",VLOOKUP(BA2,Water!$D$6:$K$109,8,FALSE))</f>
        <v/>
      </c>
      <c r="BB6" s="115" t="str">
        <f>IF(ISBLANK(VLOOKUP(BB2,Water!$D$6:$K$109,8,FALSE)),"",VLOOKUP(BB2,Water!$D$6:$K$109,8,FALSE))</f>
        <v/>
      </c>
      <c r="BC6" s="115"/>
      <c r="BD6" s="115"/>
      <c r="BE6" s="115"/>
      <c r="BF6" s="115"/>
      <c r="BG6" s="115" t="str">
        <f>IF(ISBLANK(VLOOKUP(BG2,Water!$D$6:$K$109,8,FALSE)),"",VLOOKUP(BG2,Water!$D$6:$K$109,8,FALSE))</f>
        <v/>
      </c>
      <c r="BH6" s="115" t="str">
        <f>IF(ISBLANK(VLOOKUP(BH2,Water!$D$6:$K$109,8,FALSE)),"",VLOOKUP(BH2,Water!$D$6:$K$109,8,FALSE))</f>
        <v/>
      </c>
      <c r="BI6" s="115"/>
      <c r="BJ6" s="115"/>
      <c r="BK6" s="115" t="str">
        <f>IF(ISBLANK(VLOOKUP(BK2,Water!$D$6:$K$109,8,FALSE)),"",VLOOKUP(BK2,Water!$D$6:$K$109,8,FALSE))</f>
        <v/>
      </c>
      <c r="BL6" s="115" t="str">
        <f>IF(ISBLANK(VLOOKUP(BL2,Water!$D$6:$K$109,8,FALSE)),"",VLOOKUP(BL2,Water!$D$6:$K$109,8,FALSE))</f>
        <v/>
      </c>
      <c r="BM6" s="115"/>
      <c r="BN6" s="115"/>
      <c r="BO6" s="115" t="str">
        <f>IF(ISBLANK(VLOOKUP(BO2,Water!$D$6:$K$109,8,FALSE)),"",VLOOKUP(BO2,Water!$D$6:$K$109,8,FALSE))</f>
        <v/>
      </c>
      <c r="BP6" s="115" t="str">
        <f>IF(ISBLANK(VLOOKUP(BP2,Water!$D$6:$K$109,8,FALSE)),"",VLOOKUP(BP2,Water!$D$6:$K$109,8,FALSE))</f>
        <v/>
      </c>
      <c r="BQ6" s="115" t="str">
        <f>IF(ISBLANK(VLOOKUP(BQ2,Water!$D$6:$K$109,8,FALSE)),"",VLOOKUP(BQ2,Water!$D$6:$K$109,8,FALSE))</f>
        <v/>
      </c>
      <c r="BR6" s="115" t="str">
        <f>IF(ISBLANK(VLOOKUP(BR2,Water!$D$6:$K$109,8,FALSE)),"",VLOOKUP(BR2,Water!$D$6:$K$109,8,FALSE))</f>
        <v/>
      </c>
      <c r="BS6" s="115" t="str">
        <f>IF(ISBLANK(VLOOKUP(BS2,Water!$D$6:$K$109,8,FALSE)),"",VLOOKUP(BS2,Water!$D$6:$K$109,8,FALSE))</f>
        <v/>
      </c>
      <c r="BT6" s="115" t="str">
        <f>IF(ISBLANK(VLOOKUP(BT2,Water!$D$6:$K$109,8,FALSE)),"",VLOOKUP(BT2,Water!$D$6:$K$109,8,FALSE))</f>
        <v/>
      </c>
      <c r="BU6" s="115" t="str">
        <f>IF(ISBLANK(VLOOKUP(BU2,Water!$D$6:$K$109,8,FALSE)),"",VLOOKUP(BU2,Water!$D$6:$K$109,8,FALSE))</f>
        <v>Calc</v>
      </c>
      <c r="BV6" s="115" t="str">
        <f>IF(ISBLANK(VLOOKUP(BV2,Water!$D$6:$K$109,8,FALSE)),"",VLOOKUP(BV2,Water!$D$6:$K$109,8,FALSE))</f>
        <v/>
      </c>
      <c r="BW6" s="115" t="str">
        <f>IF(ISBLANK(VLOOKUP(BW2,Water!$D$6:$K$109,8,FALSE)),"",VLOOKUP(BW2,Water!$D$6:$K$109,8,FALSE))</f>
        <v/>
      </c>
      <c r="BX6" s="115" t="str">
        <f>IF(ISBLANK(VLOOKUP(BX2,Water!$D$6:$K$109,8,FALSE)),"",VLOOKUP(BX2,Water!$D$6:$K$109,8,FALSE))</f>
        <v>Calc</v>
      </c>
      <c r="BY6" s="115" t="str">
        <f>IF(ISBLANK(VLOOKUP(BY2,Water!$D$6:$K$109,8,FALSE)),"",VLOOKUP(BY2,Water!$D$6:$K$109,8,FALSE))</f>
        <v/>
      </c>
      <c r="BZ6" s="115" t="str">
        <f>IF(ISBLANK(VLOOKUP(BZ2,Water!$D$6:$K$109,8,FALSE)),"",VLOOKUP(BZ2,Water!$D$6:$K$109,8,FALSE))</f>
        <v/>
      </c>
      <c r="CA6" s="115" t="str">
        <f>IF(ISBLANK(VLOOKUP(CA2,Water!$D$6:$K$109,8,FALSE)),"",VLOOKUP(CA2,Water!$D$6:$K$109,8,FALSE))</f>
        <v/>
      </c>
      <c r="CB6" s="115" t="str">
        <f>IF(ISBLANK(VLOOKUP(CB2,Water!$D$6:$K$109,8,FALSE)),"",VLOOKUP(CB2,Water!$D$6:$K$109,8,FALSE))</f>
        <v/>
      </c>
      <c r="CC6" s="115" t="str">
        <f>IF(ISBLANK(VLOOKUP(CC2,Water!$D$6:$K$109,8,FALSE)),"",VLOOKUP(CC2,Water!$D$6:$K$109,8,FALSE))</f>
        <v/>
      </c>
      <c r="CD6" s="115" t="str">
        <f>IF(ISBLANK(VLOOKUP(CD2,Water!$D$6:$K$109,8,FALSE)),"",VLOOKUP(CD2,Water!$D$6:$K$109,8,FALSE))</f>
        <v/>
      </c>
      <c r="CE6" s="115" t="str">
        <f>IF(ISBLANK(VLOOKUP(CE2,Water!$D$6:$K$109,8,FALSE)),"",VLOOKUP(CE2,Water!$D$6:$K$109,8,FALSE))</f>
        <v>Calc</v>
      </c>
      <c r="CF6" s="115"/>
      <c r="CG6" s="115" t="str">
        <f>IF(ISBLANK(VLOOKUP(CG2,Water!$D$6:$K$109,8,FALSE)),"",VLOOKUP(CG2,Water!$D$6:$K$109,8,FALSE))</f>
        <v/>
      </c>
      <c r="CH6" s="115" t="str">
        <f>IF(ISBLANK(VLOOKUP(CH2,Water!$D$6:$K$109,8,FALSE)),"",VLOOKUP(CH2,Water!$D$6:$K$109,8,FALSE))</f>
        <v/>
      </c>
      <c r="CI6" s="115" t="str">
        <f>IF(ISBLANK(VLOOKUP(CI2,Water!$D$6:$K$109,8,FALSE)),"",VLOOKUP(CI2,Water!$D$6:$K$109,8,FALSE))</f>
        <v/>
      </c>
      <c r="CJ6" s="115" t="str">
        <f>IF(ISBLANK(VLOOKUP(CJ2,Water!$D$6:$K$109,8,FALSE)),"",VLOOKUP(CJ2,Water!$D$6:$K$109,8,FALSE))</f>
        <v/>
      </c>
      <c r="CK6" s="115" t="str">
        <f>IF(ISBLANK(VLOOKUP(CK2,Water!$D$6:$K$109,8,FALSE)),"",VLOOKUP(CK2,Water!$D$6:$K$109,8,FALSE))</f>
        <v/>
      </c>
      <c r="CL6" s="115" t="str">
        <f>IF(ISBLANK(VLOOKUP(CL2,Water!$D$6:$K$109,8,FALSE)),"",VLOOKUP(CL2,Water!$D$6:$K$109,8,FALSE))</f>
        <v/>
      </c>
      <c r="CM6" s="115" t="str">
        <f>IF(ISBLANK(VLOOKUP(CM2,Water!$D$6:$K$109,8,FALSE)),"",VLOOKUP(CM2,Water!$D$6:$K$109,8,FALSE))</f>
        <v>Calc</v>
      </c>
      <c r="CN6" s="115" t="str">
        <f>IF(ISBLANK(VLOOKUP(CN2,Water!$D$6:$K$109,8,FALSE)),"",VLOOKUP(CN2,Water!$D$6:$K$109,8,FALSE))</f>
        <v/>
      </c>
      <c r="CO6" s="115" t="str">
        <f>IF(ISBLANK(VLOOKUP(CO2,Water!$D$6:$K$109,8,FALSE)),"",VLOOKUP(CO2,Water!$D$6:$K$109,8,FALSE))</f>
        <v/>
      </c>
      <c r="CP6" s="115" t="str">
        <f>IF(ISBLANK(VLOOKUP(CP2,Water!$D$6:$K$109,8,FALSE)),"",VLOOKUP(CP2,Water!$D$6:$K$109,8,FALSE))</f>
        <v/>
      </c>
      <c r="CQ6" s="115" t="str">
        <f>IF(ISBLANK(VLOOKUP(CQ2,Water!$D$6:$K$109,8,FALSE)),"",VLOOKUP(CQ2,Water!$D$6:$K$109,8,FALSE))</f>
        <v/>
      </c>
      <c r="CR6" s="115" t="str">
        <f>IF(ISBLANK(VLOOKUP(CR2,Water!$D$6:$K$109,8,FALSE)),"",VLOOKUP(CR2,Water!$D$6:$K$109,8,FALSE))</f>
        <v/>
      </c>
      <c r="CS6" s="115" t="str">
        <f>IF(ISBLANK(VLOOKUP(CS2,Water!$D$6:$K$109,8,FALSE)),"",VLOOKUP(CS2,Water!$D$6:$K$109,8,FALSE))</f>
        <v/>
      </c>
      <c r="CT6" s="115"/>
      <c r="CU6" s="115"/>
      <c r="CV6" s="115"/>
      <c r="CW6" s="115"/>
      <c r="CX6" s="115" t="str">
        <f>IF(ISBLANK(VLOOKUP(CX2,Water!$D$6:$K$109,8,FALSE)),"",VLOOKUP(CX2,Water!$D$6:$K$109,8,FALSE))</f>
        <v/>
      </c>
      <c r="CY6" s="115" t="str">
        <f>IF(ISBLANK(VLOOKUP(CY2,Water!$D$6:$K$109,8,FALSE)),"",VLOOKUP(CY2,Water!$D$6:$K$109,8,FALSE))</f>
        <v/>
      </c>
      <c r="CZ6" s="115" t="str">
        <f>IF(ISBLANK(VLOOKUP(CZ2,Water!$D$6:$K$109,8,FALSE)),"",VLOOKUP(CZ2,Water!$D$6:$K$109,8,FALSE))</f>
        <v/>
      </c>
      <c r="DA6" s="115" t="str">
        <f>IF(ISBLANK(VLOOKUP(DA2,Water!$D$6:$K$109,8,FALSE)),"",VLOOKUP(DA2,Water!$D$6:$K$109,8,FALSE))</f>
        <v>Calc</v>
      </c>
      <c r="DB6" s="115" t="str">
        <f>IF(ISBLANK(VLOOKUP(DB2,Water!$D$6:$K$109,8,FALSE)),"",VLOOKUP(DB2,Water!$D$6:$K$109,8,FALSE))</f>
        <v>Calc</v>
      </c>
      <c r="DC6" s="115" t="str">
        <f>IF(ISBLANK(VLOOKUP(DC2,Water!$D$6:$K$109,8,FALSE)),"",VLOOKUP(DC2,Water!$D$6:$K$109,8,FALSE))</f>
        <v/>
      </c>
      <c r="DD6" s="115" t="str">
        <f>IF(ISBLANK(VLOOKUP(DD2,Water!$D$6:$K$109,8,FALSE)),"",VLOOKUP(DD2,Water!$D$6:$K$109,8,FALSE))</f>
        <v/>
      </c>
      <c r="DE6" s="115" t="str">
        <f>IF(ISBLANK(VLOOKUP(DE2,Water!$D$6:$K$109,8,FALSE)),"",VLOOKUP(DE2,Water!$D$6:$K$109,8,FALSE))</f>
        <v/>
      </c>
      <c r="DF6" s="115" t="str">
        <f>IF(ISBLANK(VLOOKUP(DF2,Water!$D$6:$K$109,8,FALSE)),"",VLOOKUP(DF2,Water!$D$6:$K$109,8,FALSE))</f>
        <v/>
      </c>
      <c r="DG6" s="115" t="str">
        <f>IF(ISBLANK(VLOOKUP(DG2,Water!$D$6:$K$109,8,FALSE)),"",VLOOKUP(DG2,Water!$D$6:$K$109,8,FALSE))</f>
        <v/>
      </c>
      <c r="DH6" s="115" t="str">
        <f>IF(ISBLANK(VLOOKUP(DH2,Water!$D$6:$K$109,8,FALSE)),"",VLOOKUP(DH2,Water!$D$6:$K$109,8,FALSE))</f>
        <v/>
      </c>
      <c r="DI6" s="115" t="str">
        <f>IF(ISBLANK(VLOOKUP(DI2,Water!$D$6:$K$109,8,FALSE)),"",VLOOKUP(DI2,Water!$D$6:$K$109,8,FALSE))</f>
        <v/>
      </c>
      <c r="DJ6" s="115" t="str">
        <f>IF(ISBLANK(VLOOKUP(DJ2,Water!$D$6:$K$109,8,FALSE)),"",VLOOKUP(DJ2,Water!$D$6:$K$109,8,FALSE))</f>
        <v>Calc</v>
      </c>
      <c r="DK6" s="115" t="str">
        <f>IF(ISBLANK(VLOOKUP(DK2,Water!$D$6:$K$109,8,FALSE)),"",VLOOKUP(DK2,Water!$D$6:$K$109,8,FALSE))</f>
        <v>Calc</v>
      </c>
      <c r="DL6" s="115" t="str">
        <f>IF(ISBLANK(VLOOKUP(DL2,Water!$D$6:$K$109,8,FALSE)),"",VLOOKUP(DL2,Water!$D$6:$K$109,8,FALSE))</f>
        <v/>
      </c>
      <c r="DM6" s="115" t="str">
        <f>IF(ISBLANK(VLOOKUP(DM2,Water!$D$6:$K$109,8,FALSE)),"",VLOOKUP(DM2,Water!$D$6:$K$109,8,FALSE))</f>
        <v/>
      </c>
      <c r="DN6" s="115" t="str">
        <f>IF(ISBLANK(VLOOKUP(DN2,Water!$D$6:$K$109,8,FALSE)),"",VLOOKUP(DN2,Water!$D$6:$K$109,8,FALSE))</f>
        <v>Calc</v>
      </c>
      <c r="DO6" s="115" t="str">
        <f>IF(ISBLANK(VLOOKUP(DO2,Water!$D$6:$K$109,8,FALSE)),"",VLOOKUP(DO2,Water!$D$6:$K$109,8,FALSE))</f>
        <v>Calc</v>
      </c>
      <c r="DP6" s="115" t="str">
        <f>IF(ISBLANK(VLOOKUP(DP2,Water!$D$6:$K$109,8,FALSE)),"",VLOOKUP(DP2,Water!$D$6:$K$109,8,FALSE))</f>
        <v>Calc</v>
      </c>
      <c r="DQ6" s="115" t="str">
        <f>IF(ISBLANK(VLOOKUP(DQ2,Water!$D$6:$K$109,8,FALSE)),"",VLOOKUP(DQ2,Water!$D$6:$K$109,8,FALSE))</f>
        <v>Calc</v>
      </c>
      <c r="DR6" s="115" t="str">
        <f>IF(ISBLANK(VLOOKUP(DR2,Water!$D$6:$K$109,8,FALSE)),"",VLOOKUP(DR2,Water!$D$6:$K$109,8,FALSE))</f>
        <v>Calc</v>
      </c>
      <c r="DS6" s="115" t="str">
        <f>IF(ISBLANK(VLOOKUP(DS2,Water!$D$6:$K$109,8,FALSE)),"",VLOOKUP(DS2,Water!$D$6:$K$109,8,FALSE))</f>
        <v/>
      </c>
      <c r="DT6" s="115" t="str">
        <f>IF(ISBLANK(VLOOKUP(DT2,Water!$D$6:$K$109,8,FALSE)),"",VLOOKUP(DT2,Water!$D$6:$K$109,8,FALSE))</f>
        <v/>
      </c>
      <c r="DU6" s="115" t="str">
        <f>IF(ISBLANK(VLOOKUP(DU2,Water!$D$6:$K$109,8,FALSE)),"",VLOOKUP(DU2,Water!$D$6:$K$109,8,FALSE))</f>
        <v/>
      </c>
      <c r="DV6" s="115" t="str">
        <f>IF(ISBLANK(VLOOKUP(DV2,Water!$D$6:$K$109,8,FALSE)),"",VLOOKUP(DV2,Water!$D$6:$K$109,8,FALSE))</f>
        <v>Calc</v>
      </c>
      <c r="DW6" s="115" t="str">
        <f>IF(ISBLANK(VLOOKUP(DW2,Water!$D$6:$K$109,8,FALSE)),"",VLOOKUP(DW2,Water!$D$6:$K$109,8,FALSE))</f>
        <v/>
      </c>
      <c r="DX6" s="115" t="str">
        <f>IF(ISBLANK(VLOOKUP(DX2,Water!$D$6:$K$109,8,FALSE)),"",VLOOKUP(DX2,Water!$D$6:$K$109,8,FALSE))</f>
        <v/>
      </c>
      <c r="DY6" s="115" t="str">
        <f>IF(ISBLANK(VLOOKUP(DY2,Water!$D$6:$K$109,8,FALSE)),"",VLOOKUP(DY2,Water!$D$6:$K$109,8,FALSE))</f>
        <v/>
      </c>
      <c r="DZ6" s="115" t="str">
        <f>IF(ISBLANK(VLOOKUP(DZ2,Water!$D$6:$K$109,8,FALSE)),"",VLOOKUP(DZ2,Water!$D$6:$K$109,8,FALSE))</f>
        <v>Calc</v>
      </c>
      <c r="EA6" s="115" t="str">
        <f>IF(ISBLANK(VLOOKUP(EA2,Water!$D$6:$K$109,8,FALSE)),"",VLOOKUP(EA2,Water!$D$6:$K$109,8,FALSE))</f>
        <v/>
      </c>
      <c r="EB6" s="115" t="str">
        <f>IF(ISBLANK(VLOOKUP(EB2,Water!$D$6:$K$109,8,FALSE)),"",VLOOKUP(EB2,Water!$D$6:$K$109,8,FALSE))</f>
        <v/>
      </c>
      <c r="EC6" s="115" t="str">
        <f>IF(ISBLANK(VLOOKUP(EC2,Water!$D$6:$K$109,8,FALSE)),"",VLOOKUP(EC2,Water!$D$6:$K$109,8,FALSE))</f>
        <v/>
      </c>
      <c r="ED6" s="115" t="str">
        <f>IF(ISBLANK(VLOOKUP(ED2,Water!$D$6:$K$109,8,FALSE)),"",VLOOKUP(ED2,Water!$D$6:$K$109,8,FALSE))</f>
        <v>Calc</v>
      </c>
      <c r="EE6" s="115" t="str">
        <f>IF(ISBLANK(VLOOKUP(EE2,Water!$D$6:$K$109,8,FALSE)),"",VLOOKUP(EE2,Water!$D$6:$K$109,8,FALSE))</f>
        <v/>
      </c>
      <c r="EF6" s="115" t="str">
        <f>IF(ISBLANK(VLOOKUP(EF2,Wastewater!$D$6:$I$127,6,FALSE)),"",VLOOKUP(EF2,Wastewater!$D$6:$I$127,6,FALSE))</f>
        <v>Calc</v>
      </c>
      <c r="EG6" s="115" t="str">
        <f>IF(ISBLANK(VLOOKUP(EG2,Wastewater!$D$6:$I$127,6,FALSE)),"",VLOOKUP(EG2,Wastewater!$D$6:$I$127,6,FALSE))</f>
        <v>Calc</v>
      </c>
      <c r="EH6" s="115" t="str">
        <f>IF(ISBLANK(VLOOKUP(EH2,Wastewater!$D$6:$I$127,6,FALSE)),"",VLOOKUP(EH2,Wastewater!$D$6:$I$127,6,FALSE))</f>
        <v/>
      </c>
      <c r="EI6" s="115" t="str">
        <f>IF(ISBLANK(VLOOKUP(EI2,Wastewater!$D$6:$I$127,6,FALSE)),"",VLOOKUP(EI2,Wastewater!$D$6:$I$127,6,FALSE))</f>
        <v/>
      </c>
      <c r="EJ6" s="115" t="str">
        <f>IF(ISBLANK(VLOOKUP(EJ2,Wastewater!$D$6:$I$127,6,FALSE)),"",VLOOKUP(EJ2,Wastewater!$D$6:$I$127,6,FALSE))</f>
        <v>Calc</v>
      </c>
      <c r="EK6" s="115" t="str">
        <f>IF(ISBLANK(VLOOKUP(EK2,Wastewater!$D$6:$I$127,6,FALSE)),"",VLOOKUP(EK2,Wastewater!$D$6:$I$127,6,FALSE))</f>
        <v/>
      </c>
      <c r="EL6" s="115" t="str">
        <f>IF(ISBLANK(VLOOKUP(EL2,Wastewater!$D$6:$I$127,6,FALSE)),"",VLOOKUP(EL2,Wastewater!$D$6:$I$127,6,FALSE))</f>
        <v/>
      </c>
      <c r="EM6" s="115"/>
      <c r="EN6" s="115" t="str">
        <f>IF(ISBLANK(VLOOKUP(EN2,Wastewater!$D$6:$I$127,6,FALSE)),"",VLOOKUP(EN2,Wastewater!$D$6:$I$127,6,FALSE))</f>
        <v>Reliable</v>
      </c>
      <c r="EO6" s="115"/>
      <c r="EP6" s="115"/>
      <c r="EQ6" s="115"/>
      <c r="ER6" s="115"/>
      <c r="ES6" s="115"/>
      <c r="ET6" s="115" t="str">
        <f>IF(ISBLANK(VLOOKUP(ET2,Wastewater!$D$6:$I$127,6,FALSE)),"",VLOOKUP(ET2,Wastewater!$D$6:$I$127,6,FALSE))</f>
        <v/>
      </c>
      <c r="EU6" s="115"/>
      <c r="EV6" s="115" t="str">
        <f>IF(ISBLANK(VLOOKUP(EV2,Wastewater!$D$6:$I$127,6,FALSE)),"",VLOOKUP(EV2,Wastewater!$D$6:$I$127,6,FALSE))</f>
        <v/>
      </c>
      <c r="EW6" s="115"/>
      <c r="EX6" s="115" t="str">
        <f>IF(ISBLANK(VLOOKUP(EX2,Wastewater!$D$6:$I$127,6,FALSE)),"",VLOOKUP(EX2,Wastewater!$D$6:$I$127,6,FALSE))</f>
        <v/>
      </c>
      <c r="EY6" s="115" t="str">
        <f>IF(ISBLANK(VLOOKUP(EY2,Wastewater!$D$6:$I$127,6,FALSE)),"",VLOOKUP(EY2,Wastewater!$D$6:$I$127,6,FALSE))</f>
        <v/>
      </c>
      <c r="EZ6" s="115" t="str">
        <f>IF(ISBLANK(VLOOKUP(EZ2,Wastewater!$D$6:$I$127,6,FALSE)),"",VLOOKUP(EZ2,Wastewater!$D$6:$I$127,6,FALSE))</f>
        <v>Reliable</v>
      </c>
      <c r="FA6" s="115"/>
      <c r="FB6" s="115" t="str">
        <f>IF(ISBLANK(VLOOKUP(FB2,Wastewater!$D$6:$I$127,6,FALSE)),"",VLOOKUP(FB2,Wastewater!$D$6:$I$127,6,FALSE))</f>
        <v/>
      </c>
      <c r="FC6" s="115"/>
      <c r="FD6" s="115"/>
      <c r="FE6" s="115" t="str">
        <f>IF(ISBLANK(VLOOKUP(FE2,Wastewater!$D$6:$I$127,6,FALSE)),"",VLOOKUP(FE2,Wastewater!$D$6:$I$127,6,FALSE))</f>
        <v/>
      </c>
      <c r="FF6" s="115" t="str">
        <f>IF(ISBLANK(VLOOKUP(FF2,Wastewater!$D$6:$I$127,6,FALSE)),"",VLOOKUP(FF2,Wastewater!$D$6:$I$127,6,FALSE))</f>
        <v/>
      </c>
      <c r="FG6" s="115" t="str">
        <f>IF(ISBLANK(VLOOKUP(FG2,Wastewater!$D$6:$I$127,6,FALSE)),"",VLOOKUP(FG2,Wastewater!$D$6:$I$127,6,FALSE))</f>
        <v/>
      </c>
      <c r="FH6" s="115" t="str">
        <f>IF(ISBLANK(VLOOKUP(FH2,Wastewater!$D$6:$I$127,6,FALSE)),"",VLOOKUP(FH2,Wastewater!$D$6:$I$127,6,FALSE))</f>
        <v/>
      </c>
      <c r="FI6" s="115" t="str">
        <f>IF(ISBLANK(VLOOKUP(FI2,Wastewater!$D$6:$I$127,6,FALSE)),"",VLOOKUP(FI2,Wastewater!$D$6:$I$127,6,FALSE))</f>
        <v/>
      </c>
      <c r="FJ6" s="115" t="str">
        <f>IF(ISBLANK(VLOOKUP(FJ2,Wastewater!$D$6:$I$127,6,FALSE)),"",VLOOKUP(FJ2,Wastewater!$D$6:$I$127,6,FALSE))</f>
        <v/>
      </c>
      <c r="FK6" s="115" t="str">
        <f>IF(ISBLANK(VLOOKUP(FK2,Wastewater!$D$6:$I$127,6,FALSE)),"",VLOOKUP(FK2,Wastewater!$D$6:$I$127,6,FALSE))</f>
        <v/>
      </c>
      <c r="FL6" s="115" t="str">
        <f>IF(ISBLANK(VLOOKUP(FL2,Wastewater!$D$6:$I$127,6,FALSE)),"",VLOOKUP(FL2,Wastewater!$D$6:$I$127,6,FALSE))</f>
        <v/>
      </c>
      <c r="FM6" s="115" t="str">
        <f>IF(ISBLANK(VLOOKUP(FM2,Wastewater!$D$6:$I$127,6,FALSE)),"",VLOOKUP(FM2,Wastewater!$D$6:$I$127,6,FALSE))</f>
        <v/>
      </c>
      <c r="FN6" s="115" t="str">
        <f>IF(ISBLANK(VLOOKUP(FN2,Wastewater!$D$6:$I$127,6,FALSE)),"",VLOOKUP(FN2,Wastewater!$D$6:$I$127,6,FALSE))</f>
        <v/>
      </c>
      <c r="FO6" s="115" t="str">
        <f>IF(ISBLANK(VLOOKUP(FO2,Wastewater!$D$6:$I$127,6,FALSE)),"",VLOOKUP(FO2,Wastewater!$D$6:$I$127,6,FALSE))</f>
        <v/>
      </c>
      <c r="FP6" s="115" t="str">
        <f>IF(ISBLANK(VLOOKUP(FP2,Wastewater!$D$6:$I$127,6,FALSE)),"",VLOOKUP(FP2,Wastewater!$D$6:$I$127,6,FALSE))</f>
        <v/>
      </c>
      <c r="FQ6" s="115" t="str">
        <f>IF(ISBLANK(VLOOKUP(FQ2,Wastewater!$D$6:$I$127,6,FALSE)),"",VLOOKUP(FQ2,Wastewater!$D$6:$I$127,6,FALSE))</f>
        <v/>
      </c>
      <c r="FR6" s="115" t="str">
        <f>IF(ISBLANK(VLOOKUP(FR2,Wastewater!$D$6:$I$127,6,FALSE)),"",VLOOKUP(FR2,Wastewater!$D$6:$I$127,6,FALSE))</f>
        <v/>
      </c>
      <c r="FS6" s="115"/>
      <c r="FT6" s="115" t="str">
        <f>IF(ISBLANK(VLOOKUP(FT2,Wastewater!$D$6:$I$127,6,FALSE)),"",VLOOKUP(FT2,Wastewater!$D$6:$I$127,6,FALSE))</f>
        <v/>
      </c>
      <c r="FU6" s="115" t="str">
        <f>IF(ISBLANK(VLOOKUP(FU2,Wastewater!$D$6:$I$127,6,FALSE)),"",VLOOKUP(FU2,Wastewater!$D$6:$I$127,6,FALSE))</f>
        <v>Reliable</v>
      </c>
      <c r="FV6" s="115" t="str">
        <f>IF(ISBLANK(VLOOKUP(FV2,Wastewater!$D$6:$I$127,6,FALSE)),"",VLOOKUP(FV2,Wastewater!$D$6:$I$127,6,FALSE))</f>
        <v>Calc</v>
      </c>
      <c r="FW6" s="115" t="str">
        <f>IF(ISBLANK(VLOOKUP(FW2,Wastewater!$D$6:$I$127,6,FALSE)),"",VLOOKUP(FW2,Wastewater!$D$6:$I$127,6,FALSE))</f>
        <v/>
      </c>
      <c r="FX6" s="115" t="str">
        <f>IF(ISBLANK(VLOOKUP(FX2,Wastewater!$D$6:$I$127,6,FALSE)),"",VLOOKUP(FX2,Wastewater!$D$6:$I$127,6,FALSE))</f>
        <v/>
      </c>
      <c r="FY6" s="115" t="str">
        <f>IF(ISBLANK(VLOOKUP(FY2,Wastewater!$D$6:$I$127,6,FALSE)),"",VLOOKUP(FY2,Wastewater!$D$6:$I$127,6,FALSE))</f>
        <v/>
      </c>
      <c r="FZ6" s="115" t="str">
        <f>IF(ISBLANK(VLOOKUP(FZ2,Wastewater!$D$6:$I$127,6,FALSE)),"",VLOOKUP(FZ2,Wastewater!$D$6:$I$127,6,FALSE))</f>
        <v/>
      </c>
      <c r="GA6" s="115" t="str">
        <f>IF(ISBLANK(VLOOKUP(GA2,Wastewater!$D$6:$I$127,6,FALSE)),"",VLOOKUP(GA2,Wastewater!$D$6:$I$127,6,FALSE))</f>
        <v>Calc</v>
      </c>
      <c r="GB6" s="115" t="str">
        <f>IF(ISBLANK(VLOOKUP(GB2,Wastewater!$D$6:$I$127,6,FALSE)),"",VLOOKUP(GB2,Wastewater!$D$6:$I$127,6,FALSE))</f>
        <v/>
      </c>
      <c r="GC6" s="115" t="str">
        <f>IF(ISBLANK(VLOOKUP(GC2,Wastewater!$D$6:$I$127,6,FALSE)),"",VLOOKUP(GC2,Wastewater!$D$6:$I$127,6,FALSE))</f>
        <v/>
      </c>
      <c r="GD6" s="115" t="str">
        <f>IF(ISBLANK(VLOOKUP(GD2,Wastewater!$D$6:$I$127,6,FALSE)),"",VLOOKUP(GD2,Wastewater!$D$6:$I$127,6,FALSE))</f>
        <v/>
      </c>
      <c r="GE6" s="115" t="str">
        <f>IF(ISBLANK(VLOOKUP(GE2,Wastewater!$D$6:$I$127,6,FALSE)),"",VLOOKUP(GE2,Wastewater!$D$6:$I$127,6,FALSE))</f>
        <v/>
      </c>
      <c r="GF6" s="115" t="str">
        <f>IF(ISBLANK(VLOOKUP(GF2,Wastewater!$D$6:$I$127,6,FALSE)),"",VLOOKUP(GF2,Wastewater!$D$6:$I$127,6,FALSE))</f>
        <v/>
      </c>
      <c r="GG6" s="115" t="str">
        <f>IF(ISBLANK(VLOOKUP(GG2,Wastewater!$D$6:$I$127,6,FALSE)),"",VLOOKUP(GG2,Wastewater!$D$6:$I$127,6,FALSE))</f>
        <v/>
      </c>
      <c r="GH6" s="115" t="str">
        <f>IF(ISBLANK(VLOOKUP(GH2,Wastewater!$D$6:$I$127,6,FALSE)),"",VLOOKUP(GH2,Wastewater!$D$6:$I$127,6,FALSE))</f>
        <v/>
      </c>
      <c r="GI6" s="115" t="str">
        <f>IF(ISBLANK(VLOOKUP(GI2,Wastewater!$D$6:$I$127,6,FALSE)),"",VLOOKUP(GI2,Wastewater!$D$6:$I$127,6,FALSE))</f>
        <v/>
      </c>
      <c r="GJ6" s="115" t="str">
        <f>IF(ISBLANK(VLOOKUP(GJ2,Wastewater!$D$6:$I$127,6,FALSE)),"",VLOOKUP(GJ2,Wastewater!$D$6:$I$127,6,FALSE))</f>
        <v/>
      </c>
      <c r="GK6" s="115" t="str">
        <f>IF(ISBLANK(VLOOKUP(GK2,Wastewater!$D$6:$I$127,6,FALSE)),"",VLOOKUP(GK2,Wastewater!$D$6:$I$127,6,FALSE))</f>
        <v/>
      </c>
      <c r="GL6" s="115" t="str">
        <f>IF(ISBLANK(VLOOKUP(GL2,Wastewater!$D$6:$I$127,6,FALSE)),"",VLOOKUP(GL2,Wastewater!$D$6:$I$127,6,FALSE))</f>
        <v/>
      </c>
      <c r="GM6" s="115" t="str">
        <f>IF(ISBLANK(VLOOKUP(GM2,Wastewater!$D$6:$I$127,6,FALSE)),"",VLOOKUP(GM2,Wastewater!$D$6:$I$127,6,FALSE))</f>
        <v/>
      </c>
      <c r="GN6" s="115" t="str">
        <f>IF(ISBLANK(VLOOKUP(GN2,Wastewater!$D$6:$I$127,6,FALSE)),"",VLOOKUP(GN2,Wastewater!$D$6:$I$127,6,FALSE))</f>
        <v/>
      </c>
      <c r="GO6" s="115" t="str">
        <f>IF(ISBLANK(VLOOKUP(GO2,Wastewater!$D$6:$I$127,6,FALSE)),"",VLOOKUP(GO2,Wastewater!$D$6:$I$127,6,FALSE))</f>
        <v/>
      </c>
      <c r="GP6" s="115" t="str">
        <f>IF(ISBLANK(VLOOKUP(GP2,Wastewater!$D$6:$I$127,6,FALSE)),"",VLOOKUP(GP2,Wastewater!$D$6:$I$127,6,FALSE))</f>
        <v/>
      </c>
      <c r="GQ6" s="115" t="str">
        <f>IF(ISBLANK(VLOOKUP(GQ2,Wastewater!$D$6:$I$127,6,FALSE)),"",VLOOKUP(GQ2,Wastewater!$D$6:$I$127,6,FALSE))</f>
        <v/>
      </c>
      <c r="GR6" s="115"/>
      <c r="GS6" s="115"/>
      <c r="GT6" s="115" t="str">
        <f>IF(ISBLANK(VLOOKUP(GT2,Wastewater!$D$6:$I$127,6,FALSE)),"",VLOOKUP(GT2,Wastewater!$D$6:$I$127,6,FALSE))</f>
        <v/>
      </c>
      <c r="GU6" s="115"/>
      <c r="GV6" s="115"/>
      <c r="GW6" s="115"/>
      <c r="GX6" s="115" t="str">
        <f>IF(ISBLANK(VLOOKUP(GX2,Wastewater!$D$6:$I$127,6,FALSE)),"",VLOOKUP(GX2,Wastewater!$D$6:$I$127,6,FALSE))</f>
        <v/>
      </c>
      <c r="GY6" s="115" t="str">
        <f>IF(ISBLANK(VLOOKUP(GY2,Wastewater!$D$6:$I$127,6,FALSE)),"",VLOOKUP(GY2,Wastewater!$D$6:$I$127,6,FALSE))</f>
        <v/>
      </c>
      <c r="GZ6" s="115" t="str">
        <f>IF(ISBLANK(VLOOKUP(GZ2,Wastewater!$D$6:$I$127,6,FALSE)),"",VLOOKUP(GZ2,Wastewater!$D$6:$I$127,6,FALSE))</f>
        <v/>
      </c>
      <c r="HA6" s="115" t="str">
        <f>IF(ISBLANK(VLOOKUP(HA2,Wastewater!$D$6:$I$127,6,FALSE)),"",VLOOKUP(HA2,Wastewater!$D$6:$I$127,6,FALSE))</f>
        <v/>
      </c>
      <c r="HB6" s="115" t="str">
        <f>IF(ISBLANK(VLOOKUP(HB2,Wastewater!$D$6:$I$127,6,FALSE)),"",VLOOKUP(HB2,Wastewater!$D$6:$I$127,6,FALSE))</f>
        <v/>
      </c>
      <c r="HC6" s="115" t="str">
        <f>IF(ISBLANK(VLOOKUP(HC2,Wastewater!$D$6:$I$127,6,FALSE)),"",VLOOKUP(HC2,Wastewater!$D$6:$I$127,6,FALSE))</f>
        <v/>
      </c>
      <c r="HD6" s="115" t="str">
        <f>IF(ISBLANK(VLOOKUP(HD2,Wastewater!$D$6:$I$127,6,FALSE)),"",VLOOKUP(HD2,Wastewater!$D$6:$I$127,6,FALSE))</f>
        <v/>
      </c>
      <c r="HE6" s="115" t="str">
        <f>IF(ISBLANK(VLOOKUP(HE2,Wastewater!$D$6:$I$127,6,FALSE)),"",VLOOKUP(HE2,Wastewater!$D$6:$I$127,6,FALSE))</f>
        <v>Calc</v>
      </c>
      <c r="HF6" s="115" t="str">
        <f>IF(ISBLANK(VLOOKUP(HF2,Wastewater!$D$6:$I$127,6,FALSE)),"",VLOOKUP(HF2,Wastewater!$D$6:$I$127,6,FALSE))</f>
        <v>Calc</v>
      </c>
      <c r="HG6" s="115" t="str">
        <f>IF(ISBLANK(VLOOKUP(HG2,Wastewater!$D$6:$I$127,6,FALSE)),"",VLOOKUP(HG2,Wastewater!$D$6:$I$127,6,FALSE))</f>
        <v/>
      </c>
      <c r="HH6" s="115" t="str">
        <f>IF(ISBLANK(VLOOKUP(HH2,Wastewater!$D$6:$I$127,6,FALSE)),"",VLOOKUP(HH2,Wastewater!$D$6:$I$127,6,FALSE))</f>
        <v/>
      </c>
      <c r="HI6" s="115" t="str">
        <f>IF(ISBLANK(VLOOKUP(HI2,Wastewater!$D$6:$I$127,6,FALSE)),"",VLOOKUP(HI2,Wastewater!$D$6:$I$127,6,FALSE))</f>
        <v/>
      </c>
      <c r="HJ6" s="115" t="str">
        <f>IF(ISBLANK(VLOOKUP(HJ2,Wastewater!$D$6:$I$127,6,FALSE)),"",VLOOKUP(HJ2,Wastewater!$D$6:$I$127,6,FALSE))</f>
        <v/>
      </c>
      <c r="HK6" s="115" t="str">
        <f>IF(ISBLANK(VLOOKUP(HK2,Wastewater!$D$6:$I$127,6,FALSE)),"",VLOOKUP(HK2,Wastewater!$D$6:$I$127,6,FALSE))</f>
        <v>Calc</v>
      </c>
      <c r="HL6" s="115" t="str">
        <f>IF(ISBLANK(VLOOKUP(HL2,Wastewater!$D$6:$I$127,6,FALSE)),"",VLOOKUP(HL2,Wastewater!$D$6:$I$127,6,FALSE))</f>
        <v/>
      </c>
      <c r="HM6" s="115" t="str">
        <f>IF(ISBLANK(VLOOKUP(HM2,Wastewater!$D$6:$I$127,6,FALSE)),"",VLOOKUP(HM2,Wastewater!$D$6:$I$127,6,FALSE))</f>
        <v/>
      </c>
      <c r="HN6" s="115" t="str">
        <f>IF(ISBLANK(VLOOKUP(HN2,Wastewater!$D$6:$I$127,6,FALSE)),"",VLOOKUP(HN2,Wastewater!$D$6:$I$127,6,FALSE))</f>
        <v/>
      </c>
      <c r="HO6" s="115" t="str">
        <f>IF(ISBLANK(VLOOKUP(HO2,Wastewater!$D$6:$I$127,6,FALSE)),"",VLOOKUP(HO2,Wastewater!$D$6:$I$127,6,FALSE))</f>
        <v/>
      </c>
      <c r="HP6" s="115" t="str">
        <f>IF(ISBLANK(VLOOKUP(HP2,Wastewater!$D$6:$I$127,6,FALSE)),"",VLOOKUP(HP2,Wastewater!$D$6:$I$127,6,FALSE))</f>
        <v>Calc</v>
      </c>
      <c r="HQ6" s="115" t="str">
        <f>IF(ISBLANK(VLOOKUP(HQ2,Wastewater!$D$6:$I$127,6,FALSE)),"",VLOOKUP(HQ2,Wastewater!$D$6:$I$127,6,FALSE))</f>
        <v/>
      </c>
      <c r="HR6" s="115" t="str">
        <f>IF(ISBLANK(VLOOKUP(HR2,Wastewater!$D$6:$I$127,6,FALSE)),"",VLOOKUP(HR2,Wastewater!$D$6:$I$127,6,FALSE))</f>
        <v/>
      </c>
      <c r="HS6" s="115" t="str">
        <f>IF(ISBLANK(VLOOKUP(HS2,Wastewater!$D$6:$I$127,6,FALSE)),"",VLOOKUP(HS2,Wastewater!$D$6:$I$127,6,FALSE))</f>
        <v/>
      </c>
      <c r="HT6" s="115" t="str">
        <f>IF(ISBLANK(VLOOKUP(HT2,Wastewater!$D$6:$I$127,6,FALSE)),"",VLOOKUP(HT2,Wastewater!$D$6:$I$127,6,FALSE))</f>
        <v>Calc</v>
      </c>
      <c r="HU6" s="115" t="str">
        <f>IF(ISBLANK(VLOOKUP(HU2,Wastewater!$D$6:$I$127,6,FALSE)),"",VLOOKUP(HU2,Wastewater!$D$6:$I$127,6,FALSE))</f>
        <v>Calc</v>
      </c>
      <c r="HV6" s="115" t="str">
        <f>IF(ISBLANK(VLOOKUP(HV2,Wastewater!$D$6:$I$127,6,FALSE)),"",VLOOKUP(HV2,Wastewater!$D$6:$I$127,6,FALSE))</f>
        <v/>
      </c>
      <c r="HW6" s="115" t="str">
        <f>IF(ISBLANK(VLOOKUP(HW2,Wastewater!$D$6:$I$127,6,FALSE)),"",VLOOKUP(HW2,Wastewater!$D$6:$I$127,6,FALSE))</f>
        <v/>
      </c>
      <c r="HX6" s="115" t="str">
        <f>IF(ISBLANK(VLOOKUP(HX2,Wastewater!$D$6:$I$127,6,FALSE)),"",VLOOKUP(HX2,Wastewater!$D$6:$I$127,6,FALSE))</f>
        <v/>
      </c>
      <c r="HY6" s="115" t="str">
        <f>IF(ISBLANK(VLOOKUP(HY2,Wastewater!$D$6:$I$127,6,FALSE)),"",VLOOKUP(HY2,Wastewater!$D$6:$I$127,6,FALSE))</f>
        <v/>
      </c>
      <c r="HZ6" s="115" t="str">
        <f>IF(ISBLANK(VLOOKUP(HZ2,Wastewater!$D$6:$I$127,6,FALSE)),"",VLOOKUP(HZ2,Wastewater!$D$6:$I$127,6,FALSE))</f>
        <v/>
      </c>
      <c r="IA6" s="115" t="str">
        <f>IF(ISBLANK(VLOOKUP(IA2,Wastewater!$D$6:$I$127,6,FALSE)),"",VLOOKUP(IA2,Wastewater!$D$6:$I$127,6,FALSE))</f>
        <v/>
      </c>
      <c r="IB6" s="115" t="str">
        <f>IF(ISBLANK(VLOOKUP(IB2,Wastewater!$D$6:$I$127,6,FALSE)),"",VLOOKUP(IB2,Wastewater!$D$6:$I$127,6,FALSE))</f>
        <v/>
      </c>
      <c r="IC6" s="115" t="str">
        <f>IF(ISBLANK(VLOOKUP(IC2,Wastewater!$D$6:$I$127,6,FALSE)),"",VLOOKUP(IC2,Wastewater!$D$6:$I$127,6,FALSE))</f>
        <v>Calc</v>
      </c>
      <c r="ID6" s="115" t="str">
        <f>IF(ISBLANK(VLOOKUP(ID2,Wastewater!$D$6:$I$127,6,FALSE)),"",VLOOKUP(ID2,Wastewater!$D$6:$I$127,6,FALSE))</f>
        <v>Calc</v>
      </c>
      <c r="IE6" s="115" t="str">
        <f>IF(ISBLANK(VLOOKUP(IE2,Wastewater!$D$6:$I$127,6,FALSE)),"",VLOOKUP(IE2,Wastewater!$D$6:$I$127,6,FALSE))</f>
        <v/>
      </c>
      <c r="IF6" s="115" t="str">
        <f>IF(ISBLANK(VLOOKUP(IF2,Wastewater!$D$6:$I$127,6,FALSE)),"",VLOOKUP(IF2,Wastewater!$D$6:$I$127,6,FALSE))</f>
        <v/>
      </c>
      <c r="IG6" s="115" t="str">
        <f>IF(ISBLANK(VLOOKUP(IG2,Wastewater!$D$6:$I$127,6,FALSE)),"",VLOOKUP(IG2,Wastewater!$D$6:$I$127,6,FALSE))</f>
        <v>Calc</v>
      </c>
      <c r="IH6" s="115" t="str">
        <f>IF(ISBLANK(VLOOKUP(IH2,Wastewater!$D$6:$I$127,6,FALSE)),"",VLOOKUP(IH2,Wastewater!$D$6:$I$127,6,FALSE))</f>
        <v>Calc</v>
      </c>
      <c r="II6" s="115" t="str">
        <f>IF(ISBLANK(VLOOKUP(II2,Wastewater!$D$6:$I$127,6,FALSE)),"",VLOOKUP(II2,Wastewater!$D$6:$I$127,6,FALSE))</f>
        <v>Calc</v>
      </c>
      <c r="IJ6" s="115" t="str">
        <f>IF(ISBLANK(VLOOKUP(IJ2,Wastewater!$D$6:$I$127,6,FALSE)),"",VLOOKUP(IJ2,Wastewater!$D$6:$I$127,6,FALSE))</f>
        <v>Calc</v>
      </c>
      <c r="IK6" s="115" t="str">
        <f>IF(ISBLANK(VLOOKUP(IK2,Wastewater!$D$6:$I$127,6,FALSE)),"",VLOOKUP(IK2,Wastewater!$D$6:$I$127,6,FALSE))</f>
        <v>Calc</v>
      </c>
      <c r="IL6" s="115" t="str">
        <f>IF(ISBLANK(VLOOKUP(IL2,Wastewater!$D$6:$I$127,6,FALSE)),"",VLOOKUP(IL2,Wastewater!$D$6:$I$127,6,FALSE))</f>
        <v/>
      </c>
      <c r="IM6" s="115" t="str">
        <f>IF(ISBLANK(VLOOKUP(IM2,Wastewater!$D$6:$I$127,6,FALSE)),"",VLOOKUP(IM2,Wastewater!$D$6:$I$127,6,FALSE))</f>
        <v/>
      </c>
      <c r="IN6" s="115" t="str">
        <f>IF(ISBLANK(VLOOKUP(IN2,Wastewater!$D$6:$I$127,6,FALSE)),"",VLOOKUP(IN2,Wastewater!$D$6:$I$127,6,FALSE))</f>
        <v/>
      </c>
      <c r="IO6" s="115" t="str">
        <f>IF(ISBLANK(VLOOKUP(IO2,Wastewater!$D$6:$I$127,6,FALSE)),"",VLOOKUP(IO2,Wastewater!$D$6:$I$127,6,FALSE))</f>
        <v>Calc</v>
      </c>
      <c r="IP6" s="115" t="str">
        <f>IF(ISBLANK(VLOOKUP(IP2,Wastewater!$D$6:$I$127,6,FALSE)),"",VLOOKUP(IP2,Wastewater!$D$6:$I$127,6,FALSE))</f>
        <v/>
      </c>
      <c r="IQ6" s="115" t="str">
        <f>IF(ISBLANK(VLOOKUP(IQ2,Wastewater!$D$6:$I$127,6,FALSE)),"",VLOOKUP(IQ2,Wastewater!$D$6:$I$127,6,FALSE))</f>
        <v/>
      </c>
      <c r="IR6" s="115" t="str">
        <f>IF(ISBLANK(VLOOKUP(IR2,Wastewater!$D$6:$I$127,6,FALSE)),"",VLOOKUP(IR2,Wastewater!$D$6:$I$127,6,FALSE))</f>
        <v/>
      </c>
      <c r="IS6" s="115" t="str">
        <f>IF(ISBLANK(VLOOKUP(IS2,Wastewater!$D$6:$I$127,6,FALSE)),"",VLOOKUP(IS2,Wastewater!$D$6:$I$127,6,FALSE))</f>
        <v>Calc</v>
      </c>
      <c r="IT6" s="115" t="str">
        <f>IF(ISBLANK(VLOOKUP(IT2,Wastewater!$D$6:$I$127,6,FALSE)),"",VLOOKUP(IT2,Wastewater!$D$6:$I$127,6,FALSE))</f>
        <v/>
      </c>
      <c r="IU6" s="115" t="str">
        <f>IF(ISBLANK(VLOOKUP(IU2,Wastewater!$D$6:$I$127,6,FALSE)),"",VLOOKUP(IU2,Wastewater!$D$6:$I$127,6,FALSE))</f>
        <v/>
      </c>
      <c r="IV6" s="115" t="str">
        <f>IF(ISBLANK(VLOOKUP(IV2,Wastewater!$D$6:$I$127,6,FALSE)),"",VLOOKUP(IV2,Wastewater!$D$6:$I$127,6,FALSE))</f>
        <v/>
      </c>
      <c r="IW6" s="115" t="str">
        <f>IF(ISBLANK(VLOOKUP(IW2,Wastewater!$D$6:$I$127,6,FALSE)),"",VLOOKUP(IW2,Wastewater!$D$6:$I$127,6,FALSE))</f>
        <v>Calc</v>
      </c>
      <c r="IX6" s="115" t="str">
        <f>IF(ISBLANK(VLOOKUP(IX2,Wastewater!$D$6:$I$127,6,FALSE)),"",VLOOKUP(IX2,Wastewater!$D$6:$I$127,6,FALSE))</f>
        <v/>
      </c>
      <c r="IY6" s="115" t="str">
        <f>IF(ISBLANK(VLOOKUP(IY2,Stormwater!$D$6:$I$80,6,FALSE)),"",VLOOKUP(IY2,Stormwater!$D$6:$I$80,6,FALSE))</f>
        <v>Calc</v>
      </c>
      <c r="IZ6" s="115" t="str">
        <f>IF(ISBLANK(VLOOKUP(IZ2,Stormwater!$D$6:$I$80,6,FALSE)),"",VLOOKUP(IZ2,Stormwater!$D$6:$I$80,6,FALSE))</f>
        <v/>
      </c>
      <c r="JA6" s="115" t="str">
        <f>IF(ISBLANK(VLOOKUP(JA2,Stormwater!$D$6:$I$80,6,FALSE)),"",VLOOKUP(JA2,Stormwater!$D$6:$I$80,6,FALSE))</f>
        <v/>
      </c>
      <c r="JB6" s="115" t="str">
        <f>IF(ISBLANK(VLOOKUP(JB2,Stormwater!$D$6:$I$80,6,FALSE)),"",VLOOKUP(JB2,Stormwater!$D$6:$I$80,6,FALSE))</f>
        <v>Calc</v>
      </c>
      <c r="JC6" s="115" t="str">
        <f>IF(ISBLANK(VLOOKUP(JC2,Stormwater!$D$6:$I$80,6,FALSE)),"",VLOOKUP(JC2,Stormwater!$D$6:$I$80,6,FALSE))</f>
        <v>Reliable</v>
      </c>
      <c r="JD6" s="115"/>
      <c r="JE6" s="115"/>
      <c r="JF6" s="115"/>
      <c r="JG6" s="115"/>
      <c r="JH6" s="115"/>
      <c r="JI6" s="115" t="str">
        <f>IF(ISBLANK(VLOOKUP(JI2,Stormwater!$D$6:$I$80,6,FALSE)),"",VLOOKUP(JI2,Stormwater!$D$6:$I$80,6,FALSE))</f>
        <v/>
      </c>
      <c r="JJ6" s="115"/>
      <c r="JK6" s="115" t="str">
        <f>IF(ISBLANK(VLOOKUP(JK2,Stormwater!$D$6:$I$80,6,FALSE)),"",VLOOKUP(JK2,Stormwater!$D$6:$I$80,6,FALSE))</f>
        <v/>
      </c>
      <c r="JL6" s="115"/>
      <c r="JM6" s="115" t="str">
        <f>IF(ISBLANK(VLOOKUP(JM2,Stormwater!$D$6:$I$80,6,FALSE)),"",VLOOKUP(JM2,Stormwater!$D$6:$I$80,6,FALSE))</f>
        <v/>
      </c>
      <c r="JN6" s="115"/>
      <c r="JO6" s="115"/>
      <c r="JP6" s="115" t="str">
        <f>IF(ISBLANK(VLOOKUP(JP2,Stormwater!$D$6:$I$80,6,FALSE)),"",VLOOKUP(JP2,Stormwater!$D$6:$I$80,6,FALSE))</f>
        <v/>
      </c>
      <c r="JQ6" s="115" t="str">
        <f>IF(ISBLANK(VLOOKUP(JQ2,Stormwater!$D$6:$I$80,6,FALSE)),"",VLOOKUP(JQ2,Stormwater!$D$6:$I$80,6,FALSE))</f>
        <v/>
      </c>
      <c r="JR6" s="115" t="str">
        <f>IF(ISBLANK(VLOOKUP(JR2,Stormwater!$D$6:$I$80,6,FALSE)),"",VLOOKUP(JR2,Stormwater!$D$6:$I$80,6,FALSE))</f>
        <v/>
      </c>
      <c r="JS6" s="115" t="str">
        <f>IF(ISBLANK(VLOOKUP(JS2,Stormwater!$D$6:$I$80,6,FALSE)),"",VLOOKUP(JS2,Stormwater!$D$6:$I$80,6,FALSE))</f>
        <v/>
      </c>
      <c r="JT6" s="115" t="str">
        <f>IF(ISBLANK(VLOOKUP(JT2,Stormwater!$D$6:$I$80,6,FALSE)),"",VLOOKUP(JT2,Stormwater!$D$6:$I$80,6,FALSE))</f>
        <v/>
      </c>
      <c r="JU6" s="115" t="str">
        <f>IF(ISBLANK(VLOOKUP(JU2,Stormwater!$D$6:$I$80,6,FALSE)),"",VLOOKUP(JU2,Stormwater!$D$6:$I$80,6,FALSE))</f>
        <v/>
      </c>
      <c r="JV6" s="115" t="str">
        <f>IF(ISBLANK(VLOOKUP(JV2,Stormwater!$D$6:$I$80,6,FALSE)),"",VLOOKUP(JV2,Stormwater!$D$6:$I$80,6,FALSE))</f>
        <v/>
      </c>
      <c r="JW6" s="115" t="str">
        <f>IF(ISBLANK(VLOOKUP(JW2,Stormwater!$D$6:$I$80,6,FALSE)),"",VLOOKUP(JW2,Stormwater!$D$6:$I$80,6,FALSE))</f>
        <v/>
      </c>
      <c r="JX6" s="115" t="str">
        <f>IF(ISBLANK(VLOOKUP(JX2,Stormwater!$D$6:$I$80,6,FALSE)),"",VLOOKUP(JX2,Stormwater!$D$6:$I$80,6,FALSE))</f>
        <v/>
      </c>
      <c r="JY6" s="115" t="str">
        <f>IF(ISBLANK(VLOOKUP(JY2,Stormwater!$D$6:$I$80,6,FALSE)),"",VLOOKUP(JY2,Stormwater!$D$6:$I$80,6,FALSE))</f>
        <v/>
      </c>
      <c r="JZ6" s="115" t="str">
        <f>IF(ISBLANK(VLOOKUP(JZ2,Stormwater!$D$6:$I$80,6,FALSE)),"",VLOOKUP(JZ2,Stormwater!$D$6:$I$80,6,FALSE))</f>
        <v/>
      </c>
      <c r="KA6" s="115" t="str">
        <f>IF(ISBLANK(VLOOKUP(KA2,Stormwater!$D$6:$I$80,6,FALSE)),"",VLOOKUP(KA2,Stormwater!$D$6:$I$80,6,FALSE))</f>
        <v/>
      </c>
      <c r="KB6" s="115" t="str">
        <f>IF(ISBLANK(VLOOKUP(KB2,Stormwater!$D$6:$I$80,6,FALSE)),"",VLOOKUP(KB2,Stormwater!$D$6:$I$80,6,FALSE))</f>
        <v/>
      </c>
      <c r="KC6" s="115" t="str">
        <f>IF(ISBLANK(VLOOKUP(KC2,Stormwater!$D$6:$I$80,6,FALSE)),"",VLOOKUP(KC2,Stormwater!$D$6:$I$80,6,FALSE))</f>
        <v/>
      </c>
      <c r="KD6" s="115" t="str">
        <f>IF(ISBLANK(VLOOKUP(KD2,Stormwater!$D$6:$I$80,6,FALSE)),"",VLOOKUP(KD2,Stormwater!$D$6:$I$80,6,FALSE))</f>
        <v/>
      </c>
      <c r="KE6" s="115" t="str">
        <f>IF(ISBLANK(VLOOKUP(KE2,Stormwater!$D$6:$I$80,6,FALSE)),"",VLOOKUP(KE2,Stormwater!$D$6:$I$80,6,FALSE))</f>
        <v/>
      </c>
      <c r="KF6" s="115" t="str">
        <f>IF(ISBLANK(VLOOKUP(KF2,Stormwater!$D$6:$I$80,6,FALSE)),"",VLOOKUP(KF2,Stormwater!$D$6:$I$80,6,FALSE))</f>
        <v/>
      </c>
      <c r="KG6" s="115" t="str">
        <f>IF(ISBLANK(VLOOKUP(KG2,Stormwater!$D$6:$I$80,6,FALSE)),"",VLOOKUP(KG2,Stormwater!$D$6:$I$80,6,FALSE))</f>
        <v>Calc</v>
      </c>
      <c r="KH6" s="115" t="str">
        <f>IF(ISBLANK(VLOOKUP(KH2,Stormwater!$D$6:$I$80,6,FALSE)),"",VLOOKUP(KH2,Stormwater!$D$6:$I$80,6,FALSE))</f>
        <v/>
      </c>
      <c r="KI6" s="115" t="str">
        <f>IF(ISBLANK(VLOOKUP(KI2,Stormwater!$D$6:$I$80,6,FALSE)),"",VLOOKUP(KI2,Stormwater!$D$6:$I$80,6,FALSE))</f>
        <v/>
      </c>
      <c r="KJ6" s="115" t="str">
        <f>IF(ISBLANK(VLOOKUP(KJ2,Stormwater!$D$6:$I$80,6,FALSE)),"",VLOOKUP(KJ2,Stormwater!$D$6:$I$80,6,FALSE))</f>
        <v>Calc</v>
      </c>
      <c r="KK6" s="115" t="str">
        <f>IF(ISBLANK(VLOOKUP(KK2,Stormwater!$D$6:$I$80,6,FALSE)),"",VLOOKUP(KK2,Stormwater!$D$6:$I$80,6,FALSE))</f>
        <v/>
      </c>
      <c r="KL6" s="115" t="str">
        <f>IF(ISBLANK(VLOOKUP(KL2,Stormwater!$D$6:$I$80,6,FALSE)),"",VLOOKUP(KL2,Stormwater!$D$6:$I$80,6,FALSE))</f>
        <v/>
      </c>
      <c r="KM6" s="115" t="str">
        <f>IF(ISBLANK(VLOOKUP(KM2,Stormwater!$D$6:$I$80,6,FALSE)),"",VLOOKUP(KM2,Stormwater!$D$6:$I$80,6,FALSE))</f>
        <v>Calc</v>
      </c>
      <c r="KN6" s="115" t="str">
        <f>IF(ISBLANK(VLOOKUP(KN2,Stormwater!$D$6:$I$80,6,FALSE)),"",VLOOKUP(KN2,Stormwater!$D$6:$I$80,6,FALSE))</f>
        <v/>
      </c>
      <c r="KO6" s="115" t="str">
        <f>IF(ISBLANK(VLOOKUP(KO2,Stormwater!$D$6:$I$80,6,FALSE)),"",VLOOKUP(KO2,Stormwater!$D$6:$I$80,6,FALSE))</f>
        <v/>
      </c>
      <c r="KP6" s="115" t="str">
        <f>IF(ISBLANK(VLOOKUP(KP2,Stormwater!$D$6:$I$80,6,FALSE)),"",VLOOKUP(KP2,Stormwater!$D$6:$I$80,6,FALSE))</f>
        <v/>
      </c>
      <c r="KQ6" s="115" t="str">
        <f>IF(ISBLANK(VLOOKUP(KQ2,Stormwater!$D$6:$I$80,6,FALSE)),"",VLOOKUP(KQ2,Stormwater!$D$6:$I$80,6,FALSE))</f>
        <v/>
      </c>
      <c r="KR6" s="115" t="str">
        <f>IF(ISBLANK(VLOOKUP(KR2,Stormwater!$D$6:$I$80,6,FALSE)),"",VLOOKUP(KR2,Stormwater!$D$6:$I$80,6,FALSE))</f>
        <v/>
      </c>
      <c r="KS6" s="115" t="str">
        <f>IF(ISBLANK(VLOOKUP(KS2,Stormwater!$D$6:$I$80,6,FALSE)),"",VLOOKUP(KS2,Stormwater!$D$6:$I$80,6,FALSE))</f>
        <v/>
      </c>
      <c r="KT6" s="115" t="str">
        <f>IF(ISBLANK(VLOOKUP(KT2,Stormwater!$D$6:$I$80,6,FALSE)),"",VLOOKUP(KT2,Stormwater!$D$6:$I$80,6,FALSE))</f>
        <v/>
      </c>
      <c r="KU6" s="115" t="str">
        <f>IF(ISBLANK(VLOOKUP(KU2,Stormwater!$D$6:$I$80,6,FALSE)),"",VLOOKUP(KU2,Stormwater!$D$6:$I$80,6,FALSE))</f>
        <v>Calc</v>
      </c>
      <c r="KV6" s="115" t="str">
        <f>IF(ISBLANK(VLOOKUP(KV2,Stormwater!$D$6:$I$80,6,FALSE)),"",VLOOKUP(KV2,Stormwater!$D$6:$I$80,6,FALSE))</f>
        <v>Calc</v>
      </c>
      <c r="KW6" s="115" t="str">
        <f>IF(ISBLANK(VLOOKUP(KW2,Stormwater!$D$6:$I$80,6,FALSE)),"",VLOOKUP(KW2,Stormwater!$D$6:$I$80,6,FALSE))</f>
        <v/>
      </c>
      <c r="KX6" s="115" t="str">
        <f>IF(ISBLANK(VLOOKUP(KX2,Stormwater!$D$6:$I$80,6,FALSE)),"",VLOOKUP(KX2,Stormwater!$D$6:$I$80,6,FALSE))</f>
        <v/>
      </c>
      <c r="KY6" s="115" t="str">
        <f>IF(ISBLANK(VLOOKUP(KY2,Stormwater!$D$6:$I$80,6,FALSE)),"",VLOOKUP(KY2,Stormwater!$D$6:$I$80,6,FALSE))</f>
        <v/>
      </c>
      <c r="KZ6" s="115" t="str">
        <f>IF(ISBLANK(VLOOKUP(KZ2,Stormwater!$D$6:$I$80,6,FALSE)),"",VLOOKUP(KZ2,Stormwater!$D$6:$I$80,6,FALSE))</f>
        <v/>
      </c>
      <c r="LA6" s="115" t="str">
        <f>IF(ISBLANK(VLOOKUP(LA2,Stormwater!$D$6:$I$80,6,FALSE)),"",VLOOKUP(LA2,Stormwater!$D$6:$I$80,6,FALSE))</f>
        <v/>
      </c>
      <c r="LB6" s="115" t="str">
        <f>IF(ISBLANK(VLOOKUP(LB2,Stormwater!$D$6:$I$80,6,FALSE)),"",VLOOKUP(LB2,Stormwater!$D$6:$I$80,6,FALSE))</f>
        <v>Calc</v>
      </c>
      <c r="LC6" s="115" t="str">
        <f>IF(ISBLANK(VLOOKUP(LC2,Stormwater!$D$6:$I$80,6,FALSE)),"",VLOOKUP(LC2,Stormwater!$D$6:$I$80,6,FALSE))</f>
        <v>Calc</v>
      </c>
      <c r="LD6" s="115" t="str">
        <f>IF(ISBLANK(VLOOKUP(LD2,Stormwater!$D$6:$I$80,6,FALSE)),"",VLOOKUP(LD2,Stormwater!$D$6:$I$80,6,FALSE))</f>
        <v/>
      </c>
      <c r="LE6" s="115" t="str">
        <f>IF(ISBLANK(VLOOKUP(LE2,Stormwater!$D$6:$I$80,6,FALSE)),"",VLOOKUP(LE2,Stormwater!$D$6:$I$80,6,FALSE))</f>
        <v/>
      </c>
      <c r="LF6" s="115" t="str">
        <f>IF(ISBLANK(VLOOKUP(LF2,Stormwater!$D$6:$I$80,6,FALSE)),"",VLOOKUP(LF2,Stormwater!$D$6:$I$80,6,FALSE))</f>
        <v>Calc</v>
      </c>
      <c r="LG6" s="115" t="str">
        <f>IF(ISBLANK(VLOOKUP(LG2,Stormwater!$D$6:$I$80,6,FALSE)),"",VLOOKUP(LG2,Stormwater!$D$6:$I$80,6,FALSE))</f>
        <v>Calc</v>
      </c>
      <c r="LH6" s="115" t="str">
        <f>IF(ISBLANK(VLOOKUP(LH2,Stormwater!$D$6:$I$80,6,FALSE)),"",VLOOKUP(LH2,Stormwater!$D$6:$I$80,6,FALSE))</f>
        <v>Calc</v>
      </c>
      <c r="LI6" s="115" t="str">
        <f>IF(ISBLANK(VLOOKUP(LI2,Stormwater!$D$6:$I$80,6,FALSE)),"",VLOOKUP(LI2,Stormwater!$D$6:$I$80,6,FALSE))</f>
        <v>Calc</v>
      </c>
      <c r="LJ6" s="115" t="str">
        <f>IF(ISBLANK(VLOOKUP(LJ2,Stormwater!$D$6:$I$80,6,FALSE)),"",VLOOKUP(LJ2,Stormwater!$D$6:$I$80,6,FALSE))</f>
        <v>Calc</v>
      </c>
      <c r="LK6" s="115" t="str">
        <f>IF(ISBLANK(VLOOKUP(LK2,Stormwater!$D$6:$I$80,6,FALSE)),"",VLOOKUP(LK2,Stormwater!$D$6:$I$80,6,FALSE))</f>
        <v/>
      </c>
      <c r="LL6" s="115" t="str">
        <f>IF(ISBLANK(VLOOKUP(LL2,Stormwater!$D$6:$I$80,6,FALSE)),"",VLOOKUP(LL2,Stormwater!$D$6:$I$80,6,FALSE))</f>
        <v/>
      </c>
      <c r="LM6" s="115" t="str">
        <f>IF(ISBLANK(VLOOKUP(LM2,Stormwater!$D$6:$I$80,6,FALSE)),"",VLOOKUP(LM2,Stormwater!$D$6:$I$80,6,FALSE))</f>
        <v/>
      </c>
      <c r="LN6" s="115" t="str">
        <f>IF(ISBLANK(VLOOKUP(LN2,Stormwater!$D$6:$I$80,6,FALSE)),"",VLOOKUP(LN2,Stormwater!$D$6:$I$80,6,FALSE))</f>
        <v>Calc</v>
      </c>
      <c r="LO6" s="115" t="str">
        <f>IF(ISBLANK(VLOOKUP(LO2,Stormwater!$D$6:$I$80,6,FALSE)),"",VLOOKUP(LO2,Stormwater!$D$6:$I$80,6,FALSE))</f>
        <v/>
      </c>
      <c r="LP6" s="115" t="str">
        <f>IF(ISBLANK(VLOOKUP(LP2,Stormwater!$D$6:$I$80,6,FALSE)),"",VLOOKUP(LP2,Stormwater!$D$6:$I$80,6,FALSE))</f>
        <v/>
      </c>
      <c r="LQ6" s="115" t="str">
        <f>IF(ISBLANK(VLOOKUP(LQ2,Stormwater!$D$6:$I$80,6,FALSE)),"",VLOOKUP(LQ2,Stormwater!$D$6:$I$80,6,FALSE))</f>
        <v/>
      </c>
      <c r="LR6" s="115" t="str">
        <f>IF(ISBLANK(VLOOKUP(LR2,Stormwater!$D$6:$I$80,6,FALSE)),"",VLOOKUP(LR2,Stormwater!$D$6:$I$80,6,FALSE))</f>
        <v>Calc</v>
      </c>
      <c r="LS6" s="115" t="str">
        <f>IF(ISBLANK(VLOOKUP(LS2,Stormwater!$D$6:$I$80,6,FALSE)),"",VLOOKUP(LS2,Stormwater!$D$6:$I$80,6,FALSE))</f>
        <v/>
      </c>
      <c r="LT6" s="115" t="str">
        <f>IF(ISBLANK(VLOOKUP(LT2,Stormwater!$D$6:$I$80,6,FALSE)),"",VLOOKUP(LT2,Stormwater!$D$6:$I$80,6,FALSE))</f>
        <v/>
      </c>
      <c r="LU6" s="115" t="str">
        <f>IF(ISBLANK(VLOOKUP(LU2,Stormwater!$D$6:$I$80,6,FALSE)),"",VLOOKUP(LU2,Stormwater!$D$6:$I$80,6,FALSE))</f>
        <v>Calc</v>
      </c>
      <c r="LV6" s="115" t="str">
        <f>IF(ISBLANK(VLOOKUP(LV2,Stormwater!$D$6:$I$80,6,FALSE)),"",VLOOKUP(LV2,Stormwater!$D$6:$I$80,6,FALSE))</f>
        <v/>
      </c>
      <c r="MN6" s="115"/>
      <c r="MO6" s="115"/>
      <c r="MQ6" s="115"/>
      <c r="MS6" s="115"/>
      <c r="MT6" s="115"/>
      <c r="MU6" s="115"/>
      <c r="MV6" s="115"/>
      <c r="MW6" s="115"/>
      <c r="MY6" s="115"/>
      <c r="MZ6" s="115"/>
      <c r="NA6" s="115"/>
      <c r="NC6" s="115"/>
      <c r="NO6" s="115" t="str">
        <f>IF(ISBLANK(VLOOKUP(NO2,Water!$D$6:$K$109,8,FALSE)),"",VLOOKUP(NO2,Water!$D$6:$K$109,8,FALSE))</f>
        <v/>
      </c>
      <c r="NP6" s="115" t="str">
        <f>IF(ISBLANK(VLOOKUP(NP2,Water!$D$6:$K$109,8,FALSE)),"",VLOOKUP(NP2,Water!$D$6:$K$109,8,FALSE))</f>
        <v/>
      </c>
      <c r="NQ6" s="115" t="str">
        <f>IF(ISBLANK(VLOOKUP(NQ2,Water!$D$6:$K$109,8,FALSE)),"",VLOOKUP(NQ2,Water!$D$6:$K$109,8,FALSE))</f>
        <v/>
      </c>
      <c r="NR6" s="115" t="str">
        <f>IF(ISBLANK(VLOOKUP(NR2,Water!$D$6:$K$109,8,FALSE)),"",VLOOKUP(NR2,Water!$D$6:$K$109,8,FALSE))</f>
        <v/>
      </c>
      <c r="NS6" s="115" t="str">
        <f>IF(ISBLANK(VLOOKUP(NS2,Water!$D$6:$K$109,8,FALSE)),"",VLOOKUP(NS2,Water!$D$6:$K$109,8,FALSE))</f>
        <v/>
      </c>
      <c r="NT6" s="115" t="str">
        <f>IF(ISBLANK(VLOOKUP(NT2,Water!$D$6:$K$109,8,FALSE)),"",VLOOKUP(NT2,Water!$D$6:$K$109,8,FALSE))</f>
        <v/>
      </c>
      <c r="NU6" s="115" t="str">
        <f>IF(ISBLANK(VLOOKUP(NU2,Water!$D$6:$K$109,8,FALSE)),"",VLOOKUP(NU2,Water!$D$6:$K$109,8,FALSE))</f>
        <v/>
      </c>
      <c r="NV6" s="115" t="str">
        <f>IF(ISBLANK(VLOOKUP(NV2,Water!$D$6:$K$109,8,FALSE)),"",VLOOKUP(NV2,Water!$D$6:$K$109,8,FALSE))</f>
        <v/>
      </c>
      <c r="NW6" s="115" t="str">
        <f>IF(ISBLANK(VLOOKUP(NW2,Water!$D$6:$K$109,8,FALSE)),"",VLOOKUP(NW2,Water!$D$6:$K$109,8,FALSE))</f>
        <v/>
      </c>
      <c r="NX6" s="115" t="str">
        <f>IF(ISBLANK(VLOOKUP(NX2,Water!$D$6:$K$109,8,FALSE)),"",VLOOKUP(NX2,Water!$D$6:$K$109,8,FALSE))</f>
        <v/>
      </c>
      <c r="NY6" s="115" t="str">
        <f>IF(ISBLANK(VLOOKUP(NY2,Water!$D$6:$K$109,8,FALSE)),"",VLOOKUP(NY2,Water!$D$6:$K$109,8,FALSE))</f>
        <v/>
      </c>
      <c r="NZ6" s="115" t="str">
        <f>IF(ISBLANK(VLOOKUP(NZ2,Water!$D$6:$K$109,8,FALSE)),"",VLOOKUP(NZ2,Water!$D$6:$K$109,8,FALSE))</f>
        <v/>
      </c>
      <c r="OA6" s="115" t="str">
        <f>IF(ISBLANK(VLOOKUP(OA2,Water!$D$6:$K$109,8,FALSE)),"",VLOOKUP(OA2,Water!$D$6:$K$109,8,FALSE))</f>
        <v/>
      </c>
      <c r="OB6" s="115" t="str">
        <f>IF(ISBLANK(VLOOKUP(OB2,Water!$D$6:$K$109,8,FALSE)),"",VLOOKUP(OB2,Water!$D$6:$K$109,8,FALSE))</f>
        <v/>
      </c>
      <c r="OC6" s="115" t="str">
        <f>IF(ISBLANK(VLOOKUP(OC2,Water!$D$6:$K$109,8,FALSE)),"",VLOOKUP(OC2,Water!$D$6:$K$109,8,FALSE))</f>
        <v/>
      </c>
      <c r="OD6" s="115" t="str">
        <f>IF(ISBLANK(VLOOKUP(OD2,Water!$D$6:$K$109,8,FALSE)),"",VLOOKUP(OD2,Water!$D$6:$K$109,8,FALSE))</f>
        <v/>
      </c>
      <c r="OE6" s="115" t="str">
        <f>IF(ISBLANK(VLOOKUP(OE2,Water!$D$6:$K$109,8,FALSE)),"",VLOOKUP(OE2,Water!$D$6:$K$109,8,FALSE))</f>
        <v/>
      </c>
      <c r="OF6" s="115" t="str">
        <f>IF(ISBLANK(VLOOKUP(OF2,Water!$D$6:$K$109,8,FALSE)),"",VLOOKUP(OF2,Water!$D$6:$K$109,8,FALSE))</f>
        <v/>
      </c>
      <c r="OG6" s="115" t="str">
        <f>IF(ISBLANK(VLOOKUP(OG2,Water!$D$6:$K$109,8,FALSE)),"",VLOOKUP(OG2,Water!$D$6:$K$109,8,FALSE))</f>
        <v/>
      </c>
      <c r="OH6" s="115" t="str">
        <f>IF(ISBLANK(VLOOKUP(OH2,Water!$D$6:$K$109,8,FALSE)),"",VLOOKUP(OH2,Water!$D$6:$K$109,8,FALSE))</f>
        <v/>
      </c>
      <c r="OI6" s="115" t="str">
        <f>IF(ISBLANK(VLOOKUP(OI2,Wastewater!$D$6:$I$127,6,FALSE)),"",VLOOKUP(OI2,Wastewater!$D$6:$I$127,6,FALSE))</f>
        <v/>
      </c>
      <c r="OJ6" s="115" t="str">
        <f>IF(ISBLANK(VLOOKUP(OJ2,Wastewater!$D$6:$I$127,6,FALSE)),"",VLOOKUP(OJ2,Wastewater!$D$6:$I$127,6,FALSE))</f>
        <v/>
      </c>
      <c r="OK6" s="115" t="str">
        <f>IF(ISBLANK(VLOOKUP(OK2,Wastewater!$D$6:$I$127,6,FALSE)),"",VLOOKUP(OK2,Wastewater!$D$6:$I$127,6,FALSE))</f>
        <v/>
      </c>
      <c r="OL6" s="115" t="str">
        <f>IF(ISBLANK(VLOOKUP(OL2,Wastewater!$D$6:$I$127,6,FALSE)),"",VLOOKUP(OL2,Wastewater!$D$6:$I$127,6,FALSE))</f>
        <v/>
      </c>
      <c r="OM6" s="115" t="str">
        <f>IF(ISBLANK(VLOOKUP(OM2,Wastewater!$D$6:$I$127,6,FALSE)),"",VLOOKUP(OM2,Wastewater!$D$6:$I$127,6,FALSE))</f>
        <v/>
      </c>
      <c r="ON6" s="115" t="str">
        <f>IF(ISBLANK(VLOOKUP(ON2,Wastewater!$D$6:$I$127,6,FALSE)),"",VLOOKUP(ON2,Wastewater!$D$6:$I$127,6,FALSE))</f>
        <v/>
      </c>
      <c r="OO6" s="115" t="str">
        <f>IF(ISBLANK(VLOOKUP(OO2,Wastewater!$D$6:$I$127,6,FALSE)),"",VLOOKUP(OO2,Wastewater!$D$6:$I$127,6,FALSE))</f>
        <v/>
      </c>
      <c r="OP6" s="115" t="str">
        <f>IF(ISBLANK(VLOOKUP(OP2,Wastewater!$D$6:$I$127,6,FALSE)),"",VLOOKUP(OP2,Wastewater!$D$6:$I$127,6,FALSE))</f>
        <v/>
      </c>
      <c r="OQ6" s="115" t="str">
        <f>IF(ISBLANK(VLOOKUP(OQ2,Stormwater!$D$6:$I$80,6,FALSE)),"",VLOOKUP(OQ2,Stormwater!$D$6:$I$80,6,FALSE))</f>
        <v/>
      </c>
      <c r="OR6" s="115" t="str">
        <f>IF(ISBLANK(VLOOKUP(OR2,Stormwater!$D$6:$I$80,6,FALSE)),"",VLOOKUP(OR2,Stormwater!$D$6:$I$80,6,FALSE))</f>
        <v/>
      </c>
      <c r="OS6" s="115" t="str">
        <f>IF(ISBLANK(VLOOKUP(OS2,Stormwater!$D$6:$I$80,6,FALSE)),"",VLOOKUP(OS2,Stormwater!$D$6:$I$80,6,FALSE))</f>
        <v/>
      </c>
      <c r="OT6" s="115" t="str">
        <f>IF(ISBLANK(VLOOKUP(OT2,Stormwater!$D$6:$I$80,6,FALSE)),"",VLOOKUP(OT2,Stormwater!$D$6:$I$80,6,FALSE))</f>
        <v/>
      </c>
      <c r="OU6" s="115" t="str">
        <f>IF(ISBLANK(VLOOKUP(OU2,Stormwater!$D$6:$I$80,6,FALSE)),"",VLOOKUP(OU2,Stormwater!$D$6:$I$80,6,FALSE))</f>
        <v/>
      </c>
      <c r="OV6" s="115" t="str">
        <f>IF(ISBLANK(VLOOKUP(OV2,Stormwater!$D$6:$I$80,6,FALSE)),"",VLOOKUP(OV2,Stormwater!$D$6:$I$80,6,FALSE))</f>
        <v/>
      </c>
      <c r="OW6" s="115" t="str">
        <f>IF(ISBLANK(VLOOKUP(OW2,Stormwater!$D$6:$I$80,6,FALSE)),"",VLOOKUP(OW2,Stormwater!$D$6:$I$80,6,FALSE))</f>
        <v/>
      </c>
      <c r="OX6" s="115" t="str">
        <f>IF(ISBLANK(VLOOKUP(OX2,Stormwater!$D$6:$I$80,6,FALSE)),"",VLOOKUP(OX2,Stormwater!$D$6:$I$80,6,FALSE))</f>
        <v/>
      </c>
      <c r="OY6" s="115" t="str">
        <f>IF(ISBLANK(VLOOKUP(OY2,Stormwater!$D$6:$I$80,6,FALSE)),"",VLOOKUP(OY2,Stormwater!$D$6:$I$80,6,FALSE))</f>
        <v/>
      </c>
      <c r="OZ6" s="115" t="str">
        <f>IF(ISBLANK(VLOOKUP(OZ2,Stormwater!$D$6:$I$80,6,FALSE)),"",VLOOKUP(OZ2,Stormwater!$D$6:$I$80,6,FALSE))</f>
        <v/>
      </c>
      <c r="PA6" s="115"/>
      <c r="PB6" s="115"/>
    </row>
    <row r="7" spans="1:426">
      <c r="A7" s="140"/>
      <c r="CA7" s="117"/>
      <c r="CB7" s="117"/>
      <c r="JT7" s="56"/>
      <c r="JV7"/>
      <c r="KS7" s="56"/>
      <c r="KU7"/>
    </row>
    <row r="8" spans="1:426" s="115" customFormat="1">
      <c r="A8" s="115" t="s">
        <v>629</v>
      </c>
      <c r="B8" s="140" t="s">
        <v>630</v>
      </c>
      <c r="C8" s="115" t="s">
        <v>631</v>
      </c>
      <c r="D8" s="115" t="s">
        <v>632</v>
      </c>
      <c r="E8" s="115" t="s">
        <v>633</v>
      </c>
      <c r="F8" s="115" t="s">
        <v>634</v>
      </c>
      <c r="G8" s="115" t="s">
        <v>635</v>
      </c>
      <c r="H8" s="115" t="s">
        <v>636</v>
      </c>
      <c r="I8" s="115" t="s">
        <v>637</v>
      </c>
      <c r="J8" s="115" t="s">
        <v>638</v>
      </c>
      <c r="K8" s="115" t="s">
        <v>639</v>
      </c>
      <c r="L8" s="115" t="s">
        <v>1105</v>
      </c>
      <c r="M8" s="115" t="s">
        <v>1106</v>
      </c>
      <c r="N8" s="115" t="s">
        <v>1107</v>
      </c>
      <c r="O8" s="115" t="s">
        <v>989</v>
      </c>
      <c r="P8" s="115" t="s">
        <v>990</v>
      </c>
      <c r="Q8" s="115" t="s">
        <v>1063</v>
      </c>
      <c r="R8" s="115" t="s">
        <v>1064</v>
      </c>
      <c r="S8" s="115" t="s">
        <v>1108</v>
      </c>
      <c r="T8" s="115" t="s">
        <v>1109</v>
      </c>
      <c r="U8" s="115" t="s">
        <v>1110</v>
      </c>
      <c r="V8" s="115" t="s">
        <v>1111</v>
      </c>
      <c r="W8" s="115" t="s">
        <v>640</v>
      </c>
      <c r="X8" s="115" t="s">
        <v>641</v>
      </c>
      <c r="Y8" s="115" t="s">
        <v>642</v>
      </c>
      <c r="Z8" s="115" t="s">
        <v>643</v>
      </c>
      <c r="AA8" s="115" t="s">
        <v>644</v>
      </c>
      <c r="AB8" s="115" t="s">
        <v>645</v>
      </c>
      <c r="AC8" s="115" t="s">
        <v>991</v>
      </c>
      <c r="AD8" s="115" t="s">
        <v>992</v>
      </c>
      <c r="AE8" s="115" t="s">
        <v>646</v>
      </c>
      <c r="AF8" s="115" t="s">
        <v>647</v>
      </c>
      <c r="AG8" s="115" t="s">
        <v>648</v>
      </c>
      <c r="AH8" s="115" t="s">
        <v>993</v>
      </c>
      <c r="AI8" s="115" t="s">
        <v>649</v>
      </c>
      <c r="AJ8" s="115" t="s">
        <v>650</v>
      </c>
      <c r="AK8" s="115" t="s">
        <v>651</v>
      </c>
      <c r="AL8" s="115" t="s">
        <v>652</v>
      </c>
      <c r="AM8" s="115" t="s">
        <v>653</v>
      </c>
      <c r="AN8" s="115" t="s">
        <v>654</v>
      </c>
      <c r="AO8" s="115" t="s">
        <v>655</v>
      </c>
      <c r="AP8" s="115" t="s">
        <v>656</v>
      </c>
      <c r="AQ8" s="115" t="s">
        <v>657</v>
      </c>
      <c r="AR8" s="115" t="s">
        <v>658</v>
      </c>
      <c r="AS8" s="115" t="s">
        <v>659</v>
      </c>
      <c r="AT8" s="115" t="s">
        <v>660</v>
      </c>
      <c r="AU8" s="115" t="s">
        <v>661</v>
      </c>
      <c r="AV8" s="115" t="s">
        <v>662</v>
      </c>
      <c r="AW8" s="115" t="s">
        <v>663</v>
      </c>
      <c r="AX8" s="115" t="s">
        <v>664</v>
      </c>
      <c r="AY8" s="115" t="s">
        <v>665</v>
      </c>
      <c r="AZ8" s="115" t="s">
        <v>666</v>
      </c>
      <c r="BA8" s="115" t="s">
        <v>667</v>
      </c>
      <c r="BB8" s="115" t="s">
        <v>668</v>
      </c>
      <c r="BC8" s="115" t="s">
        <v>669</v>
      </c>
      <c r="BD8" s="115" t="s">
        <v>670</v>
      </c>
      <c r="BE8" s="124" t="s">
        <v>671</v>
      </c>
      <c r="BF8" s="115" t="s">
        <v>672</v>
      </c>
      <c r="BG8" s="115" t="s">
        <v>673</v>
      </c>
      <c r="BH8" s="115" t="s">
        <v>674</v>
      </c>
      <c r="BI8" s="115" t="s">
        <v>675</v>
      </c>
      <c r="BJ8" s="115" t="s">
        <v>676</v>
      </c>
      <c r="BK8" s="115" t="s">
        <v>677</v>
      </c>
      <c r="BL8" s="115" t="s">
        <v>678</v>
      </c>
      <c r="BM8" s="115" t="s">
        <v>679</v>
      </c>
      <c r="BN8" s="115" t="s">
        <v>680</v>
      </c>
      <c r="BO8" s="115" t="s">
        <v>681</v>
      </c>
      <c r="BP8" s="115" t="s">
        <v>682</v>
      </c>
      <c r="BQ8" s="115" t="s">
        <v>683</v>
      </c>
      <c r="BR8" s="115" t="s">
        <v>684</v>
      </c>
      <c r="BS8" s="115" t="s">
        <v>1112</v>
      </c>
      <c r="BT8" s="115" t="s">
        <v>685</v>
      </c>
      <c r="BU8" s="115" t="s">
        <v>686</v>
      </c>
      <c r="BV8" s="115" t="s">
        <v>687</v>
      </c>
      <c r="BW8" s="115" t="s">
        <v>688</v>
      </c>
      <c r="BX8" s="115" t="s">
        <v>896</v>
      </c>
      <c r="BY8" s="115" t="s">
        <v>689</v>
      </c>
      <c r="BZ8" s="115" t="s">
        <v>690</v>
      </c>
      <c r="CA8" s="115" t="s">
        <v>691</v>
      </c>
      <c r="CB8" s="115" t="s">
        <v>692</v>
      </c>
      <c r="CC8" s="115" t="s">
        <v>693</v>
      </c>
      <c r="CD8" s="115" t="s">
        <v>1113</v>
      </c>
      <c r="CE8" s="115" t="s">
        <v>897</v>
      </c>
      <c r="CF8" s="115" t="s">
        <v>694</v>
      </c>
      <c r="CG8" s="115" t="s">
        <v>695</v>
      </c>
      <c r="CH8" s="115" t="s">
        <v>696</v>
      </c>
      <c r="CI8" s="115" t="s">
        <v>697</v>
      </c>
      <c r="CJ8" s="115" t="s">
        <v>698</v>
      </c>
      <c r="CK8" s="115" t="s">
        <v>699</v>
      </c>
      <c r="CL8" s="115" t="s">
        <v>700</v>
      </c>
      <c r="CM8" s="115" t="s">
        <v>701</v>
      </c>
      <c r="CN8" s="115" t="s">
        <v>702</v>
      </c>
      <c r="CO8" s="115" t="s">
        <v>703</v>
      </c>
      <c r="CP8" s="115" t="s">
        <v>704</v>
      </c>
      <c r="CQ8" s="115" t="s">
        <v>705</v>
      </c>
      <c r="CR8" s="115" t="s">
        <v>706</v>
      </c>
      <c r="CS8" s="115" t="s">
        <v>708</v>
      </c>
      <c r="CT8" s="115" t="s">
        <v>709</v>
      </c>
      <c r="CU8" s="115" t="s">
        <v>707</v>
      </c>
      <c r="CV8" s="115" t="s">
        <v>994</v>
      </c>
      <c r="CW8" s="115" t="s">
        <v>995</v>
      </c>
      <c r="CX8" s="115" t="s">
        <v>710</v>
      </c>
      <c r="CY8" s="115" t="s">
        <v>711</v>
      </c>
      <c r="CZ8" s="115" t="s">
        <v>712</v>
      </c>
      <c r="DA8" s="115" t="s">
        <v>713</v>
      </c>
      <c r="DB8" s="115" t="s">
        <v>714</v>
      </c>
      <c r="DC8" s="115" t="s">
        <v>715</v>
      </c>
      <c r="DD8" s="115" t="s">
        <v>716</v>
      </c>
      <c r="DE8" s="115" t="s">
        <v>717</v>
      </c>
      <c r="DF8" s="115" t="s">
        <v>718</v>
      </c>
      <c r="DG8" s="115" t="s">
        <v>719</v>
      </c>
      <c r="DH8" s="115" t="s">
        <v>720</v>
      </c>
      <c r="DI8" s="115" t="s">
        <v>996</v>
      </c>
      <c r="DJ8" s="115" t="s">
        <v>721</v>
      </c>
      <c r="DK8" s="115" t="s">
        <v>722</v>
      </c>
      <c r="DL8" s="115" t="s">
        <v>723</v>
      </c>
      <c r="DM8" s="115" t="s">
        <v>724</v>
      </c>
      <c r="DN8" s="115" t="s">
        <v>725</v>
      </c>
      <c r="DO8" s="115" t="s">
        <v>726</v>
      </c>
      <c r="DP8" s="115" t="s">
        <v>727</v>
      </c>
      <c r="DQ8" s="115" t="s">
        <v>728</v>
      </c>
      <c r="DR8" s="115" t="s">
        <v>729</v>
      </c>
      <c r="DS8" s="115" t="s">
        <v>730</v>
      </c>
      <c r="DT8" s="115" t="s">
        <v>731</v>
      </c>
      <c r="DU8" s="115" t="s">
        <v>732</v>
      </c>
      <c r="DV8" s="115" t="s">
        <v>733</v>
      </c>
      <c r="DW8" s="115" t="s">
        <v>734</v>
      </c>
      <c r="DX8" s="115" t="s">
        <v>735</v>
      </c>
      <c r="DY8" s="115" t="s">
        <v>736</v>
      </c>
      <c r="DZ8" s="115" t="s">
        <v>737</v>
      </c>
      <c r="EA8" s="115" t="s">
        <v>738</v>
      </c>
      <c r="EB8" s="115" t="s">
        <v>739</v>
      </c>
      <c r="EC8" s="115" t="s">
        <v>740</v>
      </c>
      <c r="ED8" s="115" t="s">
        <v>741</v>
      </c>
      <c r="EE8" s="115" t="s">
        <v>742</v>
      </c>
      <c r="EF8" s="115" t="s">
        <v>743</v>
      </c>
      <c r="EG8" s="115" t="s">
        <v>744</v>
      </c>
      <c r="EH8" s="115" t="s">
        <v>745</v>
      </c>
      <c r="EI8" s="115" t="s">
        <v>746</v>
      </c>
      <c r="EJ8" s="115" t="s">
        <v>747</v>
      </c>
      <c r="EK8" s="115" t="s">
        <v>997</v>
      </c>
      <c r="EL8" s="115" t="s">
        <v>898</v>
      </c>
      <c r="EM8" s="115" t="s">
        <v>748</v>
      </c>
      <c r="EN8" s="115" t="s">
        <v>749</v>
      </c>
      <c r="EO8" s="115" t="s">
        <v>750</v>
      </c>
      <c r="EP8" s="115" t="s">
        <v>751</v>
      </c>
      <c r="EQ8" s="115" t="s">
        <v>752</v>
      </c>
      <c r="ER8" s="115" t="s">
        <v>753</v>
      </c>
      <c r="ES8" s="115" t="s">
        <v>754</v>
      </c>
      <c r="ET8" s="115" t="s">
        <v>755</v>
      </c>
      <c r="EU8" s="115" t="s">
        <v>756</v>
      </c>
      <c r="EV8" s="115" t="s">
        <v>757</v>
      </c>
      <c r="EW8" s="115" t="s">
        <v>758</v>
      </c>
      <c r="EX8" s="115" t="s">
        <v>759</v>
      </c>
      <c r="EY8" s="115" t="s">
        <v>760</v>
      </c>
      <c r="EZ8" s="115" t="s">
        <v>761</v>
      </c>
      <c r="FA8" s="115" t="s">
        <v>762</v>
      </c>
      <c r="FB8" s="115" t="s">
        <v>763</v>
      </c>
      <c r="FC8" s="115" t="s">
        <v>764</v>
      </c>
      <c r="FD8" s="115" t="s">
        <v>765</v>
      </c>
      <c r="FE8" s="115" t="s">
        <v>766</v>
      </c>
      <c r="FF8" s="115" t="s">
        <v>767</v>
      </c>
      <c r="FG8" s="115" t="s">
        <v>768</v>
      </c>
      <c r="FH8" s="115" t="s">
        <v>769</v>
      </c>
      <c r="FI8" s="115" t="s">
        <v>998</v>
      </c>
      <c r="FJ8" s="115" t="s">
        <v>770</v>
      </c>
      <c r="FK8" s="115" t="s">
        <v>771</v>
      </c>
      <c r="FL8" s="115" t="s">
        <v>1114</v>
      </c>
      <c r="FM8" s="115" t="s">
        <v>1115</v>
      </c>
      <c r="FN8" s="115" t="s">
        <v>899</v>
      </c>
      <c r="FO8" s="115" t="s">
        <v>772</v>
      </c>
      <c r="FP8" s="115" t="s">
        <v>773</v>
      </c>
      <c r="FQ8" s="115" t="s">
        <v>774</v>
      </c>
      <c r="FR8" s="115" t="s">
        <v>999</v>
      </c>
      <c r="FS8" s="115" t="s">
        <v>900</v>
      </c>
      <c r="FT8" s="115" t="s">
        <v>901</v>
      </c>
      <c r="FU8" s="115" t="s">
        <v>775</v>
      </c>
      <c r="FV8" s="115" t="s">
        <v>776</v>
      </c>
      <c r="FW8" s="115" t="s">
        <v>777</v>
      </c>
      <c r="FX8" s="115" t="s">
        <v>1000</v>
      </c>
      <c r="FY8" s="115" t="s">
        <v>902</v>
      </c>
      <c r="FZ8" s="115" t="s">
        <v>903</v>
      </c>
      <c r="GA8" s="115" t="s">
        <v>778</v>
      </c>
      <c r="GB8" s="115" t="s">
        <v>1001</v>
      </c>
      <c r="GC8" s="115" t="s">
        <v>1137</v>
      </c>
      <c r="GD8" s="115" t="s">
        <v>1138</v>
      </c>
      <c r="GE8" s="115" t="s">
        <v>779</v>
      </c>
      <c r="GF8" s="115" t="s">
        <v>780</v>
      </c>
      <c r="GG8" s="115" t="s">
        <v>904</v>
      </c>
      <c r="GH8" s="115" t="s">
        <v>905</v>
      </c>
      <c r="GI8" s="115" t="s">
        <v>781</v>
      </c>
      <c r="GJ8" s="115" t="s">
        <v>782</v>
      </c>
      <c r="GK8" s="115" t="s">
        <v>783</v>
      </c>
      <c r="GL8" s="115" t="s">
        <v>784</v>
      </c>
      <c r="GM8" s="115" t="s">
        <v>1002</v>
      </c>
      <c r="GN8" s="115" t="s">
        <v>1003</v>
      </c>
      <c r="GO8" s="115" t="s">
        <v>1116</v>
      </c>
      <c r="GP8" s="115" t="s">
        <v>1117</v>
      </c>
      <c r="GQ8" s="115" t="s">
        <v>1118</v>
      </c>
      <c r="GR8" s="115" t="s">
        <v>785</v>
      </c>
      <c r="GS8" s="115" t="s">
        <v>786</v>
      </c>
      <c r="GT8" s="115" t="s">
        <v>1119</v>
      </c>
      <c r="GU8" s="115" t="s">
        <v>1120</v>
      </c>
      <c r="GV8" s="115" t="s">
        <v>1121</v>
      </c>
      <c r="GW8" s="115" t="s">
        <v>787</v>
      </c>
      <c r="GX8" s="115" t="s">
        <v>788</v>
      </c>
      <c r="GY8" s="115" t="s">
        <v>789</v>
      </c>
      <c r="GZ8" s="115" t="s">
        <v>790</v>
      </c>
      <c r="HA8" s="115" t="s">
        <v>791</v>
      </c>
      <c r="HB8" s="115" t="s">
        <v>792</v>
      </c>
      <c r="HC8" s="115" t="s">
        <v>793</v>
      </c>
      <c r="HD8" s="115" t="s">
        <v>794</v>
      </c>
      <c r="HE8" s="115" t="s">
        <v>795</v>
      </c>
      <c r="HF8" s="115" t="s">
        <v>796</v>
      </c>
      <c r="HG8" s="115" t="s">
        <v>797</v>
      </c>
      <c r="HH8" s="115" t="s">
        <v>798</v>
      </c>
      <c r="HI8" s="115" t="s">
        <v>799</v>
      </c>
      <c r="HJ8" s="115" t="s">
        <v>1122</v>
      </c>
      <c r="HK8" s="115" t="s">
        <v>800</v>
      </c>
      <c r="HL8" s="115" t="s">
        <v>832</v>
      </c>
      <c r="HM8" s="115" t="s">
        <v>833</v>
      </c>
      <c r="HN8" s="115" t="s">
        <v>1004</v>
      </c>
      <c r="HO8" s="115" t="s">
        <v>1012</v>
      </c>
      <c r="HP8" s="115" t="s">
        <v>1123</v>
      </c>
      <c r="HQ8" s="115" t="s">
        <v>801</v>
      </c>
      <c r="HR8" s="115" t="s">
        <v>802</v>
      </c>
      <c r="HS8" s="115" t="s">
        <v>803</v>
      </c>
      <c r="HT8" s="115" t="s">
        <v>804</v>
      </c>
      <c r="HU8" s="115" t="s">
        <v>805</v>
      </c>
      <c r="HV8" s="115" t="s">
        <v>806</v>
      </c>
      <c r="HW8" s="115" t="s">
        <v>807</v>
      </c>
      <c r="HX8" s="115" t="s">
        <v>808</v>
      </c>
      <c r="HY8" s="115" t="s">
        <v>906</v>
      </c>
      <c r="HZ8" s="115" t="s">
        <v>907</v>
      </c>
      <c r="IA8" s="115" t="s">
        <v>809</v>
      </c>
      <c r="IB8" s="115" t="s">
        <v>1005</v>
      </c>
      <c r="IC8" s="115" t="s">
        <v>810</v>
      </c>
      <c r="ID8" s="115" t="s">
        <v>811</v>
      </c>
      <c r="IE8" s="115" t="s">
        <v>812</v>
      </c>
      <c r="IF8" s="115" t="s">
        <v>813</v>
      </c>
      <c r="IG8" s="115" t="s">
        <v>814</v>
      </c>
      <c r="IH8" s="115" t="s">
        <v>815</v>
      </c>
      <c r="II8" s="115" t="s">
        <v>816</v>
      </c>
      <c r="IJ8" s="115" t="s">
        <v>817</v>
      </c>
      <c r="IK8" s="115" t="s">
        <v>818</v>
      </c>
      <c r="IL8" s="115" t="s">
        <v>819</v>
      </c>
      <c r="IM8" s="115" t="s">
        <v>820</v>
      </c>
      <c r="IN8" s="115" t="s">
        <v>821</v>
      </c>
      <c r="IO8" s="115" t="s">
        <v>822</v>
      </c>
      <c r="IP8" s="115" t="s">
        <v>823</v>
      </c>
      <c r="IQ8" s="115" t="s">
        <v>824</v>
      </c>
      <c r="IR8" s="115" t="s">
        <v>825</v>
      </c>
      <c r="IS8" s="115" t="s">
        <v>826</v>
      </c>
      <c r="IT8" s="115" t="s">
        <v>827</v>
      </c>
      <c r="IU8" s="115" t="s">
        <v>828</v>
      </c>
      <c r="IV8" s="115" t="s">
        <v>829</v>
      </c>
      <c r="IW8" s="115" t="s">
        <v>830</v>
      </c>
      <c r="IX8" s="115" t="s">
        <v>831</v>
      </c>
      <c r="IY8" s="115" t="s">
        <v>619</v>
      </c>
      <c r="IZ8" s="115" t="s">
        <v>621</v>
      </c>
      <c r="JA8" s="115" t="s">
        <v>620</v>
      </c>
      <c r="JB8" s="115" t="s">
        <v>628</v>
      </c>
      <c r="JC8" s="115" t="s">
        <v>625</v>
      </c>
      <c r="JD8" s="115" t="s">
        <v>591</v>
      </c>
      <c r="JE8" s="115" t="s">
        <v>590</v>
      </c>
      <c r="JF8" s="115" t="s">
        <v>577</v>
      </c>
      <c r="JG8" s="115" t="s">
        <v>578</v>
      </c>
      <c r="JH8" s="115" t="s">
        <v>579</v>
      </c>
      <c r="JI8" s="115" t="s">
        <v>580</v>
      </c>
      <c r="JJ8" s="115" t="s">
        <v>581</v>
      </c>
      <c r="JK8" s="115" t="s">
        <v>593</v>
      </c>
      <c r="JL8" s="115" t="s">
        <v>616</v>
      </c>
      <c r="JM8" s="115" t="s">
        <v>572</v>
      </c>
      <c r="JN8" s="115" t="s">
        <v>565</v>
      </c>
      <c r="JO8" s="115" t="s">
        <v>602</v>
      </c>
      <c r="JP8" s="115" t="s">
        <v>600</v>
      </c>
      <c r="JQ8" s="115" t="s">
        <v>615</v>
      </c>
      <c r="JR8" s="115" t="s">
        <v>617</v>
      </c>
      <c r="JS8" s="115" t="s">
        <v>595</v>
      </c>
      <c r="JT8" s="115" t="s">
        <v>908</v>
      </c>
      <c r="JU8" s="115" t="s">
        <v>611</v>
      </c>
      <c r="JV8" s="115" t="s">
        <v>613</v>
      </c>
      <c r="JW8" s="115" t="s">
        <v>612</v>
      </c>
      <c r="JX8" s="115" t="s">
        <v>622</v>
      </c>
      <c r="JY8" s="115" t="s">
        <v>1006</v>
      </c>
      <c r="JZ8" s="115" t="s">
        <v>1124</v>
      </c>
      <c r="KA8" s="115" t="s">
        <v>1125</v>
      </c>
      <c r="KB8" s="115" t="s">
        <v>618</v>
      </c>
      <c r="KC8" s="115" t="s">
        <v>606</v>
      </c>
      <c r="KD8" s="115" t="s">
        <v>1126</v>
      </c>
      <c r="KE8" s="115" t="s">
        <v>607</v>
      </c>
      <c r="KF8" s="115" t="s">
        <v>608</v>
      </c>
      <c r="KG8" s="115" t="s">
        <v>609</v>
      </c>
      <c r="KH8" s="115" t="s">
        <v>605</v>
      </c>
      <c r="KI8" s="115" t="s">
        <v>614</v>
      </c>
      <c r="KJ8" s="115" t="s">
        <v>610</v>
      </c>
      <c r="KK8" s="115" t="s">
        <v>1007</v>
      </c>
      <c r="KL8" s="115" t="s">
        <v>1008</v>
      </c>
      <c r="KM8" s="115" t="s">
        <v>594</v>
      </c>
      <c r="KN8" s="115" t="s">
        <v>1009</v>
      </c>
      <c r="KO8" s="115" t="s">
        <v>1014</v>
      </c>
      <c r="KP8" s="115" t="s">
        <v>588</v>
      </c>
      <c r="KQ8" s="115" t="s">
        <v>601</v>
      </c>
      <c r="KR8" s="115" t="s">
        <v>603</v>
      </c>
      <c r="KS8" s="115" t="s">
        <v>598</v>
      </c>
      <c r="KT8" s="115" t="s">
        <v>585</v>
      </c>
      <c r="KU8" s="115" t="s">
        <v>627</v>
      </c>
      <c r="KV8" s="115" t="s">
        <v>626</v>
      </c>
      <c r="KW8" s="115" t="s">
        <v>583</v>
      </c>
      <c r="KX8" s="115" t="s">
        <v>909</v>
      </c>
      <c r="KY8" s="115" t="s">
        <v>910</v>
      </c>
      <c r="KZ8" s="115" t="s">
        <v>592</v>
      </c>
      <c r="LA8" s="115" t="s">
        <v>1010</v>
      </c>
      <c r="LB8" s="115" t="s">
        <v>597</v>
      </c>
      <c r="LC8" s="115" t="s">
        <v>596</v>
      </c>
      <c r="LD8" s="115" t="s">
        <v>571</v>
      </c>
      <c r="LE8" s="115" t="s">
        <v>589</v>
      </c>
      <c r="LF8" s="115" t="s">
        <v>582</v>
      </c>
      <c r="LG8" s="115" t="s">
        <v>599</v>
      </c>
      <c r="LH8" s="115" t="s">
        <v>624</v>
      </c>
      <c r="LI8" s="115" t="s">
        <v>623</v>
      </c>
      <c r="LJ8" s="115" t="s">
        <v>573</v>
      </c>
      <c r="LK8" s="115" t="s">
        <v>575</v>
      </c>
      <c r="LL8" s="115" t="s">
        <v>574</v>
      </c>
      <c r="LM8" s="115" t="s">
        <v>576</v>
      </c>
      <c r="LN8" s="115" t="s">
        <v>567</v>
      </c>
      <c r="LO8" s="115" t="s">
        <v>569</v>
      </c>
      <c r="LP8" s="115" t="s">
        <v>568</v>
      </c>
      <c r="LQ8" s="115" t="s">
        <v>570</v>
      </c>
      <c r="LR8" s="115" t="s">
        <v>566</v>
      </c>
      <c r="LS8" s="115" t="s">
        <v>586</v>
      </c>
      <c r="LT8" s="115" t="s">
        <v>604</v>
      </c>
      <c r="LU8" s="115" t="s">
        <v>584</v>
      </c>
      <c r="LV8" s="115" t="s">
        <v>587</v>
      </c>
      <c r="LW8" s="141" t="s">
        <v>1015</v>
      </c>
      <c r="LX8" s="141" t="s">
        <v>1016</v>
      </c>
      <c r="LY8" s="141" t="s">
        <v>1017</v>
      </c>
      <c r="LZ8" s="141" t="s">
        <v>1018</v>
      </c>
      <c r="MA8" s="141" t="s">
        <v>1019</v>
      </c>
      <c r="MB8" s="141" t="s">
        <v>1020</v>
      </c>
      <c r="MC8" s="141" t="s">
        <v>1021</v>
      </c>
      <c r="MD8" s="141" t="s">
        <v>1022</v>
      </c>
      <c r="ME8" s="141" t="s">
        <v>1023</v>
      </c>
      <c r="MF8" s="141" t="s">
        <v>1024</v>
      </c>
      <c r="MG8" s="141" t="s">
        <v>1025</v>
      </c>
      <c r="MH8" s="141" t="s">
        <v>1026</v>
      </c>
      <c r="MI8" s="141" t="s">
        <v>1027</v>
      </c>
      <c r="MJ8" s="141" t="s">
        <v>1028</v>
      </c>
      <c r="MK8" s="141" t="s">
        <v>1029</v>
      </c>
      <c r="ML8" s="141" t="s">
        <v>1030</v>
      </c>
      <c r="MM8" s="141" t="s">
        <v>1031</v>
      </c>
      <c r="MN8" s="141" t="s">
        <v>1032</v>
      </c>
      <c r="MO8" s="141" t="s">
        <v>1033</v>
      </c>
      <c r="MP8" s="141" t="s">
        <v>1034</v>
      </c>
      <c r="MQ8" s="141" t="s">
        <v>1035</v>
      </c>
      <c r="MR8" s="141" t="s">
        <v>1036</v>
      </c>
      <c r="MS8" s="141" t="s">
        <v>1058</v>
      </c>
      <c r="MT8" s="141" t="s">
        <v>1037</v>
      </c>
      <c r="MU8" s="141" t="s">
        <v>1038</v>
      </c>
      <c r="MV8" s="141" t="s">
        <v>1039</v>
      </c>
      <c r="MW8" s="141" t="s">
        <v>1040</v>
      </c>
      <c r="MX8" s="141" t="s">
        <v>1041</v>
      </c>
      <c r="MY8" s="141" t="s">
        <v>1042</v>
      </c>
      <c r="MZ8" s="141" t="s">
        <v>1043</v>
      </c>
      <c r="NA8" s="141" t="s">
        <v>1044</v>
      </c>
      <c r="NB8" s="141" t="s">
        <v>1045</v>
      </c>
      <c r="NC8" s="141" t="s">
        <v>1046</v>
      </c>
      <c r="ND8" s="141" t="s">
        <v>1047</v>
      </c>
      <c r="NE8" s="141" t="s">
        <v>1048</v>
      </c>
      <c r="NF8" s="141" t="s">
        <v>1049</v>
      </c>
      <c r="NG8" s="141" t="s">
        <v>1050</v>
      </c>
      <c r="NH8" s="141" t="s">
        <v>1051</v>
      </c>
      <c r="NI8" s="141" t="s">
        <v>1052</v>
      </c>
      <c r="NJ8" s="141" t="s">
        <v>1053</v>
      </c>
      <c r="NK8" s="141" t="s">
        <v>1054</v>
      </c>
      <c r="NL8" s="141" t="s">
        <v>1055</v>
      </c>
      <c r="NM8" s="141" t="s">
        <v>1056</v>
      </c>
      <c r="NN8" s="141" t="s">
        <v>1057</v>
      </c>
      <c r="NO8" s="115" t="s">
        <v>1548</v>
      </c>
      <c r="NP8" s="115" t="s">
        <v>1549</v>
      </c>
      <c r="NQ8" s="115" t="s">
        <v>1550</v>
      </c>
      <c r="NR8" s="115" t="s">
        <v>1551</v>
      </c>
      <c r="NS8" s="115" t="s">
        <v>1552</v>
      </c>
      <c r="NT8" s="115" t="s">
        <v>1553</v>
      </c>
      <c r="NU8" s="115" t="s">
        <v>1554</v>
      </c>
      <c r="NV8" s="115" t="s">
        <v>1555</v>
      </c>
      <c r="NW8" s="115" t="s">
        <v>1556</v>
      </c>
      <c r="NX8" s="115" t="s">
        <v>1557</v>
      </c>
      <c r="NY8" s="115" t="s">
        <v>1558</v>
      </c>
      <c r="NZ8" s="115" t="s">
        <v>1559</v>
      </c>
      <c r="OA8" s="115" t="s">
        <v>1560</v>
      </c>
      <c r="OB8" s="115" t="s">
        <v>1561</v>
      </c>
      <c r="OC8" s="115" t="s">
        <v>1562</v>
      </c>
      <c r="OD8" s="115" t="s">
        <v>1563</v>
      </c>
      <c r="OE8" s="115" t="s">
        <v>1564</v>
      </c>
      <c r="OF8" s="115" t="s">
        <v>1565</v>
      </c>
      <c r="OG8" s="115" t="s">
        <v>1566</v>
      </c>
      <c r="OH8" s="115" t="s">
        <v>1567</v>
      </c>
      <c r="OI8" s="115" t="s">
        <v>1568</v>
      </c>
      <c r="OJ8" s="115" t="s">
        <v>1569</v>
      </c>
      <c r="OK8" s="115" t="s">
        <v>1570</v>
      </c>
      <c r="OL8" s="115" t="s">
        <v>1571</v>
      </c>
      <c r="OM8" s="115" t="s">
        <v>1572</v>
      </c>
      <c r="ON8" s="115" t="s">
        <v>1573</v>
      </c>
      <c r="OO8" s="115" t="s">
        <v>1574</v>
      </c>
      <c r="OP8" s="115" t="s">
        <v>1575</v>
      </c>
      <c r="OQ8" s="115" t="s">
        <v>1576</v>
      </c>
      <c r="OR8" s="115" t="s">
        <v>1577</v>
      </c>
      <c r="OS8" s="115" t="s">
        <v>1578</v>
      </c>
      <c r="OT8" s="115" t="s">
        <v>1579</v>
      </c>
      <c r="OU8" s="115" t="s">
        <v>1580</v>
      </c>
      <c r="OV8" s="115" t="s">
        <v>1581</v>
      </c>
      <c r="OW8" s="115" t="s">
        <v>1582</v>
      </c>
      <c r="OX8" s="115" t="s">
        <v>1583</v>
      </c>
      <c r="OY8" s="115" t="s">
        <v>1584</v>
      </c>
      <c r="OZ8" s="115" t="s">
        <v>1585</v>
      </c>
      <c r="PA8" s="115" t="s">
        <v>1586</v>
      </c>
      <c r="PB8" s="115" t="s">
        <v>1587</v>
      </c>
      <c r="PC8" s="115" t="s">
        <v>1588</v>
      </c>
      <c r="PD8" s="115" t="s">
        <v>1589</v>
      </c>
      <c r="PE8" s="115" t="s">
        <v>1590</v>
      </c>
      <c r="PF8" s="115" t="s">
        <v>1591</v>
      </c>
      <c r="PG8" s="115" t="s">
        <v>1592</v>
      </c>
      <c r="PH8" s="115" t="s">
        <v>1593</v>
      </c>
      <c r="PI8" s="115" t="s">
        <v>1594</v>
      </c>
      <c r="PJ8" s="115" t="s">
        <v>1595</v>
      </c>
    </row>
    <row r="9" spans="1:426">
      <c r="A9" s="115" t="str">
        <f>IF(ISBLANK(VLOOKUP(A2,Common!$D$6:$L$27,9,FALSE)),"",VLOOKUP(A2,Common!$D$6:$L$27,9,FALSE))</f>
        <v/>
      </c>
      <c r="B9" s="115" t="str">
        <f>IF(ISBLANK(VLOOKUP(B2,Common!$D$6:$L$27,9,FALSE)),"",VLOOKUP(B2,Common!$D$6:$L$27,9,FALSE))</f>
        <v/>
      </c>
      <c r="C9" s="115" t="str">
        <f>IF(ISBLANK(VLOOKUP(C2,Common!$D$6:$L$27,9,FALSE)),"",VLOOKUP(C2,Common!$D$6:$L$27,9,FALSE))</f>
        <v>Rating units (SUIPs) not demand units e.g. commercial accom may have multi demand units under 1 SUIP. This number includes visitor accom. Downgraded reliability slightly as I can't go back in time and this isn't saved during the year.</v>
      </c>
      <c r="D9" s="115" t="str">
        <f>IF(ISBLANK(VLOOKUP(D2,Common!$D$6:$L$27,9,FALSE)),"",VLOOKUP(D2,Common!$D$6:$L$27,9,FALSE))</f>
        <v>SUIPs. Downgraded reliability slightly as I can't go back in time and this isn't saved during the year.</v>
      </c>
      <c r="E9" s="115" t="str">
        <f>IF(ISBLANK(VLOOKUP(E2,Common!$D$6:$L$27,9,FALSE)),"",VLOOKUP(E2,Common!$D$6:$L$27,9,FALSE))</f>
        <v/>
      </c>
      <c r="F9" s="115" t="str">
        <f>IF(ISBLANK(VLOOKUP(F2,Common!$D$6:$L$27,9,FALSE)),"",VLOOKUP(F2,Common!$D$6:$L$27,9,FALSE))</f>
        <v/>
      </c>
      <c r="G9" s="115" t="str">
        <f>IF(ISBLANK(VLOOKUP(G2,Common!$D$6:$L$27,9,FALSE)),"",VLOOKUP(G2,Common!$D$6:$L$27,9,FALSE))</f>
        <v/>
      </c>
      <c r="H9" s="115" t="str">
        <f>IF(ISBLANK(VLOOKUP(H2,Common!$D$6:$L$27,9,FALSE)),"",VLOOKUP(H2,Common!$D$6:$L$27,9,FALSE))</f>
        <v/>
      </c>
      <c r="I9" s="115" t="str">
        <f>IF(ISBLANK(VLOOKUP(I2,Common!$D$6:$L$27,9,FALSE)),"",VLOOKUP(I2,Common!$D$6:$L$27,9,FALSE))</f>
        <v/>
      </c>
      <c r="J9" s="115" t="str">
        <f>IF(ISBLANK(VLOOKUP(J2,Common!$D$6:$L$27,9,FALSE)),"",VLOOKUP(J2,Common!$D$6:$L$27,9,FALSE))</f>
        <v/>
      </c>
      <c r="K9" s="115" t="str">
        <f>IF(ISBLANK(VLOOKUP(K2,Common!$D$6:$L$27,9,FALSE)),"",VLOOKUP(K2,Common!$D$6:$L$27,9,FALSE))</f>
        <v/>
      </c>
      <c r="L9" s="115" t="str">
        <f>IF(ISBLANK(VLOOKUP(L2,Common!$D$6:$L$27,9,FALSE)),"",VLOOKUP(L2,Common!$D$6:$L$27,9,FALSE))</f>
        <v/>
      </c>
      <c r="M9" s="115" t="str">
        <f>IF(ISBLANK(VLOOKUP(M2,Common!$D$6:$L$27,9,FALSE)),"",VLOOKUP(M2,Common!$D$6:$L$27,9,FALSE))</f>
        <v/>
      </c>
      <c r="N9" s="115" t="str">
        <f>IF(ISBLANK(VLOOKUP(N2,Common!$D$6:$L$27,9,FALSE)),"",VLOOKUP(N2,Common!$D$6:$L$27,9,FALSE))</f>
        <v/>
      </c>
      <c r="O9" s="115" t="str">
        <f>IF(ISBLANK(VLOOKUP(O2,Common!$D$6:$L$27,9,FALSE)),"",VLOOKUP(O2,Common!$D$6:$L$27,9,FALSE))</f>
        <v/>
      </c>
      <c r="P9" s="115" t="str">
        <f>IF(ISBLANK(VLOOKUP(P2,Common!$D$6:$L$27,9,FALSE)),"",VLOOKUP(P2,Common!$D$6:$L$27,9,FALSE))</f>
        <v/>
      </c>
      <c r="Q9" s="115" t="str">
        <f>IF(ISBLANK(VLOOKUP(Q2,Common!$D$6:$L$27,9,FALSE)),"",VLOOKUP(Q2,Common!$D$6:$L$27,9,FALSE))</f>
        <v/>
      </c>
      <c r="R9" s="115" t="str">
        <f>IF(ISBLANK(VLOOKUP(R2,Common!$D$6:$L$27,9,FALSE)),"",VLOOKUP(R2,Common!$D$6:$L$27,9,FALSE))</f>
        <v/>
      </c>
      <c r="S9" s="115" t="str">
        <f>IF(ISBLANK(VLOOKUP(S2,Common!$D$6:$L$27,9,FALSE)),"",VLOOKUP(S2,Common!$D$6:$L$27,9,FALSE))</f>
        <v/>
      </c>
      <c r="T9" s="115" t="str">
        <f>IF(ISBLANK(VLOOKUP(T2,Common!$D$6:$L$27,9,FALSE)),"",VLOOKUP(T2,Common!$D$6:$L$27,9,FALSE))</f>
        <v/>
      </c>
      <c r="U9" s="115" t="str">
        <f>IF(ISBLANK(VLOOKUP(U2,Common!$D$6:$L$27,9,FALSE)),"",VLOOKUP(U2,Common!$D$6:$L$27,9,FALSE))</f>
        <v/>
      </c>
      <c r="V9" s="115" t="str">
        <f>IF(ISBLANK(VLOOKUP(V2,Common!$D$6:$L$27,9,FALSE)),"",VLOOKUP(V2,Common!$D$6:$L$27,9,FALSE))</f>
        <v/>
      </c>
      <c r="W9" s="115" t="str">
        <f>IF(ISBLANK(VLOOKUP(W2,Water!$D$6:$N$109,11,FALSE)),"",VLOOKUP(W2,Water!$D$6:$N$109,11,FALSE))</f>
        <v/>
      </c>
      <c r="X9" s="115" t="str">
        <f>IF(ISBLANK(VLOOKUP(X2,Water!$D$6:$N$109,11,FALSE)),"",VLOOKUP(X2,Water!$D$6:$N$109,11,FALSE))</f>
        <v/>
      </c>
      <c r="Y9" s="115" t="str">
        <f>IF(ISBLANK(VLOOKUP(Y2,Water!$D$6:$N$109,11,FALSE)),"",VLOOKUP(Y2,Water!$D$6:$N$109,11,FALSE))</f>
        <v/>
      </c>
      <c r="Z9" s="115" t="str">
        <f>IF(ISBLANK(VLOOKUP(Z2,Water!$D$6:$N$109,11,FALSE)),"",VLOOKUP(Z2,Water!$D$6:$N$109,11,FALSE))</f>
        <v/>
      </c>
      <c r="AA9" s="115" t="str">
        <f>IF(ISBLANK(VLOOKUP(AA2,Water!$D$6:$N$109,11,FALSE)),"",VLOOKUP(AA2,Water!$D$6:$N$109,11,FALSE))</f>
        <v/>
      </c>
      <c r="AB9" s="115" t="str">
        <f>IF(ISBLANK(VLOOKUP(AB2,Water!$D$6:$N$109,11,FALSE)),"",VLOOKUP(AB2,Water!$D$6:$N$109,11,FALSE))</f>
        <v/>
      </c>
      <c r="AC9" s="115" t="str">
        <f>IF(ISBLANK(VLOOKUP(AC2,Water!$D$6:$N$109,11,FALSE)),"",VLOOKUP(AC2,Water!$D$6:$N$109,11,FALSE))</f>
        <v/>
      </c>
      <c r="AD9" s="115" t="str">
        <f>IF(ISBLANK(VLOOKUP(AD2,Water!$D$6:$N$109,11,FALSE)),"",VLOOKUP(AD2,Water!$D$6:$N$109,11,FALSE))</f>
        <v/>
      </c>
      <c r="AE9" s="115" t="e">
        <f>IF(ISBLANK(VLOOKUP(AE2,Water!$D$6:$N$109,11,FALSE)),"",VLOOKUP(AE2,Water!$D$6:$N$109,11,FALSE))</f>
        <v>#N/A</v>
      </c>
      <c r="AF9" s="115" t="str">
        <f>IF(ISBLANK(VLOOKUP(AF2,Water!$D$6:$N$109,11,FALSE)),"",VLOOKUP(AF2,Water!$D$6:$N$109,11,FALSE))</f>
        <v/>
      </c>
      <c r="AG9" s="115" t="str">
        <f>IF(ISBLANK(VLOOKUP(AG2,Water!$D$6:$N$109,11,FALSE)),"",VLOOKUP(AG2,Water!$D$6:$N$109,11,FALSE))</f>
        <v/>
      </c>
      <c r="AH9" s="115" t="e">
        <f>IF(ISBLANK(VLOOKUP(AH2,Water!$D$6:$N$109,11,FALSE)),"",VLOOKUP(AH2,Water!$D$6:$N$109,11,FALSE))</f>
        <v>#N/A</v>
      </c>
      <c r="AI9" s="115" t="str">
        <f>IF(ISBLANK(VLOOKUP(AI2,Water!$D$6:$N$109,11,FALSE)),"",VLOOKUP(AI2,Water!$D$6:$N$109,11,FALSE))</f>
        <v>Taken from GIS Layer_WSMains_Excluding Pvate, abandoned,removed</v>
      </c>
      <c r="AJ9" s="115" t="e">
        <f>IF(ISBLANK(VLOOKUP(AJ2,Water!$D$6:$N$109,11,FALSE)),"",VLOOKUP(AJ2,Water!$D$6:$N$109,11,FALSE))</f>
        <v>#N/A</v>
      </c>
      <c r="AK9" s="115" t="e">
        <f>IF(ISBLANK(VLOOKUP(AK2,Water!$D$6:$N$109,11,FALSE)),"",VLOOKUP(AK2,Water!$D$6:$N$109,11,FALSE))</f>
        <v>#N/A</v>
      </c>
      <c r="AL9" s="115" t="e">
        <f>IF(ISBLANK(VLOOKUP(AL2,Water!$D$6:$N$109,11,FALSE)),"",VLOOKUP(AL2,Water!$D$6:$N$109,11,FALSE))</f>
        <v>#N/A</v>
      </c>
      <c r="AM9" s="115" t="e">
        <f>IF(ISBLANK(VLOOKUP(AM2,Water!$D$6:$N$109,11,FALSE)),"",VLOOKUP(AM2,Water!$D$6:$N$109,11,FALSE))</f>
        <v>#N/A</v>
      </c>
      <c r="AN9" s="115" t="e">
        <f>IF(ISBLANK(VLOOKUP(AN2,Water!$D$6:$N$109,11,FALSE)),"",VLOOKUP(AN2,Water!$D$6:$N$109,11,FALSE))</f>
        <v>#N/A</v>
      </c>
      <c r="AO9" s="115" t="str">
        <f>IF(ISBLANK(VLOOKUP(AO2,Water!$D$6:$N$109,11,FALSE)),"",VLOOKUP(AO2,Water!$D$6:$N$109,11,FALSE))</f>
        <v/>
      </c>
      <c r="AP9" s="115" t="e">
        <f>IF(ISBLANK(VLOOKUP(AP2,Water!$D$6:$N$109,11,FALSE)),"",VLOOKUP(AP2,Water!$D$6:$N$109,11,FALSE))</f>
        <v>#N/A</v>
      </c>
      <c r="AQ9" s="115" t="str">
        <f>IF(ISBLANK(VLOOKUP(AQ2,Water!$D$6:$N$109,11,FALSE)),"",VLOOKUP(AQ2,Water!$D$6:$N$109,11,FALSE))</f>
        <v/>
      </c>
      <c r="AR9" s="115" t="e">
        <f>IF(ISBLANK(VLOOKUP(AR2,Water!$D$6:$N$109,11,FALSE)),"",VLOOKUP(AR2,Water!$D$6:$N$109,11,FALSE))</f>
        <v>#N/A</v>
      </c>
      <c r="AS9" s="115" t="str">
        <f>IF(ISBLANK(VLOOKUP(AS2,Water!$D$6:$N$109,11,FALSE)),"",VLOOKUP(AS2,Water!$D$6:$N$109,11,FALSE))</f>
        <v/>
      </c>
      <c r="AT9" s="115" t="str">
        <f>IF(ISBLANK(VLOOKUP(AT2,Water!$D$6:$N$109,11,FALSE)),"",VLOOKUP(AT2,Water!$D$6:$N$109,11,FALSE))</f>
        <v/>
      </c>
      <c r="AU9" s="115" t="e">
        <f>IF(ISBLANK(VLOOKUP(AU2,Water!$D$6:$N$109,11,FALSE)),"",VLOOKUP(AU2,Water!$D$6:$N$109,11,FALSE))</f>
        <v>#N/A</v>
      </c>
      <c r="AV9" s="115" t="str">
        <f>IF(ISBLANK(VLOOKUP(AV2,Water!$D$6:$N$109,11,FALSE)),"",VLOOKUP(AV2,Water!$D$6:$N$109,11,FALSE))</f>
        <v/>
      </c>
      <c r="AW9" s="115" t="e">
        <f>IF(ISBLANK(VLOOKUP(AW2,Water!$D$6:$N$109,11,FALSE)),"",VLOOKUP(AW2,Water!$D$6:$N$109,11,FALSE))</f>
        <v>#N/A</v>
      </c>
      <c r="AX9" s="115" t="str">
        <f>IF(ISBLANK(VLOOKUP(AX2,Water!$D$6:$N$109,11,FALSE)),"",VLOOKUP(AX2,Water!$D$6:$N$109,11,FALSE))</f>
        <v>This number includes private tanks as in the previous year report.</v>
      </c>
      <c r="AY9" s="115" t="e">
        <f>IF(ISBLANK(VLOOKUP(AY2,Water!$D$6:$N$109,11,FALSE)),"",VLOOKUP(AY2,Water!$D$6:$N$109,11,FALSE))</f>
        <v>#N/A</v>
      </c>
      <c r="AZ9" s="115" t="e">
        <f>IF(ISBLANK(VLOOKUP(AZ2,Water!$D$6:$N$109,11,FALSE)),"",VLOOKUP(AZ2,Water!$D$6:$N$109,11,FALSE))</f>
        <v>#N/A</v>
      </c>
      <c r="BA9" s="115" t="str">
        <f>IF(ISBLANK(VLOOKUP(BA2,Water!$D$6:$N$109,11,FALSE)),"",VLOOKUP(BA2,Water!$D$6:$N$109,11,FALSE))</f>
        <v/>
      </c>
      <c r="BB9" s="115" t="str">
        <f>IF(ISBLANK(VLOOKUP(BB2,Water!$D$6:$N$109,11,FALSE)),"",VLOOKUP(BB2,Water!$D$6:$N$109,11,FALSE))</f>
        <v/>
      </c>
      <c r="BC9" s="115" t="e">
        <f>IF(ISBLANK(VLOOKUP(BC2,Water!$D$6:$N$109,11,FALSE)),"",VLOOKUP(BC2,Water!$D$6:$N$109,11,FALSE))</f>
        <v>#N/A</v>
      </c>
      <c r="BD9" s="115" t="e">
        <f>IF(ISBLANK(VLOOKUP(BD2,Water!$D$6:$N$109,11,FALSE)),"",VLOOKUP(BD2,Water!$D$6:$N$109,11,FALSE))</f>
        <v>#N/A</v>
      </c>
      <c r="BE9" s="115" t="e">
        <f>IF(ISBLANK(VLOOKUP(BE2,Water!$D$6:$N$109,11,FALSE)),"",VLOOKUP(BE2,Water!$D$6:$N$109,11,FALSE))</f>
        <v>#N/A</v>
      </c>
      <c r="BF9" s="115" t="e">
        <f>IF(ISBLANK(VLOOKUP(BF2,Water!$D$6:$N$109,11,FALSE)),"",VLOOKUP(BF2,Water!$D$6:$N$109,11,FALSE))</f>
        <v>#N/A</v>
      </c>
      <c r="BG9" s="115" t="str">
        <f>IF(ISBLANK(VLOOKUP(BG2,Water!$D$6:$N$109,11,FALSE)),"",VLOOKUP(BG2,Water!$D$6:$N$109,11,FALSE))</f>
        <v/>
      </c>
      <c r="BH9" s="115" t="str">
        <f>IF(ISBLANK(VLOOKUP(BH2,Water!$D$6:$N$109,11,FALSE)),"",VLOOKUP(BH2,Water!$D$6:$N$109,11,FALSE))</f>
        <v/>
      </c>
      <c r="BI9" s="115" t="e">
        <f>IF(ISBLANK(VLOOKUP(BI2,Water!$D$6:$N$109,11,FALSE)),"",VLOOKUP(BI2,Water!$D$6:$N$109,11,FALSE))</f>
        <v>#N/A</v>
      </c>
      <c r="BJ9" s="115" t="e">
        <f>IF(ISBLANK(VLOOKUP(BJ2,Water!$D$6:$N$109,11,FALSE)),"",VLOOKUP(BJ2,Water!$D$6:$N$109,11,FALSE))</f>
        <v>#N/A</v>
      </c>
      <c r="BK9" s="115" t="str">
        <f>IF(ISBLANK(VLOOKUP(BK2,Water!$D$6:$N$109,11,FALSE)),"",VLOOKUP(BK2,Water!$D$6:$N$109,11,FALSE))</f>
        <v/>
      </c>
      <c r="BL9" s="115" t="str">
        <f>IF(ISBLANK(VLOOKUP(BL2,Water!$D$6:$N$109,11,FALSE)),"",VLOOKUP(BL2,Water!$D$6:$N$109,11,FALSE))</f>
        <v/>
      </c>
      <c r="BM9" s="115" t="e">
        <f>IF(ISBLANK(VLOOKUP(BM2,Water!$D$6:$N$109,11,FALSE)),"",VLOOKUP(BM2,Water!$D$6:$N$109,11,FALSE))</f>
        <v>#N/A</v>
      </c>
      <c r="BN9" s="115" t="e">
        <f>IF(ISBLANK(VLOOKUP(BN2,Water!$D$6:$N$109,11,FALSE)),"",VLOOKUP(BN2,Water!$D$6:$N$109,11,FALSE))</f>
        <v>#N/A</v>
      </c>
      <c r="BO9" s="115" t="str">
        <f>IF(ISBLANK(VLOOKUP(BO2,Water!$D$6:$N$109,11,FALSE)),"",VLOOKUP(BO2,Water!$D$6:$N$109,11,FALSE))</f>
        <v/>
      </c>
      <c r="BP9" s="115" t="str">
        <f>IF(ISBLANK(VLOOKUP(BP2,Water!$D$6:$N$109,11,FALSE)),"",VLOOKUP(BP2,Water!$D$6:$N$109,11,FALSE))</f>
        <v/>
      </c>
      <c r="BQ9" s="115" t="str">
        <f>IF(ISBLANK(VLOOKUP(BQ2,Water!$D$6:$N$109,11,FALSE)),"",VLOOKUP(BQ2,Water!$D$6:$N$109,11,FALSE))</f>
        <v/>
      </c>
      <c r="BR9" s="115" t="str">
        <f>IF(ISBLANK(VLOOKUP(BR2,Water!$D$6:$N$109,11,FALSE)),"",VLOOKUP(BR2,Water!$D$6:$N$109,11,FALSE))</f>
        <v/>
      </c>
      <c r="BS9" s="115" t="str">
        <f>IF(ISBLANK(VLOOKUP(BS2,Water!$D$6:$N$109,11,FALSE)),"",VLOOKUP(BS2,Water!$D$6:$N$109,11,FALSE))</f>
        <v/>
      </c>
      <c r="BT9" s="115" t="str">
        <f>IF(ISBLANK(VLOOKUP(BT2,Water!$D$6:$N$109,11,FALSE)),"",VLOOKUP(BT2,Water!$D$6:$N$109,11,FALSE))</f>
        <v/>
      </c>
      <c r="BU9" s="115" t="str">
        <f>IF(ISBLANK(VLOOKUP(BU2,Water!$D$6:$N$109,11,FALSE)),"",VLOOKUP(BU2,Water!$D$6:$N$109,11,FALSE))</f>
        <v/>
      </c>
      <c r="BV9" s="115" t="str">
        <f>IF(ISBLANK(VLOOKUP(BV2,Water!$D$6:$N$109,11,FALSE)),"",VLOOKUP(BV2,Water!$D$6:$N$109,11,FALSE))</f>
        <v/>
      </c>
      <c r="BW9" s="115" t="str">
        <f>IF(ISBLANK(VLOOKUP(BW2,Water!$D$6:$N$109,11,FALSE)),"",VLOOKUP(BW2,Water!$D$6:$N$109,11,FALSE))</f>
        <v/>
      </c>
      <c r="BX9" s="115" t="str">
        <f>IF(ISBLANK(VLOOKUP(BX2,Water!$D$6:$N$109,11,FALSE)),"",VLOOKUP(BX2,Water!$D$6:$N$109,11,FALSE))</f>
        <v/>
      </c>
      <c r="BY9" s="115" t="str">
        <f>IF(ISBLANK(VLOOKUP(BY2,Water!$D$6:$N$109,11,FALSE)),"",VLOOKUP(BY2,Water!$D$6:$N$109,11,FALSE))</f>
        <v/>
      </c>
      <c r="BZ9" s="115" t="str">
        <f>IF(ISBLANK(VLOOKUP(BZ2,Water!$D$6:$N$109,11,FALSE)),"",VLOOKUP(BZ2,Water!$D$6:$N$109,11,FALSE))</f>
        <v/>
      </c>
      <c r="CA9" s="115" t="str">
        <f>IF(ISBLANK(VLOOKUP(CA2,Water!$D$6:$N$109,11,FALSE)),"",VLOOKUP(CA2,Water!$D$6:$N$109,11,FALSE))</f>
        <v/>
      </c>
      <c r="CB9" s="115" t="str">
        <f>IF(ISBLANK(VLOOKUP(CB2,Water!$D$6:$N$109,11,FALSE)),"",VLOOKUP(CB2,Water!$D$6:$N$109,11,FALSE))</f>
        <v/>
      </c>
      <c r="CC9" s="115" t="str">
        <f>IF(ISBLANK(VLOOKUP(CC2,Water!$D$6:$N$109,11,FALSE)),"",VLOOKUP(CC2,Water!$D$6:$N$109,11,FALSE))</f>
        <v/>
      </c>
      <c r="CD9" s="115" t="str">
        <f>IF(ISBLANK(VLOOKUP(CD2,Water!$D$6:$N$109,11,FALSE)),"",VLOOKUP(CD2,Water!$D$6:$N$109,11,FALSE))</f>
        <v/>
      </c>
      <c r="CE9" s="115" t="str">
        <f>IF(ISBLANK(VLOOKUP(CE2,Water!$D$6:$N$109,11,FALSE)),"",VLOOKUP(CE2,Water!$D$6:$N$109,11,FALSE))</f>
        <v/>
      </c>
      <c r="CF9" s="115" t="e">
        <f>IF(ISBLANK(VLOOKUP(CF2,Water!$D$6:$N$109,11,FALSE)),"",VLOOKUP(CF2,Water!$D$6:$N$109,11,FALSE))</f>
        <v>#N/A</v>
      </c>
      <c r="CG9" s="115" t="str">
        <f>IF(ISBLANK(VLOOKUP(CG2,Water!$D$6:$N$109,11,FALSE)),"",VLOOKUP(CG2,Water!$D$6:$N$109,11,FALSE))</f>
        <v/>
      </c>
      <c r="CH9" s="115" t="str">
        <f>IF(ISBLANK(VLOOKUP(CH2,Water!$D$6:$N$109,11,FALSE)),"",VLOOKUP(CH2,Water!$D$6:$N$109,11,FALSE))</f>
        <v/>
      </c>
      <c r="CI9" s="115" t="str">
        <f>IF(ISBLANK(VLOOKUP(CI2,Water!$D$6:$N$109,11,FALSE)),"",VLOOKUP(CI2,Water!$D$6:$N$109,11,FALSE))</f>
        <v/>
      </c>
      <c r="CJ9" s="115" t="str">
        <f>IF(ISBLANK(VLOOKUP(CJ2,Water!$D$6:$N$109,11,FALSE)),"",VLOOKUP(CJ2,Water!$D$6:$N$109,11,FALSE))</f>
        <v/>
      </c>
      <c r="CK9" s="115" t="str">
        <f>IF(ISBLANK(VLOOKUP(CK2,Water!$D$6:$N$109,11,FALSE)),"",VLOOKUP(CK2,Water!$D$6:$N$109,11,FALSE))</f>
        <v/>
      </c>
      <c r="CL9" s="115" t="str">
        <f>IF(ISBLANK(VLOOKUP(CL2,Water!$D$6:$N$109,11,FALSE)),"",VLOOKUP(CL2,Water!$D$6:$N$109,11,FALSE))</f>
        <v/>
      </c>
      <c r="CM9" s="115" t="str">
        <f>IF(ISBLANK(VLOOKUP(CM2,Water!$D$6:$N$109,11,FALSE)),"",VLOOKUP(CM2,Water!$D$6:$N$109,11,FALSE))</f>
        <v/>
      </c>
      <c r="CN9" s="115" t="str">
        <f>IF(ISBLANK(VLOOKUP(CN2,Water!$D$6:$N$109,11,FALSE)),"",VLOOKUP(CN2,Water!$D$6:$N$109,11,FALSE))</f>
        <v/>
      </c>
      <c r="CO9" s="115" t="str">
        <f>IF(ISBLANK(VLOOKUP(CO2,Water!$D$6:$N$109,11,FALSE)),"",VLOOKUP(CO2,Water!$D$6:$N$109,11,FALSE))</f>
        <v/>
      </c>
      <c r="CP9" s="115" t="str">
        <f>IF(ISBLANK(VLOOKUP(CP2,Water!$D$6:$N$109,11,FALSE)),"",VLOOKUP(CP2,Water!$D$6:$N$109,11,FALSE))</f>
        <v/>
      </c>
      <c r="CQ9" s="115" t="str">
        <f>IF(ISBLANK(VLOOKUP(CQ2,Water!$D$6:$N$109,11,FALSE)),"",VLOOKUP(CQ2,Water!$D$6:$N$109,11,FALSE))</f>
        <v/>
      </c>
      <c r="CR9" s="115" t="str">
        <f>IF(ISBLANK(VLOOKUP(CR2,Water!$D$6:$N$109,11,FALSE)),"",VLOOKUP(CR2,Water!$D$6:$N$109,11,FALSE))</f>
        <v/>
      </c>
      <c r="CS9" s="115" t="str">
        <f>IF(ISBLANK(VLOOKUP(CS2,Water!$D$6:$N$109,11,FALSE)),"",VLOOKUP(CS2,Water!$D$6:$N$109,11,FALSE))</f>
        <v/>
      </c>
      <c r="CT9" s="115" t="e">
        <f>IF(ISBLANK(VLOOKUP(CT2,Water!$D$6:$N$109,11,FALSE)),"",VLOOKUP(CT2,Water!$D$6:$N$109,11,FALSE))</f>
        <v>#N/A</v>
      </c>
      <c r="CU9" s="115" t="e">
        <f>IF(ISBLANK(VLOOKUP(CU2,Water!$D$6:$N$109,11,FALSE)),"",VLOOKUP(CU2,Water!$D$6:$N$109,11,FALSE))</f>
        <v>#N/A</v>
      </c>
      <c r="CV9" s="115" t="e">
        <f>IF(ISBLANK(VLOOKUP(CV2,Water!$D$6:$N$109,11,FALSE)),"",VLOOKUP(CV2,Water!$D$6:$N$109,11,FALSE))</f>
        <v>#N/A</v>
      </c>
      <c r="CW9" s="115" t="e">
        <f>IF(ISBLANK(VLOOKUP(CW2,Water!$D$6:$N$109,11,FALSE)),"",VLOOKUP(CW2,Water!$D$6:$N$109,11,FALSE))</f>
        <v>#N/A</v>
      </c>
      <c r="CX9" s="115" t="str">
        <f>IF(ISBLANK(VLOOKUP(CX2,Water!$D$6:$N$109,11,FALSE)),"",VLOOKUP(CX2,Water!$D$6:$N$109,11,FALSE))</f>
        <v/>
      </c>
      <c r="CY9" s="115" t="str">
        <f>IF(ISBLANK(VLOOKUP(CY2,Water!$D$6:$N$109,11,FALSE)),"",VLOOKUP(CY2,Water!$D$6:$N$109,11,FALSE))</f>
        <v/>
      </c>
      <c r="CZ9" s="115" t="str">
        <f>IF(ISBLANK(VLOOKUP(CZ2,Water!$D$6:$N$109,11,FALSE)),"",VLOOKUP(CZ2,Water!$D$6:$N$109,11,FALSE))</f>
        <v/>
      </c>
      <c r="DA9" s="115" t="str">
        <f>IF(ISBLANK(VLOOKUP(DA2,Water!$D$6:$N$109,11,FALSE)),"",VLOOKUP(DA2,Water!$D$6:$N$109,11,FALSE))</f>
        <v/>
      </c>
      <c r="DB9" s="115" t="str">
        <f>IF(ISBLANK(VLOOKUP(DB2,Water!$D$6:$N$109,11,FALSE)),"",VLOOKUP(DB2,Water!$D$6:$N$109,11,FALSE))</f>
        <v/>
      </c>
      <c r="DC9" s="115" t="str">
        <f>IF(ISBLANK(VLOOKUP(DC2,Water!$D$6:$N$109,11,FALSE)),"",VLOOKUP(DC2,Water!$D$6:$N$109,11,FALSE))</f>
        <v/>
      </c>
      <c r="DD9" s="115" t="str">
        <f>IF(ISBLANK(VLOOKUP(DD2,Water!$D$6:$N$109,11,FALSE)),"",VLOOKUP(DD2,Water!$D$6:$N$109,11,FALSE))</f>
        <v/>
      </c>
      <c r="DE9" s="115" t="str">
        <f>IF(ISBLANK(VLOOKUP(DE2,Water!$D$6:$N$109,11,FALSE)),"",VLOOKUP(DE2,Water!$D$6:$N$109,11,FALSE))</f>
        <v/>
      </c>
      <c r="DF9" s="115" t="str">
        <f>IF(ISBLANK(VLOOKUP(DF2,Water!$D$6:$N$109,11,FALSE)),"",VLOOKUP(DF2,Water!$D$6:$N$109,11,FALSE))</f>
        <v/>
      </c>
      <c r="DG9" s="115" t="str">
        <f>IF(ISBLANK(VLOOKUP(DG2,Water!$D$6:$N$109,11,FALSE)),"",VLOOKUP(DG2,Water!$D$6:$N$109,11,FALSE))</f>
        <v/>
      </c>
      <c r="DH9" s="115" t="str">
        <f>IF(ISBLANK(VLOOKUP(DH2,Water!$D$6:$N$109,11,FALSE)),"",VLOOKUP(DH2,Water!$D$6:$N$109,11,FALSE))</f>
        <v/>
      </c>
      <c r="DI9" s="115" t="str">
        <f>IF(ISBLANK(VLOOKUP(DI2,Water!$D$6:$N$109,11,FALSE)),"",VLOOKUP(DI2,Water!$D$6:$N$109,11,FALSE))</f>
        <v/>
      </c>
      <c r="DJ9" s="115" t="str">
        <f>IF(ISBLANK(VLOOKUP(DJ2,Water!$D$6:$N$109,11,FALSE)),"",VLOOKUP(DJ2,Water!$D$6:$N$109,11,FALSE))</f>
        <v/>
      </c>
      <c r="DK9" s="115" t="str">
        <f>IF(ISBLANK(VLOOKUP(DK2,Water!$D$6:$N$109,11,FALSE)),"",VLOOKUP(DK2,Water!$D$6:$N$109,11,FALSE))</f>
        <v/>
      </c>
      <c r="DL9" s="115" t="str">
        <f>IF(ISBLANK(VLOOKUP(DL2,Water!$D$6:$N$109,11,FALSE)),"",VLOOKUP(DL2,Water!$D$6:$N$109,11,FALSE))</f>
        <v/>
      </c>
      <c r="DM9" s="115" t="str">
        <f>IF(ISBLANK(VLOOKUP(DM2,Water!$D$6:$N$109,11,FALSE)),"",VLOOKUP(DM2,Water!$D$6:$N$109,11,FALSE))</f>
        <v/>
      </c>
      <c r="DN9" s="115" t="str">
        <f>IF(ISBLANK(VLOOKUP(DN2,Water!$D$6:$N$109,11,FALSE)),"",VLOOKUP(DN2,Water!$D$6:$N$109,11,FALSE))</f>
        <v/>
      </c>
      <c r="DO9" s="115" t="str">
        <f>IF(ISBLANK(VLOOKUP(DO2,Water!$D$6:$N$109,11,FALSE)),"",VLOOKUP(DO2,Water!$D$6:$N$109,11,FALSE))</f>
        <v/>
      </c>
      <c r="DP9" s="115" t="str">
        <f>IF(ISBLANK(VLOOKUP(DP2,Water!$D$6:$N$109,11,FALSE)),"",VLOOKUP(DP2,Water!$D$6:$N$109,11,FALSE))</f>
        <v/>
      </c>
      <c r="DQ9" s="115" t="str">
        <f>IF(ISBLANK(VLOOKUP(DQ2,Water!$D$6:$N$109,11,FALSE)),"",VLOOKUP(DQ2,Water!$D$6:$N$109,11,FALSE))</f>
        <v/>
      </c>
      <c r="DR9" s="115" t="str">
        <f>IF(ISBLANK(VLOOKUP(DR2,Water!$D$6:$N$109,11,FALSE)),"",VLOOKUP(DR2,Water!$D$6:$N$109,11,FALSE))</f>
        <v/>
      </c>
      <c r="DS9" s="115" t="str">
        <f>IF(ISBLANK(VLOOKUP(DS2,Water!$D$6:$N$109,11,FALSE)),"",VLOOKUP(DS2,Water!$D$6:$N$109,11,FALSE))</f>
        <v/>
      </c>
      <c r="DT9" s="115" t="str">
        <f>IF(ISBLANK(VLOOKUP(DT2,Water!$D$6:$N$109,11,FALSE)),"",VLOOKUP(DT2,Water!$D$6:$N$109,11,FALSE))</f>
        <v/>
      </c>
      <c r="DU9" s="115" t="str">
        <f>IF(ISBLANK(VLOOKUP(DU2,Water!$D$6:$N$109,11,FALSE)),"",VLOOKUP(DU2,Water!$D$6:$N$109,11,FALSE))</f>
        <v/>
      </c>
      <c r="DV9" s="115" t="str">
        <f>IF(ISBLANK(VLOOKUP(DV2,Water!$D$6:$N$109,11,FALSE)),"",VLOOKUP(DV2,Water!$D$6:$N$109,11,FALSE))</f>
        <v/>
      </c>
      <c r="DW9" s="115" t="str">
        <f>IF(ISBLANK(VLOOKUP(DW2,Water!$D$6:$N$109,11,FALSE)),"",VLOOKUP(DW2,Water!$D$6:$N$109,11,FALSE))</f>
        <v/>
      </c>
      <c r="DX9" s="115" t="str">
        <f>IF(ISBLANK(VLOOKUP(DX2,Water!$D$6:$N$109,11,FALSE)),"",VLOOKUP(DX2,Water!$D$6:$N$109,11,FALSE))</f>
        <v/>
      </c>
      <c r="DY9" s="115" t="str">
        <f>IF(ISBLANK(VLOOKUP(DY2,Water!$D$6:$N$109,11,FALSE)),"",VLOOKUP(DY2,Water!$D$6:$N$109,11,FALSE))</f>
        <v/>
      </c>
      <c r="DZ9" s="115" t="str">
        <f>IF(ISBLANK(VLOOKUP(DZ2,Water!$D$6:$N$109,11,FALSE)),"",VLOOKUP(DZ2,Water!$D$6:$N$109,11,FALSE))</f>
        <v/>
      </c>
      <c r="EA9" s="115" t="str">
        <f>IF(ISBLANK(VLOOKUP(EA2,Water!$D$6:$N$109,11,FALSE)),"",VLOOKUP(EA2,Water!$D$6:$N$109,11,FALSE))</f>
        <v/>
      </c>
      <c r="EB9" s="115" t="str">
        <f>IF(ISBLANK(VLOOKUP(EB2,Water!$D$6:$N$109,11,FALSE)),"",VLOOKUP(EB2,Water!$D$6:$N$109,11,FALSE))</f>
        <v/>
      </c>
      <c r="EC9" s="115" t="str">
        <f>IF(ISBLANK(VLOOKUP(EC2,Water!$D$6:$N$109,11,FALSE)),"",VLOOKUP(EC2,Water!$D$6:$N$109,11,FALSE))</f>
        <v/>
      </c>
      <c r="ED9" s="115" t="str">
        <f>IF(ISBLANK(VLOOKUP(ED2,Water!$D$6:$N$109,11,FALSE)),"",VLOOKUP(ED2,Water!$D$6:$N$109,11,FALSE))</f>
        <v/>
      </c>
      <c r="EE9" s="115" t="str">
        <f>IF(ISBLANK(VLOOKUP(EE2,Water!$D$6:$N$109,11,FALSE)),"",VLOOKUP(EE2,Water!$D$6:$N$109,11,FALSE))</f>
        <v/>
      </c>
      <c r="EF9" s="115" t="str">
        <f>IF(ISBLANK(VLOOKUP(EF2,Wastewater!$D$6:$L$127,9,FALSE)),"",VLOOKUP(EF2,Wastewater!$D$6:$L$127,9,FALSE))</f>
        <v/>
      </c>
      <c r="EG9" s="115" t="str">
        <f>IF(ISBLANK(VLOOKUP(EG2,Wastewater!$D$6:$L$127,9,FALSE)),"",VLOOKUP(EG2,Wastewater!$D$6:$L$127,9,FALSE))</f>
        <v/>
      </c>
      <c r="EH9" s="115" t="str">
        <f>IF(ISBLANK(VLOOKUP(EH2,Wastewater!$D$6:$L$127,9,FALSE)),"",VLOOKUP(EH2,Wastewater!$D$6:$L$127,9,FALSE))</f>
        <v/>
      </c>
      <c r="EI9" s="115" t="str">
        <f>IF(ISBLANK(VLOOKUP(EI2,Wastewater!$D$6:$L$127,9,FALSE)),"",VLOOKUP(EI2,Wastewater!$D$6:$L$127,9,FALSE))</f>
        <v/>
      </c>
      <c r="EJ9" s="115" t="str">
        <f>IF(ISBLANK(VLOOKUP(EJ2,Wastewater!$D$6:$L$127,9,FALSE)),"",VLOOKUP(EJ2,Wastewater!$D$6:$L$127,9,FALSE))</f>
        <v/>
      </c>
      <c r="EK9" s="115" t="str">
        <f>IF(ISBLANK(VLOOKUP(EK2,Wastewater!$D$6:$L$127,9,FALSE)),"",VLOOKUP(EK2,Wastewater!$D$6:$L$127,9,FALSE))</f>
        <v/>
      </c>
      <c r="EL9" s="115" t="str">
        <f>IF(ISBLANK(VLOOKUP(EL2,Wastewater!$D$6:$L$127,9,FALSE)),"",VLOOKUP(EL2,Wastewater!$D$6:$L$127,9,FALSE))</f>
        <v/>
      </c>
      <c r="EM9" s="115" t="e">
        <f>IF(ISBLANK(VLOOKUP(EM2,Wastewater!$D$6:$L$127,9,FALSE)),"",VLOOKUP(EM2,Wastewater!$D$6:$L$127,9,FALSE))</f>
        <v>#N/A</v>
      </c>
      <c r="EN9" s="115" t="str">
        <f>IF(ISBLANK(VLOOKUP(EN2,Wastewater!$D$6:$L$127,9,FALSE)),"",VLOOKUP(EN2,Wastewater!$D$6:$L$127,9,FALSE))</f>
        <v>Taken from GIS Layer_WWMains_Excluding Pvate, abandoned,removed</v>
      </c>
      <c r="EO9" s="115" t="e">
        <f>IF(ISBLANK(VLOOKUP(EO2,Wastewater!$D$6:$L$127,9,FALSE)),"",VLOOKUP(EO2,Wastewater!$D$6:$L$127,9,FALSE))</f>
        <v>#N/A</v>
      </c>
      <c r="EP9" s="115" t="e">
        <f>IF(ISBLANK(VLOOKUP(EP2,Wastewater!$D$6:$L$127,9,FALSE)),"",VLOOKUP(EP2,Wastewater!$D$6:$L$127,9,FALSE))</f>
        <v>#N/A</v>
      </c>
      <c r="EQ9" s="115" t="e">
        <f>IF(ISBLANK(VLOOKUP(EQ2,Wastewater!$D$6:$L$127,9,FALSE)),"",VLOOKUP(EQ2,Wastewater!$D$6:$L$127,9,FALSE))</f>
        <v>#N/A</v>
      </c>
      <c r="ER9" s="115" t="e">
        <f>IF(ISBLANK(VLOOKUP(ER2,Wastewater!$D$6:$L$127,9,FALSE)),"",VLOOKUP(ER2,Wastewater!$D$6:$L$127,9,FALSE))</f>
        <v>#N/A</v>
      </c>
      <c r="ES9" s="115" t="e">
        <f>IF(ISBLANK(VLOOKUP(ES2,Wastewater!$D$6:$L$127,9,FALSE)),"",VLOOKUP(ES2,Wastewater!$D$6:$L$127,9,FALSE))</f>
        <v>#N/A</v>
      </c>
      <c r="ET9" s="115" t="str">
        <f>IF(ISBLANK(VLOOKUP(ET2,Wastewater!$D$6:$L$127,9,FALSE)),"",VLOOKUP(ET2,Wastewater!$D$6:$L$127,9,FALSE))</f>
        <v/>
      </c>
      <c r="EU9" s="115" t="e">
        <f>IF(ISBLANK(VLOOKUP(EU2,Wastewater!$D$6:$L$127,9,FALSE)),"",VLOOKUP(EU2,Wastewater!$D$6:$L$127,9,FALSE))</f>
        <v>#N/A</v>
      </c>
      <c r="EV9" s="115" t="str">
        <f>IF(ISBLANK(VLOOKUP(EV2,Wastewater!$D$6:$L$127,9,FALSE)),"",VLOOKUP(EV2,Wastewater!$D$6:$L$127,9,FALSE))</f>
        <v/>
      </c>
      <c r="EW9" s="115" t="e">
        <f>IF(ISBLANK(VLOOKUP(EW2,Wastewater!$D$6:$L$127,9,FALSE)),"",VLOOKUP(EW2,Wastewater!$D$6:$L$127,9,FALSE))</f>
        <v>#N/A</v>
      </c>
      <c r="EX9" s="115" t="str">
        <f>IF(ISBLANK(VLOOKUP(EX2,Wastewater!$D$6:$L$127,9,FALSE)),"",VLOOKUP(EX2,Wastewater!$D$6:$L$127,9,FALSE))</f>
        <v/>
      </c>
      <c r="EY9" s="115" t="str">
        <f>IF(ISBLANK(VLOOKUP(EY2,Wastewater!$D$6:$L$127,9,FALSE)),"",VLOOKUP(EY2,Wastewater!$D$6:$L$127,9,FALSE))</f>
        <v/>
      </c>
      <c r="EZ9" s="115" t="str">
        <f>IF(ISBLANK(VLOOKUP(EZ2,Wastewater!$D$6:$L$127,9,FALSE)),"",VLOOKUP(EZ2,Wastewater!$D$6:$L$127,9,FALSE))</f>
        <v/>
      </c>
      <c r="FA9" s="115" t="e">
        <f>IF(ISBLANK(VLOOKUP(FA2,Wastewater!$D$6:$L$127,9,FALSE)),"",VLOOKUP(FA2,Wastewater!$D$6:$L$127,9,FALSE))</f>
        <v>#N/A</v>
      </c>
      <c r="FB9" s="115" t="str">
        <f>IF(ISBLANK(VLOOKUP(FB2,Wastewater!$D$6:$L$127,9,FALSE)),"",VLOOKUP(FB2,Wastewater!$D$6:$L$127,9,FALSE))</f>
        <v/>
      </c>
      <c r="FC9" s="115" t="e">
        <f>IF(ISBLANK(VLOOKUP(FC2,Wastewater!$D$6:$L$127,9,FALSE)),"",VLOOKUP(FC2,Wastewater!$D$6:$L$127,9,FALSE))</f>
        <v>#N/A</v>
      </c>
      <c r="FD9" s="115" t="e">
        <f>IF(ISBLANK(VLOOKUP(FD2,Wastewater!$D$6:$L$127,9,FALSE)),"",VLOOKUP(FD2,Wastewater!$D$6:$L$127,9,FALSE))</f>
        <v>#N/A</v>
      </c>
      <c r="FE9" s="115" t="str">
        <f>IF(ISBLANK(VLOOKUP(FE2,Wastewater!$D$6:$L$127,9,FALSE)),"",VLOOKUP(FE2,Wastewater!$D$6:$L$127,9,FALSE))</f>
        <v/>
      </c>
      <c r="FF9" s="115" t="str">
        <f>IF(ISBLANK(VLOOKUP(FF2,Wastewater!$D$6:$L$127,9,FALSE)),"",VLOOKUP(FF2,Wastewater!$D$6:$L$127,9,FALSE))</f>
        <v/>
      </c>
      <c r="FG9" s="115" t="str">
        <f>IF(ISBLANK(VLOOKUP(FG2,Wastewater!$D$6:$L$127,9,FALSE)),"",VLOOKUP(FG2,Wastewater!$D$6:$L$127,9,FALSE))</f>
        <v/>
      </c>
      <c r="FH9" s="115" t="str">
        <f>IF(ISBLANK(VLOOKUP(FH2,Wastewater!$D$6:$L$127,9,FALSE)),"",VLOOKUP(FH2,Wastewater!$D$6:$L$127,9,FALSE))</f>
        <v/>
      </c>
      <c r="FI9" s="115" t="str">
        <f>IF(ISBLANK(VLOOKUP(FI2,Wastewater!$D$6:$L$127,9,FALSE)),"",VLOOKUP(FI2,Wastewater!$D$6:$L$127,9,FALSE))</f>
        <v/>
      </c>
      <c r="FJ9" s="115" t="str">
        <f>IF(ISBLANK(VLOOKUP(FJ2,Wastewater!$D$6:$L$127,9,FALSE)),"",VLOOKUP(FJ2,Wastewater!$D$6:$L$127,9,FALSE))</f>
        <v/>
      </c>
      <c r="FK9" s="115" t="str">
        <f>IF(ISBLANK(VLOOKUP(FK2,Wastewater!$D$6:$L$127,9,FALSE)),"",VLOOKUP(FK2,Wastewater!$D$6:$L$127,9,FALSE))</f>
        <v/>
      </c>
      <c r="FL9" s="115" t="str">
        <f>IF(ISBLANK(VLOOKUP(FL2,Wastewater!$D$6:$L$127,9,FALSE)),"",VLOOKUP(FL2,Wastewater!$D$6:$L$127,9,FALSE))</f>
        <v/>
      </c>
      <c r="FM9" s="115" t="str">
        <f>IF(ISBLANK(VLOOKUP(FM2,Wastewater!$D$6:$L$127,9,FALSE)),"",VLOOKUP(FM2,Wastewater!$D$6:$L$127,9,FALSE))</f>
        <v/>
      </c>
      <c r="FN9" s="115" t="str">
        <f>IF(ISBLANK(VLOOKUP(FN2,Wastewater!$D$6:$L$127,9,FALSE)),"",VLOOKUP(FN2,Wastewater!$D$6:$L$127,9,FALSE))</f>
        <v/>
      </c>
      <c r="FO9" s="115" t="str">
        <f>IF(ISBLANK(VLOOKUP(FO2,Wastewater!$D$6:$L$127,9,FALSE)),"",VLOOKUP(FO2,Wastewater!$D$6:$L$127,9,FALSE))</f>
        <v/>
      </c>
      <c r="FP9" s="115" t="str">
        <f>IF(ISBLANK(VLOOKUP(FP2,Wastewater!$D$6:$L$127,9,FALSE)),"",VLOOKUP(FP2,Wastewater!$D$6:$L$127,9,FALSE))</f>
        <v/>
      </c>
      <c r="FQ9" s="115" t="str">
        <f>IF(ISBLANK(VLOOKUP(FQ2,Wastewater!$D$6:$L$127,9,FALSE)),"",VLOOKUP(FQ2,Wastewater!$D$6:$L$127,9,FALSE))</f>
        <v/>
      </c>
      <c r="FR9" s="115" t="str">
        <f>IF(ISBLANK(VLOOKUP(FR2,Wastewater!$D$6:$L$127,9,FALSE)),"",VLOOKUP(FR2,Wastewater!$D$6:$L$127,9,FALSE))</f>
        <v/>
      </c>
      <c r="FS9" s="115" t="e">
        <f>IF(ISBLANK(VLOOKUP(FS2,Wastewater!$D$6:$L$127,9,FALSE)),"",VLOOKUP(FS2,Wastewater!$D$6:$L$127,9,FALSE))</f>
        <v>#N/A</v>
      </c>
      <c r="FT9" s="115" t="str">
        <f>IF(ISBLANK(VLOOKUP(FT2,Wastewater!$D$6:$L$127,9,FALSE)),"",VLOOKUP(FT2,Wastewater!$D$6:$L$127,9,FALSE))</f>
        <v/>
      </c>
      <c r="FU9" s="115" t="str">
        <f>IF(ISBLANK(VLOOKUP(FU2,Wastewater!$D$6:$L$127,9,FALSE)),"",VLOOKUP(FU2,Wastewater!$D$6:$L$127,9,FALSE))</f>
        <v>Taken from GIS Layer_WWMains+SWMains_Excluding Pvate, abandoned,removed</v>
      </c>
      <c r="FV9" s="115" t="str">
        <f>IF(ISBLANK(VLOOKUP(FV2,Wastewater!$D$6:$L$127,9,FALSE)),"",VLOOKUP(FV2,Wastewater!$D$6:$L$127,9,FALSE))</f>
        <v/>
      </c>
      <c r="FW9" s="115" t="str">
        <f>IF(ISBLANK(VLOOKUP(FW2,Wastewater!$D$6:$L$127,9,FALSE)),"",VLOOKUP(FW2,Wastewater!$D$6:$L$127,9,FALSE))</f>
        <v/>
      </c>
      <c r="FX9" s="115" t="str">
        <f>IF(ISBLANK(VLOOKUP(FX2,Wastewater!$D$6:$L$127,9,FALSE)),"",VLOOKUP(FX2,Wastewater!$D$6:$L$127,9,FALSE))</f>
        <v/>
      </c>
      <c r="FY9" s="115" t="str">
        <f>IF(ISBLANK(VLOOKUP(FY2,Wastewater!$D$6:$L$127,9,FALSE)),"",VLOOKUP(FY2,Wastewater!$D$6:$L$127,9,FALSE))</f>
        <v/>
      </c>
      <c r="FZ9" s="115" t="str">
        <f>IF(ISBLANK(VLOOKUP(FZ2,Wastewater!$D$6:$L$127,9,FALSE)),"",VLOOKUP(FZ2,Wastewater!$D$6:$L$127,9,FALSE))</f>
        <v/>
      </c>
      <c r="GA9" s="115" t="str">
        <f>IF(ISBLANK(VLOOKUP(GA2,Wastewater!$D$6:$L$127,9,FALSE)),"",VLOOKUP(GA2,Wastewater!$D$6:$L$127,9,FALSE))</f>
        <v/>
      </c>
      <c r="GB9" s="115" t="str">
        <f>IF(ISBLANK(VLOOKUP(GB2,Wastewater!$D$6:$L$127,9,FALSE)),"",VLOOKUP(GB2,Wastewater!$D$6:$L$127,9,FALSE))</f>
        <v/>
      </c>
      <c r="GC9" s="115" t="str">
        <f>IF(ISBLANK(VLOOKUP(GC2,Wastewater!$D$6:$L$127,9,FALSE)),"",VLOOKUP(GC2,Wastewater!$D$6:$L$127,9,FALSE))</f>
        <v/>
      </c>
      <c r="GD9" s="115" t="str">
        <f>IF(ISBLANK(VLOOKUP(GD2,Wastewater!$D$6:$L$127,9,FALSE)),"",VLOOKUP(GD2,Wastewater!$D$6:$L$127,9,FALSE))</f>
        <v/>
      </c>
      <c r="GE9" s="115" t="str">
        <f>IF(ISBLANK(VLOOKUP(GE2,Wastewater!$D$6:$L$127,9,FALSE)),"",VLOOKUP(GE2,Wastewater!$D$6:$L$127,9,FALSE))</f>
        <v/>
      </c>
      <c r="GF9" s="115" t="str">
        <f>IF(ISBLANK(VLOOKUP(GF2,Wastewater!$D$6:$L$127,9,FALSE)),"",VLOOKUP(GF2,Wastewater!$D$6:$L$127,9,FALSE))</f>
        <v/>
      </c>
      <c r="GG9" s="115" t="str">
        <f>IF(ISBLANK(VLOOKUP(GG2,Wastewater!$D$6:$L$127,9,FALSE)),"",VLOOKUP(GG2,Wastewater!$D$6:$L$127,9,FALSE))</f>
        <v/>
      </c>
      <c r="GH9" s="115" t="str">
        <f>IF(ISBLANK(VLOOKUP(GH2,Wastewater!$D$6:$L$127,9,FALSE)),"",VLOOKUP(GH2,Wastewater!$D$6:$L$127,9,FALSE))</f>
        <v/>
      </c>
      <c r="GI9" s="115" t="str">
        <f>IF(ISBLANK(VLOOKUP(GI2,Wastewater!$D$6:$L$127,9,FALSE)),"",VLOOKUP(GI2,Wastewater!$D$6:$L$127,9,FALSE))</f>
        <v/>
      </c>
      <c r="GJ9" s="115" t="str">
        <f>IF(ISBLANK(VLOOKUP(GJ2,Wastewater!$D$6:$L$127,9,FALSE)),"",VLOOKUP(GJ2,Wastewater!$D$6:$L$127,9,FALSE))</f>
        <v/>
      </c>
      <c r="GK9" s="115" t="str">
        <f>IF(ISBLANK(VLOOKUP(GK2,Wastewater!$D$6:$L$127,9,FALSE)),"",VLOOKUP(GK2,Wastewater!$D$6:$L$127,9,FALSE))</f>
        <v/>
      </c>
      <c r="GL9" s="115" t="str">
        <f>IF(ISBLANK(VLOOKUP(GL2,Wastewater!$D$6:$L$127,9,FALSE)),"",VLOOKUP(GL2,Wastewater!$D$6:$L$127,9,FALSE))</f>
        <v/>
      </c>
      <c r="GM9" s="115" t="str">
        <f>IF(ISBLANK(VLOOKUP(GM2,Wastewater!$D$6:$L$127,9,FALSE)),"",VLOOKUP(GM2,Wastewater!$D$6:$L$127,9,FALSE))</f>
        <v/>
      </c>
      <c r="GN9" s="115" t="str">
        <f>IF(ISBLANK(VLOOKUP(GN2,Wastewater!$D$6:$L$127,9,FALSE)),"",VLOOKUP(GN2,Wastewater!$D$6:$L$127,9,FALSE))</f>
        <v/>
      </c>
      <c r="GO9" s="115" t="str">
        <f>IF(ISBLANK(VLOOKUP(GO2,Wastewater!$D$6:$L$127,9,FALSE)),"",VLOOKUP(GO2,Wastewater!$D$6:$L$127,9,FALSE))</f>
        <v/>
      </c>
      <c r="GP9" s="115" t="str">
        <f>IF(ISBLANK(VLOOKUP(GP2,Wastewater!$D$6:$L$127,9,FALSE)),"",VLOOKUP(GP2,Wastewater!$D$6:$L$127,9,FALSE))</f>
        <v/>
      </c>
      <c r="GQ9" s="115" t="str">
        <f>IF(ISBLANK(VLOOKUP(GQ2,Wastewater!$D$6:$L$127,9,FALSE)),"",VLOOKUP(GQ2,Wastewater!$D$6:$L$127,9,FALSE))</f>
        <v/>
      </c>
      <c r="GR9" s="115" t="e">
        <f>IF(ISBLANK(VLOOKUP(GR2,Wastewater!$D$6:$L$127,9,FALSE)),"",VLOOKUP(GR2,Wastewater!$D$6:$L$127,9,FALSE))</f>
        <v>#N/A</v>
      </c>
      <c r="GS9" s="115" t="e">
        <f>IF(ISBLANK(VLOOKUP(GS2,Wastewater!$D$6:$L$127,9,FALSE)),"",VLOOKUP(GS2,Wastewater!$D$6:$L$127,9,FALSE))</f>
        <v>#N/A</v>
      </c>
      <c r="GT9" s="115" t="str">
        <f>IF(ISBLANK(VLOOKUP(GT2,Wastewater!$D$6:$L$127,9,FALSE)),"",VLOOKUP(GT2,Wastewater!$D$6:$L$127,9,FALSE))</f>
        <v/>
      </c>
      <c r="GU9" s="115" t="e">
        <f>IF(ISBLANK(VLOOKUP(GU2,Wastewater!$D$6:$L$127,9,FALSE)),"",VLOOKUP(GU2,Wastewater!$D$6:$L$127,9,FALSE))</f>
        <v>#N/A</v>
      </c>
      <c r="GV9" s="115" t="e">
        <f>IF(ISBLANK(VLOOKUP(GV2,Wastewater!$D$6:$L$127,9,FALSE)),"",VLOOKUP(GV2,Wastewater!$D$6:$L$127,9,FALSE))</f>
        <v>#N/A</v>
      </c>
      <c r="GW9" s="115" t="e">
        <f>IF(ISBLANK(VLOOKUP(GW2,Wastewater!$D$6:$L$127,9,FALSE)),"",VLOOKUP(GW2,Wastewater!$D$6:$L$127,9,FALSE))</f>
        <v>#N/A</v>
      </c>
      <c r="GX9" s="115" t="str">
        <f>IF(ISBLANK(VLOOKUP(GX2,Wastewater!$D$6:$L$127,9,FALSE)),"",VLOOKUP(GX2,Wastewater!$D$6:$L$127,9,FALSE))</f>
        <v/>
      </c>
      <c r="GY9" s="115" t="str">
        <f>IF(ISBLANK(VLOOKUP(GY2,Wastewater!$D$6:$L$127,9,FALSE)),"",VLOOKUP(GY2,Wastewater!$D$6:$L$127,9,FALSE))</f>
        <v/>
      </c>
      <c r="GZ9" s="115" t="str">
        <f>IF(ISBLANK(VLOOKUP(GZ2,Wastewater!$D$6:$L$127,9,FALSE)),"",VLOOKUP(GZ2,Wastewater!$D$6:$L$127,9,FALSE))</f>
        <v/>
      </c>
      <c r="HA9" s="115" t="str">
        <f>IF(ISBLANK(VLOOKUP(HA2,Wastewater!$D$6:$L$127,9,FALSE)),"",VLOOKUP(HA2,Wastewater!$D$6:$L$127,9,FALSE))</f>
        <v/>
      </c>
      <c r="HB9" s="115" t="str">
        <f>IF(ISBLANK(VLOOKUP(HB2,Wastewater!$D$6:$L$127,9,FALSE)),"",VLOOKUP(HB2,Wastewater!$D$6:$L$127,9,FALSE))</f>
        <v/>
      </c>
      <c r="HC9" s="115" t="str">
        <f>IF(ISBLANK(VLOOKUP(HC2,Wastewater!$D$6:$L$127,9,FALSE)),"",VLOOKUP(HC2,Wastewater!$D$6:$L$127,9,FALSE))</f>
        <v/>
      </c>
      <c r="HD9" s="115" t="str">
        <f>IF(ISBLANK(VLOOKUP(HD2,Wastewater!$D$6:$L$127,9,FALSE)),"",VLOOKUP(HD2,Wastewater!$D$6:$L$127,9,FALSE))</f>
        <v/>
      </c>
      <c r="HE9" s="115" t="str">
        <f>IF(ISBLANK(VLOOKUP(HE2,Wastewater!$D$6:$L$127,9,FALSE)),"",VLOOKUP(HE2,Wastewater!$D$6:$L$127,9,FALSE))</f>
        <v/>
      </c>
      <c r="HF9" s="115" t="str">
        <f>IF(ISBLANK(VLOOKUP(HF2,Wastewater!$D$6:$L$127,9,FALSE)),"",VLOOKUP(HF2,Wastewater!$D$6:$L$127,9,FALSE))</f>
        <v/>
      </c>
      <c r="HG9" s="115" t="str">
        <f>IF(ISBLANK(VLOOKUP(HG2,Wastewater!$D$6:$L$127,9,FALSE)),"",VLOOKUP(HG2,Wastewater!$D$6:$L$127,9,FALSE))</f>
        <v/>
      </c>
      <c r="HH9" s="115" t="str">
        <f>IF(ISBLANK(VLOOKUP(HH2,Wastewater!$D$6:$L$127,9,FALSE)),"",VLOOKUP(HH2,Wastewater!$D$6:$L$127,9,FALSE))</f>
        <v/>
      </c>
      <c r="HI9" s="115" t="str">
        <f>IF(ISBLANK(VLOOKUP(HI2,Wastewater!$D$6:$L$127,9,FALSE)),"",VLOOKUP(HI2,Wastewater!$D$6:$L$127,9,FALSE))</f>
        <v/>
      </c>
      <c r="HJ9" s="115" t="str">
        <f>IF(ISBLANK(VLOOKUP(HJ2,Wastewater!$D$6:$L$127,9,FALSE)),"",VLOOKUP(HJ2,Wastewater!$D$6:$L$127,9,FALSE))</f>
        <v/>
      </c>
      <c r="HK9" s="115" t="str">
        <f>IF(ISBLANK(VLOOKUP(HK2,Wastewater!$D$6:$L$127,9,FALSE)),"",VLOOKUP(HK2,Wastewater!$D$6:$L$127,9,FALSE))</f>
        <v/>
      </c>
      <c r="HL9" s="115" t="str">
        <f>IF(ISBLANK(VLOOKUP(HL2,Wastewater!$D$6:$L$127,9,FALSE)),"",VLOOKUP(HL2,Wastewater!$D$6:$L$127,9,FALSE))</f>
        <v/>
      </c>
      <c r="HM9" s="115" t="str">
        <f>IF(ISBLANK(VLOOKUP(HM2,Wastewater!$D$6:$L$127,9,FALSE)),"",VLOOKUP(HM2,Wastewater!$D$6:$L$127,9,FALSE))</f>
        <v/>
      </c>
      <c r="HN9" s="115" t="str">
        <f>IF(ISBLANK(VLOOKUP(HN2,Wastewater!$D$6:$L$127,9,FALSE)),"",VLOOKUP(HN2,Wastewater!$D$6:$L$127,9,FALSE))</f>
        <v/>
      </c>
      <c r="HO9" s="115" t="str">
        <f>IF(ISBLANK(VLOOKUP(HO2,Wastewater!$D$6:$L$127,9,FALSE)),"",VLOOKUP(HO2,Wastewater!$D$6:$L$127,9,FALSE))</f>
        <v/>
      </c>
      <c r="HP9" s="115" t="str">
        <f>IF(ISBLANK(VLOOKUP(HP2,Wastewater!$D$6:$L$127,9,FALSE)),"",VLOOKUP(HP2,Wastewater!$D$6:$L$127,9,FALSE))</f>
        <v/>
      </c>
      <c r="HQ9" s="115" t="str">
        <f>IF(ISBLANK(VLOOKUP(HQ2,Wastewater!$D$6:$L$127,9,FALSE)),"",VLOOKUP(HQ2,Wastewater!$D$6:$L$127,9,FALSE))</f>
        <v/>
      </c>
      <c r="HR9" s="115" t="str">
        <f>IF(ISBLANK(VLOOKUP(HR2,Wastewater!$D$6:$L$127,9,FALSE)),"",VLOOKUP(HR2,Wastewater!$D$6:$L$127,9,FALSE))</f>
        <v/>
      </c>
      <c r="HS9" s="115" t="str">
        <f>IF(ISBLANK(VLOOKUP(HS2,Wastewater!$D$6:$L$127,9,FALSE)),"",VLOOKUP(HS2,Wastewater!$D$6:$L$127,9,FALSE))</f>
        <v/>
      </c>
      <c r="HT9" s="115" t="str">
        <f>IF(ISBLANK(VLOOKUP(HT2,Wastewater!$D$6:$L$127,9,FALSE)),"",VLOOKUP(HT2,Wastewater!$D$6:$L$127,9,FALSE))</f>
        <v/>
      </c>
      <c r="HU9" s="115" t="str">
        <f>IF(ISBLANK(VLOOKUP(HU2,Wastewater!$D$6:$L$127,9,FALSE)),"",VLOOKUP(HU2,Wastewater!$D$6:$L$127,9,FALSE))</f>
        <v/>
      </c>
      <c r="HV9" s="115" t="str">
        <f>IF(ISBLANK(VLOOKUP(HV2,Wastewater!$D$6:$L$127,9,FALSE)),"",VLOOKUP(HV2,Wastewater!$D$6:$L$127,9,FALSE))</f>
        <v/>
      </c>
      <c r="HW9" s="115" t="str">
        <f>IF(ISBLANK(VLOOKUP(HW2,Wastewater!$D$6:$L$127,9,FALSE)),"",VLOOKUP(HW2,Wastewater!$D$6:$L$127,9,FALSE))</f>
        <v/>
      </c>
      <c r="HX9" s="115" t="str">
        <f>IF(ISBLANK(VLOOKUP(HX2,Wastewater!$D$6:$L$127,9,FALSE)),"",VLOOKUP(HX2,Wastewater!$D$6:$L$127,9,FALSE))</f>
        <v/>
      </c>
      <c r="HY9" s="115" t="str">
        <f>IF(ISBLANK(VLOOKUP(HY2,Wastewater!$D$6:$L$127,9,FALSE)),"",VLOOKUP(HY2,Wastewater!$D$6:$L$127,9,FALSE))</f>
        <v/>
      </c>
      <c r="HZ9" s="115" t="str">
        <f>IF(ISBLANK(VLOOKUP(HZ2,Wastewater!$D$6:$L$127,9,FALSE)),"",VLOOKUP(HZ2,Wastewater!$D$6:$L$127,9,FALSE))</f>
        <v/>
      </c>
      <c r="IA9" s="115" t="str">
        <f>IF(ISBLANK(VLOOKUP(IA2,Wastewater!$D$6:$L$127,9,FALSE)),"",VLOOKUP(IA2,Wastewater!$D$6:$L$127,9,FALSE))</f>
        <v/>
      </c>
      <c r="IB9" s="115" t="str">
        <f>IF(ISBLANK(VLOOKUP(IB2,Wastewater!$D$6:$L$127,9,FALSE)),"",VLOOKUP(IB2,Wastewater!$D$6:$L$127,9,FALSE))</f>
        <v/>
      </c>
      <c r="IC9" s="115" t="str">
        <f>IF(ISBLANK(VLOOKUP(IC2,Wastewater!$D$6:$L$127,9,FALSE)),"",VLOOKUP(IC2,Wastewater!$D$6:$L$127,9,FALSE))</f>
        <v/>
      </c>
      <c r="ID9" s="115" t="str">
        <f>IF(ISBLANK(VLOOKUP(ID2,Wastewater!$D$6:$L$127,9,FALSE)),"",VLOOKUP(ID2,Wastewater!$D$6:$L$127,9,FALSE))</f>
        <v/>
      </c>
      <c r="IE9" s="115" t="str">
        <f>IF(ISBLANK(VLOOKUP(IE2,Wastewater!$D$6:$L$127,9,FALSE)),"",VLOOKUP(IE2,Wastewater!$D$6:$L$127,9,FALSE))</f>
        <v/>
      </c>
      <c r="IF9" s="115" t="str">
        <f>IF(ISBLANK(VLOOKUP(IF2,Wastewater!$D$6:$L$127,9,FALSE)),"",VLOOKUP(IF2,Wastewater!$D$6:$L$127,9,FALSE))</f>
        <v/>
      </c>
      <c r="IG9" s="115" t="str">
        <f>IF(ISBLANK(VLOOKUP(IG2,Wastewater!$D$6:$L$127,9,FALSE)),"",VLOOKUP(IG2,Wastewater!$D$6:$L$127,9,FALSE))</f>
        <v/>
      </c>
      <c r="IH9" s="115" t="str">
        <f>IF(ISBLANK(VLOOKUP(IH2,Wastewater!$D$6:$L$127,9,FALSE)),"",VLOOKUP(IH2,Wastewater!$D$6:$L$127,9,FALSE))</f>
        <v/>
      </c>
      <c r="II9" s="115" t="str">
        <f>IF(ISBLANK(VLOOKUP(II2,Wastewater!$D$6:$L$127,9,FALSE)),"",VLOOKUP(II2,Wastewater!$D$6:$L$127,9,FALSE))</f>
        <v/>
      </c>
      <c r="IJ9" s="115" t="str">
        <f>IF(ISBLANK(VLOOKUP(IJ2,Wastewater!$D$6:$L$127,9,FALSE)),"",VLOOKUP(IJ2,Wastewater!$D$6:$L$127,9,FALSE))</f>
        <v/>
      </c>
      <c r="IK9" s="115" t="str">
        <f>IF(ISBLANK(VLOOKUP(IK2,Wastewater!$D$6:$L$127,9,FALSE)),"",VLOOKUP(IK2,Wastewater!$D$6:$L$127,9,FALSE))</f>
        <v/>
      </c>
      <c r="IL9" s="115" t="str">
        <f>IF(ISBLANK(VLOOKUP(IL2,Wastewater!$D$6:$L$127,9,FALSE)),"",VLOOKUP(IL2,Wastewater!$D$6:$L$127,9,FALSE))</f>
        <v/>
      </c>
      <c r="IM9" s="115" t="str">
        <f>IF(ISBLANK(VLOOKUP(IM2,Wastewater!$D$6:$L$127,9,FALSE)),"",VLOOKUP(IM2,Wastewater!$D$6:$L$127,9,FALSE))</f>
        <v/>
      </c>
      <c r="IN9" s="115" t="str">
        <f>IF(ISBLANK(VLOOKUP(IN2,Wastewater!$D$6:$L$127,9,FALSE)),"",VLOOKUP(IN2,Wastewater!$D$6:$L$127,9,FALSE))</f>
        <v/>
      </c>
      <c r="IO9" s="115" t="str">
        <f>IF(ISBLANK(VLOOKUP(IO2,Wastewater!$D$6:$L$127,9,FALSE)),"",VLOOKUP(IO2,Wastewater!$D$6:$L$127,9,FALSE))</f>
        <v/>
      </c>
      <c r="IP9" s="115" t="str">
        <f>IF(ISBLANK(VLOOKUP(IP2,Wastewater!$D$6:$L$127,9,FALSE)),"",VLOOKUP(IP2,Wastewater!$D$6:$L$127,9,FALSE))</f>
        <v/>
      </c>
      <c r="IQ9" s="115" t="str">
        <f>IF(ISBLANK(VLOOKUP(IQ2,Wastewater!$D$6:$L$127,9,FALSE)),"",VLOOKUP(IQ2,Wastewater!$D$6:$L$127,9,FALSE))</f>
        <v/>
      </c>
      <c r="IR9" s="115" t="str">
        <f>IF(ISBLANK(VLOOKUP(IR2,Wastewater!$D$6:$L$127,9,FALSE)),"",VLOOKUP(IR2,Wastewater!$D$6:$L$127,9,FALSE))</f>
        <v/>
      </c>
      <c r="IS9" s="115" t="str">
        <f>IF(ISBLANK(VLOOKUP(IS2,Wastewater!$D$6:$L$127,9,FALSE)),"",VLOOKUP(IS2,Wastewater!$D$6:$L$127,9,FALSE))</f>
        <v/>
      </c>
      <c r="IT9" s="115" t="str">
        <f>IF(ISBLANK(VLOOKUP(IT2,Wastewater!$D$6:$L$127,9,FALSE)),"",VLOOKUP(IT2,Wastewater!$D$6:$L$127,9,FALSE))</f>
        <v/>
      </c>
      <c r="IU9" s="115" t="str">
        <f>IF(ISBLANK(VLOOKUP(IU2,Wastewater!$D$6:$L$127,9,FALSE)),"",VLOOKUP(IU2,Wastewater!$D$6:$L$127,9,FALSE))</f>
        <v/>
      </c>
      <c r="IV9" s="115" t="str">
        <f>IF(ISBLANK(VLOOKUP(IV2,Wastewater!$D$6:$L$127,9,FALSE)),"",VLOOKUP(IV2,Wastewater!$D$6:$L$127,9,FALSE))</f>
        <v/>
      </c>
      <c r="IW9" s="115" t="str">
        <f>IF(ISBLANK(VLOOKUP(IW2,Wastewater!$D$6:$L$127,9,FALSE)),"",VLOOKUP(IW2,Wastewater!$D$6:$L$127,9,FALSE))</f>
        <v/>
      </c>
      <c r="IX9" s="115" t="str">
        <f>IF(ISBLANK(VLOOKUP(IX2,Wastewater!$D$6:$L$127,9,FALSE)),"",VLOOKUP(IX2,Wastewater!$D$6:$L$127,9,FALSE))</f>
        <v/>
      </c>
      <c r="IY9" t="str">
        <f>IF(ISBLANK(VLOOKUP(IY2,Stormwater!$D$6:$L$80,9,FALSE)),"",VLOOKUP(IY2,Stormwater!$D$6:$L$80,9,FALSE))</f>
        <v/>
      </c>
      <c r="IZ9" s="115" t="str">
        <f>IF(ISBLANK(VLOOKUP(IZ2,Stormwater!$D$6:$L$80,9,FALSE)),"",VLOOKUP(IZ2,Stormwater!$D$6:$L$80,9,FALSE))</f>
        <v/>
      </c>
      <c r="JA9" s="115" t="str">
        <f>IF(ISBLANK(VLOOKUP(JA2,Stormwater!$D$6:$L$80,9,FALSE)),"",VLOOKUP(JA2,Stormwater!$D$6:$L$80,9,FALSE))</f>
        <v/>
      </c>
      <c r="JB9" s="115" t="str">
        <f>IF(ISBLANK(VLOOKUP(JB2,Stormwater!$D$6:$L$80,9,FALSE)),"",VLOOKUP(JB2,Stormwater!$D$6:$L$80,9,FALSE))</f>
        <v/>
      </c>
      <c r="JC9" s="115" t="str">
        <f>IF(ISBLANK(VLOOKUP(JC2,Stormwater!$D$6:$L$80,9,FALSE)),"",VLOOKUP(JC2,Stormwater!$D$6:$L$80,9,FALSE))</f>
        <v>Taken from GIS Layer_SWMains_Excluding Pvate, abandoned,removed</v>
      </c>
      <c r="JD9" s="115" t="e">
        <f>IF(ISBLANK(VLOOKUP(JD2,Stormwater!$D$6:$L$80,9,FALSE)),"",VLOOKUP(JD2,Stormwater!$D$6:$L$80,9,FALSE))</f>
        <v>#N/A</v>
      </c>
      <c r="JE9" s="115" t="e">
        <f>IF(ISBLANK(VLOOKUP(JE2,Stormwater!$D$6:$L$80,9,FALSE)),"",VLOOKUP(JE2,Stormwater!$D$6:$L$80,9,FALSE))</f>
        <v>#N/A</v>
      </c>
      <c r="JF9" s="115" t="e">
        <f>IF(ISBLANK(VLOOKUP(JF2,Stormwater!$D$6:$L$80,9,FALSE)),"",VLOOKUP(JF2,Stormwater!$D$6:$L$80,9,FALSE))</f>
        <v>#N/A</v>
      </c>
      <c r="JG9" s="115" t="e">
        <f>IF(ISBLANK(VLOOKUP(JG2,Stormwater!$D$6:$L$80,9,FALSE)),"",VLOOKUP(JG2,Stormwater!$D$6:$L$80,9,FALSE))</f>
        <v>#N/A</v>
      </c>
      <c r="JH9" s="115" t="e">
        <f>IF(ISBLANK(VLOOKUP(JH2,Stormwater!$D$6:$L$80,9,FALSE)),"",VLOOKUP(JH2,Stormwater!$D$6:$L$80,9,FALSE))</f>
        <v>#N/A</v>
      </c>
      <c r="JI9" s="115" t="str">
        <f>IF(ISBLANK(VLOOKUP(JI2,Stormwater!$D$6:$L$80,9,FALSE)),"",VLOOKUP(JI2,Stormwater!$D$6:$L$80,9,FALSE))</f>
        <v/>
      </c>
      <c r="JJ9" s="115" t="e">
        <f>IF(ISBLANK(VLOOKUP(JJ2,Stormwater!$D$6:$L$80,9,FALSE)),"",VLOOKUP(JJ2,Stormwater!$D$6:$L$80,9,FALSE))</f>
        <v>#N/A</v>
      </c>
      <c r="JK9" s="115" t="str">
        <f>IF(ISBLANK(VLOOKUP(JK2,Stormwater!$D$6:$L$80,9,FALSE)),"",VLOOKUP(JK2,Stormwater!$D$6:$L$80,9,FALSE))</f>
        <v/>
      </c>
      <c r="JL9" s="115" t="e">
        <f>IF(ISBLANK(VLOOKUP(JL2,Stormwater!$D$6:$L$80,9,FALSE)),"",VLOOKUP(JL2,Stormwater!$D$6:$L$80,9,FALSE))</f>
        <v>#N/A</v>
      </c>
      <c r="JM9" s="115" t="str">
        <f>IF(ISBLANK(VLOOKUP(JM2,Stormwater!$D$6:$L$80,9,FALSE)),"",VLOOKUP(JM2,Stormwater!$D$6:$L$80,9,FALSE))</f>
        <v/>
      </c>
      <c r="JN9" s="115" t="e">
        <f>IF(ISBLANK(VLOOKUP(JN2,Stormwater!$D$6:$L$80,9,FALSE)),"",VLOOKUP(JN2,Stormwater!$D$6:$L$80,9,FALSE))</f>
        <v>#N/A</v>
      </c>
      <c r="JO9" s="115" t="e">
        <f>IF(ISBLANK(VLOOKUP(JO2,Stormwater!$D$6:$L$80,9,FALSE)),"",VLOOKUP(JO2,Stormwater!$D$6:$L$80,9,FALSE))</f>
        <v>#N/A</v>
      </c>
      <c r="JP9" s="115" t="str">
        <f>IF(ISBLANK(VLOOKUP(JP2,Stormwater!$D$6:$L$80,9,FALSE)),"",VLOOKUP(JP2,Stormwater!$D$6:$L$80,9,FALSE))</f>
        <v/>
      </c>
      <c r="JQ9" s="115" t="str">
        <f>IF(ISBLANK(VLOOKUP(JQ2,Stormwater!$D$6:$L$80,9,FALSE)),"",VLOOKUP(JQ2,Stormwater!$D$6:$L$80,9,FALSE))</f>
        <v/>
      </c>
      <c r="JR9" s="115" t="str">
        <f>IF(ISBLANK(VLOOKUP(JR2,Stormwater!$D$6:$L$80,9,FALSE)),"",VLOOKUP(JR2,Stormwater!$D$6:$L$80,9,FALSE))</f>
        <v/>
      </c>
      <c r="JS9" s="115" t="str">
        <f>IF(ISBLANK(VLOOKUP(JS2,Stormwater!$D$6:$L$80,9,FALSE)),"",VLOOKUP(JS2,Stormwater!$D$6:$L$80,9,FALSE))</f>
        <v/>
      </c>
      <c r="JT9" s="115" t="str">
        <f>IF(ISBLANK(VLOOKUP(JT2,Stormwater!$D$6:$L$80,9,FALSE)),"",VLOOKUP(JT2,Stormwater!$D$6:$L$80,9,FALSE))</f>
        <v/>
      </c>
      <c r="JU9" s="115" t="str">
        <f>IF(ISBLANK(VLOOKUP(JU2,Stormwater!$D$6:$L$80,9,FALSE)),"",VLOOKUP(JU2,Stormwater!$D$6:$L$80,9,FALSE))</f>
        <v/>
      </c>
      <c r="JV9" s="115" t="str">
        <f>IF(ISBLANK(VLOOKUP(JV2,Stormwater!$D$6:$L$80,9,FALSE)),"",VLOOKUP(JV2,Stormwater!$D$6:$L$80,9,FALSE))</f>
        <v/>
      </c>
      <c r="JW9" s="115" t="str">
        <f>IF(ISBLANK(VLOOKUP(JW2,Stormwater!$D$6:$L$80,9,FALSE)),"",VLOOKUP(JW2,Stormwater!$D$6:$L$80,9,FALSE))</f>
        <v/>
      </c>
      <c r="JX9" s="115" t="str">
        <f>IF(ISBLANK(VLOOKUP(JX2,Stormwater!$D$6:$L$80,9,FALSE)),"",VLOOKUP(JX2,Stormwater!$D$6:$L$80,9,FALSE))</f>
        <v/>
      </c>
      <c r="JY9" s="115" t="str">
        <f>IF(ISBLANK(VLOOKUP(JY2,Stormwater!$D$6:$L$80,9,FALSE)),"",VLOOKUP(JY2,Stormwater!$D$6:$L$80,9,FALSE))</f>
        <v/>
      </c>
      <c r="JZ9" s="115" t="str">
        <f>IF(ISBLANK(VLOOKUP(JZ2,Stormwater!$D$6:$L$80,9,FALSE)),"",VLOOKUP(JZ2,Stormwater!$D$6:$L$80,9,FALSE))</f>
        <v/>
      </c>
      <c r="KA9" s="115" t="str">
        <f>IF(ISBLANK(VLOOKUP(KA2,Stormwater!$D$6:$L$80,9,FALSE)),"",VLOOKUP(KA2,Stormwater!$D$6:$L$80,9,FALSE))</f>
        <v/>
      </c>
      <c r="KB9" s="115" t="str">
        <f>IF(ISBLANK(VLOOKUP(KB2,Stormwater!$D$6:$L$80,9,FALSE)),"",VLOOKUP(KB2,Stormwater!$D$6:$L$80,9,FALSE))</f>
        <v/>
      </c>
      <c r="KC9" s="115" t="str">
        <f>IF(ISBLANK(VLOOKUP(KC2,Stormwater!$D$6:$L$80,9,FALSE)),"",VLOOKUP(KC2,Stormwater!$D$6:$L$80,9,FALSE))</f>
        <v/>
      </c>
      <c r="KD9" s="115" t="str">
        <f>IF(ISBLANK(VLOOKUP(KD2,Stormwater!$D$6:$L$80,9,FALSE)),"",VLOOKUP(KD2,Stormwater!$D$6:$L$80,9,FALSE))</f>
        <v/>
      </c>
      <c r="KE9" s="115" t="str">
        <f>IF(ISBLANK(VLOOKUP(KE2,Stormwater!$D$6:$L$80,9,FALSE)),"",VLOOKUP(KE2,Stormwater!$D$6:$L$80,9,FALSE))</f>
        <v/>
      </c>
      <c r="KF9" s="115" t="str">
        <f>IF(ISBLANK(VLOOKUP(KF2,Stormwater!$D$6:$L$80,9,FALSE)),"",VLOOKUP(KF2,Stormwater!$D$6:$L$80,9,FALSE))</f>
        <v/>
      </c>
      <c r="KG9" s="115" t="str">
        <f>IF(ISBLANK(VLOOKUP(KG2,Stormwater!$D$6:$L$80,9,FALSE)),"",VLOOKUP(KG2,Stormwater!$D$6:$L$80,9,FALSE))</f>
        <v/>
      </c>
      <c r="KH9" s="115" t="str">
        <f>IF(ISBLANK(VLOOKUP(KH2,Stormwater!$D$6:$L$80,9,FALSE)),"",VLOOKUP(KH2,Stormwater!$D$6:$L$80,9,FALSE))</f>
        <v/>
      </c>
      <c r="KI9" s="115" t="str">
        <f>IF(ISBLANK(VLOOKUP(KI2,Stormwater!$D$6:$L$80,9,FALSE)),"",VLOOKUP(KI2,Stormwater!$D$6:$L$80,9,FALSE))</f>
        <v/>
      </c>
      <c r="KJ9" s="115" t="str">
        <f>IF(ISBLANK(VLOOKUP(KJ2,Stormwater!$D$6:$L$80,9,FALSE)),"",VLOOKUP(KJ2,Stormwater!$D$6:$L$80,9,FALSE))</f>
        <v/>
      </c>
      <c r="KK9" s="115" t="str">
        <f>IF(ISBLANK(VLOOKUP(KK2,Stormwater!$D$6:$L$80,9,FALSE)),"",VLOOKUP(KK2,Stormwater!$D$6:$L$80,9,FALSE))</f>
        <v/>
      </c>
      <c r="KL9" s="115" t="str">
        <f>IF(ISBLANK(VLOOKUP(KL2,Stormwater!$D$6:$L$80,9,FALSE)),"",VLOOKUP(KL2,Stormwater!$D$6:$L$80,9,FALSE))</f>
        <v/>
      </c>
      <c r="KM9" s="115" t="str">
        <f>IF(ISBLANK(VLOOKUP(KM2,Stormwater!$D$6:$L$80,9,FALSE)),"",VLOOKUP(KM2,Stormwater!$D$6:$L$80,9,FALSE))</f>
        <v/>
      </c>
      <c r="KN9" s="115" t="str">
        <f>IF(ISBLANK(VLOOKUP(KN2,Stormwater!$D$6:$L$80,9,FALSE)),"",VLOOKUP(KN2,Stormwater!$D$6:$L$80,9,FALSE))</f>
        <v/>
      </c>
      <c r="KO9" s="115" t="str">
        <f>IF(ISBLANK(VLOOKUP(KO2,Stormwater!$D$6:$L$80,9,FALSE)),"",VLOOKUP(KO2,Stormwater!$D$6:$L$80,9,FALSE))</f>
        <v/>
      </c>
      <c r="KP9" s="115" t="str">
        <f>IF(ISBLANK(VLOOKUP(KP2,Stormwater!$D$6:$L$80,9,FALSE)),"",VLOOKUP(KP2,Stormwater!$D$6:$L$80,9,FALSE))</f>
        <v/>
      </c>
      <c r="KQ9" s="115" t="str">
        <f>IF(ISBLANK(VLOOKUP(KQ2,Stormwater!$D$6:$L$80,9,FALSE)),"",VLOOKUP(KQ2,Stormwater!$D$6:$L$80,9,FALSE))</f>
        <v/>
      </c>
      <c r="KR9" s="115" t="str">
        <f>IF(ISBLANK(VLOOKUP(KR2,Stormwater!$D$6:$L$80,9,FALSE)),"",VLOOKUP(KR2,Stormwater!$D$6:$L$80,9,FALSE))</f>
        <v/>
      </c>
      <c r="KS9" s="115" t="str">
        <f>IF(ISBLANK(VLOOKUP(KS2,Stormwater!$D$6:$L$80,9,FALSE)),"",VLOOKUP(KS2,Stormwater!$D$6:$L$80,9,FALSE))</f>
        <v/>
      </c>
      <c r="KT9" s="115" t="str">
        <f>IF(ISBLANK(VLOOKUP(KT2,Stormwater!$D$6:$L$80,9,FALSE)),"",VLOOKUP(KT2,Stormwater!$D$6:$L$80,9,FALSE))</f>
        <v/>
      </c>
      <c r="KU9" s="115" t="str">
        <f>IF(ISBLANK(VLOOKUP(KU2,Stormwater!$D$6:$L$80,9,FALSE)),"",VLOOKUP(KU2,Stormwater!$D$6:$L$80,9,FALSE))</f>
        <v/>
      </c>
      <c r="KV9" s="115" t="str">
        <f>IF(ISBLANK(VLOOKUP(KV2,Stormwater!$D$6:$L$80,9,FALSE)),"",VLOOKUP(KV2,Stormwater!$D$6:$L$80,9,FALSE))</f>
        <v/>
      </c>
      <c r="KW9" s="115" t="str">
        <f>IF(ISBLANK(VLOOKUP(KW2,Stormwater!$D$6:$L$80,9,FALSE)),"",VLOOKUP(KW2,Stormwater!$D$6:$L$80,9,FALSE))</f>
        <v/>
      </c>
      <c r="KX9" s="115" t="str">
        <f>IF(ISBLANK(VLOOKUP(KX2,Stormwater!$D$6:$L$80,9,FALSE)),"",VLOOKUP(KX2,Stormwater!$D$6:$L$80,9,FALSE))</f>
        <v/>
      </c>
      <c r="KY9" s="115" t="str">
        <f>IF(ISBLANK(VLOOKUP(KY2,Stormwater!$D$6:$L$80,9,FALSE)),"",VLOOKUP(KY2,Stormwater!$D$6:$L$80,9,FALSE))</f>
        <v/>
      </c>
      <c r="KZ9" s="115" t="str">
        <f>IF(ISBLANK(VLOOKUP(KZ2,Stormwater!$D$6:$L$80,9,FALSE)),"",VLOOKUP(KZ2,Stormwater!$D$6:$L$80,9,FALSE))</f>
        <v/>
      </c>
      <c r="LA9" s="115" t="str">
        <f>IF(ISBLANK(VLOOKUP(LA2,Stormwater!$D$6:$L$80,9,FALSE)),"",VLOOKUP(LA2,Stormwater!$D$6:$L$80,9,FALSE))</f>
        <v/>
      </c>
      <c r="LB9" s="115" t="str">
        <f>IF(ISBLANK(VLOOKUP(LB2,Stormwater!$D$6:$L$80,9,FALSE)),"",VLOOKUP(LB2,Stormwater!$D$6:$L$80,9,FALSE))</f>
        <v/>
      </c>
      <c r="LC9" s="115" t="str">
        <f>IF(ISBLANK(VLOOKUP(LC2,Stormwater!$D$6:$L$80,9,FALSE)),"",VLOOKUP(LC2,Stormwater!$D$6:$L$80,9,FALSE))</f>
        <v/>
      </c>
      <c r="LD9" s="115" t="str">
        <f>IF(ISBLANK(VLOOKUP(LD2,Stormwater!$D$6:$L$80,9,FALSE)),"",VLOOKUP(LD2,Stormwater!$D$6:$L$80,9,FALSE))</f>
        <v/>
      </c>
      <c r="LE9" s="115" t="str">
        <f>IF(ISBLANK(VLOOKUP(LE2,Stormwater!$D$6:$L$80,9,FALSE)),"",VLOOKUP(LE2,Stormwater!$D$6:$L$80,9,FALSE))</f>
        <v/>
      </c>
      <c r="LF9" s="115" t="str">
        <f>IF(ISBLANK(VLOOKUP(LF2,Stormwater!$D$6:$L$80,9,FALSE)),"",VLOOKUP(LF2,Stormwater!$D$6:$L$80,9,FALSE))</f>
        <v/>
      </c>
      <c r="LG9" s="115" t="str">
        <f>IF(ISBLANK(VLOOKUP(LG2,Stormwater!$D$6:$L$80,9,FALSE)),"",VLOOKUP(LG2,Stormwater!$D$6:$L$80,9,FALSE))</f>
        <v/>
      </c>
      <c r="LH9" s="115" t="str">
        <f>IF(ISBLANK(VLOOKUP(LH2,Stormwater!$D$6:$L$80,9,FALSE)),"",VLOOKUP(LH2,Stormwater!$D$6:$L$80,9,FALSE))</f>
        <v/>
      </c>
      <c r="LI9" s="115" t="str">
        <f>IF(ISBLANK(VLOOKUP(LI2,Stormwater!$D$6:$L$80,9,FALSE)),"",VLOOKUP(LI2,Stormwater!$D$6:$L$80,9,FALSE))</f>
        <v/>
      </c>
      <c r="LJ9" s="115" t="str">
        <f>IF(ISBLANK(VLOOKUP(LJ2,Stormwater!$D$6:$L$80,9,FALSE)),"",VLOOKUP(LJ2,Stormwater!$D$6:$L$80,9,FALSE))</f>
        <v/>
      </c>
      <c r="LK9" s="115" t="str">
        <f>IF(ISBLANK(VLOOKUP(LK2,Stormwater!$D$6:$L$80,9,FALSE)),"",VLOOKUP(LK2,Stormwater!$D$6:$L$80,9,FALSE))</f>
        <v/>
      </c>
      <c r="LL9" s="115" t="str">
        <f>IF(ISBLANK(VLOOKUP(LL2,Stormwater!$D$6:$L$80,9,FALSE)),"",VLOOKUP(LL2,Stormwater!$D$6:$L$80,9,FALSE))</f>
        <v/>
      </c>
      <c r="LM9" s="115" t="str">
        <f>IF(ISBLANK(VLOOKUP(LM2,Stormwater!$D$6:$L$80,9,FALSE)),"",VLOOKUP(LM2,Stormwater!$D$6:$L$80,9,FALSE))</f>
        <v/>
      </c>
      <c r="LN9" s="115" t="str">
        <f>IF(ISBLANK(VLOOKUP(LN2,Stormwater!$D$6:$L$80,9,FALSE)),"",VLOOKUP(LN2,Stormwater!$D$6:$L$80,9,FALSE))</f>
        <v/>
      </c>
      <c r="LO9" s="115" t="str">
        <f>IF(ISBLANK(VLOOKUP(LO2,Stormwater!$D$6:$L$80,9,FALSE)),"",VLOOKUP(LO2,Stormwater!$D$6:$L$80,9,FALSE))</f>
        <v/>
      </c>
      <c r="LP9" s="115" t="str">
        <f>IF(ISBLANK(VLOOKUP(LP2,Stormwater!$D$6:$L$80,9,FALSE)),"",VLOOKUP(LP2,Stormwater!$D$6:$L$80,9,FALSE))</f>
        <v/>
      </c>
      <c r="LQ9" s="115" t="str">
        <f>IF(ISBLANK(VLOOKUP(LQ2,Stormwater!$D$6:$L$80,9,FALSE)),"",VLOOKUP(LQ2,Stormwater!$D$6:$L$80,9,FALSE))</f>
        <v/>
      </c>
      <c r="LR9" s="115" t="str">
        <f>IF(ISBLANK(VLOOKUP(LR2,Stormwater!$D$6:$L$80,9,FALSE)),"",VLOOKUP(LR2,Stormwater!$D$6:$L$80,9,FALSE))</f>
        <v/>
      </c>
      <c r="LS9" s="115" t="str">
        <f>IF(ISBLANK(VLOOKUP(LS2,Stormwater!$D$6:$L$80,9,FALSE)),"",VLOOKUP(LS2,Stormwater!$D$6:$L$80,9,FALSE))</f>
        <v/>
      </c>
      <c r="LT9" s="115" t="str">
        <f>IF(ISBLANK(VLOOKUP(LT2,Stormwater!$D$6:$L$80,9,FALSE)),"",VLOOKUP(LT2,Stormwater!$D$6:$L$80,9,FALSE))</f>
        <v/>
      </c>
      <c r="LU9" s="115" t="str">
        <f>IF(ISBLANK(VLOOKUP(LU2,Stormwater!$D$6:$L$80,9,FALSE)),"",VLOOKUP(LU2,Stormwater!$D$6:$L$80,9,FALSE))</f>
        <v/>
      </c>
      <c r="LV9" s="115" t="str">
        <f>IF(ISBLANK(VLOOKUP(LV2,Stormwater!$D$6:$L$80,9,FALSE)),"",VLOOKUP(LV2,Stormwater!$D$6:$L$80,9,FALSE))</f>
        <v/>
      </c>
    </row>
    <row r="10" spans="1:426">
      <c r="HX10" s="56"/>
    </row>
    <row r="11" spans="1:426">
      <c r="M11" s="56"/>
      <c r="HX11" s="56"/>
    </row>
    <row r="12" spans="1:426">
      <c r="M12" s="56"/>
      <c r="HX12" s="56"/>
    </row>
    <row r="13" spans="1:426">
      <c r="HX13" s="56"/>
    </row>
    <row r="14" spans="1:426">
      <c r="HX14" s="56"/>
    </row>
    <row r="15" spans="1:426">
      <c r="HX15" s="56"/>
    </row>
    <row r="16" spans="1:426">
      <c r="HX16" s="56"/>
    </row>
    <row r="17" spans="232:232">
      <c r="HX17" s="56"/>
    </row>
    <row r="18" spans="232:232">
      <c r="HX18" s="56"/>
    </row>
    <row r="19" spans="232:232">
      <c r="HX19" s="56"/>
    </row>
    <row r="20" spans="232:232">
      <c r="HX20" s="56"/>
    </row>
    <row r="21" spans="232:232">
      <c r="HX21" s="56"/>
    </row>
    <row r="22" spans="232:232">
      <c r="HX22" s="56"/>
    </row>
    <row r="23" spans="232:232">
      <c r="HX23" s="56"/>
    </row>
    <row r="24" spans="232:232">
      <c r="HX24" s="56"/>
    </row>
    <row r="25" spans="232:232">
      <c r="HX25" s="56"/>
    </row>
    <row r="26" spans="232:232">
      <c r="HX26" s="56"/>
    </row>
    <row r="27" spans="232:232">
      <c r="HX27" s="56"/>
    </row>
    <row r="28" spans="232:232">
      <c r="HX28" s="56"/>
    </row>
    <row r="29" spans="232:232">
      <c r="HX29" s="56"/>
    </row>
    <row r="30" spans="232:232">
      <c r="HX30" s="56"/>
    </row>
    <row r="31" spans="232:232">
      <c r="HX31" s="56"/>
    </row>
    <row r="32" spans="232:232">
      <c r="HX32" s="56"/>
    </row>
    <row r="33" spans="232:232">
      <c r="HX33" s="56"/>
    </row>
    <row r="34" spans="232:232">
      <c r="HX34" s="56"/>
    </row>
    <row r="35" spans="232:232">
      <c r="HX35" s="56"/>
    </row>
    <row r="36" spans="232:232">
      <c r="HX36" s="56"/>
    </row>
    <row r="37" spans="232:232">
      <c r="HX37" s="56"/>
    </row>
    <row r="38" spans="232:232">
      <c r="HX38" s="56"/>
    </row>
    <row r="39" spans="232:232">
      <c r="HX39" s="56"/>
    </row>
    <row r="40" spans="232:232">
      <c r="HX40" s="56"/>
    </row>
    <row r="41" spans="232:232">
      <c r="HX41" s="56"/>
    </row>
    <row r="42" spans="232:232">
      <c r="HX42" s="56"/>
    </row>
    <row r="43" spans="232:232">
      <c r="HX43" s="56"/>
    </row>
    <row r="44" spans="232:232">
      <c r="HX44" s="56"/>
    </row>
    <row r="45" spans="232:232">
      <c r="HX45" s="56"/>
    </row>
    <row r="46" spans="232:232">
      <c r="HX46" s="56"/>
    </row>
    <row r="47" spans="232:232">
      <c r="HX47" s="56"/>
    </row>
    <row r="48" spans="232:232">
      <c r="HX48" s="56"/>
    </row>
    <row r="49" spans="232:232">
      <c r="HX49" s="56"/>
    </row>
    <row r="50" spans="232:232">
      <c r="HX50" s="56"/>
    </row>
    <row r="51" spans="232:232">
      <c r="HX51" s="56"/>
    </row>
    <row r="52" spans="232:232">
      <c r="HX52" s="56"/>
    </row>
    <row r="53" spans="232:232">
      <c r="HX53" s="56"/>
    </row>
    <row r="54" spans="232:232">
      <c r="HX54" s="56"/>
    </row>
    <row r="55" spans="232:232">
      <c r="HX55" s="56"/>
    </row>
    <row r="56" spans="232:232">
      <c r="HX56" s="56"/>
    </row>
    <row r="57" spans="232:232">
      <c r="HX57" s="56"/>
    </row>
    <row r="58" spans="232:232">
      <c r="HX58" s="56"/>
    </row>
    <row r="59" spans="232:232">
      <c r="HX59" s="56"/>
    </row>
    <row r="60" spans="232:232">
      <c r="HX60" s="56"/>
    </row>
    <row r="61" spans="232:232">
      <c r="HX61" s="56"/>
    </row>
    <row r="62" spans="232:232">
      <c r="HX62" s="56"/>
    </row>
    <row r="63" spans="232:232">
      <c r="HX63" s="56"/>
    </row>
    <row r="64" spans="232:232">
      <c r="HX64" s="56"/>
    </row>
    <row r="65" spans="232:235">
      <c r="HX65" s="56"/>
    </row>
    <row r="66" spans="232:235">
      <c r="HX66" s="56"/>
    </row>
    <row r="67" spans="232:235">
      <c r="HX67" s="56"/>
    </row>
    <row r="68" spans="232:235">
      <c r="HX68" s="56"/>
    </row>
    <row r="69" spans="232:235">
      <c r="HX69" s="56"/>
    </row>
    <row r="70" spans="232:235">
      <c r="HX70" s="56"/>
    </row>
    <row r="71" spans="232:235">
      <c r="HX71" s="56"/>
    </row>
    <row r="72" spans="232:235">
      <c r="HX72" s="56"/>
    </row>
    <row r="73" spans="232:235">
      <c r="HX73" s="56"/>
    </row>
    <row r="74" spans="232:235">
      <c r="HX74" s="56"/>
      <c r="IA74" s="56"/>
    </row>
    <row r="75" spans="232:235">
      <c r="HX75" s="56"/>
      <c r="IA75" s="56"/>
    </row>
    <row r="76" spans="232:235">
      <c r="HX76" s="56"/>
      <c r="IA76" s="56"/>
    </row>
    <row r="77" spans="232:235">
      <c r="HX77" s="56"/>
      <c r="IA77" s="56"/>
    </row>
    <row r="78" spans="232:235">
      <c r="HX78" s="56"/>
      <c r="IA78" s="56"/>
    </row>
    <row r="79" spans="232:235">
      <c r="HX79" s="56"/>
      <c r="IA79" s="56"/>
    </row>
    <row r="80" spans="232:235">
      <c r="IA80" s="56"/>
    </row>
    <row r="81" spans="235:235">
      <c r="IA81" s="56"/>
    </row>
    <row r="82" spans="235:235">
      <c r="IA82" s="56"/>
    </row>
    <row r="83" spans="235:235">
      <c r="IA83" s="56"/>
    </row>
    <row r="84" spans="235:235">
      <c r="IA84" s="56"/>
    </row>
    <row r="85" spans="235:235">
      <c r="IA85" s="56"/>
    </row>
    <row r="86" spans="235:235">
      <c r="IA86" s="56"/>
    </row>
    <row r="87" spans="235:235">
      <c r="IA87" s="56"/>
    </row>
    <row r="88" spans="235:235">
      <c r="IA88" s="56"/>
    </row>
    <row r="89" spans="235:235">
      <c r="IA89" s="56"/>
    </row>
    <row r="90" spans="235:235">
      <c r="IA90" s="56"/>
    </row>
    <row r="91" spans="235:235">
      <c r="IA91" s="56"/>
    </row>
    <row r="92" spans="235:235">
      <c r="IA92" s="56"/>
    </row>
    <row r="93" spans="235:235">
      <c r="IA93" s="56"/>
    </row>
    <row r="94" spans="235:235">
      <c r="IA94" s="56"/>
    </row>
    <row r="95" spans="235:235">
      <c r="IA95" s="56"/>
    </row>
    <row r="96" spans="235:235">
      <c r="IA96" s="56"/>
    </row>
    <row r="97" spans="16:235">
      <c r="IA97" s="56"/>
    </row>
    <row r="98" spans="16:235">
      <c r="IA98" s="56"/>
    </row>
    <row r="99" spans="16:235">
      <c r="IA99" s="56"/>
    </row>
    <row r="100" spans="16:235">
      <c r="IA100" s="56"/>
    </row>
    <row r="101" spans="16:235">
      <c r="IA101" s="56"/>
    </row>
    <row r="102" spans="16:235">
      <c r="IA102" s="56"/>
    </row>
    <row r="103" spans="16:235">
      <c r="IA103" s="56"/>
    </row>
    <row r="104" spans="16:235">
      <c r="IA104" s="56"/>
    </row>
    <row r="105" spans="16:235">
      <c r="IA105" s="56"/>
    </row>
    <row r="106" spans="16:235">
      <c r="IA106" s="56"/>
    </row>
    <row r="107" spans="16:235">
      <c r="IA107" s="56"/>
    </row>
    <row r="108" spans="16:235">
      <c r="IA108" s="56"/>
    </row>
    <row r="109" spans="16:235">
      <c r="IA109" s="56"/>
    </row>
    <row r="112" spans="16:235">
      <c r="P112" s="56"/>
    </row>
    <row r="113" spans="16:126">
      <c r="P113" s="56"/>
    </row>
    <row r="114" spans="16:126">
      <c r="P114" s="56"/>
      <c r="DV114" s="56"/>
    </row>
    <row r="115" spans="16:126">
      <c r="P115" s="56"/>
      <c r="DV115" s="56"/>
    </row>
    <row r="116" spans="16:126">
      <c r="P116" s="56"/>
      <c r="DV116" s="56"/>
    </row>
    <row r="117" spans="16:126">
      <c r="P117" s="56"/>
      <c r="DV117" s="56"/>
    </row>
    <row r="118" spans="16:126">
      <c r="P118" s="56"/>
      <c r="DV118" s="56"/>
    </row>
    <row r="119" spans="16:126">
      <c r="P119" s="56"/>
    </row>
  </sheetData>
  <conditionalFormatting sqref="MA3">
    <cfRule type="cellIs" dxfId="0" priority="1" operator="equal">
      <formula>999999999</formula>
    </cfRule>
  </conditionalFormatting>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U21"/>
  <sheetViews>
    <sheetView workbookViewId="0">
      <selection activeCell="Q6" sqref="Q6"/>
    </sheetView>
  </sheetViews>
  <sheetFormatPr defaultRowHeight="15"/>
  <cols>
    <col min="2" max="2" width="9.140625" style="115"/>
    <col min="3" max="3" width="39.28515625" style="115" customWidth="1"/>
    <col min="4" max="21" width="9.140625" style="115"/>
  </cols>
  <sheetData>
    <row r="1" spans="1:21" s="115" customFormat="1">
      <c r="A1" s="108" t="str">
        <f>Wastewater!E$10&amp;" ["&amp;Wastewater!D$10&amp;"]"</f>
        <v>Wastewater treatment plant name [WWA7a]</v>
      </c>
      <c r="B1" s="108" t="str">
        <f>Wastewater!$E$11&amp;" ["&amp;Wastewater!$D$11&amp;"]"</f>
        <v>Volume of wastewater treated at treatment plant [WWA7d]</v>
      </c>
      <c r="C1" s="108" t="str">
        <f>Wastewater!$E$12&amp;" ["&amp;Wastewater!$D$12&amp;"]"</f>
        <v>Proportion of trade waste at treatment plant [WWA7f]</v>
      </c>
      <c r="D1" s="108" t="str">
        <f>Wastewater!$E$13&amp;" ["&amp;Wastewater!$D$13&amp;"]"</f>
        <v>Wastewater Imported for Treatment [WWB6]</v>
      </c>
      <c r="E1" s="108" t="str">
        <f>Wastewater!$E$14&amp;" ["&amp;Wastewater!$D$14&amp;"]"</f>
        <v>Wastewater Exported for Treatment [WWB5]</v>
      </c>
      <c r="F1" s="108" t="str">
        <f>Wastewater!$E$15&amp;" ["&amp;Wastewater!$D$15&amp;"]"</f>
        <v>Number of consents at each treatment plant [WWA7g]</v>
      </c>
      <c r="G1" s="108" t="str">
        <f>Wastewater!$E$16&amp;" ["&amp;Wastewater!$D$16&amp;"]"</f>
        <v>Treatment Plant effluent resource consent expiry date [WWA7h]</v>
      </c>
      <c r="H1" s="108" t="str">
        <f>Wastewater!$E$17&amp;" ["&amp;Wastewater!$D$17&amp;"]"</f>
        <v>Treatment plant effluent consent status [WWA7i]</v>
      </c>
      <c r="I1" s="108" t="str">
        <f>Wastewater!$E$19&amp;" ["&amp;Wastewater!$D$19&amp;"]"</f>
        <v>Treatment Plant sludge production of wet sludge/biosolids [WWA7j-1]</v>
      </c>
      <c r="J1" s="108" t="str">
        <f>Wastewater!$E$20&amp;" ["&amp;Wastewater!$D$20&amp;"]"</f>
        <v>Percentage of dry solids in wastewater sludge/biosolids [WWA7j-2]</v>
      </c>
      <c r="K1" s="108" t="str">
        <f>Wastewater!$E$21&amp;" ["&amp;Wastewater!$D$21&amp;"]"</f>
        <v>Disposal of wastewater sludge in year to on site stockpile [WWA7k-1]</v>
      </c>
      <c r="L1" s="108" t="str">
        <f>Wastewater!$E$22&amp;" ["&amp;Wastewater!$D$22&amp;"]"</f>
        <v>Disposal of wastewater sludge in year to landfill [WWA7k-2]</v>
      </c>
      <c r="M1" s="108" t="str">
        <f>Wastewater!$E$23&amp;" ["&amp;Wastewater!$D$23&amp;"]"</f>
        <v>Disposal of wastewater sludge in year to composting and reuse [WWA7k-3]</v>
      </c>
      <c r="N1" s="108" t="str">
        <f>Wastewater!$E$24&amp;" ["&amp;Wastewater!$D$24&amp;"]"</f>
        <v>Disposal of wastewater sludge in year to other routes [WWA7k-4]</v>
      </c>
      <c r="O1" s="108" t="str">
        <f>Wastewater!$E$25&amp;" ["&amp;Wastewater!$D$25&amp;"]"</f>
        <v>Last year desludged [WWA7k-5]</v>
      </c>
      <c r="P1" s="108" t="str">
        <f>Wastewater!$E$26&amp;" ["&amp;Wastewater!$D$26&amp;"]"</f>
        <v>Treatment plant peak wet to average dry weather flow ratio [WWA7m]</v>
      </c>
      <c r="Q1" s="108" t="str">
        <f>Wastewater!$E$27&amp;" ["&amp;Wastewater!$D$27&amp;"]"</f>
        <v>Wastewater treatment plant process emissions [WWA7n]</v>
      </c>
      <c r="R1" s="108" t="str">
        <f>Wastewater!$E$28&amp;" ["&amp;Wastewater!$D$28&amp;"]"</f>
        <v>Wastewater treatment wetland emissions [WWA7o]</v>
      </c>
      <c r="S1" s="108" t="str">
        <f>Wastewater!$E$29&amp;" ["&amp;Wastewater!$D$29&amp;"]"</f>
        <v>Wastewater effluent disposal emissions [WWA7p]</v>
      </c>
      <c r="T1" s="108" t="str">
        <f>Wastewater!$E$30&amp;" ["&amp;Wastewater!$D$30&amp;"]"</f>
        <v>Wastewater sludge treatment emissions [WWA7q]</v>
      </c>
      <c r="U1" s="108" t="str">
        <f>Wastewater!$E$31&amp;" ["&amp;Wastewater!$D$31&amp;"]"</f>
        <v>Wastewater sludge disposal emissions [WWA7r]</v>
      </c>
    </row>
    <row r="2" spans="1:21">
      <c r="A2" s="108" t="str">
        <f>Wastewater!M$10</f>
        <v xml:space="preserve">Queenstown WWTP (Project Shotover) </v>
      </c>
      <c r="B2" s="108" t="str">
        <f>IF(Wastewater!M$11=0,"",Wastewater!M$11)</f>
        <v/>
      </c>
      <c r="C2" s="108" t="str">
        <f>IF(Wastewater!M$12=0," ",Wastewater!M$12)</f>
        <v xml:space="preserve"> </v>
      </c>
      <c r="D2" s="108" t="str">
        <f>IF(Wastewater!$M$13=0," ",Wastewater!$M$13)</f>
        <v xml:space="preserve"> </v>
      </c>
      <c r="E2" s="108" t="str">
        <f>IF(Wastewater!$M$14=0," ",Wastewater!$M$14)</f>
        <v xml:space="preserve"> </v>
      </c>
      <c r="F2" s="108" t="str">
        <f>IF(Wastewater!$M$15=0," ",Wastewater!$M$15)</f>
        <v xml:space="preserve"> </v>
      </c>
      <c r="G2" s="108" t="str">
        <f>IF(Wastewater!$M$16=0," ",Wastewater!$M$16)</f>
        <v xml:space="preserve"> </v>
      </c>
      <c r="H2" s="108" t="str">
        <f>IF(Wastewater!$M$17=0," ",Wastewater!$M$17)</f>
        <v xml:space="preserve"> </v>
      </c>
      <c r="I2" s="108" t="str">
        <f>IF(Wastewater!$M$19=0," ",Wastewater!$M$19)</f>
        <v xml:space="preserve"> </v>
      </c>
      <c r="J2" s="108" t="str">
        <f>IF(Wastewater!$M$20=0," ",Wastewater!$M$20)</f>
        <v xml:space="preserve"> </v>
      </c>
      <c r="K2" s="108" t="str">
        <f>IF(Wastewater!$M$21=0," ",Wastewater!$M$21)</f>
        <v xml:space="preserve"> </v>
      </c>
      <c r="L2" s="108" t="str">
        <f>IF(Wastewater!$M$22=0," ",Wastewater!$M$22)</f>
        <v xml:space="preserve"> </v>
      </c>
      <c r="M2" s="108" t="str">
        <f>IF(Wastewater!$M$23=0," ",Wastewater!$M$23)</f>
        <v xml:space="preserve"> </v>
      </c>
      <c r="N2" s="108" t="str">
        <f>IF(Wastewater!$M$24=0," ",Wastewater!$M$24)</f>
        <v xml:space="preserve"> </v>
      </c>
      <c r="O2" s="108" t="str">
        <f>IF(Wastewater!$M$25=0," ",Wastewater!$M$25)</f>
        <v xml:space="preserve"> </v>
      </c>
      <c r="P2" s="108" t="str">
        <f>IF(Wastewater!$M$26=0," ",Wastewater!$M$26)</f>
        <v xml:space="preserve"> </v>
      </c>
      <c r="Q2" s="108" t="str">
        <f>IF(Wastewater!$M$27=0," ",Wastewater!$M$27)</f>
        <v xml:space="preserve"> </v>
      </c>
      <c r="R2" s="108" t="str">
        <f>IF(Wastewater!$M$28=0," ",Wastewater!$M$28)</f>
        <v xml:space="preserve"> </v>
      </c>
      <c r="S2" s="108" t="str">
        <f>IF(Wastewater!$M$29=0," ",Wastewater!$M$29)</f>
        <v xml:space="preserve"> </v>
      </c>
      <c r="T2" s="108" t="str">
        <f>IF(Wastewater!$M$30=0," ",Wastewater!$M$30)</f>
        <v xml:space="preserve"> </v>
      </c>
      <c r="U2" s="108" t="str">
        <f>IF(Wastewater!$M$31=0," ",Wastewater!$M$31)</f>
        <v xml:space="preserve"> </v>
      </c>
    </row>
    <row r="3" spans="1:21">
      <c r="A3" s="108" t="str">
        <f>Wastewater!N10</f>
        <v>Wanaka WWTP (Project Pure)</v>
      </c>
      <c r="B3" s="108" t="str">
        <f>IF(Wastewater!N$11=0,"",Wastewater!N$11)</f>
        <v/>
      </c>
      <c r="C3" s="108" t="str">
        <f>IF(Wastewater!N$12=0," ",Wastewater!N$12)</f>
        <v xml:space="preserve"> </v>
      </c>
      <c r="D3" s="108" t="str">
        <f>IF(Wastewater!$N$13=0," ",Wastewater!$N$13)</f>
        <v xml:space="preserve"> </v>
      </c>
      <c r="E3" s="108" t="str">
        <f>IF(Wastewater!$N$14=0," ",Wastewater!$N$14)</f>
        <v xml:space="preserve"> </v>
      </c>
      <c r="F3" s="108" t="str">
        <f>IF(Wastewater!$N$15=0," ",Wastewater!$N$15)</f>
        <v xml:space="preserve"> </v>
      </c>
      <c r="G3" s="108" t="str">
        <f>IF(Wastewater!$N$16=0," ",Wastewater!$N$16)</f>
        <v xml:space="preserve"> </v>
      </c>
      <c r="H3" s="108" t="str">
        <f>IF(Wastewater!$N$17=0," ",Wastewater!$N$17)</f>
        <v xml:space="preserve"> </v>
      </c>
      <c r="I3" s="108" t="str">
        <f>IF(Wastewater!$N$19=0," ",Wastewater!$N$19)</f>
        <v xml:space="preserve"> </v>
      </c>
      <c r="J3" s="108" t="str">
        <f>IF(Wastewater!$N$20=0," ",Wastewater!$N$20)</f>
        <v xml:space="preserve"> </v>
      </c>
      <c r="K3" s="108" t="str">
        <f>IF(Wastewater!$N$21=0," ",Wastewater!$N$21)</f>
        <v xml:space="preserve"> </v>
      </c>
      <c r="L3" s="108" t="str">
        <f>IF(Wastewater!$N$22=0," ",Wastewater!$N$22)</f>
        <v xml:space="preserve"> </v>
      </c>
      <c r="M3" s="108" t="str">
        <f>IF(Wastewater!$N$23=0," ",Wastewater!$N$23)</f>
        <v xml:space="preserve"> </v>
      </c>
      <c r="N3" s="108" t="str">
        <f>IF(Wastewater!$N$24=0," ",Wastewater!$N$24)</f>
        <v xml:space="preserve"> </v>
      </c>
      <c r="O3" s="108" t="str">
        <f>IF(Wastewater!$N$25=0," ",Wastewater!$N$25)</f>
        <v xml:space="preserve"> </v>
      </c>
      <c r="P3" s="108" t="str">
        <f>IF(Wastewater!$N$26=0," ",Wastewater!$N$26)</f>
        <v xml:space="preserve"> </v>
      </c>
      <c r="Q3" s="108" t="str">
        <f>IF(Wastewater!$N$27=0," ",Wastewater!$N$27)</f>
        <v xml:space="preserve"> </v>
      </c>
      <c r="R3" s="108" t="str">
        <f>IF(Wastewater!$N$28=0," ",Wastewater!$N$28)</f>
        <v xml:space="preserve"> </v>
      </c>
      <c r="S3" s="108" t="str">
        <f>IF(Wastewater!$N$29=0," ",Wastewater!$N$29)</f>
        <v xml:space="preserve"> </v>
      </c>
      <c r="T3" s="108" t="str">
        <f>IF(Wastewater!$N$30=0," ",Wastewater!$N$30)</f>
        <v xml:space="preserve"> </v>
      </c>
      <c r="U3" s="108" t="str">
        <f>IF(Wastewater!$N$31=0," ",Wastewater!$N$31)</f>
        <v xml:space="preserve"> </v>
      </c>
    </row>
    <row r="4" spans="1:21">
      <c r="A4" s="108" t="str">
        <f>Wastewater!O10</f>
        <v>Cardrona WWTP</v>
      </c>
      <c r="B4" s="108" t="str">
        <f>IF(Wastewater!O$11=0,"",Wastewater!O$11)</f>
        <v/>
      </c>
      <c r="C4" s="108" t="str">
        <f>IF(Wastewater!O$12=0," ",Wastewater!O$12)</f>
        <v xml:space="preserve"> </v>
      </c>
      <c r="D4" s="108" t="str">
        <f>IF(Wastewater!$O$13=0," ",Wastewater!$O$13)</f>
        <v xml:space="preserve"> </v>
      </c>
      <c r="E4" s="108" t="str">
        <f>IF(Wastewater!$O$14=0," ",Wastewater!$O$14)</f>
        <v xml:space="preserve"> </v>
      </c>
      <c r="F4" s="108" t="str">
        <f>IF(Wastewater!$O$15=0," ",Wastewater!$O$15)</f>
        <v xml:space="preserve"> </v>
      </c>
      <c r="G4" s="108" t="str">
        <f>IF(Wastewater!$O$16=0," ",Wastewater!$O$16)</f>
        <v xml:space="preserve"> </v>
      </c>
      <c r="H4" s="108" t="str">
        <f>IF(Wastewater!$O$17=0," ",Wastewater!$O$17)</f>
        <v xml:space="preserve"> </v>
      </c>
      <c r="I4" s="108" t="str">
        <f>IF(Wastewater!$O$19=0," ",Wastewater!$O$19)</f>
        <v xml:space="preserve"> </v>
      </c>
      <c r="J4" s="108" t="str">
        <f>IF(Wastewater!$O$20=0," ",Wastewater!$O$20)</f>
        <v xml:space="preserve"> </v>
      </c>
      <c r="K4" s="108" t="str">
        <f>IF(Wastewater!$O$21=0," ",Wastewater!$O$21)</f>
        <v xml:space="preserve"> </v>
      </c>
      <c r="L4" s="108" t="str">
        <f>IF(Wastewater!$O$22=0," ",Wastewater!$O$22)</f>
        <v xml:space="preserve"> </v>
      </c>
      <c r="M4" s="108" t="str">
        <f>IF(Wastewater!$O$23=0," ",Wastewater!$O$23)</f>
        <v xml:space="preserve"> </v>
      </c>
      <c r="N4" s="108" t="str">
        <f>IF(Wastewater!$O$24=0," ",Wastewater!$O$24)</f>
        <v xml:space="preserve"> </v>
      </c>
      <c r="O4" s="108" t="str">
        <f>IF(Wastewater!$O$25=0," ",Wastewater!$O$25)</f>
        <v xml:space="preserve"> </v>
      </c>
      <c r="P4" s="108" t="str">
        <f>IF(Wastewater!$O$26=0," ",Wastewater!$O$26)</f>
        <v xml:space="preserve"> </v>
      </c>
      <c r="Q4" s="108" t="str">
        <f>IF(Wastewater!$O$27=0," ",Wastewater!$O$27)</f>
        <v xml:space="preserve"> </v>
      </c>
      <c r="R4" s="108" t="str">
        <f>IF(Wastewater!$O$28=0," ",Wastewater!$O$28)</f>
        <v xml:space="preserve"> </v>
      </c>
      <c r="S4" s="108" t="str">
        <f>IF(Wastewater!$O$29=0," ",Wastewater!$O$29)</f>
        <v xml:space="preserve"> </v>
      </c>
      <c r="T4" s="108" t="str">
        <f>IF(Wastewater!$O$30=0," ",Wastewater!$O$30)</f>
        <v xml:space="preserve"> </v>
      </c>
      <c r="U4" s="108" t="str">
        <f>IF(Wastewater!$O$31=0," ",Wastewater!$O$31)</f>
        <v xml:space="preserve"> </v>
      </c>
    </row>
    <row r="5" spans="1:21">
      <c r="A5" s="108" t="str">
        <f>Wastewater!P10</f>
        <v xml:space="preserve"> Hawea WWTP</v>
      </c>
      <c r="B5" s="108" t="str">
        <f>IF(Wastewater!P$11=0,"",Wastewater!P$11)</f>
        <v/>
      </c>
      <c r="C5" s="108" t="str">
        <f>IF(Wastewater!P$12=0," ",Wastewater!P$12)</f>
        <v xml:space="preserve"> </v>
      </c>
      <c r="D5" s="108" t="str">
        <f>IF(Wastewater!$P$13=0," ",Wastewater!$P$13)</f>
        <v xml:space="preserve"> </v>
      </c>
      <c r="E5" s="108" t="str">
        <f>IF(Wastewater!$P$14=0," ",Wastewater!$P$14)</f>
        <v xml:space="preserve"> </v>
      </c>
      <c r="F5" s="108" t="str">
        <f>IF(Wastewater!$P$15=0," ",Wastewater!$P$15)</f>
        <v xml:space="preserve"> </v>
      </c>
      <c r="G5" s="108" t="str">
        <f>IF(Wastewater!$P$16=0," ",Wastewater!$P$16)</f>
        <v xml:space="preserve"> </v>
      </c>
      <c r="H5" s="108" t="str">
        <f>IF(Wastewater!$P$17=0," ",Wastewater!$P$17)</f>
        <v xml:space="preserve"> </v>
      </c>
      <c r="I5" s="108" t="str">
        <f>IF(Wastewater!$P$19=0," ",Wastewater!$P$19)</f>
        <v xml:space="preserve"> </v>
      </c>
      <c r="J5" s="108" t="str">
        <f>IF(Wastewater!$P$20=0," ",Wastewater!$P$20)</f>
        <v xml:space="preserve"> </v>
      </c>
      <c r="K5" s="108" t="str">
        <f>IF(Wastewater!$P$21=0," ",Wastewater!$P$21)</f>
        <v xml:space="preserve"> </v>
      </c>
      <c r="L5" s="108" t="str">
        <f>IF(Wastewater!$P$22=0," ",Wastewater!$P$22)</f>
        <v xml:space="preserve"> </v>
      </c>
      <c r="M5" s="108" t="str">
        <f>IF(Wastewater!$P$23=0," ",Wastewater!$P$23)</f>
        <v xml:space="preserve"> </v>
      </c>
      <c r="N5" s="108" t="str">
        <f>IF(Wastewater!$P$24=0," ",Wastewater!$P$24)</f>
        <v xml:space="preserve"> </v>
      </c>
      <c r="O5" s="108" t="str">
        <f>IF(Wastewater!$P$25=0," ",Wastewater!$P$25)</f>
        <v xml:space="preserve"> </v>
      </c>
      <c r="P5" s="108" t="str">
        <f>IF(Wastewater!$P$26=0," ",Wastewater!$P$26)</f>
        <v xml:space="preserve"> </v>
      </c>
      <c r="Q5" s="108" t="str">
        <f>IF(Wastewater!$P$27=0," ",Wastewater!$P$27)</f>
        <v xml:space="preserve"> </v>
      </c>
      <c r="R5" s="108" t="str">
        <f>IF(Wastewater!$P$28=0," ",Wastewater!$P$28)</f>
        <v xml:space="preserve"> </v>
      </c>
      <c r="S5" s="108" t="str">
        <f>IF(Wastewater!$P$29=0," ",Wastewater!$P$29)</f>
        <v xml:space="preserve"> </v>
      </c>
      <c r="T5" s="108" t="str">
        <f>IF(Wastewater!$P$30=0," ",Wastewater!$P$30)</f>
        <v xml:space="preserve"> </v>
      </c>
      <c r="U5" s="108" t="str">
        <f>IF(Wastewater!$P$31=0," ",Wastewater!$P$31)</f>
        <v xml:space="preserve"> </v>
      </c>
    </row>
    <row r="6" spans="1:21">
      <c r="A6" s="108" t="str">
        <f>Wastewater!Q10</f>
        <v>Glendhu Bay campground</v>
      </c>
      <c r="B6" s="108" t="str">
        <f>IF(Wastewater!Q$11=0,"",Wastewater!Q$11)</f>
        <v/>
      </c>
      <c r="C6" s="108" t="str">
        <f>IF(Wastewater!Q$12=0," ",Wastewater!Q$12)</f>
        <v xml:space="preserve"> </v>
      </c>
      <c r="D6" s="108" t="str">
        <f>IF(Wastewater!$Q$13=0," ",Wastewater!$Q$13)</f>
        <v xml:space="preserve"> </v>
      </c>
      <c r="E6" s="108" t="str">
        <f>IF(Wastewater!$Q$14=0," ",Wastewater!$Q$14)</f>
        <v xml:space="preserve"> </v>
      </c>
      <c r="F6" s="108" t="str">
        <f>IF(Wastewater!$Q$15=0," ",Wastewater!$Q$15)</f>
        <v xml:space="preserve"> </v>
      </c>
      <c r="G6" s="108" t="str">
        <f>IF(Wastewater!$Q$16=0," ",Wastewater!$Q$16)</f>
        <v xml:space="preserve"> </v>
      </c>
      <c r="H6" s="108" t="str">
        <f>IF(Wastewater!$Q$17=0," ",Wastewater!$Q$17)</f>
        <v xml:space="preserve"> </v>
      </c>
      <c r="I6" s="108" t="str">
        <f>IF(Wastewater!$Q$19=0," ",Wastewater!$Q$19)</f>
        <v xml:space="preserve"> </v>
      </c>
      <c r="J6" s="108" t="str">
        <f>IF(Wastewater!$Q$20=0," ",Wastewater!$Q$20)</f>
        <v xml:space="preserve"> </v>
      </c>
      <c r="K6" s="108" t="str">
        <f>IF(Wastewater!$Q$21=0," ",Wastewater!$Q$21)</f>
        <v xml:space="preserve"> </v>
      </c>
      <c r="L6" s="108" t="str">
        <f>IF(Wastewater!$Q$22=0," ",Wastewater!$Q$22)</f>
        <v xml:space="preserve"> </v>
      </c>
      <c r="M6" s="108" t="str">
        <f>IF(Wastewater!$Q$23=0," ",Wastewater!$Q$23)</f>
        <v xml:space="preserve"> </v>
      </c>
      <c r="N6" s="108" t="str">
        <f>IF(Wastewater!$Q$24=0," ",Wastewater!$Q$24)</f>
        <v xml:space="preserve"> </v>
      </c>
      <c r="O6" s="108" t="str">
        <f>IF(Wastewater!$Q$25=0," ",Wastewater!$Q$25)</f>
        <v xml:space="preserve"> </v>
      </c>
      <c r="P6" s="108" t="str">
        <f>IF(Wastewater!$Q$26=0," ",Wastewater!$Q$26)</f>
        <v xml:space="preserve"> </v>
      </c>
      <c r="Q6" s="108" t="str">
        <f>IF(Wastewater!$Q$27=0," ",Wastewater!$Q$27)</f>
        <v xml:space="preserve"> </v>
      </c>
      <c r="R6" s="108" t="str">
        <f>IF(Wastewater!$Q$28=0," ",Wastewater!$Q$28)</f>
        <v xml:space="preserve"> </v>
      </c>
      <c r="S6" s="108" t="str">
        <f>IF(Wastewater!$Q$29=0," ",Wastewater!$Q$29)</f>
        <v xml:space="preserve"> </v>
      </c>
      <c r="T6" s="108" t="str">
        <f>IF(Wastewater!$Q$30=0," ",Wastewater!$Q$30)</f>
        <v xml:space="preserve"> </v>
      </c>
      <c r="U6" s="108" t="str">
        <f>IF(Wastewater!$Q$31=0," ",Wastewater!$Q$31)</f>
        <v xml:space="preserve"> </v>
      </c>
    </row>
    <row r="7" spans="1:21">
      <c r="A7" s="108" t="str">
        <f>Wastewater!R10</f>
        <v>Albert Town campground</v>
      </c>
      <c r="B7" s="108" t="str">
        <f>IF(Wastewater!R$11=0,"",Wastewater!R$11)</f>
        <v/>
      </c>
      <c r="C7" s="108" t="str">
        <f>IF(Wastewater!R$12=0," ",Wastewater!R$12)</f>
        <v xml:space="preserve"> </v>
      </c>
      <c r="D7" s="108" t="str">
        <f>IF(Wastewater!$R$13=0," ",Wastewater!$R$13)</f>
        <v xml:space="preserve"> </v>
      </c>
      <c r="E7" s="108" t="str">
        <f>IF(Wastewater!$R$14=0," ",Wastewater!$R$14)</f>
        <v xml:space="preserve"> </v>
      </c>
      <c r="F7" s="108" t="str">
        <f>IF(Wastewater!$R$15=0," ",Wastewater!$R$15)</f>
        <v xml:space="preserve"> </v>
      </c>
      <c r="G7" s="108" t="str">
        <f>IF(Wastewater!$R$16=0," ",Wastewater!$R$16)</f>
        <v xml:space="preserve"> </v>
      </c>
      <c r="H7" s="108" t="str">
        <f>IF(Wastewater!$R$17=0," ",Wastewater!$R$17)</f>
        <v xml:space="preserve"> </v>
      </c>
      <c r="I7" s="108" t="str">
        <f>IF(Wastewater!$R$19=0," ",Wastewater!$R$19)</f>
        <v xml:space="preserve"> </v>
      </c>
      <c r="J7" s="108" t="str">
        <f>IF(Wastewater!$R$20=0," ",Wastewater!$R$20)</f>
        <v xml:space="preserve"> </v>
      </c>
      <c r="K7" s="108" t="str">
        <f>IF(Wastewater!$R$21=0," ",Wastewater!$R$21)</f>
        <v xml:space="preserve"> </v>
      </c>
      <c r="L7" s="108" t="str">
        <f>IF(Wastewater!$R$22=0," ",Wastewater!$R$22)</f>
        <v xml:space="preserve"> </v>
      </c>
      <c r="M7" s="108" t="str">
        <f>IF(Wastewater!$R$23=0," ",Wastewater!$R$23)</f>
        <v xml:space="preserve"> </v>
      </c>
      <c r="N7" s="108" t="str">
        <f>IF(Wastewater!$R$24=0," ",Wastewater!$R$24)</f>
        <v xml:space="preserve"> </v>
      </c>
      <c r="O7" s="108" t="str">
        <f>IF(Wastewater!$R$25=0," ",Wastewater!$R$25)</f>
        <v xml:space="preserve"> </v>
      </c>
      <c r="P7" s="108" t="str">
        <f>IF(Wastewater!$R$26=0," ",Wastewater!$R$26)</f>
        <v xml:space="preserve"> </v>
      </c>
      <c r="Q7" s="108" t="str">
        <f>IF(Wastewater!$R$27=0," ",Wastewater!$R$27)</f>
        <v xml:space="preserve"> </v>
      </c>
      <c r="R7" s="108" t="str">
        <f>IF(Wastewater!$R$28=0," ",Wastewater!$R$28)</f>
        <v xml:space="preserve"> </v>
      </c>
      <c r="S7" s="108" t="str">
        <f>IF(Wastewater!$R$29=0," ",Wastewater!$R$29)</f>
        <v xml:space="preserve"> </v>
      </c>
      <c r="T7" s="108" t="str">
        <f>IF(Wastewater!$R$30=0," ",Wastewater!$R$30)</f>
        <v xml:space="preserve"> </v>
      </c>
      <c r="U7" s="108" t="str">
        <f>IF(Wastewater!$R$31=0," ",Wastewater!$R$31)</f>
        <v xml:space="preserve"> </v>
      </c>
    </row>
    <row r="8" spans="1:21">
      <c r="A8" s="108">
        <f>Wastewater!S10</f>
        <v>0</v>
      </c>
      <c r="B8" s="108" t="str">
        <f>IF(Wastewater!S$11=0,"",Wastewater!S$11)</f>
        <v/>
      </c>
      <c r="C8" s="108" t="str">
        <f>IF(Wastewater!S$12=0," ",Wastewater!S$12)</f>
        <v xml:space="preserve"> </v>
      </c>
      <c r="D8" s="108" t="str">
        <f>IF(Wastewater!$S$13=0," ",Wastewater!$S$13)</f>
        <v xml:space="preserve"> </v>
      </c>
      <c r="E8" s="108" t="str">
        <f>IF(Wastewater!$S$14=0," ",Wastewater!$S$14)</f>
        <v xml:space="preserve"> </v>
      </c>
      <c r="F8" s="108" t="str">
        <f>IF(Wastewater!$S$15=0," ",Wastewater!$S$15)</f>
        <v xml:space="preserve"> </v>
      </c>
      <c r="G8" s="108" t="str">
        <f>IF(Wastewater!$S$16=0," ",Wastewater!$S$16)</f>
        <v xml:space="preserve"> </v>
      </c>
      <c r="H8" s="108" t="str">
        <f>IF(Wastewater!$S$17=0," ",Wastewater!$S$17)</f>
        <v xml:space="preserve"> </v>
      </c>
      <c r="I8" s="108" t="str">
        <f>IF(Wastewater!$S$19=0," ",Wastewater!$S$19)</f>
        <v xml:space="preserve"> </v>
      </c>
      <c r="J8" s="108" t="str">
        <f>IF(Wastewater!$S$20=0," ",Wastewater!$S$20)</f>
        <v xml:space="preserve"> </v>
      </c>
      <c r="K8" s="108" t="str">
        <f>IF(Wastewater!$S$21=0," ",Wastewater!$S$21)</f>
        <v xml:space="preserve"> </v>
      </c>
      <c r="L8" s="108" t="str">
        <f>IF(Wastewater!$S$22=0," ",Wastewater!$S$22)</f>
        <v xml:space="preserve"> </v>
      </c>
      <c r="M8" s="108" t="str">
        <f>IF(Wastewater!$S$23=0," ",Wastewater!$S$23)</f>
        <v xml:space="preserve"> </v>
      </c>
      <c r="N8" s="108" t="str">
        <f>IF(Wastewater!$S$24=0," ",Wastewater!$S$24)</f>
        <v xml:space="preserve"> </v>
      </c>
      <c r="O8" s="108" t="str">
        <f>IF(Wastewater!$S$25=0," ",Wastewater!$S$25)</f>
        <v xml:space="preserve"> </v>
      </c>
      <c r="P8" s="108" t="str">
        <f>IF(Wastewater!$S$26=0," ",Wastewater!$S$26)</f>
        <v xml:space="preserve"> </v>
      </c>
      <c r="Q8" s="108" t="str">
        <f>IF(Wastewater!$S$27=0," ",Wastewater!$S$27)</f>
        <v xml:space="preserve"> </v>
      </c>
      <c r="R8" s="108" t="str">
        <f>IF(Wastewater!$S$28=0," ",Wastewater!$S$28)</f>
        <v xml:space="preserve"> </v>
      </c>
      <c r="S8" s="108" t="str">
        <f>IF(Wastewater!$S$29=0," ",Wastewater!$S$29)</f>
        <v xml:space="preserve"> </v>
      </c>
      <c r="T8" s="108" t="str">
        <f>IF(Wastewater!$S$30=0," ",Wastewater!$S$30)</f>
        <v xml:space="preserve"> </v>
      </c>
      <c r="U8" s="108" t="str">
        <f>IF(Wastewater!$S$31=0," ",Wastewater!$S$31)</f>
        <v xml:space="preserve"> </v>
      </c>
    </row>
    <row r="9" spans="1:21">
      <c r="A9" s="108">
        <f>Wastewater!T10</f>
        <v>0</v>
      </c>
      <c r="B9" s="108" t="str">
        <f>IF(Wastewater!T$11=0,"",Wastewater!T$11)</f>
        <v/>
      </c>
      <c r="C9" s="108" t="str">
        <f>IF(Wastewater!T$12=0," ",Wastewater!T$12)</f>
        <v xml:space="preserve"> </v>
      </c>
      <c r="D9" s="108" t="str">
        <f>IF(Wastewater!$T$13=0," ",Wastewater!$T$13)</f>
        <v xml:space="preserve"> </v>
      </c>
      <c r="E9" s="108" t="str">
        <f>IF(Wastewater!$T$14=0," ",Wastewater!$T$14)</f>
        <v xml:space="preserve"> </v>
      </c>
      <c r="F9" s="108" t="str">
        <f>IF(Wastewater!$T$15=0," ",Wastewater!$T$15)</f>
        <v xml:space="preserve"> </v>
      </c>
      <c r="G9" s="108" t="str">
        <f>IF(Wastewater!$T$16=0," ",Wastewater!$T$16)</f>
        <v xml:space="preserve"> </v>
      </c>
      <c r="H9" s="108" t="str">
        <f>IF(Wastewater!$T$17=0," ",Wastewater!$T$17)</f>
        <v xml:space="preserve"> </v>
      </c>
      <c r="I9" s="108" t="str">
        <f>IF(Wastewater!$T$19=0," ",Wastewater!$T$19)</f>
        <v xml:space="preserve"> </v>
      </c>
      <c r="J9" s="108" t="str">
        <f>IF(Wastewater!$T$20=0," ",Wastewater!$T$20)</f>
        <v xml:space="preserve"> </v>
      </c>
      <c r="K9" s="108" t="str">
        <f>IF(Wastewater!$T$21=0," ",Wastewater!$T$21)</f>
        <v xml:space="preserve"> </v>
      </c>
      <c r="L9" s="108" t="str">
        <f>IF(Wastewater!$T$22=0," ",Wastewater!$T$22)</f>
        <v xml:space="preserve"> </v>
      </c>
      <c r="M9" s="108" t="str">
        <f>IF(Wastewater!$T$23=0," ",Wastewater!$T$23)</f>
        <v xml:space="preserve"> </v>
      </c>
      <c r="N9" s="108" t="str">
        <f>IF(Wastewater!$T$24=0," ",Wastewater!$T$24)</f>
        <v xml:space="preserve"> </v>
      </c>
      <c r="O9" s="108" t="str">
        <f>IF(Wastewater!$T$25=0," ",Wastewater!$T$25)</f>
        <v xml:space="preserve"> </v>
      </c>
      <c r="P9" s="108" t="str">
        <f>IF(Wastewater!$T$26=0," ",Wastewater!$T$26)</f>
        <v xml:space="preserve"> </v>
      </c>
      <c r="Q9" s="108" t="str">
        <f>IF(Wastewater!$T$27=0," ",Wastewater!$T$27)</f>
        <v xml:space="preserve"> </v>
      </c>
      <c r="R9" s="108" t="str">
        <f>IF(Wastewater!$T$28=0," ",Wastewater!$T$28)</f>
        <v xml:space="preserve"> </v>
      </c>
      <c r="S9" s="108" t="str">
        <f>IF(Wastewater!$T$29=0," ",Wastewater!$T$29)</f>
        <v xml:space="preserve"> </v>
      </c>
      <c r="T9" s="108" t="str">
        <f>IF(Wastewater!$T$30=0," ",Wastewater!$T$30)</f>
        <v xml:space="preserve"> </v>
      </c>
      <c r="U9" s="108" t="str">
        <f>IF(Wastewater!$T$31=0," ",Wastewater!$T$31)</f>
        <v xml:space="preserve"> </v>
      </c>
    </row>
    <row r="10" spans="1:21">
      <c r="A10" s="108">
        <f>Wastewater!U10</f>
        <v>0</v>
      </c>
      <c r="B10" s="108" t="str">
        <f>IF(Wastewater!U$11=0,"",Wastewater!U$11)</f>
        <v/>
      </c>
      <c r="C10" s="108" t="str">
        <f>IF(Wastewater!U$12=0," ",Wastewater!U$12)</f>
        <v xml:space="preserve"> </v>
      </c>
      <c r="D10" s="108" t="str">
        <f>IF(Wastewater!$U$13=0," ",Wastewater!$U$13)</f>
        <v xml:space="preserve"> </v>
      </c>
      <c r="E10" s="108" t="str">
        <f>IF(Wastewater!$U$14=0," ",Wastewater!$U$14)</f>
        <v xml:space="preserve"> </v>
      </c>
      <c r="F10" s="108" t="str">
        <f>IF(Wastewater!$U$15=0," ",Wastewater!$U$15)</f>
        <v xml:space="preserve"> </v>
      </c>
      <c r="G10" s="108" t="str">
        <f>IF(Wastewater!$U$16=0," ",Wastewater!$U$16)</f>
        <v xml:space="preserve"> </v>
      </c>
      <c r="H10" s="108" t="str">
        <f>IF(Wastewater!$U$17=0," ",Wastewater!$U$17)</f>
        <v xml:space="preserve"> </v>
      </c>
      <c r="I10" s="108" t="str">
        <f>IF(Wastewater!$U$19=0," ",Wastewater!$U$19)</f>
        <v xml:space="preserve"> </v>
      </c>
      <c r="J10" s="108" t="str">
        <f>IF(Wastewater!$U$20=0," ",Wastewater!$U$20)</f>
        <v xml:space="preserve"> </v>
      </c>
      <c r="K10" s="108" t="str">
        <f>IF(Wastewater!$U$21=0," ",Wastewater!$U$21)</f>
        <v xml:space="preserve"> </v>
      </c>
      <c r="L10" s="108" t="str">
        <f>IF(Wastewater!$U$22=0," ",Wastewater!$U$22)</f>
        <v xml:space="preserve"> </v>
      </c>
      <c r="M10" s="108" t="str">
        <f>IF(Wastewater!$U$23=0," ",Wastewater!$U$23)</f>
        <v xml:space="preserve"> </v>
      </c>
      <c r="N10" s="108" t="str">
        <f>IF(Wastewater!$U$24=0," ",Wastewater!$U$24)</f>
        <v xml:space="preserve"> </v>
      </c>
      <c r="O10" s="108" t="str">
        <f>IF(Wastewater!$U$25=0," ",Wastewater!$U$25)</f>
        <v xml:space="preserve"> </v>
      </c>
      <c r="P10" s="108" t="str">
        <f>IF(Wastewater!$U$26=0," ",Wastewater!$U$26)</f>
        <v xml:space="preserve"> </v>
      </c>
      <c r="Q10" s="108" t="str">
        <f>IF(Wastewater!$U$27=0," ",Wastewater!$U$27)</f>
        <v xml:space="preserve"> </v>
      </c>
      <c r="R10" s="108" t="str">
        <f>IF(Wastewater!$U$28=0," ",Wastewater!$U$28)</f>
        <v xml:space="preserve"> </v>
      </c>
      <c r="S10" s="108" t="str">
        <f>IF(Wastewater!$U$29=0," ",Wastewater!$U$29)</f>
        <v xml:space="preserve"> </v>
      </c>
      <c r="T10" s="108" t="str">
        <f>IF(Wastewater!$U$30=0," ",Wastewater!$U$30)</f>
        <v xml:space="preserve"> </v>
      </c>
      <c r="U10" s="108" t="str">
        <f>IF(Wastewater!$U$31=0," ",Wastewater!$U$31)</f>
        <v xml:space="preserve"> </v>
      </c>
    </row>
    <row r="11" spans="1:21">
      <c r="A11" s="108">
        <f>Wastewater!V10</f>
        <v>0</v>
      </c>
      <c r="B11" s="108" t="str">
        <f>IF(Wastewater!V$11=0,"",Wastewater!V$11)</f>
        <v/>
      </c>
      <c r="C11" s="108" t="str">
        <f>IF(Wastewater!V$12=0," ",Wastewater!V$12)</f>
        <v xml:space="preserve"> </v>
      </c>
      <c r="D11" s="108" t="str">
        <f>IF(Wastewater!$V$13=0," ",Wastewater!$V$13)</f>
        <v xml:space="preserve"> </v>
      </c>
      <c r="E11" s="108" t="str">
        <f>IF(Wastewater!$V$14=0," ",Wastewater!$V$14)</f>
        <v xml:space="preserve"> </v>
      </c>
      <c r="F11" s="108" t="str">
        <f>IF(Wastewater!$V$15=0," ",Wastewater!$V$15)</f>
        <v xml:space="preserve"> </v>
      </c>
      <c r="G11" s="108" t="str">
        <f>IF(Wastewater!$V$16=0," ",Wastewater!$V$16)</f>
        <v xml:space="preserve"> </v>
      </c>
      <c r="H11" s="108" t="str">
        <f>IF(Wastewater!$V$17=0," ",Wastewater!$V$17)</f>
        <v xml:space="preserve"> </v>
      </c>
      <c r="I11" s="108" t="str">
        <f>IF(Wastewater!$V$19=0," ",Wastewater!$V$19)</f>
        <v xml:space="preserve"> </v>
      </c>
      <c r="J11" s="108" t="str">
        <f>IF(Wastewater!$V$20=0," ",Wastewater!$V$20)</f>
        <v xml:space="preserve"> </v>
      </c>
      <c r="K11" s="108" t="str">
        <f>IF(Wastewater!$V$21=0," ",Wastewater!$V$21)</f>
        <v xml:space="preserve"> </v>
      </c>
      <c r="L11" s="108" t="str">
        <f>IF(Wastewater!$V$22=0," ",Wastewater!$V$22)</f>
        <v xml:space="preserve"> </v>
      </c>
      <c r="M11" s="108" t="str">
        <f>IF(Wastewater!$V$23=0," ",Wastewater!$V$23)</f>
        <v xml:space="preserve"> </v>
      </c>
      <c r="N11" s="108" t="str">
        <f>IF(Wastewater!$V$24=0," ",Wastewater!$V$24)</f>
        <v xml:space="preserve"> </v>
      </c>
      <c r="O11" s="108" t="str">
        <f>IF(Wastewater!$V$25=0," ",Wastewater!$V$25)</f>
        <v xml:space="preserve"> </v>
      </c>
      <c r="P11" s="108" t="str">
        <f>IF(Wastewater!$V$26=0," ",Wastewater!$V$26)</f>
        <v xml:space="preserve"> </v>
      </c>
      <c r="Q11" s="108" t="str">
        <f>IF(Wastewater!$V$27=0," ",Wastewater!$V$27)</f>
        <v xml:space="preserve"> </v>
      </c>
      <c r="R11" s="108" t="str">
        <f>IF(Wastewater!$V$28=0," ",Wastewater!$V$28)</f>
        <v xml:space="preserve"> </v>
      </c>
      <c r="S11" s="108" t="str">
        <f>IF(Wastewater!$V$29=0," ",Wastewater!$V$29)</f>
        <v xml:space="preserve"> </v>
      </c>
      <c r="T11" s="108" t="str">
        <f>IF(Wastewater!$V$30=0," ",Wastewater!$V$30)</f>
        <v xml:space="preserve"> </v>
      </c>
      <c r="U11" s="108" t="str">
        <f>IF(Wastewater!$V$31=0," ",Wastewater!$V$31)</f>
        <v xml:space="preserve"> </v>
      </c>
    </row>
    <row r="12" spans="1:21">
      <c r="A12" s="108">
        <f>Wastewater!W10</f>
        <v>0</v>
      </c>
      <c r="B12" s="108" t="str">
        <f>IF(Wastewater!W$11=0,"",Wastewater!W$11)</f>
        <v/>
      </c>
      <c r="C12" s="108" t="str">
        <f>IF(Wastewater!W$12=0," ",Wastewater!W$12)</f>
        <v xml:space="preserve"> </v>
      </c>
      <c r="D12" s="108" t="str">
        <f>IF(Wastewater!$W$13=0," ",Wastewater!$W$13)</f>
        <v xml:space="preserve"> </v>
      </c>
      <c r="E12" s="108" t="str">
        <f>IF(Wastewater!$W$14=0," ",Wastewater!$W$14)</f>
        <v xml:space="preserve"> </v>
      </c>
      <c r="F12" s="108" t="str">
        <f>IF(Wastewater!$W$15=0," ",Wastewater!$W$15)</f>
        <v xml:space="preserve"> </v>
      </c>
      <c r="G12" s="108" t="str">
        <f>IF(Wastewater!$W$16=0," ",Wastewater!$W$16)</f>
        <v xml:space="preserve"> </v>
      </c>
      <c r="H12" s="108" t="str">
        <f>IF(Wastewater!$W$17=0," ",Wastewater!$W$17)</f>
        <v xml:space="preserve"> </v>
      </c>
      <c r="I12" s="108" t="str">
        <f>IF(Wastewater!$W$19=0," ",Wastewater!$W$19)</f>
        <v xml:space="preserve"> </v>
      </c>
      <c r="J12" s="108" t="str">
        <f>IF(Wastewater!$W$20=0," ",Wastewater!$W$20)</f>
        <v xml:space="preserve"> </v>
      </c>
      <c r="K12" s="108" t="str">
        <f>IF(Wastewater!$W$21=0," ",Wastewater!$W$21)</f>
        <v xml:space="preserve"> </v>
      </c>
      <c r="L12" s="108" t="str">
        <f>IF(Wastewater!$W$22=0," ",Wastewater!$W$22)</f>
        <v xml:space="preserve"> </v>
      </c>
      <c r="M12" s="108" t="str">
        <f>IF(Wastewater!$W$23=0," ",Wastewater!$W$23)</f>
        <v xml:space="preserve"> </v>
      </c>
      <c r="N12" s="108" t="str">
        <f>IF(Wastewater!$W$24=0," ",Wastewater!$W$24)</f>
        <v xml:space="preserve"> </v>
      </c>
      <c r="O12" s="108" t="str">
        <f>IF(Wastewater!$W$25=0," ",Wastewater!$W$25)</f>
        <v xml:space="preserve"> </v>
      </c>
      <c r="P12" s="108" t="str">
        <f>IF(Wastewater!$W$26=0," ",Wastewater!$W$26)</f>
        <v xml:space="preserve"> </v>
      </c>
      <c r="Q12" s="108" t="str">
        <f>IF(Wastewater!$W$27=0," ",Wastewater!$W$27)</f>
        <v xml:space="preserve"> </v>
      </c>
      <c r="R12" s="108" t="str">
        <f>IF(Wastewater!$W$28=0," ",Wastewater!$W$28)</f>
        <v xml:space="preserve"> </v>
      </c>
      <c r="S12" s="108" t="str">
        <f>IF(Wastewater!$W$29=0," ",Wastewater!$W$29)</f>
        <v xml:space="preserve"> </v>
      </c>
      <c r="T12" s="108" t="str">
        <f>IF(Wastewater!$W$30=0," ",Wastewater!$W$30)</f>
        <v xml:space="preserve"> </v>
      </c>
      <c r="U12" s="108" t="str">
        <f>IF(Wastewater!$W$31=0," ",Wastewater!$W$31)</f>
        <v xml:space="preserve"> </v>
      </c>
    </row>
    <row r="13" spans="1:21">
      <c r="A13" s="108">
        <f>Wastewater!X10</f>
        <v>0</v>
      </c>
      <c r="B13" s="108" t="str">
        <f>IF(Wastewater!X$11=0,"",Wastewater!X$11)</f>
        <v/>
      </c>
      <c r="C13" s="108" t="str">
        <f>IF(Wastewater!X$12=0," ",Wastewater!X$12)</f>
        <v xml:space="preserve"> </v>
      </c>
      <c r="D13" s="108" t="str">
        <f>IF(Wastewater!$X$13=0," ",Wastewater!$X$13)</f>
        <v xml:space="preserve"> </v>
      </c>
      <c r="E13" s="108" t="str">
        <f>IF(Wastewater!$X$14=0," ",Wastewater!$X$14)</f>
        <v xml:space="preserve"> </v>
      </c>
      <c r="F13" s="108" t="str">
        <f>IF(Wastewater!$X$15=0," ",Wastewater!$X$15)</f>
        <v xml:space="preserve"> </v>
      </c>
      <c r="G13" s="108" t="str">
        <f>IF(Wastewater!$X$16=0," ",Wastewater!$X$16)</f>
        <v xml:space="preserve"> </v>
      </c>
      <c r="H13" s="108" t="str">
        <f>IF(Wastewater!$X$17=0," ",Wastewater!$X$17)</f>
        <v xml:space="preserve"> </v>
      </c>
      <c r="I13" s="108" t="str">
        <f>IF(Wastewater!$X$19=0," ",Wastewater!$X$19)</f>
        <v xml:space="preserve"> </v>
      </c>
      <c r="J13" s="108" t="str">
        <f>IF(Wastewater!$X$20=0," ",Wastewater!$X$20)</f>
        <v xml:space="preserve"> </v>
      </c>
      <c r="K13" s="108" t="str">
        <f>IF(Wastewater!$X$21=0," ",Wastewater!$X$21)</f>
        <v xml:space="preserve"> </v>
      </c>
      <c r="L13" s="108" t="str">
        <f>IF(Wastewater!$X$22=0," ",Wastewater!$X$22)</f>
        <v xml:space="preserve"> </v>
      </c>
      <c r="M13" s="108" t="str">
        <f>IF(Wastewater!$X$23=0," ",Wastewater!$X$23)</f>
        <v xml:space="preserve"> </v>
      </c>
      <c r="N13" s="108" t="str">
        <f>IF(Wastewater!$X$24=0," ",Wastewater!$X$24)</f>
        <v xml:space="preserve"> </v>
      </c>
      <c r="O13" s="108" t="str">
        <f>IF(Wastewater!$X$25=0," ",Wastewater!$X$25)</f>
        <v xml:space="preserve"> </v>
      </c>
      <c r="P13" s="108" t="str">
        <f>IF(Wastewater!$X$26=0," ",Wastewater!$X$26)</f>
        <v xml:space="preserve"> </v>
      </c>
      <c r="Q13" s="108" t="str">
        <f>IF(Wastewater!$X$27=0," ",Wastewater!$X$27)</f>
        <v xml:space="preserve"> </v>
      </c>
      <c r="R13" s="108" t="str">
        <f>IF(Wastewater!$X$28=0," ",Wastewater!$X$28)</f>
        <v xml:space="preserve"> </v>
      </c>
      <c r="S13" s="108" t="str">
        <f>IF(Wastewater!$X$29=0," ",Wastewater!$X$29)</f>
        <v xml:space="preserve"> </v>
      </c>
      <c r="T13" s="108" t="str">
        <f>IF(Wastewater!$X$30=0," ",Wastewater!$X$30)</f>
        <v xml:space="preserve"> </v>
      </c>
      <c r="U13" s="108" t="str">
        <f>IF(Wastewater!$X$31=0," ",Wastewater!$X$31)</f>
        <v xml:space="preserve"> </v>
      </c>
    </row>
    <row r="14" spans="1:21">
      <c r="A14" s="108">
        <f>Wastewater!Y10</f>
        <v>0</v>
      </c>
      <c r="B14" s="108" t="str">
        <f>IF(Wastewater!Y$11=0,"",Wastewater!Y$11)</f>
        <v/>
      </c>
      <c r="C14" s="108" t="str">
        <f>IF(Wastewater!Y$12=0," ",Wastewater!Y$12)</f>
        <v xml:space="preserve"> </v>
      </c>
      <c r="D14" s="108" t="str">
        <f>IF(Wastewater!$Y$13=0," ",Wastewater!$Y$13)</f>
        <v xml:space="preserve"> </v>
      </c>
      <c r="E14" s="108" t="str">
        <f>IF(Wastewater!$Y$14=0," ",Wastewater!$Y$14)</f>
        <v xml:space="preserve"> </v>
      </c>
      <c r="F14" s="108" t="str">
        <f>IF(Wastewater!$Y$15=0," ",Wastewater!$Y$15)</f>
        <v xml:space="preserve"> </v>
      </c>
      <c r="G14" s="108" t="str">
        <f>IF(Wastewater!$Y$16=0," ",Wastewater!$Y$16)</f>
        <v xml:space="preserve"> </v>
      </c>
      <c r="H14" s="108" t="str">
        <f>IF(Wastewater!$Y$17=0," ",Wastewater!$Y$17)</f>
        <v xml:space="preserve"> </v>
      </c>
      <c r="I14" s="108" t="str">
        <f>IF(Wastewater!$Y$19=0," ",Wastewater!$Y$19)</f>
        <v xml:space="preserve"> </v>
      </c>
      <c r="J14" s="108" t="str">
        <f>IF(Wastewater!$Y$20=0," ",Wastewater!$Y$20)</f>
        <v xml:space="preserve"> </v>
      </c>
      <c r="K14" s="108" t="str">
        <f>IF(Wastewater!$Y$21=0," ",Wastewater!$Y$21)</f>
        <v xml:space="preserve"> </v>
      </c>
      <c r="L14" s="108" t="str">
        <f>IF(Wastewater!$Y$22=0," ",Wastewater!$Y$22)</f>
        <v xml:space="preserve"> </v>
      </c>
      <c r="M14" s="108" t="str">
        <f>IF(Wastewater!$Y$23=0," ",Wastewater!$Y$23)</f>
        <v xml:space="preserve"> </v>
      </c>
      <c r="N14" s="108" t="str">
        <f>IF(Wastewater!$Y$24=0," ",Wastewater!$Y$24)</f>
        <v xml:space="preserve"> </v>
      </c>
      <c r="O14" s="108" t="str">
        <f>IF(Wastewater!$Y$25=0," ",Wastewater!$Y$25)</f>
        <v xml:space="preserve"> </v>
      </c>
      <c r="P14" s="108" t="str">
        <f>IF(Wastewater!$Y$26=0," ",Wastewater!$Y$26)</f>
        <v xml:space="preserve"> </v>
      </c>
      <c r="Q14" s="108" t="str">
        <f>IF(Wastewater!$Y$27=0," ",Wastewater!$Y$27)</f>
        <v xml:space="preserve"> </v>
      </c>
      <c r="R14" s="108" t="str">
        <f>IF(Wastewater!$Y$28=0," ",Wastewater!$Y$28)</f>
        <v xml:space="preserve"> </v>
      </c>
      <c r="S14" s="108" t="str">
        <f>IF(Wastewater!$Y$29=0," ",Wastewater!$Y$29)</f>
        <v xml:space="preserve"> </v>
      </c>
      <c r="T14" s="108" t="str">
        <f>IF(Wastewater!$Y$30=0," ",Wastewater!$Y$30)</f>
        <v xml:space="preserve"> </v>
      </c>
      <c r="U14" s="108" t="str">
        <f>IF(Wastewater!$Y$31=0," ",Wastewater!$Y$31)</f>
        <v xml:space="preserve"> </v>
      </c>
    </row>
    <row r="15" spans="1:21">
      <c r="A15" s="108">
        <f>Wastewater!Z10</f>
        <v>0</v>
      </c>
      <c r="B15" s="108" t="str">
        <f>IF(Wastewater!Z$11=0,"",Wastewater!Z$11)</f>
        <v/>
      </c>
      <c r="C15" s="108" t="str">
        <f>IF(Wastewater!Z$12=0," ",Wastewater!Z$12)</f>
        <v xml:space="preserve"> </v>
      </c>
      <c r="D15" s="108" t="str">
        <f>IF(Wastewater!$Z$13=0," ",Wastewater!$Z$13)</f>
        <v xml:space="preserve"> </v>
      </c>
      <c r="E15" s="108" t="str">
        <f>IF(Wastewater!$Z$14=0," ",Wastewater!$Z$14)</f>
        <v xml:space="preserve"> </v>
      </c>
      <c r="F15" s="108" t="str">
        <f>IF(Wastewater!$Z$15=0," ",Wastewater!$Z$15)</f>
        <v xml:space="preserve"> </v>
      </c>
      <c r="G15" s="108" t="str">
        <f>IF(Wastewater!$Z$16=0," ",Wastewater!$Z$16)</f>
        <v xml:space="preserve"> </v>
      </c>
      <c r="H15" s="108" t="str">
        <f>IF(Wastewater!$Z$17=0," ",Wastewater!$Z$17)</f>
        <v xml:space="preserve"> </v>
      </c>
      <c r="I15" s="108" t="str">
        <f>IF(Wastewater!$Z$19=0," ",Wastewater!$Z$19)</f>
        <v xml:space="preserve"> </v>
      </c>
      <c r="J15" s="108" t="str">
        <f>IF(Wastewater!$Z$20=0," ",Wastewater!$Z$20)</f>
        <v xml:space="preserve"> </v>
      </c>
      <c r="K15" s="108" t="str">
        <f>IF(Wastewater!$Z$21=0," ",Wastewater!$Z$21)</f>
        <v xml:space="preserve"> </v>
      </c>
      <c r="L15" s="108" t="str">
        <f>IF(Wastewater!$Z$22=0," ",Wastewater!$Z$22)</f>
        <v xml:space="preserve"> </v>
      </c>
      <c r="M15" s="108" t="str">
        <f>IF(Wastewater!$Z$23=0," ",Wastewater!$Z$23)</f>
        <v xml:space="preserve"> </v>
      </c>
      <c r="N15" s="108" t="str">
        <f>IF(Wastewater!$Z$24=0," ",Wastewater!$Z$24)</f>
        <v xml:space="preserve"> </v>
      </c>
      <c r="O15" s="108" t="str">
        <f>IF(Wastewater!$Z$25=0," ",Wastewater!$Z$25)</f>
        <v xml:space="preserve"> </v>
      </c>
      <c r="P15" s="108" t="str">
        <f>IF(Wastewater!$Z$26=0," ",Wastewater!$Z$26)</f>
        <v xml:space="preserve"> </v>
      </c>
      <c r="Q15" s="108" t="str">
        <f>IF(Wastewater!$Z$27=0," ",Wastewater!$Z$27)</f>
        <v xml:space="preserve"> </v>
      </c>
      <c r="R15" s="108" t="str">
        <f>IF(Wastewater!$Z$28=0," ",Wastewater!$Z$28)</f>
        <v xml:space="preserve"> </v>
      </c>
      <c r="S15" s="108" t="str">
        <f>IF(Wastewater!$Z$29=0," ",Wastewater!$Z$29)</f>
        <v xml:space="preserve"> </v>
      </c>
      <c r="T15" s="108" t="str">
        <f>IF(Wastewater!$Z$30=0," ",Wastewater!$Z$30)</f>
        <v xml:space="preserve"> </v>
      </c>
      <c r="U15" s="108" t="str">
        <f>IF(Wastewater!$Z$31=0," ",Wastewater!$Z$31)</f>
        <v xml:space="preserve"> </v>
      </c>
    </row>
    <row r="16" spans="1:21">
      <c r="A16" s="108">
        <f>Wastewater!AA10</f>
        <v>0</v>
      </c>
      <c r="B16" s="108" t="str">
        <f>IF(Wastewater!AA$11=0,"",Wastewater!AA$11)</f>
        <v/>
      </c>
      <c r="C16" s="108" t="str">
        <f>IF(Wastewater!AA$12=0," ",Wastewater!AA$12)</f>
        <v xml:space="preserve"> </v>
      </c>
      <c r="D16" s="108" t="str">
        <f>IF(Wastewater!$AA$13=0," ",Wastewater!$AA$13)</f>
        <v xml:space="preserve"> </v>
      </c>
      <c r="E16" s="108" t="str">
        <f>IF(Wastewater!$AA$14=0," ",Wastewater!$AA$14)</f>
        <v xml:space="preserve"> </v>
      </c>
      <c r="F16" s="108" t="str">
        <f>IF(Wastewater!$AA$15=0," ",Wastewater!$AA$15)</f>
        <v xml:space="preserve"> </v>
      </c>
      <c r="G16" s="108" t="str">
        <f>IF(Wastewater!$AA$16=0," ",Wastewater!$AA$16)</f>
        <v xml:space="preserve"> </v>
      </c>
      <c r="H16" s="108" t="str">
        <f>IF(Wastewater!$AA$17=0," ",Wastewater!$AA$17)</f>
        <v xml:space="preserve"> </v>
      </c>
      <c r="I16" s="108" t="str">
        <f>IF(Wastewater!$AA$19=0," ",Wastewater!$AA$19)</f>
        <v xml:space="preserve"> </v>
      </c>
      <c r="J16" s="108" t="str">
        <f>IF(Wastewater!$AA$20=0," ",Wastewater!$AA$20)</f>
        <v xml:space="preserve"> </v>
      </c>
      <c r="K16" s="108" t="str">
        <f>IF(Wastewater!$AA$21=0," ",Wastewater!$AA$21)</f>
        <v xml:space="preserve"> </v>
      </c>
      <c r="L16" s="108" t="str">
        <f>IF(Wastewater!$AA$22=0," ",Wastewater!$AA$22)</f>
        <v xml:space="preserve"> </v>
      </c>
      <c r="M16" s="108" t="str">
        <f>IF(Wastewater!$AA$23=0," ",Wastewater!$AA$23)</f>
        <v xml:space="preserve"> </v>
      </c>
      <c r="N16" s="108" t="str">
        <f>IF(Wastewater!$AA$24=0," ",Wastewater!$AA$24)</f>
        <v xml:space="preserve"> </v>
      </c>
      <c r="O16" s="108" t="str">
        <f>IF(Wastewater!$AA$25=0," ",Wastewater!$AA$25)</f>
        <v xml:space="preserve"> </v>
      </c>
      <c r="P16" s="108" t="str">
        <f>IF(Wastewater!$AA$26=0," ",Wastewater!$AA$26)</f>
        <v xml:space="preserve"> </v>
      </c>
      <c r="Q16" s="108" t="str">
        <f>IF(Wastewater!$AA$27=0," ",Wastewater!$AA$27)</f>
        <v xml:space="preserve"> </v>
      </c>
      <c r="R16" s="108" t="str">
        <f>IF(Wastewater!$AA$28=0," ",Wastewater!$AA$28)</f>
        <v xml:space="preserve"> </v>
      </c>
      <c r="S16" s="108" t="str">
        <f>IF(Wastewater!$AA$29=0," ",Wastewater!$AA$29)</f>
        <v xml:space="preserve"> </v>
      </c>
      <c r="T16" s="108" t="str">
        <f>IF(Wastewater!$AA$30=0," ",Wastewater!$AA$30)</f>
        <v xml:space="preserve"> </v>
      </c>
      <c r="U16" s="108" t="str">
        <f>IF(Wastewater!$AA$31=0," ",Wastewater!$AA$31)</f>
        <v xml:space="preserve"> </v>
      </c>
    </row>
    <row r="17" spans="1:21">
      <c r="A17" s="108">
        <f>Wastewater!AB10</f>
        <v>0</v>
      </c>
      <c r="B17" s="108" t="str">
        <f>IF(Wastewater!AB$11=0,"",Wastewater!AB$11)</f>
        <v/>
      </c>
      <c r="C17" s="108" t="str">
        <f>IF(Wastewater!AB$12=0," ",Wastewater!AB$12)</f>
        <v xml:space="preserve"> </v>
      </c>
      <c r="D17" s="108" t="str">
        <f>IF(Wastewater!$AB$13=0," ",Wastewater!$AB$13)</f>
        <v xml:space="preserve"> </v>
      </c>
      <c r="E17" s="108" t="str">
        <f>IF(Wastewater!$AB$14=0," ",Wastewater!$AB$14)</f>
        <v xml:space="preserve"> </v>
      </c>
      <c r="F17" s="108" t="str">
        <f>IF(Wastewater!$AB$15=0," ",Wastewater!$AB$15)</f>
        <v xml:space="preserve"> </v>
      </c>
      <c r="G17" s="108" t="str">
        <f>IF(Wastewater!$AB$16=0," ",Wastewater!$AB$16)</f>
        <v xml:space="preserve"> </v>
      </c>
      <c r="H17" s="108" t="str">
        <f>IF(Wastewater!$AB$17=0," ",Wastewater!$AB$17)</f>
        <v xml:space="preserve"> </v>
      </c>
      <c r="I17" s="108" t="str">
        <f>IF(Wastewater!$AB$19=0," ",Wastewater!$AB$19)</f>
        <v xml:space="preserve"> </v>
      </c>
      <c r="J17" s="108" t="str">
        <f>IF(Wastewater!$AB$20=0," ",Wastewater!$AB$20)</f>
        <v xml:space="preserve"> </v>
      </c>
      <c r="K17" s="108" t="str">
        <f>IF(Wastewater!$AB$21=0," ",Wastewater!$AB$21)</f>
        <v xml:space="preserve"> </v>
      </c>
      <c r="L17" s="108" t="str">
        <f>IF(Wastewater!$AB$22=0," ",Wastewater!$AB$22)</f>
        <v xml:space="preserve"> </v>
      </c>
      <c r="M17" s="108" t="str">
        <f>IF(Wastewater!$AB$23=0," ",Wastewater!$AB$23)</f>
        <v xml:space="preserve"> </v>
      </c>
      <c r="N17" s="108" t="str">
        <f>IF(Wastewater!$AB$24=0," ",Wastewater!$AB$24)</f>
        <v xml:space="preserve"> </v>
      </c>
      <c r="O17" s="108" t="str">
        <f>IF(Wastewater!$AB$25=0," ",Wastewater!$AB$25)</f>
        <v xml:space="preserve"> </v>
      </c>
      <c r="P17" s="108" t="str">
        <f>IF(Wastewater!$AB$26=0," ",Wastewater!$AB$26)</f>
        <v xml:space="preserve"> </v>
      </c>
      <c r="Q17" s="108" t="str">
        <f>IF(Wastewater!$AB$27=0," ",Wastewater!$AB$27)</f>
        <v xml:space="preserve"> </v>
      </c>
      <c r="R17" s="108" t="str">
        <f>IF(Wastewater!$AB$28=0," ",Wastewater!$AB$28)</f>
        <v xml:space="preserve"> </v>
      </c>
      <c r="S17" s="108" t="str">
        <f>IF(Wastewater!$AB$29=0," ",Wastewater!$AB$29)</f>
        <v xml:space="preserve"> </v>
      </c>
      <c r="T17" s="108" t="str">
        <f>IF(Wastewater!$AB$30=0," ",Wastewater!$AB$30)</f>
        <v xml:space="preserve"> </v>
      </c>
      <c r="U17" s="108" t="str">
        <f>IF(Wastewater!$AB$31=0," ",Wastewater!$AB$31)</f>
        <v xml:space="preserve"> </v>
      </c>
    </row>
    <row r="18" spans="1:21">
      <c r="A18" s="108">
        <f>Wastewater!AC10</f>
        <v>0</v>
      </c>
      <c r="B18" s="108" t="str">
        <f>IF(Wastewater!AC$11=0,"",Wastewater!AC$11)</f>
        <v/>
      </c>
      <c r="C18" s="108" t="str">
        <f>IF(Wastewater!AC$12=0," ",Wastewater!AC$12)</f>
        <v xml:space="preserve"> </v>
      </c>
      <c r="D18" s="108" t="str">
        <f>IF(Wastewater!$AC$13=0," ",Wastewater!$AC$13)</f>
        <v xml:space="preserve"> </v>
      </c>
      <c r="E18" s="108" t="str">
        <f>IF(Wastewater!$AC$14=0," ",Wastewater!$AC$14)</f>
        <v xml:space="preserve"> </v>
      </c>
      <c r="F18" s="108" t="str">
        <f>IF(Wastewater!$AC$15=0," ",Wastewater!$AC$15)</f>
        <v xml:space="preserve"> </v>
      </c>
      <c r="G18" s="108" t="str">
        <f>IF(Wastewater!$AC$16=0," ",Wastewater!$AC$16)</f>
        <v xml:space="preserve"> </v>
      </c>
      <c r="H18" s="108" t="str">
        <f>IF(Wastewater!$AC$17=0," ",Wastewater!$AC$17)</f>
        <v xml:space="preserve"> </v>
      </c>
      <c r="I18" s="108" t="str">
        <f>IF(Wastewater!$AC$19=0," ",Wastewater!$AC$19)</f>
        <v xml:space="preserve"> </v>
      </c>
      <c r="J18" s="108" t="str">
        <f>IF(Wastewater!$AC$20=0," ",Wastewater!$AC$20)</f>
        <v xml:space="preserve"> </v>
      </c>
      <c r="K18" s="108" t="str">
        <f>IF(Wastewater!$AC$21=0," ",Wastewater!$AC$21)</f>
        <v xml:space="preserve"> </v>
      </c>
      <c r="L18" s="108" t="str">
        <f>IF(Wastewater!$AC$22=0," ",Wastewater!$AC$22)</f>
        <v xml:space="preserve"> </v>
      </c>
      <c r="M18" s="108" t="str">
        <f>IF(Wastewater!$AC$23=0," ",Wastewater!$AC$23)</f>
        <v xml:space="preserve"> </v>
      </c>
      <c r="N18" s="108" t="str">
        <f>IF(Wastewater!$AC$24=0," ",Wastewater!$AC$24)</f>
        <v xml:space="preserve"> </v>
      </c>
      <c r="O18" s="108" t="str">
        <f>IF(Wastewater!$AC$25=0," ",Wastewater!$AC$25)</f>
        <v xml:space="preserve"> </v>
      </c>
      <c r="P18" s="108" t="str">
        <f>IF(Wastewater!$AC$26=0," ",Wastewater!$AC$26)</f>
        <v xml:space="preserve"> </v>
      </c>
      <c r="Q18" s="108" t="str">
        <f>IF(Wastewater!$AC$27=0," ",Wastewater!$AC$27)</f>
        <v xml:space="preserve"> </v>
      </c>
      <c r="R18" s="108" t="str">
        <f>IF(Wastewater!$AC$28=0," ",Wastewater!$AC$28)</f>
        <v xml:space="preserve"> </v>
      </c>
      <c r="S18" s="108" t="str">
        <f>IF(Wastewater!$AC$29=0," ",Wastewater!$AC$29)</f>
        <v xml:space="preserve"> </v>
      </c>
      <c r="T18" s="108" t="str">
        <f>IF(Wastewater!$AC$30=0," ",Wastewater!$AC$30)</f>
        <v xml:space="preserve"> </v>
      </c>
      <c r="U18" s="108" t="str">
        <f>IF(Wastewater!$AC$31=0," ",Wastewater!$AC$31)</f>
        <v xml:space="preserve"> </v>
      </c>
    </row>
    <row r="19" spans="1:21">
      <c r="A19" s="108">
        <f>Wastewater!AD10</f>
        <v>0</v>
      </c>
      <c r="B19" s="108" t="str">
        <f>IF(Wastewater!AD$11=0,"",Wastewater!AD$11)</f>
        <v/>
      </c>
      <c r="C19" s="108" t="str">
        <f>IF(Wastewater!AD$12=0," ",Wastewater!AD$12)</f>
        <v xml:space="preserve"> </v>
      </c>
      <c r="D19" s="108" t="str">
        <f>IF(Wastewater!$AD$13=0," ",Wastewater!$AD$13)</f>
        <v xml:space="preserve"> </v>
      </c>
      <c r="E19" s="108" t="str">
        <f>IF(Wastewater!$AD$14=0," ",Wastewater!$AD$14)</f>
        <v xml:space="preserve"> </v>
      </c>
      <c r="F19" s="108" t="str">
        <f>IF(Wastewater!$AD$15=0," ",Wastewater!$AD$15)</f>
        <v xml:space="preserve"> </v>
      </c>
      <c r="G19" s="108" t="str">
        <f>IF(Wastewater!$AD$16=0," ",Wastewater!$AD$16)</f>
        <v xml:space="preserve"> </v>
      </c>
      <c r="H19" s="108" t="str">
        <f>IF(Wastewater!$AD$17=0," ",Wastewater!$AD$17)</f>
        <v xml:space="preserve"> </v>
      </c>
      <c r="I19" s="108" t="str">
        <f>IF(Wastewater!$AD$19=0," ",Wastewater!$AD$19)</f>
        <v xml:space="preserve"> </v>
      </c>
      <c r="J19" s="108" t="str">
        <f>IF(Wastewater!$AD$20=0," ",Wastewater!$AD$20)</f>
        <v xml:space="preserve"> </v>
      </c>
      <c r="K19" s="108" t="str">
        <f>IF(Wastewater!$AD$21=0," ",Wastewater!$AD$21)</f>
        <v xml:space="preserve"> </v>
      </c>
      <c r="L19" s="108" t="str">
        <f>IF(Wastewater!$AD$22=0," ",Wastewater!$AD$22)</f>
        <v xml:space="preserve"> </v>
      </c>
      <c r="M19" s="108" t="str">
        <f>IF(Wastewater!$AD$23=0," ",Wastewater!$AD$23)</f>
        <v xml:space="preserve"> </v>
      </c>
      <c r="N19" s="108" t="str">
        <f>IF(Wastewater!$AD$24=0," ",Wastewater!$AD$24)</f>
        <v xml:space="preserve"> </v>
      </c>
      <c r="O19" s="108" t="str">
        <f>IF(Wastewater!$AD$25=0," ",Wastewater!$AD$25)</f>
        <v xml:space="preserve"> </v>
      </c>
      <c r="P19" s="108" t="str">
        <f>IF(Wastewater!$AD$26=0," ",Wastewater!$AD$26)</f>
        <v xml:space="preserve"> </v>
      </c>
      <c r="Q19" s="108" t="str">
        <f>IF(Wastewater!$AD$27=0," ",Wastewater!$AD$27)</f>
        <v xml:space="preserve"> </v>
      </c>
      <c r="R19" s="108" t="str">
        <f>IF(Wastewater!$AD$28=0," ",Wastewater!$AD$28)</f>
        <v xml:space="preserve"> </v>
      </c>
      <c r="S19" s="108" t="str">
        <f>IF(Wastewater!$AD$29=0," ",Wastewater!$AD$29)</f>
        <v xml:space="preserve"> </v>
      </c>
      <c r="T19" s="108" t="str">
        <f>IF(Wastewater!$AD$30=0," ",Wastewater!$AD$30)</f>
        <v xml:space="preserve"> </v>
      </c>
      <c r="U19" s="108" t="str">
        <f>IF(Wastewater!$AD$31=0," ",Wastewater!$AD$31)</f>
        <v xml:space="preserve"> </v>
      </c>
    </row>
    <row r="20" spans="1:21">
      <c r="A20" s="115"/>
    </row>
    <row r="21" spans="1:21">
      <c r="A21" s="11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43"/>
  <sheetViews>
    <sheetView workbookViewId="0">
      <selection activeCell="Q6" sqref="Q6"/>
    </sheetView>
  </sheetViews>
  <sheetFormatPr defaultRowHeight="15"/>
  <sheetData>
    <row r="1" spans="1:20">
      <c r="A1" t="str">
        <f>Water!O10</f>
        <v>Network 1</v>
      </c>
      <c r="B1" s="115" t="str">
        <f>Water!P10</f>
        <v>Network 2</v>
      </c>
      <c r="C1" s="115" t="str">
        <f>Water!Q10</f>
        <v>Network 3</v>
      </c>
      <c r="D1" s="115" t="str">
        <f>Water!R10</f>
        <v>Network 4</v>
      </c>
      <c r="E1" s="115" t="str">
        <f>Water!S10</f>
        <v>Network 5</v>
      </c>
      <c r="F1" s="115" t="str">
        <f>Water!T10</f>
        <v>Network 6</v>
      </c>
      <c r="G1" s="115" t="str">
        <f>Water!U10</f>
        <v>Network 7</v>
      </c>
      <c r="H1" s="115" t="str">
        <f>Water!V10</f>
        <v>Network 8</v>
      </c>
      <c r="I1" s="115" t="str">
        <f>Water!W10</f>
        <v>Network 9</v>
      </c>
      <c r="J1" s="115" t="str">
        <f>Water!X10</f>
        <v>Network 10</v>
      </c>
      <c r="K1" s="115" t="str">
        <f>Water!Y10</f>
        <v>Network 11</v>
      </c>
      <c r="L1" s="115" t="str">
        <f>Water!Z10</f>
        <v>Network 12</v>
      </c>
      <c r="M1" s="115" t="str">
        <f>Water!AA10</f>
        <v>Network 13</v>
      </c>
      <c r="N1" s="115" t="str">
        <f>Water!AB10</f>
        <v>Network 14</v>
      </c>
      <c r="O1" s="115" t="str">
        <f>Water!AC10</f>
        <v>Network 15</v>
      </c>
      <c r="P1" s="115" t="str">
        <f>Water!AD10</f>
        <v>Network 16</v>
      </c>
      <c r="Q1" s="115" t="str">
        <f>Water!AE10</f>
        <v>Network 17</v>
      </c>
      <c r="R1" s="115" t="str">
        <f>Water!AF10</f>
        <v>Network 18</v>
      </c>
      <c r="S1" s="115" t="str">
        <f>Water!AG10</f>
        <v>Network 19</v>
      </c>
      <c r="T1" s="115" t="str">
        <f>Water!AH10</f>
        <v>Network 20</v>
      </c>
    </row>
    <row r="2" spans="1:20">
      <c r="A2" s="115">
        <f>Water!O11</f>
        <v>0</v>
      </c>
      <c r="B2" s="115">
        <f>Water!P11</f>
        <v>0</v>
      </c>
      <c r="C2" s="115">
        <f>Water!Q11</f>
        <v>0</v>
      </c>
      <c r="D2" s="115">
        <f>Water!R11</f>
        <v>0</v>
      </c>
      <c r="E2" s="115">
        <f>Water!S11</f>
        <v>0</v>
      </c>
      <c r="F2" s="115">
        <f>Water!T11</f>
        <v>0</v>
      </c>
      <c r="G2" s="115">
        <f>Water!U11</f>
        <v>0</v>
      </c>
      <c r="H2" s="115">
        <f>Water!V11</f>
        <v>0</v>
      </c>
      <c r="I2" s="115">
        <f>Water!W11</f>
        <v>0</v>
      </c>
      <c r="J2" s="115">
        <f>Water!X11</f>
        <v>0</v>
      </c>
      <c r="K2" s="115">
        <f>Water!Y11</f>
        <v>0</v>
      </c>
      <c r="L2" s="115">
        <f>Water!Z11</f>
        <v>0</v>
      </c>
      <c r="M2" s="115">
        <f>Water!AA11</f>
        <v>0</v>
      </c>
      <c r="N2" s="115">
        <f>Water!AB11</f>
        <v>0</v>
      </c>
      <c r="O2" s="115">
        <f>Water!AC11</f>
        <v>0</v>
      </c>
      <c r="P2" s="115">
        <f>Water!AD11</f>
        <v>0</v>
      </c>
      <c r="Q2" s="115">
        <f>Water!AE11</f>
        <v>0</v>
      </c>
      <c r="R2" s="115">
        <f>Water!AF11</f>
        <v>0</v>
      </c>
      <c r="S2" s="115">
        <f>Water!AG11</f>
        <v>0</v>
      </c>
      <c r="T2" s="115">
        <f>Water!AH11</f>
        <v>0</v>
      </c>
    </row>
    <row r="3" spans="1:20">
      <c r="A3" s="115">
        <f>Water!O12</f>
        <v>0</v>
      </c>
      <c r="B3" s="115">
        <f>Water!P12</f>
        <v>0</v>
      </c>
      <c r="C3" s="115">
        <f>Water!Q12</f>
        <v>0</v>
      </c>
      <c r="D3" s="115">
        <f>Water!R12</f>
        <v>0</v>
      </c>
      <c r="E3" s="115">
        <f>Water!S12</f>
        <v>0</v>
      </c>
      <c r="F3" s="115">
        <f>Water!T12</f>
        <v>0</v>
      </c>
      <c r="G3" s="115">
        <f>Water!U12</f>
        <v>0</v>
      </c>
      <c r="H3" s="115">
        <f>Water!V12</f>
        <v>0</v>
      </c>
      <c r="I3" s="115">
        <f>Water!W12</f>
        <v>0</v>
      </c>
      <c r="J3" s="115">
        <f>Water!X12</f>
        <v>0</v>
      </c>
      <c r="K3" s="115">
        <f>Water!Y12</f>
        <v>0</v>
      </c>
      <c r="L3" s="115">
        <f>Water!Z12</f>
        <v>0</v>
      </c>
      <c r="M3" s="115">
        <f>Water!AA12</f>
        <v>0</v>
      </c>
      <c r="N3" s="115">
        <f>Water!AB12</f>
        <v>0</v>
      </c>
      <c r="O3" s="115">
        <f>Water!AC12</f>
        <v>0</v>
      </c>
      <c r="P3" s="115">
        <f>Water!AD12</f>
        <v>0</v>
      </c>
      <c r="Q3" s="115">
        <f>Water!AE12</f>
        <v>0</v>
      </c>
      <c r="R3" s="115">
        <f>Water!AF12</f>
        <v>0</v>
      </c>
      <c r="S3" s="115">
        <f>Water!AG12</f>
        <v>0</v>
      </c>
      <c r="T3" s="115">
        <f>Water!AH12</f>
        <v>0</v>
      </c>
    </row>
    <row r="4" spans="1:20">
      <c r="A4" s="115">
        <f>Water!O13</f>
        <v>0</v>
      </c>
      <c r="B4" s="115">
        <f>Water!P13</f>
        <v>0</v>
      </c>
      <c r="C4" s="115">
        <f>Water!Q13</f>
        <v>0</v>
      </c>
      <c r="D4" s="115">
        <f>Water!R13</f>
        <v>0</v>
      </c>
      <c r="E4" s="115">
        <f>Water!S13</f>
        <v>0</v>
      </c>
      <c r="F4" s="115">
        <f>Water!T13</f>
        <v>0</v>
      </c>
      <c r="G4" s="115">
        <f>Water!U13</f>
        <v>0</v>
      </c>
      <c r="H4" s="115">
        <f>Water!V13</f>
        <v>0</v>
      </c>
      <c r="I4" s="115">
        <f>Water!W13</f>
        <v>0</v>
      </c>
      <c r="J4" s="115">
        <f>Water!X13</f>
        <v>0</v>
      </c>
      <c r="K4" s="115">
        <f>Water!Y13</f>
        <v>0</v>
      </c>
      <c r="L4" s="115">
        <f>Water!Z13</f>
        <v>0</v>
      </c>
      <c r="M4" s="115">
        <f>Water!AA13</f>
        <v>0</v>
      </c>
      <c r="N4" s="115">
        <f>Water!AB13</f>
        <v>0</v>
      </c>
      <c r="O4" s="115">
        <f>Water!AC13</f>
        <v>0</v>
      </c>
      <c r="P4" s="115">
        <f>Water!AD13</f>
        <v>0</v>
      </c>
      <c r="Q4" s="115">
        <f>Water!AE13</f>
        <v>0</v>
      </c>
      <c r="R4" s="115">
        <f>Water!AF13</f>
        <v>0</v>
      </c>
      <c r="S4" s="115">
        <f>Water!AG13</f>
        <v>0</v>
      </c>
      <c r="T4" s="115">
        <f>Water!AH13</f>
        <v>0</v>
      </c>
    </row>
    <row r="5" spans="1:20">
      <c r="A5" s="115">
        <f>Water!O14</f>
        <v>0</v>
      </c>
      <c r="B5" s="115">
        <f>Water!P14</f>
        <v>0</v>
      </c>
      <c r="C5" s="115">
        <f>Water!Q14</f>
        <v>0</v>
      </c>
      <c r="D5" s="115">
        <f>Water!R14</f>
        <v>0</v>
      </c>
      <c r="E5" s="115">
        <f>Water!S14</f>
        <v>0</v>
      </c>
      <c r="F5" s="115">
        <f>Water!T14</f>
        <v>0</v>
      </c>
      <c r="G5" s="115">
        <f>Water!U14</f>
        <v>0</v>
      </c>
      <c r="H5" s="115">
        <f>Water!V14</f>
        <v>0</v>
      </c>
      <c r="I5" s="115">
        <f>Water!W14</f>
        <v>0</v>
      </c>
      <c r="J5" s="115">
        <f>Water!X14</f>
        <v>0</v>
      </c>
      <c r="K5" s="115">
        <f>Water!Y14</f>
        <v>0</v>
      </c>
      <c r="L5" s="115">
        <f>Water!Z14</f>
        <v>0</v>
      </c>
      <c r="M5" s="115">
        <f>Water!AA14</f>
        <v>0</v>
      </c>
      <c r="N5" s="115">
        <f>Water!AB14</f>
        <v>0</v>
      </c>
      <c r="O5" s="115">
        <f>Water!AC14</f>
        <v>0</v>
      </c>
      <c r="P5" s="115">
        <f>Water!AD14</f>
        <v>0</v>
      </c>
      <c r="Q5" s="115">
        <f>Water!AE14</f>
        <v>0</v>
      </c>
      <c r="R5" s="115">
        <f>Water!AF14</f>
        <v>0</v>
      </c>
      <c r="S5" s="115">
        <f>Water!AG14</f>
        <v>0</v>
      </c>
      <c r="T5" s="115">
        <f>Water!AH14</f>
        <v>0</v>
      </c>
    </row>
    <row r="6" spans="1:20">
      <c r="A6" s="115">
        <f>Water!O15</f>
        <v>0</v>
      </c>
      <c r="B6" s="115">
        <f>Water!P15</f>
        <v>0</v>
      </c>
      <c r="C6" s="115">
        <f>Water!Q15</f>
        <v>0</v>
      </c>
      <c r="D6" s="115">
        <f>Water!R15</f>
        <v>0</v>
      </c>
      <c r="E6" s="115">
        <f>Water!S15</f>
        <v>0</v>
      </c>
      <c r="F6" s="115">
        <f>Water!T15</f>
        <v>0</v>
      </c>
      <c r="G6" s="115">
        <f>Water!U15</f>
        <v>0</v>
      </c>
      <c r="H6" s="115">
        <f>Water!V15</f>
        <v>0</v>
      </c>
      <c r="I6" s="115">
        <f>Water!W15</f>
        <v>0</v>
      </c>
      <c r="J6" s="115">
        <f>Water!X15</f>
        <v>0</v>
      </c>
      <c r="K6" s="115">
        <f>Water!Y15</f>
        <v>0</v>
      </c>
      <c r="L6" s="115">
        <f>Water!Z15</f>
        <v>0</v>
      </c>
      <c r="M6" s="115">
        <f>Water!AA15</f>
        <v>0</v>
      </c>
      <c r="N6" s="115">
        <f>Water!AB15</f>
        <v>0</v>
      </c>
      <c r="O6" s="115">
        <f>Water!AC15</f>
        <v>0</v>
      </c>
      <c r="P6" s="115">
        <f>Water!AD15</f>
        <v>0</v>
      </c>
      <c r="Q6" s="115">
        <f>Water!AE15</f>
        <v>0</v>
      </c>
      <c r="R6" s="115">
        <f>Water!AF15</f>
        <v>0</v>
      </c>
      <c r="S6" s="115">
        <f>Water!AG15</f>
        <v>0</v>
      </c>
      <c r="T6" s="115">
        <f>Water!AH15</f>
        <v>0</v>
      </c>
    </row>
    <row r="7" spans="1:20">
      <c r="A7" s="115">
        <f>Water!O16</f>
        <v>0</v>
      </c>
      <c r="B7" s="115">
        <f>Water!P16</f>
        <v>0</v>
      </c>
      <c r="C7" s="115">
        <f>Water!Q16</f>
        <v>0</v>
      </c>
      <c r="D7" s="115">
        <f>Water!R16</f>
        <v>0</v>
      </c>
      <c r="E7" s="115">
        <f>Water!S16</f>
        <v>0</v>
      </c>
      <c r="F7" s="115">
        <f>Water!T16</f>
        <v>0</v>
      </c>
      <c r="G7" s="115">
        <f>Water!U16</f>
        <v>0</v>
      </c>
      <c r="H7" s="115">
        <f>Water!V16</f>
        <v>0</v>
      </c>
      <c r="I7" s="115">
        <f>Water!W16</f>
        <v>0</v>
      </c>
      <c r="J7" s="115">
        <f>Water!X16</f>
        <v>0</v>
      </c>
      <c r="K7" s="115">
        <f>Water!Y16</f>
        <v>0</v>
      </c>
      <c r="L7" s="115">
        <f>Water!Z16</f>
        <v>0</v>
      </c>
      <c r="M7" s="115">
        <f>Water!AA16</f>
        <v>0</v>
      </c>
      <c r="N7" s="115">
        <f>Water!AB16</f>
        <v>0</v>
      </c>
      <c r="O7" s="115">
        <f>Water!AC16</f>
        <v>0</v>
      </c>
      <c r="P7" s="115">
        <f>Water!AD16</f>
        <v>0</v>
      </c>
      <c r="Q7" s="115">
        <f>Water!AE16</f>
        <v>0</v>
      </c>
      <c r="R7" s="115">
        <f>Water!AF16</f>
        <v>0</v>
      </c>
      <c r="S7" s="115">
        <f>Water!AG16</f>
        <v>0</v>
      </c>
      <c r="T7" s="115">
        <f>Water!AH16</f>
        <v>0</v>
      </c>
    </row>
    <row r="8" spans="1:20">
      <c r="A8" s="115">
        <f>Water!O19</f>
        <v>0</v>
      </c>
      <c r="B8" s="115">
        <f>Water!P19</f>
        <v>0</v>
      </c>
      <c r="C8" s="115">
        <f>Water!Q19</f>
        <v>0</v>
      </c>
      <c r="D8" s="115">
        <f>Water!R19</f>
        <v>0</v>
      </c>
      <c r="E8" s="115">
        <f>Water!S19</f>
        <v>0</v>
      </c>
      <c r="F8" s="115">
        <f>Water!T19</f>
        <v>0</v>
      </c>
      <c r="G8" s="115">
        <f>Water!U19</f>
        <v>0</v>
      </c>
      <c r="H8" s="115">
        <f>Water!V19</f>
        <v>0</v>
      </c>
      <c r="I8" s="115">
        <f>Water!W19</f>
        <v>0</v>
      </c>
      <c r="J8" s="115">
        <f>Water!X19</f>
        <v>0</v>
      </c>
      <c r="K8" s="115">
        <f>Water!Y19</f>
        <v>0</v>
      </c>
      <c r="L8" s="115">
        <f>Water!Z19</f>
        <v>0</v>
      </c>
      <c r="M8" s="115">
        <f>Water!AA19</f>
        <v>0</v>
      </c>
      <c r="N8" s="115">
        <f>Water!AB19</f>
        <v>0</v>
      </c>
      <c r="O8" s="115">
        <f>Water!AC19</f>
        <v>0</v>
      </c>
      <c r="P8" s="115">
        <f>Water!AD19</f>
        <v>0</v>
      </c>
      <c r="Q8" s="115">
        <f>Water!AE19</f>
        <v>0</v>
      </c>
      <c r="R8" s="115">
        <f>Water!AF19</f>
        <v>0</v>
      </c>
      <c r="S8" s="115">
        <f>Water!AG19</f>
        <v>0</v>
      </c>
      <c r="T8" s="115">
        <f>Water!AH19</f>
        <v>0</v>
      </c>
    </row>
    <row r="9" spans="1:20">
      <c r="A9" s="115">
        <f>Water!O20</f>
        <v>0</v>
      </c>
      <c r="B9" s="115">
        <f>Water!P20</f>
        <v>0</v>
      </c>
      <c r="C9" s="115">
        <f>Water!Q20</f>
        <v>0</v>
      </c>
      <c r="D9" s="115">
        <f>Water!R20</f>
        <v>0</v>
      </c>
      <c r="E9" s="115">
        <f>Water!S20</f>
        <v>0</v>
      </c>
      <c r="F9" s="115">
        <f>Water!T20</f>
        <v>0</v>
      </c>
      <c r="G9" s="115">
        <f>Water!U20</f>
        <v>0</v>
      </c>
      <c r="H9" s="115">
        <f>Water!V20</f>
        <v>0</v>
      </c>
      <c r="I9" s="115">
        <f>Water!W20</f>
        <v>0</v>
      </c>
      <c r="J9" s="115">
        <f>Water!X20</f>
        <v>0</v>
      </c>
      <c r="K9" s="115">
        <f>Water!Y20</f>
        <v>0</v>
      </c>
      <c r="L9" s="115">
        <f>Water!Z20</f>
        <v>0</v>
      </c>
      <c r="M9" s="115">
        <f>Water!AA20</f>
        <v>0</v>
      </c>
      <c r="N9" s="115">
        <f>Water!AB20</f>
        <v>0</v>
      </c>
      <c r="O9" s="115">
        <f>Water!AC20</f>
        <v>0</v>
      </c>
      <c r="P9" s="115">
        <f>Water!AD20</f>
        <v>0</v>
      </c>
      <c r="Q9" s="115">
        <f>Water!AE20</f>
        <v>0</v>
      </c>
      <c r="R9" s="115">
        <f>Water!AF20</f>
        <v>0</v>
      </c>
      <c r="S9" s="115">
        <f>Water!AG20</f>
        <v>0</v>
      </c>
      <c r="T9" s="115">
        <f>Water!AH20</f>
        <v>0</v>
      </c>
    </row>
    <row r="10" spans="1:20">
      <c r="A10" s="115">
        <f>Water!O24</f>
        <v>0</v>
      </c>
      <c r="B10" s="115">
        <f>Water!P24</f>
        <v>0</v>
      </c>
      <c r="C10" s="115">
        <f>Water!Q24</f>
        <v>0</v>
      </c>
      <c r="D10" s="115">
        <f>Water!R24</f>
        <v>0</v>
      </c>
      <c r="E10" s="115">
        <f>Water!S24</f>
        <v>0</v>
      </c>
      <c r="F10" s="115">
        <f>Water!T24</f>
        <v>0</v>
      </c>
      <c r="G10" s="115">
        <f>Water!U24</f>
        <v>0</v>
      </c>
      <c r="H10" s="115">
        <f>Water!V24</f>
        <v>0</v>
      </c>
      <c r="I10" s="115">
        <f>Water!W24</f>
        <v>0</v>
      </c>
      <c r="J10" s="115">
        <f>Water!X24</f>
        <v>0</v>
      </c>
      <c r="K10" s="115">
        <f>Water!Y24</f>
        <v>0</v>
      </c>
      <c r="L10" s="115">
        <f>Water!Z24</f>
        <v>0</v>
      </c>
      <c r="M10" s="115">
        <f>Water!AA24</f>
        <v>0</v>
      </c>
      <c r="N10" s="115">
        <f>Water!AB24</f>
        <v>0</v>
      </c>
      <c r="O10" s="115">
        <f>Water!AC24</f>
        <v>0</v>
      </c>
      <c r="P10" s="115">
        <f>Water!AD24</f>
        <v>0</v>
      </c>
      <c r="Q10" s="115">
        <f>Water!AE24</f>
        <v>0</v>
      </c>
      <c r="R10" s="115">
        <f>Water!AF24</f>
        <v>0</v>
      </c>
      <c r="S10" s="115">
        <f>Water!AG24</f>
        <v>0</v>
      </c>
      <c r="T10" s="115">
        <f>Water!AH24</f>
        <v>0</v>
      </c>
    </row>
    <row r="11" spans="1:20">
      <c r="A11" s="115">
        <f>Water!O25</f>
        <v>0</v>
      </c>
      <c r="B11" s="115">
        <f>Water!P25</f>
        <v>0</v>
      </c>
      <c r="C11" s="115">
        <f>Water!Q25</f>
        <v>0</v>
      </c>
      <c r="D11" s="115">
        <f>Water!R25</f>
        <v>0</v>
      </c>
      <c r="E11" s="115">
        <f>Water!S25</f>
        <v>0</v>
      </c>
      <c r="F11" s="115">
        <f>Water!T25</f>
        <v>0</v>
      </c>
      <c r="G11" s="115">
        <f>Water!U25</f>
        <v>0</v>
      </c>
      <c r="H11" s="115">
        <f>Water!V25</f>
        <v>0</v>
      </c>
      <c r="I11" s="115">
        <f>Water!W25</f>
        <v>0</v>
      </c>
      <c r="J11" s="115">
        <f>Water!X25</f>
        <v>0</v>
      </c>
      <c r="K11" s="115">
        <f>Water!Y25</f>
        <v>0</v>
      </c>
      <c r="L11" s="115">
        <f>Water!Z25</f>
        <v>0</v>
      </c>
      <c r="M11" s="115">
        <f>Water!AA25</f>
        <v>0</v>
      </c>
      <c r="N11" s="115">
        <f>Water!AB25</f>
        <v>0</v>
      </c>
      <c r="O11" s="115">
        <f>Water!AC25</f>
        <v>0</v>
      </c>
      <c r="P11" s="115">
        <f>Water!AD25</f>
        <v>0</v>
      </c>
      <c r="Q11" s="115">
        <f>Water!AE25</f>
        <v>0</v>
      </c>
      <c r="R11" s="115">
        <f>Water!AF25</f>
        <v>0</v>
      </c>
      <c r="S11" s="115">
        <f>Water!AG25</f>
        <v>0</v>
      </c>
      <c r="T11" s="115">
        <f>Water!AH25</f>
        <v>0</v>
      </c>
    </row>
    <row r="12" spans="1:20">
      <c r="A12" s="115">
        <f>Water!O26</f>
        <v>0</v>
      </c>
      <c r="B12" s="115">
        <f>Water!P26</f>
        <v>0</v>
      </c>
      <c r="C12" s="115">
        <f>Water!Q26</f>
        <v>0</v>
      </c>
      <c r="D12" s="115">
        <f>Water!R26</f>
        <v>0</v>
      </c>
      <c r="E12" s="115">
        <f>Water!S26</f>
        <v>0</v>
      </c>
      <c r="F12" s="115">
        <f>Water!T26</f>
        <v>0</v>
      </c>
      <c r="G12" s="115">
        <f>Water!U26</f>
        <v>0</v>
      </c>
      <c r="H12" s="115">
        <f>Water!V26</f>
        <v>0</v>
      </c>
      <c r="I12" s="115">
        <f>Water!W26</f>
        <v>0</v>
      </c>
      <c r="J12" s="115">
        <f>Water!X26</f>
        <v>0</v>
      </c>
      <c r="K12" s="115">
        <f>Water!Y26</f>
        <v>0</v>
      </c>
      <c r="L12" s="115">
        <f>Water!Z26</f>
        <v>0</v>
      </c>
      <c r="M12" s="115">
        <f>Water!AA26</f>
        <v>0</v>
      </c>
      <c r="N12" s="115">
        <f>Water!AB26</f>
        <v>0</v>
      </c>
      <c r="O12" s="115">
        <f>Water!AC26</f>
        <v>0</v>
      </c>
      <c r="P12" s="115">
        <f>Water!AD26</f>
        <v>0</v>
      </c>
      <c r="Q12" s="115">
        <f>Water!AE26</f>
        <v>0</v>
      </c>
      <c r="R12" s="115">
        <f>Water!AF26</f>
        <v>0</v>
      </c>
      <c r="S12" s="115">
        <f>Water!AG26</f>
        <v>0</v>
      </c>
      <c r="T12" s="115">
        <f>Water!AH26</f>
        <v>0</v>
      </c>
    </row>
    <row r="13" spans="1:20">
      <c r="A13" s="115">
        <f>Water!O40</f>
        <v>0</v>
      </c>
      <c r="B13" s="115">
        <f>Water!P40</f>
        <v>0</v>
      </c>
      <c r="C13" s="115">
        <f>Water!Q40</f>
        <v>0</v>
      </c>
      <c r="D13" s="115">
        <f>Water!R40</f>
        <v>0</v>
      </c>
      <c r="E13" s="115">
        <f>Water!S40</f>
        <v>0</v>
      </c>
      <c r="F13" s="115">
        <f>Water!T40</f>
        <v>0</v>
      </c>
      <c r="G13" s="115">
        <f>Water!U40</f>
        <v>0</v>
      </c>
      <c r="H13" s="115">
        <f>Water!V40</f>
        <v>0</v>
      </c>
      <c r="I13" s="115">
        <f>Water!W40</f>
        <v>0</v>
      </c>
      <c r="J13" s="115">
        <f>Water!X40</f>
        <v>0</v>
      </c>
      <c r="K13" s="115">
        <f>Water!Y40</f>
        <v>0</v>
      </c>
      <c r="L13" s="115">
        <f>Water!Z40</f>
        <v>0</v>
      </c>
      <c r="M13" s="115">
        <f>Water!AA40</f>
        <v>0</v>
      </c>
      <c r="N13" s="115">
        <f>Water!AB40</f>
        <v>0</v>
      </c>
      <c r="O13" s="115">
        <f>Water!AC40</f>
        <v>0</v>
      </c>
      <c r="P13" s="115">
        <f>Water!AD40</f>
        <v>0</v>
      </c>
      <c r="Q13" s="115">
        <f>Water!AE40</f>
        <v>0</v>
      </c>
      <c r="R13" s="115">
        <f>Water!AF40</f>
        <v>0</v>
      </c>
      <c r="S13" s="115">
        <f>Water!AG40</f>
        <v>0</v>
      </c>
      <c r="T13" s="115">
        <f>Water!AH40</f>
        <v>0</v>
      </c>
    </row>
    <row r="14" spans="1:20">
      <c r="A14" s="115">
        <f>Water!O46</f>
        <v>0</v>
      </c>
      <c r="B14" s="115">
        <f>Water!P46</f>
        <v>0</v>
      </c>
      <c r="C14" s="115">
        <f>Water!Q46</f>
        <v>0</v>
      </c>
      <c r="D14" s="115">
        <f>Water!R46</f>
        <v>0</v>
      </c>
      <c r="E14" s="115">
        <f>Water!S46</f>
        <v>0</v>
      </c>
      <c r="F14" s="115">
        <f>Water!T46</f>
        <v>0</v>
      </c>
      <c r="G14" s="115">
        <f>Water!U46</f>
        <v>0</v>
      </c>
      <c r="H14" s="115">
        <f>Water!V46</f>
        <v>0</v>
      </c>
      <c r="I14" s="115">
        <f>Water!W46</f>
        <v>0</v>
      </c>
      <c r="J14" s="115">
        <f>Water!X46</f>
        <v>0</v>
      </c>
      <c r="K14" s="115">
        <f>Water!Y46</f>
        <v>0</v>
      </c>
      <c r="L14" s="115">
        <f>Water!Z46</f>
        <v>0</v>
      </c>
      <c r="M14" s="115">
        <f>Water!AA46</f>
        <v>0</v>
      </c>
      <c r="N14" s="115">
        <f>Water!AB46</f>
        <v>0</v>
      </c>
      <c r="O14" s="115">
        <f>Water!AC46</f>
        <v>0</v>
      </c>
      <c r="P14" s="115">
        <f>Water!AD46</f>
        <v>0</v>
      </c>
      <c r="Q14" s="115">
        <f>Water!AE46</f>
        <v>0</v>
      </c>
      <c r="R14" s="115">
        <f>Water!AF46</f>
        <v>0</v>
      </c>
      <c r="S14" s="115">
        <f>Water!AG46</f>
        <v>0</v>
      </c>
      <c r="T14" s="115">
        <f>Water!AH46</f>
        <v>0</v>
      </c>
    </row>
    <row r="15" spans="1:20">
      <c r="A15" s="115">
        <f>Water!O47</f>
        <v>0</v>
      </c>
      <c r="B15" s="115">
        <f>Water!P47</f>
        <v>0</v>
      </c>
      <c r="C15" s="115">
        <f>Water!Q47</f>
        <v>0</v>
      </c>
      <c r="D15" s="115">
        <f>Water!R47</f>
        <v>0</v>
      </c>
      <c r="E15" s="115">
        <f>Water!S47</f>
        <v>0</v>
      </c>
      <c r="F15" s="115">
        <f>Water!T47</f>
        <v>0</v>
      </c>
      <c r="G15" s="115">
        <f>Water!U47</f>
        <v>0</v>
      </c>
      <c r="H15" s="115">
        <f>Water!V47</f>
        <v>0</v>
      </c>
      <c r="I15" s="115">
        <f>Water!W47</f>
        <v>0</v>
      </c>
      <c r="J15" s="115">
        <f>Water!X47</f>
        <v>0</v>
      </c>
      <c r="K15" s="115">
        <f>Water!Y47</f>
        <v>0</v>
      </c>
      <c r="L15" s="115">
        <f>Water!Z47</f>
        <v>0</v>
      </c>
      <c r="M15" s="115">
        <f>Water!AA47</f>
        <v>0</v>
      </c>
      <c r="N15" s="115">
        <f>Water!AB47</f>
        <v>0</v>
      </c>
      <c r="O15" s="115">
        <f>Water!AC47</f>
        <v>0</v>
      </c>
      <c r="P15" s="115">
        <f>Water!AD47</f>
        <v>0</v>
      </c>
      <c r="Q15" s="115">
        <f>Water!AE47</f>
        <v>0</v>
      </c>
      <c r="R15" s="115">
        <f>Water!AF47</f>
        <v>0</v>
      </c>
      <c r="S15" s="115">
        <f>Water!AG47</f>
        <v>0</v>
      </c>
      <c r="T15" s="115">
        <f>Water!AH47</f>
        <v>0</v>
      </c>
    </row>
    <row r="16" spans="1:20">
      <c r="A16" s="115">
        <f>Water!O48</f>
        <v>0</v>
      </c>
      <c r="B16" s="115">
        <f>Water!P48</f>
        <v>0</v>
      </c>
      <c r="C16" s="115">
        <f>Water!Q48</f>
        <v>0</v>
      </c>
      <c r="D16" s="115">
        <f>Water!R48</f>
        <v>0</v>
      </c>
      <c r="E16" s="115">
        <f>Water!S48</f>
        <v>0</v>
      </c>
      <c r="F16" s="115">
        <f>Water!T48</f>
        <v>0</v>
      </c>
      <c r="G16" s="115">
        <f>Water!U48</f>
        <v>0</v>
      </c>
      <c r="H16" s="115">
        <f>Water!V48</f>
        <v>0</v>
      </c>
      <c r="I16" s="115">
        <f>Water!W48</f>
        <v>0</v>
      </c>
      <c r="J16" s="115">
        <f>Water!X48</f>
        <v>0</v>
      </c>
      <c r="K16" s="115">
        <f>Water!Y48</f>
        <v>0</v>
      </c>
      <c r="L16" s="115">
        <f>Water!Z48</f>
        <v>0</v>
      </c>
      <c r="M16" s="115">
        <f>Water!AA48</f>
        <v>0</v>
      </c>
      <c r="N16" s="115">
        <f>Water!AB48</f>
        <v>0</v>
      </c>
      <c r="O16" s="115">
        <f>Water!AC48</f>
        <v>0</v>
      </c>
      <c r="P16" s="115">
        <f>Water!AD48</f>
        <v>0</v>
      </c>
      <c r="Q16" s="115">
        <f>Water!AE48</f>
        <v>0</v>
      </c>
      <c r="R16" s="115">
        <f>Water!AF48</f>
        <v>0</v>
      </c>
      <c r="S16" s="115">
        <f>Water!AG48</f>
        <v>0</v>
      </c>
      <c r="T16" s="115">
        <f>Water!AH48</f>
        <v>0</v>
      </c>
    </row>
    <row r="17" spans="1:20">
      <c r="A17" s="115">
        <f>Water!O49</f>
        <v>0</v>
      </c>
      <c r="B17" s="115">
        <f>Water!P49</f>
        <v>0</v>
      </c>
      <c r="C17" s="115">
        <f>Water!Q49</f>
        <v>0</v>
      </c>
      <c r="D17" s="115">
        <f>Water!R49</f>
        <v>0</v>
      </c>
      <c r="E17" s="115">
        <f>Water!S49</f>
        <v>0</v>
      </c>
      <c r="F17" s="115">
        <f>Water!T49</f>
        <v>0</v>
      </c>
      <c r="G17" s="115">
        <f>Water!U49</f>
        <v>0</v>
      </c>
      <c r="H17" s="115">
        <f>Water!V49</f>
        <v>0</v>
      </c>
      <c r="I17" s="115">
        <f>Water!W49</f>
        <v>0</v>
      </c>
      <c r="J17" s="115">
        <f>Water!X49</f>
        <v>0</v>
      </c>
      <c r="K17" s="115">
        <f>Water!Y49</f>
        <v>0</v>
      </c>
      <c r="L17" s="115">
        <f>Water!Z49</f>
        <v>0</v>
      </c>
      <c r="M17" s="115">
        <f>Water!AA49</f>
        <v>0</v>
      </c>
      <c r="N17" s="115">
        <f>Water!AB49</f>
        <v>0</v>
      </c>
      <c r="O17" s="115">
        <f>Water!AC49</f>
        <v>0</v>
      </c>
      <c r="P17" s="115">
        <f>Water!AD49</f>
        <v>0</v>
      </c>
      <c r="Q17" s="115">
        <f>Water!AE49</f>
        <v>0</v>
      </c>
      <c r="R17" s="115">
        <f>Water!AF49</f>
        <v>0</v>
      </c>
      <c r="S17" s="115">
        <f>Water!AG49</f>
        <v>0</v>
      </c>
      <c r="T17" s="115">
        <f>Water!AH49</f>
        <v>0</v>
      </c>
    </row>
    <row r="18" spans="1:20">
      <c r="A18" s="115">
        <f>Water!O50</f>
        <v>0</v>
      </c>
      <c r="B18" s="115">
        <f>Water!P50</f>
        <v>0</v>
      </c>
      <c r="C18" s="115">
        <f>Water!Q50</f>
        <v>0</v>
      </c>
      <c r="D18" s="115">
        <f>Water!R50</f>
        <v>0</v>
      </c>
      <c r="E18" s="115">
        <f>Water!S50</f>
        <v>0</v>
      </c>
      <c r="F18" s="115">
        <f>Water!T50</f>
        <v>0</v>
      </c>
      <c r="G18" s="115">
        <f>Water!U50</f>
        <v>0</v>
      </c>
      <c r="H18" s="115">
        <f>Water!V50</f>
        <v>0</v>
      </c>
      <c r="I18" s="115">
        <f>Water!W50</f>
        <v>0</v>
      </c>
      <c r="J18" s="115">
        <f>Water!X50</f>
        <v>0</v>
      </c>
      <c r="K18" s="115">
        <f>Water!Y50</f>
        <v>0</v>
      </c>
      <c r="L18" s="115">
        <f>Water!Z50</f>
        <v>0</v>
      </c>
      <c r="M18" s="115">
        <f>Water!AA50</f>
        <v>0</v>
      </c>
      <c r="N18" s="115">
        <f>Water!AB50</f>
        <v>0</v>
      </c>
      <c r="O18" s="115">
        <f>Water!AC50</f>
        <v>0</v>
      </c>
      <c r="P18" s="115">
        <f>Water!AD50</f>
        <v>0</v>
      </c>
      <c r="Q18" s="115">
        <f>Water!AE50</f>
        <v>0</v>
      </c>
      <c r="R18" s="115">
        <f>Water!AF50</f>
        <v>0</v>
      </c>
      <c r="S18" s="115">
        <f>Water!AG50</f>
        <v>0</v>
      </c>
      <c r="T18" s="115">
        <f>Water!AH50</f>
        <v>0</v>
      </c>
    </row>
    <row r="25" spans="1:20">
      <c r="A25" s="115"/>
    </row>
    <row r="26" spans="1:20">
      <c r="A26" s="115"/>
    </row>
    <row r="27" spans="1:20">
      <c r="A27" s="115"/>
    </row>
    <row r="28" spans="1:20">
      <c r="A28" s="115"/>
    </row>
    <row r="29" spans="1:20">
      <c r="A29" s="115"/>
    </row>
    <row r="42" spans="1:1">
      <c r="A42" s="115"/>
    </row>
    <row r="43" spans="1:1">
      <c r="A43" s="11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R128"/>
  <sheetViews>
    <sheetView topLeftCell="D1" zoomScale="70" zoomScaleNormal="70" workbookViewId="0">
      <selection activeCell="Q6" sqref="Q6"/>
    </sheetView>
  </sheetViews>
  <sheetFormatPr defaultRowHeight="15"/>
  <cols>
    <col min="1" max="1" width="9.42578125" style="115" bestFit="1" customWidth="1"/>
    <col min="2" max="2" width="23.85546875" bestFit="1" customWidth="1"/>
    <col min="3" max="3" width="9.140625" style="2"/>
    <col min="4" max="4" width="56" style="2" bestFit="1" customWidth="1"/>
    <col min="5" max="5" width="48.42578125" customWidth="1"/>
    <col min="10" max="10" width="35.7109375" bestFit="1" customWidth="1"/>
    <col min="11" max="13" width="35.7109375" style="115" customWidth="1"/>
    <col min="14" max="14" width="79.42578125" bestFit="1" customWidth="1"/>
    <col min="15" max="15" width="11.140625" style="115" bestFit="1" customWidth="1"/>
    <col min="17" max="17" width="34.28515625" style="115" bestFit="1" customWidth="1"/>
  </cols>
  <sheetData>
    <row r="1" spans="1:18">
      <c r="B1" t="s">
        <v>1144</v>
      </c>
      <c r="C1" s="2" t="s">
        <v>1141</v>
      </c>
      <c r="D1" s="2" t="s">
        <v>1142</v>
      </c>
      <c r="E1" t="s">
        <v>1143</v>
      </c>
      <c r="F1" t="s">
        <v>1256</v>
      </c>
      <c r="J1" t="s">
        <v>893</v>
      </c>
      <c r="N1" t="s">
        <v>1145</v>
      </c>
      <c r="O1" s="115" t="s">
        <v>1141</v>
      </c>
      <c r="P1" t="s">
        <v>0</v>
      </c>
      <c r="Q1" s="115" t="s">
        <v>1461</v>
      </c>
      <c r="R1" t="s">
        <v>1146</v>
      </c>
    </row>
    <row r="2" spans="1:18">
      <c r="C2" s="8" t="s">
        <v>0</v>
      </c>
      <c r="D2" s="47" t="s">
        <v>1</v>
      </c>
      <c r="J2" s="115" t="s">
        <v>1147</v>
      </c>
      <c r="N2" s="115" t="s">
        <v>1148</v>
      </c>
      <c r="O2" s="115" t="s">
        <v>1329</v>
      </c>
      <c r="P2" s="115" t="s">
        <v>1149</v>
      </c>
      <c r="Q2" s="115" t="str">
        <f t="shared" ref="Q2:Q11" si="0">$Q$1&amp;P2</f>
        <v>Associated Taumata Arowai Code: A1</v>
      </c>
      <c r="R2" s="115" t="s">
        <v>1150</v>
      </c>
    </row>
    <row r="3" spans="1:18">
      <c r="B3" s="115" t="s">
        <v>1171</v>
      </c>
      <c r="C3" s="7" t="s">
        <v>6</v>
      </c>
      <c r="D3" s="7" t="s">
        <v>7</v>
      </c>
      <c r="E3" s="115" t="s">
        <v>1170</v>
      </c>
      <c r="F3" s="196" t="s">
        <v>1162</v>
      </c>
      <c r="J3" s="115"/>
      <c r="N3" s="115" t="s">
        <v>1151</v>
      </c>
      <c r="O3" s="115" t="s">
        <v>44</v>
      </c>
      <c r="P3" s="115" t="s">
        <v>1152</v>
      </c>
      <c r="Q3" s="115" t="str">
        <f t="shared" si="0"/>
        <v>Associated Taumata Arowai Code: A2</v>
      </c>
      <c r="R3" s="115" t="s">
        <v>1150</v>
      </c>
    </row>
    <row r="4" spans="1:18">
      <c r="A4" s="115" t="s">
        <v>1262</v>
      </c>
      <c r="C4" s="171" t="s">
        <v>8</v>
      </c>
      <c r="D4" s="171" t="s">
        <v>9</v>
      </c>
      <c r="J4" s="115"/>
      <c r="N4" s="115" t="s">
        <v>1153</v>
      </c>
      <c r="O4" s="115" t="s">
        <v>52</v>
      </c>
      <c r="P4" s="115" t="s">
        <v>1154</v>
      </c>
      <c r="Q4" s="115" t="str">
        <f t="shared" si="0"/>
        <v>Associated Taumata Arowai Code: A3</v>
      </c>
      <c r="R4" s="115" t="s">
        <v>1155</v>
      </c>
    </row>
    <row r="5" spans="1:18">
      <c r="B5" s="115" t="s">
        <v>1167</v>
      </c>
      <c r="C5" s="6" t="s">
        <v>11</v>
      </c>
      <c r="D5" s="6" t="s">
        <v>12</v>
      </c>
      <c r="E5" s="115" t="s">
        <v>1166</v>
      </c>
      <c r="F5" s="196" t="s">
        <v>1162</v>
      </c>
      <c r="J5" s="115"/>
      <c r="N5" s="115" t="s">
        <v>1156</v>
      </c>
      <c r="O5" s="115" t="s">
        <v>48</v>
      </c>
      <c r="P5" s="115" t="s">
        <v>1157</v>
      </c>
      <c r="Q5" s="115" t="str">
        <f t="shared" si="0"/>
        <v>Associated Taumata Arowai Code: A4</v>
      </c>
      <c r="R5" s="115" t="s">
        <v>1150</v>
      </c>
    </row>
    <row r="6" spans="1:18">
      <c r="B6" s="115" t="s">
        <v>1169</v>
      </c>
      <c r="C6" s="6" t="s">
        <v>13</v>
      </c>
      <c r="D6" s="6" t="s">
        <v>14</v>
      </c>
      <c r="E6" s="115" t="s">
        <v>1168</v>
      </c>
      <c r="F6" s="196" t="s">
        <v>1162</v>
      </c>
      <c r="J6" s="115"/>
      <c r="N6" s="115" t="s">
        <v>1158</v>
      </c>
      <c r="O6" s="115" t="s">
        <v>25</v>
      </c>
      <c r="P6" s="115" t="s">
        <v>1159</v>
      </c>
      <c r="Q6" s="115" t="str">
        <f t="shared" si="0"/>
        <v>Associated Taumata Arowai Code: A5</v>
      </c>
      <c r="R6" s="115" t="s">
        <v>1150</v>
      </c>
    </row>
    <row r="7" spans="1:18">
      <c r="A7" s="115" t="s">
        <v>1262</v>
      </c>
      <c r="C7" s="27" t="s">
        <v>15</v>
      </c>
      <c r="D7" s="27" t="s">
        <v>16</v>
      </c>
      <c r="J7" s="115"/>
      <c r="N7" s="115" t="s">
        <v>1160</v>
      </c>
      <c r="P7" s="115" t="s">
        <v>1161</v>
      </c>
      <c r="Q7" s="115" t="str">
        <f t="shared" si="0"/>
        <v>Associated Taumata Arowai Code: A6</v>
      </c>
      <c r="R7" s="115" t="s">
        <v>1162</v>
      </c>
    </row>
    <row r="8" spans="1:18">
      <c r="B8" s="115" t="s">
        <v>1174</v>
      </c>
      <c r="C8" s="6" t="s">
        <v>17</v>
      </c>
      <c r="D8" s="6" t="s">
        <v>18</v>
      </c>
      <c r="E8" s="115" t="s">
        <v>1173</v>
      </c>
      <c r="F8" s="196" t="s">
        <v>1162</v>
      </c>
      <c r="J8" s="115"/>
      <c r="N8" s="115" t="s">
        <v>1163</v>
      </c>
      <c r="P8" s="115" t="s">
        <v>1164</v>
      </c>
      <c r="Q8" s="115" t="str">
        <f t="shared" si="0"/>
        <v>Associated Taumata Arowai Code: A7</v>
      </c>
      <c r="R8" s="115" t="s">
        <v>1162</v>
      </c>
    </row>
    <row r="9" spans="1:18">
      <c r="B9" s="115" t="s">
        <v>1176</v>
      </c>
      <c r="C9" s="45" t="s">
        <v>946</v>
      </c>
      <c r="D9" s="45" t="s">
        <v>948</v>
      </c>
      <c r="E9" s="115" t="s">
        <v>1175</v>
      </c>
      <c r="F9" s="115" t="s">
        <v>1150</v>
      </c>
      <c r="J9" s="115" t="s">
        <v>1165</v>
      </c>
      <c r="N9" s="115" t="s">
        <v>1166</v>
      </c>
      <c r="O9" s="115" t="s">
        <v>11</v>
      </c>
      <c r="P9" s="115" t="s">
        <v>1167</v>
      </c>
      <c r="Q9" s="115" t="str">
        <f t="shared" si="0"/>
        <v>Associated Taumata Arowai Code: EH1</v>
      </c>
      <c r="R9" s="115" t="s">
        <v>1162</v>
      </c>
    </row>
    <row r="10" spans="1:18">
      <c r="B10" s="115" t="s">
        <v>1178</v>
      </c>
      <c r="C10" s="45" t="s">
        <v>947</v>
      </c>
      <c r="D10" s="45" t="s">
        <v>949</v>
      </c>
      <c r="E10" s="115" t="s">
        <v>1177</v>
      </c>
      <c r="F10" s="115" t="s">
        <v>1150</v>
      </c>
      <c r="J10" s="115"/>
      <c r="N10" s="115" t="s">
        <v>1168</v>
      </c>
      <c r="O10" s="115" t="s">
        <v>13</v>
      </c>
      <c r="P10" s="115" t="s">
        <v>1169</v>
      </c>
      <c r="Q10" s="115" t="str">
        <f t="shared" si="0"/>
        <v>Associated Taumata Arowai Code: EH2</v>
      </c>
      <c r="R10" s="115" t="s">
        <v>1162</v>
      </c>
    </row>
    <row r="11" spans="1:18">
      <c r="A11" s="115" t="s">
        <v>1259</v>
      </c>
      <c r="C11" s="6" t="s">
        <v>19</v>
      </c>
      <c r="D11" s="6" t="s">
        <v>20</v>
      </c>
      <c r="J11" s="115"/>
      <c r="N11" s="115" t="s">
        <v>1170</v>
      </c>
      <c r="O11" s="115" t="s">
        <v>6</v>
      </c>
      <c r="P11" s="115" t="s">
        <v>1171</v>
      </c>
      <c r="Q11" s="115" t="str">
        <f t="shared" si="0"/>
        <v>Associated Taumata Arowai Code: EH3</v>
      </c>
      <c r="R11" s="115" t="s">
        <v>1162</v>
      </c>
    </row>
    <row r="12" spans="1:18">
      <c r="B12" s="115" t="s">
        <v>1180</v>
      </c>
      <c r="C12" s="6" t="s">
        <v>21</v>
      </c>
      <c r="D12" s="6" t="s">
        <v>22</v>
      </c>
      <c r="E12" s="115" t="s">
        <v>1179</v>
      </c>
      <c r="F12" s="115" t="s">
        <v>1162</v>
      </c>
      <c r="J12" s="115"/>
      <c r="N12" s="171" t="s">
        <v>9</v>
      </c>
      <c r="O12" s="171" t="s">
        <v>8</v>
      </c>
      <c r="P12" s="115"/>
      <c r="R12" s="115"/>
    </row>
    <row r="13" spans="1:18">
      <c r="B13" s="115" t="s">
        <v>1238</v>
      </c>
      <c r="C13" s="171" t="s">
        <v>23</v>
      </c>
      <c r="D13" s="171" t="s">
        <v>24</v>
      </c>
      <c r="E13" s="115" t="s">
        <v>1237</v>
      </c>
      <c r="F13" s="115" t="s">
        <v>1162</v>
      </c>
      <c r="J13" s="115"/>
      <c r="N13" s="6" t="s">
        <v>16</v>
      </c>
      <c r="O13" s="6" t="s">
        <v>15</v>
      </c>
      <c r="P13" s="115"/>
      <c r="R13" s="115"/>
    </row>
    <row r="14" spans="1:18" ht="15.75" thickBot="1">
      <c r="A14" s="115" t="s">
        <v>1259</v>
      </c>
      <c r="C14" s="168" t="s">
        <v>933</v>
      </c>
      <c r="D14" s="169" t="s">
        <v>934</v>
      </c>
      <c r="J14" s="115" t="s">
        <v>1172</v>
      </c>
      <c r="N14" s="115" t="s">
        <v>1173</v>
      </c>
      <c r="O14" s="115" t="s">
        <v>17</v>
      </c>
      <c r="P14" s="115" t="s">
        <v>1174</v>
      </c>
      <c r="Q14" s="115" t="str">
        <f t="shared" ref="Q14:Q27" si="1">$Q$1&amp;P14</f>
        <v>Associated Taumata Arowai Code: EH5</v>
      </c>
      <c r="R14" s="115" t="s">
        <v>1162</v>
      </c>
    </row>
    <row r="15" spans="1:18" s="115" customFormat="1">
      <c r="B15" s="115" t="s">
        <v>1240</v>
      </c>
      <c r="C15" s="194"/>
      <c r="D15" s="195" t="s">
        <v>1255</v>
      </c>
      <c r="E15" s="115" t="s">
        <v>1239</v>
      </c>
      <c r="F15" s="115" t="s">
        <v>1150</v>
      </c>
      <c r="N15" s="115" t="s">
        <v>1175</v>
      </c>
      <c r="O15" s="115" t="s">
        <v>946</v>
      </c>
      <c r="P15" s="115" t="s">
        <v>1176</v>
      </c>
      <c r="Q15" s="115" t="str">
        <f t="shared" si="1"/>
        <v>Associated Taumata Arowai Code: EH6</v>
      </c>
      <c r="R15" s="115" t="s">
        <v>1150</v>
      </c>
    </row>
    <row r="16" spans="1:18" s="115" customFormat="1">
      <c r="A16" s="115" t="s">
        <v>1255</v>
      </c>
      <c r="B16" s="115" t="s">
        <v>1149</v>
      </c>
      <c r="C16" s="194"/>
      <c r="D16" s="195" t="s">
        <v>1255</v>
      </c>
      <c r="E16" s="115" t="s">
        <v>1148</v>
      </c>
      <c r="F16" s="196" t="s">
        <v>1150</v>
      </c>
      <c r="N16" s="115" t="s">
        <v>1177</v>
      </c>
      <c r="O16" s="115" t="s">
        <v>947</v>
      </c>
      <c r="P16" s="115" t="s">
        <v>1178</v>
      </c>
      <c r="Q16" s="115" t="str">
        <f t="shared" si="1"/>
        <v>Associated Taumata Arowai Code: EH7</v>
      </c>
      <c r="R16" s="115" t="s">
        <v>1150</v>
      </c>
    </row>
    <row r="17" spans="1:18" s="115" customFormat="1">
      <c r="A17" s="115" t="s">
        <v>1255</v>
      </c>
      <c r="B17" s="115" t="s">
        <v>1161</v>
      </c>
      <c r="C17" s="194"/>
      <c r="D17" s="195" t="s">
        <v>1255</v>
      </c>
      <c r="E17" s="115" t="s">
        <v>1160</v>
      </c>
      <c r="F17" s="196" t="s">
        <v>1150</v>
      </c>
      <c r="N17" s="115" t="s">
        <v>1179</v>
      </c>
      <c r="O17" s="115" t="s">
        <v>21</v>
      </c>
      <c r="P17" s="115" t="s">
        <v>1180</v>
      </c>
      <c r="Q17" s="115" t="str">
        <f t="shared" si="1"/>
        <v>Associated Taumata Arowai Code: EH8</v>
      </c>
      <c r="R17" s="115" t="s">
        <v>1162</v>
      </c>
    </row>
    <row r="18" spans="1:18" s="115" customFormat="1">
      <c r="A18" s="115" t="s">
        <v>1255</v>
      </c>
      <c r="B18" s="115" t="s">
        <v>1164</v>
      </c>
      <c r="C18" s="194"/>
      <c r="D18" s="195" t="s">
        <v>1255</v>
      </c>
      <c r="E18" s="115" t="s">
        <v>1163</v>
      </c>
      <c r="F18" s="196" t="s">
        <v>1150</v>
      </c>
      <c r="J18" s="115" t="s">
        <v>1181</v>
      </c>
      <c r="N18" s="115" t="s">
        <v>1182</v>
      </c>
      <c r="P18" s="115" t="s">
        <v>1183</v>
      </c>
      <c r="Q18" s="115" t="str">
        <f t="shared" si="1"/>
        <v>Associated Taumata Arowai Code: EH9</v>
      </c>
      <c r="R18" s="115" t="s">
        <v>1150</v>
      </c>
    </row>
    <row r="19" spans="1:18" s="115" customFormat="1">
      <c r="A19" s="196" t="s">
        <v>1255</v>
      </c>
      <c r="B19" s="115" t="s">
        <v>1183</v>
      </c>
      <c r="C19" s="194"/>
      <c r="D19" s="195" t="s">
        <v>1255</v>
      </c>
      <c r="E19" s="115" t="s">
        <v>1182</v>
      </c>
      <c r="F19" s="115" t="s">
        <v>1150</v>
      </c>
      <c r="N19" s="115" t="s">
        <v>1184</v>
      </c>
      <c r="P19" s="115" t="s">
        <v>1185</v>
      </c>
      <c r="Q19" s="115" t="str">
        <f t="shared" si="1"/>
        <v>Associated Taumata Arowai Code: EH10</v>
      </c>
      <c r="R19" s="115" t="s">
        <v>1162</v>
      </c>
    </row>
    <row r="20" spans="1:18" s="115" customFormat="1">
      <c r="A20" s="196" t="s">
        <v>1255</v>
      </c>
      <c r="B20" s="115" t="s">
        <v>1185</v>
      </c>
      <c r="C20" s="194"/>
      <c r="D20" s="195" t="s">
        <v>1255</v>
      </c>
      <c r="E20" s="115" t="s">
        <v>1184</v>
      </c>
      <c r="F20" s="115" t="s">
        <v>1162</v>
      </c>
      <c r="N20" s="115" t="s">
        <v>1186</v>
      </c>
      <c r="P20" s="115" t="s">
        <v>1187</v>
      </c>
      <c r="Q20" s="115" t="str">
        <f t="shared" si="1"/>
        <v>Associated Taumata Arowai Code: EH11</v>
      </c>
      <c r="R20" s="115" t="s">
        <v>1162</v>
      </c>
    </row>
    <row r="21" spans="1:18" s="115" customFormat="1">
      <c r="A21" s="196"/>
      <c r="B21" s="115" t="s">
        <v>1187</v>
      </c>
      <c r="C21" s="194"/>
      <c r="D21" s="195" t="s">
        <v>1255</v>
      </c>
      <c r="E21" s="115" t="s">
        <v>1186</v>
      </c>
      <c r="F21" s="115" t="s">
        <v>1162</v>
      </c>
      <c r="I21"/>
      <c r="N21" s="115" t="s">
        <v>1188</v>
      </c>
      <c r="P21" s="115" t="s">
        <v>1189</v>
      </c>
      <c r="Q21" s="115" t="str">
        <f t="shared" si="1"/>
        <v>Associated Taumata Arowai Code: EH12</v>
      </c>
      <c r="R21" s="115" t="s">
        <v>1162</v>
      </c>
    </row>
    <row r="22" spans="1:18" s="115" customFormat="1">
      <c r="A22" s="196"/>
      <c r="B22" s="115" t="s">
        <v>1189</v>
      </c>
      <c r="C22" s="194"/>
      <c r="D22" s="195" t="s">
        <v>1255</v>
      </c>
      <c r="E22" s="115" t="s">
        <v>1188</v>
      </c>
      <c r="F22" s="115" t="s">
        <v>1162</v>
      </c>
      <c r="J22" s="197" t="s">
        <v>1190</v>
      </c>
      <c r="K22" s="197"/>
      <c r="L22" s="197"/>
      <c r="M22" s="197"/>
      <c r="N22" s="115" t="s">
        <v>1191</v>
      </c>
      <c r="O22" s="115" t="s">
        <v>120</v>
      </c>
      <c r="P22" s="115" t="s">
        <v>1192</v>
      </c>
      <c r="Q22" s="115" t="str">
        <f t="shared" si="1"/>
        <v>Associated Taumata Arowai Code: R1</v>
      </c>
      <c r="R22" s="115" t="s">
        <v>1150</v>
      </c>
    </row>
    <row r="23" spans="1:18">
      <c r="A23" s="196"/>
      <c r="B23" s="115" t="s">
        <v>1159</v>
      </c>
      <c r="C23" s="7" t="s">
        <v>25</v>
      </c>
      <c r="D23" s="7" t="s">
        <v>26</v>
      </c>
      <c r="E23" s="115" t="s">
        <v>1158</v>
      </c>
      <c r="J23" s="115"/>
      <c r="N23" s="115" t="s">
        <v>1195</v>
      </c>
      <c r="O23" s="115" t="s">
        <v>122</v>
      </c>
      <c r="P23" s="115" t="s">
        <v>1196</v>
      </c>
      <c r="Q23" s="115" t="str">
        <f t="shared" si="1"/>
        <v>Associated Taumata Arowai Code: R3</v>
      </c>
      <c r="R23" s="115" t="s">
        <v>1150</v>
      </c>
    </row>
    <row r="24" spans="1:18">
      <c r="A24" s="115" t="s">
        <v>1259</v>
      </c>
      <c r="C24" s="6" t="s">
        <v>28</v>
      </c>
      <c r="D24" s="6" t="s">
        <v>29</v>
      </c>
      <c r="J24" s="115"/>
      <c r="N24" s="115" t="s">
        <v>1193</v>
      </c>
      <c r="O24" s="115" t="s">
        <v>123</v>
      </c>
      <c r="P24" s="115" t="s">
        <v>1194</v>
      </c>
      <c r="Q24" s="115" t="str">
        <f t="shared" si="1"/>
        <v>Associated Taumata Arowai Code: R2</v>
      </c>
      <c r="R24" s="115" t="s">
        <v>1150</v>
      </c>
    </row>
    <row r="25" spans="1:18">
      <c r="A25" s="115" t="s">
        <v>1259</v>
      </c>
      <c r="C25" s="6" t="s">
        <v>30</v>
      </c>
      <c r="D25" s="6" t="s">
        <v>31</v>
      </c>
      <c r="J25" s="115"/>
      <c r="N25" s="115" t="s">
        <v>1197</v>
      </c>
      <c r="O25" s="115" t="s">
        <v>124</v>
      </c>
      <c r="P25" s="115" t="s">
        <v>1198</v>
      </c>
      <c r="Q25" s="115" t="str">
        <f t="shared" si="1"/>
        <v>Associated Taumata Arowai Code: R4</v>
      </c>
      <c r="R25" s="115" t="s">
        <v>1150</v>
      </c>
    </row>
    <row r="26" spans="1:18">
      <c r="A26" s="115" t="s">
        <v>1259</v>
      </c>
      <c r="B26" s="115"/>
      <c r="C26" s="6" t="s">
        <v>32</v>
      </c>
      <c r="D26" s="45" t="s">
        <v>492</v>
      </c>
      <c r="E26" s="115"/>
      <c r="F26" s="115" t="s">
        <v>1150</v>
      </c>
      <c r="J26" s="115" t="s">
        <v>1199</v>
      </c>
      <c r="N26" s="115" t="s">
        <v>1200</v>
      </c>
      <c r="O26" s="115" t="s">
        <v>96</v>
      </c>
      <c r="P26" s="115" t="s">
        <v>1201</v>
      </c>
      <c r="Q26" s="115" t="str">
        <f t="shared" si="1"/>
        <v>Associated Taumata Arowai Code: R5</v>
      </c>
      <c r="R26" s="115" t="s">
        <v>1150</v>
      </c>
    </row>
    <row r="27" spans="1:18">
      <c r="A27" s="115" t="s">
        <v>1259</v>
      </c>
      <c r="B27" s="115"/>
      <c r="C27" s="6" t="s">
        <v>33</v>
      </c>
      <c r="D27" s="45" t="s">
        <v>493</v>
      </c>
      <c r="E27" s="115"/>
      <c r="F27" s="115"/>
      <c r="J27" s="115"/>
      <c r="N27" s="115" t="s">
        <v>1202</v>
      </c>
      <c r="O27" s="115" t="s">
        <v>98</v>
      </c>
      <c r="P27" s="115" t="s">
        <v>1203</v>
      </c>
      <c r="Q27" s="115" t="str">
        <f t="shared" si="1"/>
        <v>Associated Taumata Arowai Code: R6</v>
      </c>
      <c r="R27" s="115" t="s">
        <v>1150</v>
      </c>
    </row>
    <row r="28" spans="1:18">
      <c r="A28" s="115" t="s">
        <v>1259</v>
      </c>
      <c r="C28" s="6" t="s">
        <v>34</v>
      </c>
      <c r="D28" s="45" t="s">
        <v>494</v>
      </c>
      <c r="J28" s="115"/>
      <c r="N28" s="7" t="s">
        <v>93</v>
      </c>
      <c r="O28" s="7" t="s">
        <v>92</v>
      </c>
      <c r="P28" s="149"/>
      <c r="R28" s="115"/>
    </row>
    <row r="29" spans="1:18">
      <c r="B29" s="115" t="s">
        <v>1208</v>
      </c>
      <c r="C29" s="6" t="s">
        <v>35</v>
      </c>
      <c r="D29" s="45" t="s">
        <v>495</v>
      </c>
      <c r="E29" s="115" t="s">
        <v>1207</v>
      </c>
      <c r="F29" s="115" t="s">
        <v>1150</v>
      </c>
      <c r="J29" s="115"/>
      <c r="N29" s="6" t="s">
        <v>95</v>
      </c>
      <c r="O29" s="6" t="s">
        <v>94</v>
      </c>
      <c r="P29" s="145"/>
      <c r="R29" s="115"/>
    </row>
    <row r="30" spans="1:18">
      <c r="B30" t="s">
        <v>1208</v>
      </c>
      <c r="C30" s="6" t="s">
        <v>36</v>
      </c>
      <c r="D30" s="45" t="s">
        <v>496</v>
      </c>
      <c r="J30" s="115" t="s">
        <v>1204</v>
      </c>
      <c r="N30" s="115" t="s">
        <v>1205</v>
      </c>
      <c r="O30" s="115" t="s">
        <v>37</v>
      </c>
      <c r="P30" s="115" t="s">
        <v>1206</v>
      </c>
      <c r="Q30" s="115" t="str">
        <f t="shared" ref="Q30:Q51" si="2">$Q$1&amp;P30</f>
        <v>Associated Taumata Arowai Code: R7</v>
      </c>
      <c r="R30" s="115" t="s">
        <v>1150</v>
      </c>
    </row>
    <row r="31" spans="1:18">
      <c r="B31" s="115" t="s">
        <v>1206</v>
      </c>
      <c r="C31" s="6" t="s">
        <v>37</v>
      </c>
      <c r="D31" s="45" t="s">
        <v>497</v>
      </c>
      <c r="E31" s="115" t="s">
        <v>1205</v>
      </c>
      <c r="F31" s="115" t="s">
        <v>1150</v>
      </c>
      <c r="J31" s="115"/>
      <c r="N31" s="115" t="s">
        <v>1207</v>
      </c>
      <c r="O31" s="115" t="s">
        <v>35</v>
      </c>
      <c r="P31" s="115" t="s">
        <v>1208</v>
      </c>
      <c r="Q31" s="115" t="str">
        <f t="shared" si="2"/>
        <v>Associated Taumata Arowai Code: R8</v>
      </c>
      <c r="R31" s="115" t="s">
        <v>1150</v>
      </c>
    </row>
    <row r="32" spans="1:18">
      <c r="A32" s="115" t="s">
        <v>1263</v>
      </c>
      <c r="C32" s="6" t="s">
        <v>38</v>
      </c>
      <c r="D32" s="6" t="s">
        <v>39</v>
      </c>
      <c r="J32" s="115"/>
      <c r="N32" s="115" t="s">
        <v>1209</v>
      </c>
      <c r="O32" s="115" t="s">
        <v>41</v>
      </c>
      <c r="P32" s="115" t="s">
        <v>1210</v>
      </c>
      <c r="Q32" s="115" t="str">
        <f t="shared" si="2"/>
        <v>Associated Taumata Arowai Code: R9</v>
      </c>
      <c r="R32" s="115" t="s">
        <v>1150</v>
      </c>
    </row>
    <row r="33" spans="1:18" ht="15.75" thickBot="1">
      <c r="B33" s="115" t="s">
        <v>1210</v>
      </c>
      <c r="C33" s="60" t="s">
        <v>41</v>
      </c>
      <c r="D33" s="60" t="s">
        <v>42</v>
      </c>
      <c r="E33" s="115" t="s">
        <v>1209</v>
      </c>
      <c r="F33" s="115" t="s">
        <v>1150</v>
      </c>
      <c r="J33" s="115"/>
      <c r="N33" s="115" t="s">
        <v>1211</v>
      </c>
      <c r="O33" s="115" t="s">
        <v>70</v>
      </c>
      <c r="P33" s="115" t="s">
        <v>1212</v>
      </c>
      <c r="Q33" s="115" t="str">
        <f t="shared" si="2"/>
        <v>Associated Taumata Arowai Code: R10</v>
      </c>
      <c r="R33" s="115" t="s">
        <v>1150</v>
      </c>
    </row>
    <row r="34" spans="1:18">
      <c r="B34" s="115" t="s">
        <v>1152</v>
      </c>
      <c r="C34" s="7" t="s">
        <v>44</v>
      </c>
      <c r="D34" s="7" t="s">
        <v>45</v>
      </c>
      <c r="E34" s="115" t="s">
        <v>1151</v>
      </c>
      <c r="J34" s="115"/>
      <c r="N34" s="115" t="s">
        <v>1213</v>
      </c>
      <c r="O34" s="115" t="s">
        <v>1261</v>
      </c>
      <c r="P34" s="115" t="s">
        <v>1214</v>
      </c>
      <c r="Q34" s="115" t="str">
        <f t="shared" si="2"/>
        <v>Associated Taumata Arowai Code: R11</v>
      </c>
      <c r="R34" s="115" t="s">
        <v>1150</v>
      </c>
    </row>
    <row r="35" spans="1:18">
      <c r="A35" s="115" t="s">
        <v>1259</v>
      </c>
      <c r="C35" s="6" t="s">
        <v>46</v>
      </c>
      <c r="D35" s="6" t="s">
        <v>47</v>
      </c>
      <c r="J35" s="115" t="s">
        <v>1215</v>
      </c>
      <c r="N35" s="115" t="s">
        <v>86</v>
      </c>
      <c r="O35" s="115" t="s">
        <v>85</v>
      </c>
      <c r="P35" s="115" t="s">
        <v>1216</v>
      </c>
      <c r="Q35" s="115" t="str">
        <f t="shared" si="2"/>
        <v>Associated Taumata Arowai Code: R12</v>
      </c>
      <c r="R35" s="115" t="s">
        <v>1162</v>
      </c>
    </row>
    <row r="36" spans="1:18">
      <c r="B36" s="115" t="s">
        <v>1157</v>
      </c>
      <c r="C36" s="6" t="s">
        <v>48</v>
      </c>
      <c r="D36" s="6" t="s">
        <v>49</v>
      </c>
      <c r="E36" s="115" t="s">
        <v>1156</v>
      </c>
      <c r="J36" s="115"/>
      <c r="N36" s="115" t="s">
        <v>1217</v>
      </c>
      <c r="P36" s="115" t="s">
        <v>1218</v>
      </c>
      <c r="Q36" s="115" t="str">
        <f t="shared" si="2"/>
        <v>Associated Taumata Arowai Code: R13</v>
      </c>
      <c r="R36" s="115" t="s">
        <v>1150</v>
      </c>
    </row>
    <row r="37" spans="1:18">
      <c r="A37" s="115" t="s">
        <v>1259</v>
      </c>
      <c r="C37" s="6" t="s">
        <v>50</v>
      </c>
      <c r="D37" s="6" t="s">
        <v>51</v>
      </c>
      <c r="J37" s="115" t="s">
        <v>1219</v>
      </c>
      <c r="N37" s="115" t="s">
        <v>1220</v>
      </c>
      <c r="O37" s="115" t="s">
        <v>125</v>
      </c>
      <c r="P37" s="115" t="s">
        <v>1221</v>
      </c>
      <c r="Q37" s="115" t="str">
        <f t="shared" si="2"/>
        <v>Associated Taumata Arowai Code: R14</v>
      </c>
      <c r="R37" s="115" t="s">
        <v>1150</v>
      </c>
    </row>
    <row r="38" spans="1:18">
      <c r="B38" s="115" t="s">
        <v>1154</v>
      </c>
      <c r="C38" s="27" t="s">
        <v>52</v>
      </c>
      <c r="D38" s="27" t="s">
        <v>53</v>
      </c>
      <c r="E38" s="115" t="s">
        <v>1153</v>
      </c>
      <c r="J38" s="115"/>
      <c r="N38" s="115" t="s">
        <v>1222</v>
      </c>
      <c r="P38" s="115" t="s">
        <v>1223</v>
      </c>
      <c r="Q38" s="115" t="str">
        <f t="shared" si="2"/>
        <v>Associated Taumata Arowai Code: R15</v>
      </c>
      <c r="R38" s="115" t="s">
        <v>1150</v>
      </c>
    </row>
    <row r="39" spans="1:18">
      <c r="A39" s="115" t="s">
        <v>1259</v>
      </c>
      <c r="C39" s="6" t="s">
        <v>54</v>
      </c>
      <c r="D39" s="6" t="s">
        <v>55</v>
      </c>
      <c r="J39" s="115" t="s">
        <v>1224</v>
      </c>
      <c r="N39" s="115" t="s">
        <v>1225</v>
      </c>
      <c r="P39" s="115" t="s">
        <v>1226</v>
      </c>
      <c r="Q39" s="115" t="str">
        <f t="shared" si="2"/>
        <v>Associated Taumata Arowai Code: R16</v>
      </c>
      <c r="R39" s="115" t="s">
        <v>1150</v>
      </c>
    </row>
    <row r="40" spans="1:18">
      <c r="A40" s="115" t="s">
        <v>1259</v>
      </c>
      <c r="C40" s="6" t="s">
        <v>56</v>
      </c>
      <c r="D40" s="6" t="s">
        <v>57</v>
      </c>
      <c r="J40" s="115"/>
      <c r="N40" s="115" t="s">
        <v>1227</v>
      </c>
      <c r="O40" s="115" t="s">
        <v>127</v>
      </c>
      <c r="P40" s="115" t="s">
        <v>1228</v>
      </c>
      <c r="Q40" s="115" t="str">
        <f t="shared" si="2"/>
        <v>Associated Taumata Arowai Code: R17</v>
      </c>
      <c r="R40" s="115" t="s">
        <v>1150</v>
      </c>
    </row>
    <row r="41" spans="1:18">
      <c r="B41" s="115" t="s">
        <v>1242</v>
      </c>
      <c r="C41" s="6" t="s">
        <v>58</v>
      </c>
      <c r="D41" s="6" t="s">
        <v>59</v>
      </c>
      <c r="E41" s="115" t="s">
        <v>1241</v>
      </c>
      <c r="F41" s="115" t="s">
        <v>1150</v>
      </c>
      <c r="J41" s="115" t="s">
        <v>1229</v>
      </c>
      <c r="N41" s="115" t="s">
        <v>1230</v>
      </c>
      <c r="O41" s="115" t="s">
        <v>71</v>
      </c>
      <c r="P41" s="115" t="s">
        <v>1231</v>
      </c>
      <c r="Q41" s="115" t="str">
        <f t="shared" si="2"/>
        <v>Associated Taumata Arowai Code: RE1</v>
      </c>
      <c r="R41" s="115" t="s">
        <v>1162</v>
      </c>
    </row>
    <row r="42" spans="1:18">
      <c r="B42" s="115" t="s">
        <v>1244</v>
      </c>
      <c r="C42" s="6" t="s">
        <v>60</v>
      </c>
      <c r="D42" s="6" t="s">
        <v>61</v>
      </c>
      <c r="E42" s="115" t="s">
        <v>1243</v>
      </c>
      <c r="F42" s="115" t="s">
        <v>1150</v>
      </c>
      <c r="J42" s="115"/>
      <c r="N42" s="115" t="s">
        <v>1232</v>
      </c>
      <c r="O42" s="115" t="s">
        <v>77</v>
      </c>
      <c r="P42" s="115" t="s">
        <v>1233</v>
      </c>
      <c r="Q42" s="115" t="str">
        <f t="shared" si="2"/>
        <v>Associated Taumata Arowai Code: RE2</v>
      </c>
      <c r="R42" s="115" t="s">
        <v>1162</v>
      </c>
    </row>
    <row r="43" spans="1:18">
      <c r="A43" s="115" t="s">
        <v>1259</v>
      </c>
      <c r="C43" s="6" t="s">
        <v>62</v>
      </c>
      <c r="D43" s="6" t="s">
        <v>63</v>
      </c>
      <c r="J43" s="115"/>
      <c r="N43" s="115" t="s">
        <v>1234</v>
      </c>
      <c r="O43" s="115" t="s">
        <v>82</v>
      </c>
      <c r="P43" s="115" t="s">
        <v>1235</v>
      </c>
      <c r="Q43" s="115" t="str">
        <f t="shared" si="2"/>
        <v>Associated Taumata Arowai Code: RE3</v>
      </c>
      <c r="R43" s="115" t="s">
        <v>1162</v>
      </c>
    </row>
    <row r="44" spans="1:18">
      <c r="A44" s="115" t="s">
        <v>1259</v>
      </c>
      <c r="C44" s="6" t="s">
        <v>64</v>
      </c>
      <c r="D44" s="6" t="s">
        <v>65</v>
      </c>
      <c r="J44" s="115" t="s">
        <v>1236</v>
      </c>
      <c r="N44" s="115" t="s">
        <v>1237</v>
      </c>
      <c r="O44" s="115" t="s">
        <v>23</v>
      </c>
      <c r="P44" s="115" t="s">
        <v>1238</v>
      </c>
      <c r="Q44" s="115" t="str">
        <f t="shared" si="2"/>
        <v>Associated Taumata Arowai Code: RE4</v>
      </c>
      <c r="R44" s="115" t="s">
        <v>1162</v>
      </c>
    </row>
    <row r="45" spans="1:18">
      <c r="A45" s="115" t="s">
        <v>1259</v>
      </c>
      <c r="C45" s="6" t="s">
        <v>67</v>
      </c>
      <c r="D45" s="174" t="s">
        <v>1136</v>
      </c>
      <c r="J45" s="115"/>
      <c r="N45" s="115" t="s">
        <v>1239</v>
      </c>
      <c r="P45" s="115" t="s">
        <v>1240</v>
      </c>
      <c r="Q45" s="115" t="str">
        <f t="shared" si="2"/>
        <v>Associated Taumata Arowai Code: RE5</v>
      </c>
      <c r="R45" s="115" t="s">
        <v>1150</v>
      </c>
    </row>
    <row r="46" spans="1:18">
      <c r="A46" s="115" t="s">
        <v>1264</v>
      </c>
      <c r="C46" s="6" t="s">
        <v>69</v>
      </c>
      <c r="D46" s="45" t="s">
        <v>557</v>
      </c>
      <c r="J46" s="115"/>
      <c r="N46" s="115" t="s">
        <v>1241</v>
      </c>
      <c r="O46" s="115" t="s">
        <v>58</v>
      </c>
      <c r="P46" s="115" t="s">
        <v>1242</v>
      </c>
      <c r="Q46" s="115" t="str">
        <f t="shared" si="2"/>
        <v>Associated Taumata Arowai Code: RE6</v>
      </c>
      <c r="R46" s="115" t="s">
        <v>1150</v>
      </c>
    </row>
    <row r="47" spans="1:18" ht="15.75" thickBot="1">
      <c r="B47" s="115" t="s">
        <v>1212</v>
      </c>
      <c r="C47" s="60" t="s">
        <v>70</v>
      </c>
      <c r="D47" s="63" t="s">
        <v>473</v>
      </c>
      <c r="E47" s="115" t="s">
        <v>1211</v>
      </c>
      <c r="F47" s="115" t="s">
        <v>1150</v>
      </c>
      <c r="J47" s="115"/>
      <c r="N47" s="115" t="s">
        <v>1243</v>
      </c>
      <c r="O47" s="115" t="s">
        <v>60</v>
      </c>
      <c r="P47" s="115" t="s">
        <v>1244</v>
      </c>
      <c r="Q47" s="115" t="str">
        <f t="shared" si="2"/>
        <v>Associated Taumata Arowai Code: RE7</v>
      </c>
      <c r="R47" s="115" t="s">
        <v>1150</v>
      </c>
    </row>
    <row r="48" spans="1:18" s="115" customFormat="1">
      <c r="A48" s="115" t="s">
        <v>1255</v>
      </c>
      <c r="B48" s="115" t="s">
        <v>1214</v>
      </c>
      <c r="C48" s="198"/>
      <c r="D48" s="199" t="s">
        <v>1255</v>
      </c>
      <c r="E48" s="115" t="s">
        <v>1213</v>
      </c>
      <c r="F48" s="115" t="s">
        <v>1150</v>
      </c>
      <c r="J48" s="115" t="s">
        <v>1245</v>
      </c>
      <c r="N48" s="115" t="s">
        <v>1246</v>
      </c>
      <c r="O48" s="115" t="s">
        <v>88</v>
      </c>
      <c r="P48" s="115" t="s">
        <v>1247</v>
      </c>
      <c r="Q48" s="115" t="str">
        <f t="shared" si="2"/>
        <v>Associated Taumata Arowai Code: RE8</v>
      </c>
      <c r="R48" s="115" t="s">
        <v>1150</v>
      </c>
    </row>
    <row r="49" spans="1:18">
      <c r="B49" s="115" t="s">
        <v>1231</v>
      </c>
      <c r="C49" s="7" t="s">
        <v>71</v>
      </c>
      <c r="D49" s="7" t="s">
        <v>72</v>
      </c>
      <c r="E49" s="115" t="s">
        <v>1230</v>
      </c>
      <c r="F49" s="115" t="s">
        <v>1162</v>
      </c>
      <c r="J49" s="115"/>
      <c r="N49" s="115" t="s">
        <v>1248</v>
      </c>
      <c r="O49" s="115" t="s">
        <v>90</v>
      </c>
      <c r="P49" s="115" t="s">
        <v>1249</v>
      </c>
      <c r="Q49" s="115" t="str">
        <f t="shared" si="2"/>
        <v>Associated Taumata Arowai Code: RE9</v>
      </c>
      <c r="R49" s="115" t="s">
        <v>1150</v>
      </c>
    </row>
    <row r="50" spans="1:18">
      <c r="A50" s="115" t="s">
        <v>1262</v>
      </c>
      <c r="C50" s="6" t="s">
        <v>73</v>
      </c>
      <c r="D50" s="45" t="s">
        <v>74</v>
      </c>
      <c r="J50" s="115"/>
      <c r="N50" s="115" t="s">
        <v>1250</v>
      </c>
      <c r="O50" s="115" t="s">
        <v>1078</v>
      </c>
      <c r="P50" s="115" t="s">
        <v>1251</v>
      </c>
      <c r="Q50" s="115" t="str">
        <f t="shared" si="2"/>
        <v>Associated Taumata Arowai Code: RE10</v>
      </c>
      <c r="R50" s="115" t="s">
        <v>1150</v>
      </c>
    </row>
    <row r="51" spans="1:18">
      <c r="A51" s="115" t="s">
        <v>1259</v>
      </c>
      <c r="B51" s="115"/>
      <c r="C51" s="6" t="s">
        <v>75</v>
      </c>
      <c r="D51" s="6" t="s">
        <v>76</v>
      </c>
      <c r="E51" s="115"/>
      <c r="F51" s="115"/>
      <c r="J51" s="115" t="s">
        <v>1252</v>
      </c>
      <c r="N51" s="115" t="s">
        <v>1253</v>
      </c>
      <c r="P51" s="115" t="s">
        <v>1254</v>
      </c>
      <c r="Q51" s="115" t="str">
        <f t="shared" si="2"/>
        <v>Associated Taumata Arowai Code: RL1</v>
      </c>
      <c r="R51" s="115" t="s">
        <v>1150</v>
      </c>
    </row>
    <row r="52" spans="1:18">
      <c r="B52" s="115" t="s">
        <v>1233</v>
      </c>
      <c r="C52" s="6" t="s">
        <v>77</v>
      </c>
      <c r="D52" s="6" t="s">
        <v>76</v>
      </c>
      <c r="E52" s="115" t="s">
        <v>1232</v>
      </c>
      <c r="F52" s="115" t="s">
        <v>1162</v>
      </c>
      <c r="J52" s="115" t="s">
        <v>1290</v>
      </c>
      <c r="N52" s="115" t="s">
        <v>1291</v>
      </c>
      <c r="P52" s="115"/>
      <c r="R52" s="115" t="s">
        <v>1150</v>
      </c>
    </row>
    <row r="53" spans="1:18">
      <c r="A53" s="115" t="s">
        <v>1265</v>
      </c>
      <c r="C53" s="6" t="s">
        <v>78</v>
      </c>
      <c r="D53" s="6" t="s">
        <v>76</v>
      </c>
      <c r="J53" s="115"/>
      <c r="N53" s="115" t="s">
        <v>1292</v>
      </c>
      <c r="P53" s="115"/>
      <c r="R53" s="115" t="s">
        <v>1150</v>
      </c>
    </row>
    <row r="54" spans="1:18">
      <c r="A54" s="115" t="s">
        <v>1259</v>
      </c>
      <c r="C54" s="6" t="s">
        <v>79</v>
      </c>
      <c r="D54" s="6" t="s">
        <v>80</v>
      </c>
      <c r="J54" s="115"/>
      <c r="N54" s="115" t="s">
        <v>1293</v>
      </c>
      <c r="P54" s="115"/>
      <c r="R54" s="115"/>
    </row>
    <row r="55" spans="1:18">
      <c r="A55" s="115" t="s">
        <v>1266</v>
      </c>
      <c r="C55" s="6" t="s">
        <v>81</v>
      </c>
      <c r="D55" s="6" t="s">
        <v>80</v>
      </c>
      <c r="J55" s="115" t="s">
        <v>541</v>
      </c>
      <c r="N55" s="61" t="s">
        <v>861</v>
      </c>
      <c r="O55" s="7" t="s">
        <v>100</v>
      </c>
      <c r="P55" s="115"/>
      <c r="R55" s="115" t="s">
        <v>1150</v>
      </c>
    </row>
    <row r="56" spans="1:18">
      <c r="B56" s="115" t="s">
        <v>1235</v>
      </c>
      <c r="C56" s="6" t="s">
        <v>82</v>
      </c>
      <c r="D56" s="6" t="s">
        <v>83</v>
      </c>
      <c r="E56" s="115" t="s">
        <v>1234</v>
      </c>
      <c r="F56" s="115" t="s">
        <v>1162</v>
      </c>
      <c r="J56" s="115"/>
      <c r="N56" s="45" t="s">
        <v>474</v>
      </c>
      <c r="O56" s="6" t="s">
        <v>101</v>
      </c>
      <c r="P56" s="115"/>
      <c r="R56" s="115" t="s">
        <v>1150</v>
      </c>
    </row>
    <row r="57" spans="1:18" ht="15.75" thickBot="1">
      <c r="B57" s="115" t="s">
        <v>1216</v>
      </c>
      <c r="C57" s="60" t="s">
        <v>85</v>
      </c>
      <c r="D57" s="60" t="s">
        <v>86</v>
      </c>
      <c r="E57" s="115" t="s">
        <v>86</v>
      </c>
      <c r="F57" s="115" t="s">
        <v>1162</v>
      </c>
      <c r="J57" s="115"/>
      <c r="N57" s="45" t="s">
        <v>475</v>
      </c>
      <c r="O57" s="6" t="s">
        <v>102</v>
      </c>
      <c r="P57" s="115"/>
      <c r="R57" s="115" t="s">
        <v>1150</v>
      </c>
    </row>
    <row r="58" spans="1:18" s="115" customFormat="1">
      <c r="B58" s="115" t="s">
        <v>1218</v>
      </c>
      <c r="C58" s="198"/>
      <c r="D58" s="198" t="s">
        <v>1255</v>
      </c>
      <c r="E58" s="115" t="s">
        <v>1217</v>
      </c>
      <c r="F58" s="115" t="s">
        <v>1150</v>
      </c>
      <c r="N58" s="45" t="s">
        <v>476</v>
      </c>
      <c r="O58" s="6" t="s">
        <v>103</v>
      </c>
      <c r="R58" s="115" t="s">
        <v>1150</v>
      </c>
    </row>
    <row r="59" spans="1:18">
      <c r="A59" s="115" t="s">
        <v>1258</v>
      </c>
      <c r="B59" s="115" t="s">
        <v>1247</v>
      </c>
      <c r="C59" s="7" t="s">
        <v>88</v>
      </c>
      <c r="D59" s="7" t="s">
        <v>89</v>
      </c>
      <c r="E59" s="115" t="s">
        <v>1246</v>
      </c>
      <c r="F59" s="115" t="s">
        <v>1150</v>
      </c>
      <c r="J59" s="115"/>
      <c r="N59" s="45" t="s">
        <v>477</v>
      </c>
      <c r="O59" s="6" t="s">
        <v>104</v>
      </c>
      <c r="P59" s="115"/>
      <c r="R59" s="115" t="s">
        <v>1150</v>
      </c>
    </row>
    <row r="60" spans="1:18">
      <c r="A60" s="115" t="s">
        <v>1258</v>
      </c>
      <c r="B60" s="115" t="s">
        <v>1249</v>
      </c>
      <c r="C60" s="6" t="s">
        <v>90</v>
      </c>
      <c r="D60" s="6" t="s">
        <v>91</v>
      </c>
      <c r="E60" s="115" t="s">
        <v>1248</v>
      </c>
      <c r="F60" s="115" t="s">
        <v>1150</v>
      </c>
      <c r="J60" s="115"/>
      <c r="N60" s="45" t="s">
        <v>520</v>
      </c>
      <c r="O60" s="6" t="s">
        <v>105</v>
      </c>
      <c r="P60" s="115"/>
      <c r="R60" s="115" t="s">
        <v>1150</v>
      </c>
    </row>
    <row r="61" spans="1:18" ht="15.75" thickBot="1">
      <c r="A61" s="115" t="s">
        <v>1258</v>
      </c>
      <c r="B61" s="115" t="s">
        <v>1251</v>
      </c>
      <c r="C61" s="167" t="s">
        <v>1078</v>
      </c>
      <c r="D61" s="167" t="s">
        <v>1079</v>
      </c>
      <c r="E61" s="115" t="s">
        <v>1250</v>
      </c>
      <c r="F61" s="115" t="s">
        <v>1150</v>
      </c>
      <c r="J61" s="115"/>
      <c r="N61" s="171" t="s">
        <v>1089</v>
      </c>
      <c r="O61" s="182" t="s">
        <v>1088</v>
      </c>
      <c r="P61" s="115"/>
      <c r="R61" s="115" t="s">
        <v>1150</v>
      </c>
    </row>
    <row r="62" spans="1:18" ht="15.75" thickBot="1">
      <c r="A62" s="115" t="s">
        <v>1267</v>
      </c>
      <c r="C62" s="7" t="s">
        <v>92</v>
      </c>
      <c r="D62" s="7" t="s">
        <v>93</v>
      </c>
      <c r="J62" s="115"/>
      <c r="N62" s="63" t="s">
        <v>860</v>
      </c>
      <c r="O62" s="60" t="s">
        <v>106</v>
      </c>
      <c r="P62" s="115"/>
      <c r="R62" s="115" t="s">
        <v>1150</v>
      </c>
    </row>
    <row r="63" spans="1:18">
      <c r="A63" s="115" t="s">
        <v>1259</v>
      </c>
      <c r="C63" s="6" t="s">
        <v>94</v>
      </c>
      <c r="D63" s="6" t="s">
        <v>95</v>
      </c>
      <c r="J63" s="115" t="s">
        <v>540</v>
      </c>
      <c r="N63" s="7" t="s">
        <v>558</v>
      </c>
      <c r="O63" s="7" t="s">
        <v>441</v>
      </c>
      <c r="P63" s="115"/>
      <c r="R63" s="115" t="s">
        <v>1150</v>
      </c>
    </row>
    <row r="64" spans="1:18">
      <c r="B64" t="s">
        <v>1201</v>
      </c>
      <c r="C64" s="6" t="s">
        <v>96</v>
      </c>
      <c r="D64" s="6" t="s">
        <v>97</v>
      </c>
      <c r="E64" t="s">
        <v>1200</v>
      </c>
      <c r="F64" t="s">
        <v>1150</v>
      </c>
      <c r="J64" s="115"/>
      <c r="N64" s="6" t="s">
        <v>521</v>
      </c>
      <c r="O64" s="6" t="s">
        <v>107</v>
      </c>
      <c r="P64" s="115"/>
      <c r="R64" s="115" t="s">
        <v>1150</v>
      </c>
    </row>
    <row r="65" spans="1:18" ht="15.75" thickBot="1">
      <c r="B65" t="s">
        <v>1203</v>
      </c>
      <c r="C65" s="60" t="s">
        <v>98</v>
      </c>
      <c r="D65" s="60" t="s">
        <v>99</v>
      </c>
      <c r="E65" t="s">
        <v>1202</v>
      </c>
      <c r="F65" t="s">
        <v>1150</v>
      </c>
      <c r="J65" s="115"/>
      <c r="N65" s="6" t="s">
        <v>110</v>
      </c>
      <c r="O65" s="45" t="s">
        <v>109</v>
      </c>
      <c r="P65" s="115"/>
      <c r="R65" s="115" t="s">
        <v>1150</v>
      </c>
    </row>
    <row r="66" spans="1:18">
      <c r="A66" s="115" t="s">
        <v>1260</v>
      </c>
      <c r="C66" s="7" t="s">
        <v>100</v>
      </c>
      <c r="D66" s="61" t="s">
        <v>861</v>
      </c>
      <c r="J66" s="115"/>
      <c r="N66" s="6" t="s">
        <v>111</v>
      </c>
      <c r="O66" s="6" t="s">
        <v>522</v>
      </c>
      <c r="P66" s="115"/>
      <c r="R66" s="115" t="s">
        <v>1150</v>
      </c>
    </row>
    <row r="67" spans="1:18">
      <c r="A67" s="115" t="s">
        <v>1260</v>
      </c>
      <c r="C67" s="6" t="s">
        <v>101</v>
      </c>
      <c r="D67" s="45" t="s">
        <v>474</v>
      </c>
      <c r="J67" s="115"/>
      <c r="N67" s="6" t="s">
        <v>113</v>
      </c>
      <c r="O67" s="6" t="s">
        <v>112</v>
      </c>
      <c r="P67" s="115"/>
      <c r="R67" s="115" t="s">
        <v>1150</v>
      </c>
    </row>
    <row r="68" spans="1:18">
      <c r="A68" s="115" t="s">
        <v>1260</v>
      </c>
      <c r="C68" s="6" t="s">
        <v>102</v>
      </c>
      <c r="D68" s="45" t="s">
        <v>475</v>
      </c>
      <c r="J68" s="115"/>
      <c r="N68" s="6" t="s">
        <v>115</v>
      </c>
      <c r="O68" s="6" t="s">
        <v>114</v>
      </c>
      <c r="P68" s="115"/>
      <c r="R68" s="115" t="s">
        <v>1150</v>
      </c>
    </row>
    <row r="69" spans="1:18">
      <c r="A69" s="115" t="s">
        <v>1260</v>
      </c>
      <c r="C69" s="6" t="s">
        <v>103</v>
      </c>
      <c r="D69" s="45" t="s">
        <v>476</v>
      </c>
      <c r="J69" s="115"/>
      <c r="N69" s="6" t="s">
        <v>117</v>
      </c>
      <c r="O69" s="6" t="s">
        <v>116</v>
      </c>
      <c r="P69" s="115"/>
      <c r="R69" s="115" t="s">
        <v>1150</v>
      </c>
    </row>
    <row r="70" spans="1:18" ht="15.75" thickBot="1">
      <c r="A70" s="115" t="s">
        <v>1260</v>
      </c>
      <c r="C70" s="6" t="s">
        <v>104</v>
      </c>
      <c r="D70" s="45" t="s">
        <v>477</v>
      </c>
      <c r="J70" s="115"/>
      <c r="N70" s="60" t="s">
        <v>119</v>
      </c>
      <c r="O70" s="60" t="s">
        <v>118</v>
      </c>
      <c r="P70" s="115"/>
      <c r="R70" s="115" t="s">
        <v>1150</v>
      </c>
    </row>
    <row r="71" spans="1:18">
      <c r="A71" s="115" t="s">
        <v>1260</v>
      </c>
      <c r="C71" s="6" t="s">
        <v>105</v>
      </c>
      <c r="D71" s="45" t="s">
        <v>520</v>
      </c>
      <c r="J71" s="115" t="s">
        <v>543</v>
      </c>
      <c r="N71" s="7" t="s">
        <v>130</v>
      </c>
      <c r="O71" s="7" t="s">
        <v>129</v>
      </c>
      <c r="P71" s="115"/>
      <c r="R71" s="115" t="s">
        <v>1150</v>
      </c>
    </row>
    <row r="72" spans="1:18">
      <c r="A72" s="115" t="s">
        <v>1260</v>
      </c>
      <c r="C72" s="182" t="s">
        <v>1088</v>
      </c>
      <c r="D72" s="171" t="s">
        <v>1089</v>
      </c>
      <c r="J72" s="115"/>
      <c r="N72" s="6" t="s">
        <v>132</v>
      </c>
      <c r="O72" s="6" t="s">
        <v>131</v>
      </c>
      <c r="P72" s="115"/>
      <c r="R72" s="115" t="s">
        <v>1150</v>
      </c>
    </row>
    <row r="73" spans="1:18" ht="15.75" thickBot="1">
      <c r="A73" s="115" t="s">
        <v>1260</v>
      </c>
      <c r="C73" s="60" t="s">
        <v>106</v>
      </c>
      <c r="D73" s="63" t="s">
        <v>860</v>
      </c>
      <c r="J73" s="115"/>
      <c r="N73" s="6" t="s">
        <v>134</v>
      </c>
      <c r="O73" s="6" t="s">
        <v>133</v>
      </c>
      <c r="P73" s="115"/>
      <c r="R73" s="115" t="s">
        <v>1150</v>
      </c>
    </row>
    <row r="74" spans="1:18">
      <c r="A74" s="115" t="s">
        <v>1260</v>
      </c>
      <c r="C74" s="181" t="s">
        <v>441</v>
      </c>
      <c r="D74" s="181" t="s">
        <v>558</v>
      </c>
      <c r="J74" s="115"/>
      <c r="N74" s="6" t="s">
        <v>136</v>
      </c>
      <c r="O74" s="6" t="s">
        <v>135</v>
      </c>
      <c r="P74" s="115"/>
      <c r="R74" s="115" t="s">
        <v>1150</v>
      </c>
    </row>
    <row r="75" spans="1:18">
      <c r="A75" s="115" t="s">
        <v>1260</v>
      </c>
      <c r="C75" s="27" t="s">
        <v>107</v>
      </c>
      <c r="D75" s="27" t="s">
        <v>521</v>
      </c>
      <c r="J75" s="115"/>
      <c r="N75" s="6" t="s">
        <v>138</v>
      </c>
      <c r="O75" s="6" t="s">
        <v>137</v>
      </c>
      <c r="P75" s="115"/>
      <c r="R75" s="115" t="s">
        <v>1150</v>
      </c>
    </row>
    <row r="76" spans="1:18" ht="15.75" thickBot="1">
      <c r="A76" s="115" t="s">
        <v>1260</v>
      </c>
      <c r="C76" s="45" t="s">
        <v>109</v>
      </c>
      <c r="D76" s="6" t="s">
        <v>110</v>
      </c>
      <c r="J76" s="115"/>
      <c r="N76" s="167" t="s">
        <v>141</v>
      </c>
      <c r="O76" s="167" t="s">
        <v>140</v>
      </c>
      <c r="P76" s="115"/>
      <c r="R76" s="115" t="s">
        <v>1150</v>
      </c>
    </row>
    <row r="77" spans="1:18" ht="15.75" thickBot="1">
      <c r="A77" s="115" t="s">
        <v>1260</v>
      </c>
      <c r="C77" s="27" t="s">
        <v>522</v>
      </c>
      <c r="D77" s="27" t="s">
        <v>111</v>
      </c>
      <c r="J77" s="115" t="s">
        <v>552</v>
      </c>
      <c r="N77" s="66" t="s">
        <v>182</v>
      </c>
      <c r="O77" s="66" t="s">
        <v>181</v>
      </c>
      <c r="P77" s="115"/>
      <c r="R77" s="115" t="s">
        <v>1150</v>
      </c>
    </row>
    <row r="78" spans="1:18">
      <c r="A78" s="115" t="s">
        <v>1260</v>
      </c>
      <c r="C78" s="27" t="s">
        <v>112</v>
      </c>
      <c r="D78" s="27" t="s">
        <v>113</v>
      </c>
      <c r="J78" s="115" t="s">
        <v>544</v>
      </c>
      <c r="N78" s="69" t="s">
        <v>487</v>
      </c>
      <c r="O78" s="68" t="s">
        <v>142</v>
      </c>
      <c r="P78" s="115"/>
      <c r="R78" s="115" t="s">
        <v>1150</v>
      </c>
    </row>
    <row r="79" spans="1:18">
      <c r="A79" s="115" t="s">
        <v>1260</v>
      </c>
      <c r="C79" s="6" t="s">
        <v>114</v>
      </c>
      <c r="D79" s="6" t="s">
        <v>115</v>
      </c>
      <c r="J79" s="115"/>
      <c r="N79" s="45" t="s">
        <v>488</v>
      </c>
      <c r="O79" s="6" t="s">
        <v>143</v>
      </c>
      <c r="P79" s="115"/>
      <c r="R79" s="115" t="s">
        <v>1150</v>
      </c>
    </row>
    <row r="80" spans="1:18">
      <c r="A80" s="115" t="s">
        <v>1260</v>
      </c>
      <c r="C80" s="27" t="s">
        <v>116</v>
      </c>
      <c r="D80" s="27" t="s">
        <v>117</v>
      </c>
      <c r="J80" s="115"/>
      <c r="N80" s="45" t="s">
        <v>489</v>
      </c>
      <c r="O80" s="45" t="s">
        <v>467</v>
      </c>
      <c r="P80" s="115"/>
      <c r="R80" s="115" t="s">
        <v>1150</v>
      </c>
    </row>
    <row r="81" spans="1:18" ht="15.75" thickBot="1">
      <c r="A81" s="115" t="s">
        <v>1260</v>
      </c>
      <c r="C81" s="60" t="s">
        <v>118</v>
      </c>
      <c r="D81" s="60" t="s">
        <v>119</v>
      </c>
      <c r="J81" s="115"/>
      <c r="N81" s="45" t="s">
        <v>490</v>
      </c>
      <c r="O81" s="45" t="s">
        <v>468</v>
      </c>
      <c r="P81" s="115"/>
      <c r="R81" s="115" t="s">
        <v>1150</v>
      </c>
    </row>
    <row r="82" spans="1:18">
      <c r="B82" t="s">
        <v>1192</v>
      </c>
      <c r="C82" s="181" t="s">
        <v>120</v>
      </c>
      <c r="D82" s="181" t="s">
        <v>523</v>
      </c>
      <c r="E82" t="s">
        <v>1191</v>
      </c>
      <c r="F82" t="s">
        <v>1150</v>
      </c>
      <c r="J82" s="115"/>
      <c r="N82" s="6" t="s">
        <v>491</v>
      </c>
      <c r="O82" s="6" t="s">
        <v>144</v>
      </c>
      <c r="P82" s="115"/>
      <c r="R82" s="115" t="s">
        <v>1150</v>
      </c>
    </row>
    <row r="83" spans="1:18">
      <c r="B83" t="s">
        <v>1196</v>
      </c>
      <c r="C83" s="171" t="s">
        <v>122</v>
      </c>
      <c r="D83" s="171" t="s">
        <v>524</v>
      </c>
      <c r="E83" t="s">
        <v>1195</v>
      </c>
      <c r="F83" t="s">
        <v>1150</v>
      </c>
      <c r="J83" s="115"/>
      <c r="N83" s="171" t="s">
        <v>964</v>
      </c>
      <c r="O83" s="171" t="s">
        <v>145</v>
      </c>
      <c r="P83" s="115"/>
      <c r="R83" s="115" t="s">
        <v>1150</v>
      </c>
    </row>
    <row r="84" spans="1:18">
      <c r="B84" t="s">
        <v>1194</v>
      </c>
      <c r="C84" s="27" t="s">
        <v>123</v>
      </c>
      <c r="D84" s="27" t="s">
        <v>525</v>
      </c>
      <c r="E84" t="s">
        <v>1193</v>
      </c>
      <c r="F84" t="s">
        <v>1150</v>
      </c>
      <c r="J84" s="115"/>
      <c r="N84" s="6" t="s">
        <v>147</v>
      </c>
      <c r="O84" s="6" t="s">
        <v>146</v>
      </c>
      <c r="P84" s="115"/>
      <c r="R84" s="115" t="s">
        <v>1150</v>
      </c>
    </row>
    <row r="85" spans="1:18" ht="15.75" thickBot="1">
      <c r="B85" t="s">
        <v>1198</v>
      </c>
      <c r="C85" s="167" t="s">
        <v>124</v>
      </c>
      <c r="D85" s="167" t="s">
        <v>526</v>
      </c>
      <c r="E85" t="s">
        <v>1197</v>
      </c>
      <c r="F85" t="s">
        <v>1150</v>
      </c>
      <c r="J85" s="115"/>
      <c r="N85" s="6" t="s">
        <v>149</v>
      </c>
      <c r="O85" s="6" t="s">
        <v>148</v>
      </c>
      <c r="P85" s="115"/>
      <c r="R85" s="115" t="s">
        <v>1150</v>
      </c>
    </row>
    <row r="86" spans="1:18" ht="15.75" thickBot="1">
      <c r="A86" s="115" t="s">
        <v>1257</v>
      </c>
      <c r="B86" s="115" t="s">
        <v>1221</v>
      </c>
      <c r="C86" s="60" t="s">
        <v>125</v>
      </c>
      <c r="D86" s="66" t="s">
        <v>126</v>
      </c>
      <c r="E86" s="115" t="s">
        <v>1220</v>
      </c>
      <c r="F86" s="115" t="s">
        <v>1150</v>
      </c>
      <c r="J86" s="115"/>
      <c r="N86" s="6" t="s">
        <v>151</v>
      </c>
      <c r="O86" s="6" t="s">
        <v>150</v>
      </c>
      <c r="P86" s="115"/>
      <c r="R86" s="115" t="s">
        <v>1150</v>
      </c>
    </row>
    <row r="87" spans="1:18" s="115" customFormat="1">
      <c r="A87" s="115" t="s">
        <v>1255</v>
      </c>
      <c r="B87" s="115" t="s">
        <v>1223</v>
      </c>
      <c r="C87" s="198"/>
      <c r="D87" s="198" t="s">
        <v>1255</v>
      </c>
      <c r="E87" s="115" t="s">
        <v>1222</v>
      </c>
      <c r="F87" s="115" t="s">
        <v>1150</v>
      </c>
      <c r="N87" s="6" t="s">
        <v>153</v>
      </c>
      <c r="O87" s="6" t="s">
        <v>152</v>
      </c>
      <c r="R87" s="115" t="s">
        <v>1150</v>
      </c>
    </row>
    <row r="88" spans="1:18" s="115" customFormat="1">
      <c r="B88" s="115" t="s">
        <v>1226</v>
      </c>
      <c r="C88" s="198"/>
      <c r="D88" s="198" t="s">
        <v>1255</v>
      </c>
      <c r="E88" s="115" t="s">
        <v>1225</v>
      </c>
      <c r="F88" s="115" t="s">
        <v>1150</v>
      </c>
      <c r="N88" s="6" t="s">
        <v>155</v>
      </c>
      <c r="O88" s="6" t="s">
        <v>154</v>
      </c>
      <c r="R88" s="115" t="s">
        <v>1150</v>
      </c>
    </row>
    <row r="89" spans="1:18">
      <c r="B89" s="115" t="s">
        <v>1228</v>
      </c>
      <c r="C89" s="7" t="s">
        <v>127</v>
      </c>
      <c r="D89" s="61" t="s">
        <v>517</v>
      </c>
      <c r="E89" s="115" t="s">
        <v>1227</v>
      </c>
      <c r="F89" s="115" t="s">
        <v>1150</v>
      </c>
      <c r="J89" s="115"/>
      <c r="N89" s="6" t="s">
        <v>157</v>
      </c>
      <c r="O89" s="6" t="s">
        <v>156</v>
      </c>
      <c r="P89" s="115"/>
      <c r="R89" s="115" t="s">
        <v>1150</v>
      </c>
    </row>
    <row r="90" spans="1:18" ht="15.75" thickBot="1">
      <c r="A90" s="115" t="s">
        <v>1259</v>
      </c>
      <c r="C90" s="60" t="s">
        <v>128</v>
      </c>
      <c r="D90" s="63" t="s">
        <v>518</v>
      </c>
      <c r="J90" s="115"/>
      <c r="N90" s="6" t="s">
        <v>159</v>
      </c>
      <c r="O90" s="6" t="s">
        <v>158</v>
      </c>
      <c r="P90" s="115"/>
      <c r="R90" s="115" t="s">
        <v>1150</v>
      </c>
    </row>
    <row r="91" spans="1:18">
      <c r="A91" s="115" t="s">
        <v>1259</v>
      </c>
      <c r="C91" s="123" t="s">
        <v>527</v>
      </c>
      <c r="D91" s="123" t="s">
        <v>528</v>
      </c>
      <c r="J91" s="115"/>
      <c r="N91" s="6" t="s">
        <v>161</v>
      </c>
      <c r="O91" s="6" t="s">
        <v>160</v>
      </c>
      <c r="P91" s="115"/>
      <c r="R91" s="115" t="s">
        <v>1150</v>
      </c>
    </row>
    <row r="92" spans="1:18">
      <c r="A92" s="115" t="s">
        <v>1259</v>
      </c>
      <c r="C92" s="45" t="s">
        <v>917</v>
      </c>
      <c r="D92" s="45" t="s">
        <v>919</v>
      </c>
      <c r="J92" s="115"/>
      <c r="N92" s="45" t="s">
        <v>163</v>
      </c>
      <c r="O92" s="6" t="s">
        <v>162</v>
      </c>
      <c r="P92" s="115"/>
      <c r="R92" s="115" t="s">
        <v>1150</v>
      </c>
    </row>
    <row r="93" spans="1:18" ht="15.75" thickBot="1">
      <c r="A93" s="115" t="s">
        <v>1259</v>
      </c>
      <c r="C93" s="60" t="s">
        <v>918</v>
      </c>
      <c r="D93" s="60" t="s">
        <v>920</v>
      </c>
      <c r="J93" s="115"/>
      <c r="N93" s="45" t="s">
        <v>481</v>
      </c>
      <c r="O93" s="6" t="s">
        <v>164</v>
      </c>
      <c r="P93" s="115"/>
      <c r="R93" s="115" t="s">
        <v>1150</v>
      </c>
    </row>
    <row r="94" spans="1:18" s="115" customFormat="1">
      <c r="A94" s="115" t="s">
        <v>1255</v>
      </c>
      <c r="B94" s="115" t="s">
        <v>1254</v>
      </c>
      <c r="C94" s="198"/>
      <c r="D94" s="198" t="s">
        <v>1255</v>
      </c>
      <c r="E94" s="115" t="s">
        <v>1253</v>
      </c>
      <c r="F94" s="115" t="s">
        <v>1150</v>
      </c>
      <c r="N94" s="45" t="s">
        <v>482</v>
      </c>
      <c r="O94" s="6" t="s">
        <v>165</v>
      </c>
      <c r="R94" s="115" t="s">
        <v>1150</v>
      </c>
    </row>
    <row r="95" spans="1:18">
      <c r="A95" s="115" t="s">
        <v>1260</v>
      </c>
      <c r="C95" s="7" t="s">
        <v>129</v>
      </c>
      <c r="D95" s="7" t="s">
        <v>130</v>
      </c>
      <c r="J95" s="115"/>
      <c r="N95" s="45" t="s">
        <v>483</v>
      </c>
      <c r="O95" s="6" t="s">
        <v>166</v>
      </c>
      <c r="P95" s="115"/>
      <c r="R95" s="115" t="s">
        <v>1150</v>
      </c>
    </row>
    <row r="96" spans="1:18">
      <c r="A96" s="115" t="s">
        <v>1260</v>
      </c>
      <c r="C96" s="27" t="s">
        <v>131</v>
      </c>
      <c r="D96" s="27" t="s">
        <v>132</v>
      </c>
      <c r="J96" s="115"/>
      <c r="N96" s="6" t="s">
        <v>168</v>
      </c>
      <c r="O96" s="6" t="s">
        <v>167</v>
      </c>
      <c r="P96" s="115"/>
      <c r="R96" s="115" t="s">
        <v>1150</v>
      </c>
    </row>
    <row r="97" spans="1:18">
      <c r="A97" s="115" t="s">
        <v>1260</v>
      </c>
      <c r="C97" s="27" t="s">
        <v>133</v>
      </c>
      <c r="D97" s="27" t="s">
        <v>134</v>
      </c>
      <c r="J97" s="115"/>
      <c r="N97" s="45" t="s">
        <v>484</v>
      </c>
      <c r="O97" s="6" t="s">
        <v>169</v>
      </c>
      <c r="P97" s="115"/>
      <c r="R97" s="115" t="s">
        <v>1150</v>
      </c>
    </row>
    <row r="98" spans="1:18">
      <c r="A98" s="115" t="s">
        <v>1260</v>
      </c>
      <c r="C98" s="6" t="s">
        <v>135</v>
      </c>
      <c r="D98" s="6" t="s">
        <v>136</v>
      </c>
      <c r="J98" s="115"/>
      <c r="N98" s="45" t="s">
        <v>485</v>
      </c>
      <c r="O98" s="6" t="s">
        <v>170</v>
      </c>
      <c r="P98" s="115"/>
      <c r="R98" s="115" t="s">
        <v>1150</v>
      </c>
    </row>
    <row r="99" spans="1:18">
      <c r="A99" s="115" t="s">
        <v>1260</v>
      </c>
      <c r="C99" s="6" t="s">
        <v>137</v>
      </c>
      <c r="D99" s="6" t="s">
        <v>138</v>
      </c>
      <c r="J99" s="115"/>
      <c r="N99" s="45" t="s">
        <v>486</v>
      </c>
      <c r="O99" s="6" t="s">
        <v>171</v>
      </c>
      <c r="P99" s="115"/>
      <c r="R99" s="115" t="s">
        <v>1150</v>
      </c>
    </row>
    <row r="100" spans="1:18" ht="15.75" thickBot="1">
      <c r="A100" s="115" t="s">
        <v>1260</v>
      </c>
      <c r="C100" s="167" t="s">
        <v>140</v>
      </c>
      <c r="D100" s="167" t="s">
        <v>141</v>
      </c>
      <c r="J100" s="115"/>
      <c r="N100" s="60" t="s">
        <v>173</v>
      </c>
      <c r="O100" s="60" t="s">
        <v>172</v>
      </c>
      <c r="P100" s="115"/>
      <c r="R100" s="115" t="s">
        <v>1150</v>
      </c>
    </row>
    <row r="101" spans="1:18">
      <c r="A101" s="115" t="s">
        <v>1260</v>
      </c>
      <c r="C101" s="68" t="s">
        <v>142</v>
      </c>
      <c r="D101" s="69" t="s">
        <v>487</v>
      </c>
      <c r="J101" s="115" t="s">
        <v>545</v>
      </c>
      <c r="N101" s="69" t="s">
        <v>556</v>
      </c>
      <c r="O101" s="68" t="s">
        <v>174</v>
      </c>
      <c r="P101" s="115"/>
      <c r="R101" s="115" t="s">
        <v>1150</v>
      </c>
    </row>
    <row r="102" spans="1:18">
      <c r="A102" s="115" t="s">
        <v>1260</v>
      </c>
      <c r="C102" s="6" t="s">
        <v>143</v>
      </c>
      <c r="D102" s="45" t="s">
        <v>488</v>
      </c>
      <c r="J102" s="115"/>
      <c r="N102" s="6" t="s">
        <v>176</v>
      </c>
      <c r="O102" s="6" t="s">
        <v>175</v>
      </c>
      <c r="P102" s="115"/>
      <c r="R102" s="115" t="s">
        <v>1150</v>
      </c>
    </row>
    <row r="103" spans="1:18">
      <c r="A103" s="115" t="s">
        <v>1260</v>
      </c>
      <c r="C103" s="45" t="s">
        <v>467</v>
      </c>
      <c r="D103" s="45" t="s">
        <v>489</v>
      </c>
      <c r="J103" s="115"/>
      <c r="N103" s="6" t="s">
        <v>178</v>
      </c>
      <c r="O103" s="6" t="s">
        <v>177</v>
      </c>
      <c r="P103" s="115"/>
      <c r="R103" s="115" t="s">
        <v>1150</v>
      </c>
    </row>
    <row r="104" spans="1:18" ht="15.75" thickBot="1">
      <c r="A104" s="115" t="s">
        <v>1260</v>
      </c>
      <c r="C104" s="45" t="s">
        <v>468</v>
      </c>
      <c r="D104" s="45" t="s">
        <v>490</v>
      </c>
      <c r="J104" s="115"/>
      <c r="N104" s="60" t="s">
        <v>180</v>
      </c>
      <c r="O104" s="60" t="s">
        <v>179</v>
      </c>
      <c r="P104" s="115"/>
      <c r="R104" s="115" t="s">
        <v>1150</v>
      </c>
    </row>
    <row r="105" spans="1:18">
      <c r="A105" s="115" t="s">
        <v>1260</v>
      </c>
      <c r="C105" s="27" t="s">
        <v>144</v>
      </c>
      <c r="D105" s="27" t="s">
        <v>491</v>
      </c>
    </row>
    <row r="106" spans="1:18">
      <c r="A106" s="115" t="s">
        <v>1260</v>
      </c>
      <c r="C106" s="171" t="s">
        <v>145</v>
      </c>
      <c r="D106" s="171" t="s">
        <v>964</v>
      </c>
    </row>
    <row r="107" spans="1:18">
      <c r="A107" s="115" t="s">
        <v>1260</v>
      </c>
      <c r="C107" s="6" t="s">
        <v>146</v>
      </c>
      <c r="D107" s="6" t="s">
        <v>147</v>
      </c>
    </row>
    <row r="108" spans="1:18">
      <c r="A108" s="115" t="s">
        <v>1260</v>
      </c>
      <c r="C108" s="6" t="s">
        <v>148</v>
      </c>
      <c r="D108" s="6" t="s">
        <v>149</v>
      </c>
    </row>
    <row r="109" spans="1:18">
      <c r="A109" s="115" t="s">
        <v>1260</v>
      </c>
      <c r="C109" s="6" t="s">
        <v>150</v>
      </c>
      <c r="D109" s="6" t="s">
        <v>151</v>
      </c>
    </row>
    <row r="110" spans="1:18">
      <c r="A110" s="115" t="s">
        <v>1260</v>
      </c>
      <c r="C110" s="6" t="s">
        <v>152</v>
      </c>
      <c r="D110" s="6" t="s">
        <v>153</v>
      </c>
    </row>
    <row r="111" spans="1:18">
      <c r="A111" s="115" t="s">
        <v>1260</v>
      </c>
      <c r="C111" s="6" t="s">
        <v>154</v>
      </c>
      <c r="D111" s="6" t="s">
        <v>155</v>
      </c>
    </row>
    <row r="112" spans="1:18">
      <c r="A112" s="115" t="s">
        <v>1260</v>
      </c>
      <c r="C112" s="6" t="s">
        <v>156</v>
      </c>
      <c r="D112" s="6" t="s">
        <v>157</v>
      </c>
    </row>
    <row r="113" spans="1:4">
      <c r="A113" s="115" t="s">
        <v>1260</v>
      </c>
      <c r="C113" s="6" t="s">
        <v>158</v>
      </c>
      <c r="D113" s="6" t="s">
        <v>159</v>
      </c>
    </row>
    <row r="114" spans="1:4">
      <c r="A114" s="115" t="s">
        <v>1260</v>
      </c>
      <c r="C114" s="6" t="s">
        <v>160</v>
      </c>
      <c r="D114" s="6" t="s">
        <v>161</v>
      </c>
    </row>
    <row r="115" spans="1:4">
      <c r="A115" s="115" t="s">
        <v>1260</v>
      </c>
      <c r="C115" s="6" t="s">
        <v>162</v>
      </c>
      <c r="D115" s="45" t="s">
        <v>163</v>
      </c>
    </row>
    <row r="116" spans="1:4">
      <c r="A116" s="115" t="s">
        <v>1260</v>
      </c>
      <c r="C116" s="6" t="s">
        <v>164</v>
      </c>
      <c r="D116" s="45" t="s">
        <v>481</v>
      </c>
    </row>
    <row r="117" spans="1:4">
      <c r="A117" s="115" t="s">
        <v>1260</v>
      </c>
      <c r="C117" s="6" t="s">
        <v>165</v>
      </c>
      <c r="D117" s="45" t="s">
        <v>482</v>
      </c>
    </row>
    <row r="118" spans="1:4">
      <c r="A118" s="115" t="s">
        <v>1260</v>
      </c>
      <c r="C118" s="6" t="s">
        <v>166</v>
      </c>
      <c r="D118" s="45" t="s">
        <v>483</v>
      </c>
    </row>
    <row r="119" spans="1:4">
      <c r="A119" s="115" t="s">
        <v>1260</v>
      </c>
      <c r="C119" s="6" t="s">
        <v>167</v>
      </c>
      <c r="D119" s="6" t="s">
        <v>168</v>
      </c>
    </row>
    <row r="120" spans="1:4">
      <c r="A120" s="115" t="s">
        <v>1260</v>
      </c>
      <c r="C120" s="6" t="s">
        <v>169</v>
      </c>
      <c r="D120" s="45" t="s">
        <v>484</v>
      </c>
    </row>
    <row r="121" spans="1:4">
      <c r="A121" s="115" t="s">
        <v>1260</v>
      </c>
      <c r="C121" s="6" t="s">
        <v>170</v>
      </c>
      <c r="D121" s="45" t="s">
        <v>485</v>
      </c>
    </row>
    <row r="122" spans="1:4">
      <c r="A122" s="115" t="s">
        <v>1260</v>
      </c>
      <c r="C122" s="6" t="s">
        <v>171</v>
      </c>
      <c r="D122" s="45" t="s">
        <v>486</v>
      </c>
    </row>
    <row r="123" spans="1:4" ht="15.75" thickBot="1">
      <c r="A123" s="115" t="s">
        <v>1260</v>
      </c>
      <c r="C123" s="60" t="s">
        <v>172</v>
      </c>
      <c r="D123" s="60" t="s">
        <v>173</v>
      </c>
    </row>
    <row r="124" spans="1:4">
      <c r="A124" s="115" t="s">
        <v>1260</v>
      </c>
      <c r="C124" s="68" t="s">
        <v>174</v>
      </c>
      <c r="D124" s="69" t="s">
        <v>556</v>
      </c>
    </row>
    <row r="125" spans="1:4">
      <c r="A125" s="115" t="s">
        <v>1260</v>
      </c>
      <c r="C125" s="6" t="s">
        <v>175</v>
      </c>
      <c r="D125" s="6" t="s">
        <v>176</v>
      </c>
    </row>
    <row r="126" spans="1:4">
      <c r="A126" s="115" t="s">
        <v>1260</v>
      </c>
      <c r="C126" s="6" t="s">
        <v>177</v>
      </c>
      <c r="D126" s="6" t="s">
        <v>178</v>
      </c>
    </row>
    <row r="127" spans="1:4" ht="15.75" thickBot="1">
      <c r="A127" s="115" t="s">
        <v>1260</v>
      </c>
      <c r="C127" s="60" t="s">
        <v>179</v>
      </c>
      <c r="D127" s="60" t="s">
        <v>180</v>
      </c>
    </row>
    <row r="128" spans="1:4" ht="15.75" thickBot="1">
      <c r="A128" s="115" t="s">
        <v>1260</v>
      </c>
      <c r="C128" s="66" t="s">
        <v>181</v>
      </c>
      <c r="D128" s="66" t="s">
        <v>182</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E51DAACCCE2CF4EB98C1FA1234C9435" ma:contentTypeVersion="14" ma:contentTypeDescription="Create a new document." ma:contentTypeScope="" ma:versionID="17cfe3e9e2a3b9f6a40cd59f6ff5e6e5">
  <xsd:schema xmlns:xsd="http://www.w3.org/2001/XMLSchema" xmlns:xs="http://www.w3.org/2001/XMLSchema" xmlns:p="http://schemas.microsoft.com/office/2006/metadata/properties" xmlns:ns2="01f4603a-42fe-4985-8cca-739ca1084ef3" xmlns:ns3="a0198d35-6e79-412e-af07-385c610b0dbf" targetNamespace="http://schemas.microsoft.com/office/2006/metadata/properties" ma:root="true" ma:fieldsID="4cf18fccbebb29ab7937b2bcdeb07a37" ns2:_="" ns3:_="">
    <xsd:import namespace="01f4603a-42fe-4985-8cca-739ca1084ef3"/>
    <xsd:import namespace="a0198d35-6e79-412e-af07-385c610b0dbf"/>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Comme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f4603a-42fe-4985-8cca-739ca1084ef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9239441-07b5-4d94-bfb0-12e00d9df285"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Comment" ma:index="21" nillable="true" ma:displayName="Comment" ma:format="Dropdown" ma:internalName="Comment">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0198d35-6e79-412e-af07-385c610b0dbf"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10eb9bec-99cc-4ad4-88dd-529ce187b41f}" ma:internalName="TaxCatchAll" ma:showField="CatchAllData" ma:web="a0198d35-6e79-412e-af07-385c610b0d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a0198d35-6e79-412e-af07-385c610b0dbf" xsi:nil="true"/>
    <lcf76f155ced4ddcb4097134ff3c332f xmlns="01f4603a-42fe-4985-8cca-739ca1084ef3">
      <Terms xmlns="http://schemas.microsoft.com/office/infopath/2007/PartnerControls"/>
    </lcf76f155ced4ddcb4097134ff3c332f>
    <Comment xmlns="01f4603a-42fe-4985-8cca-739ca1084ef3" xsi:nil="true"/>
  </documentManagement>
</p:properties>
</file>

<file path=customXml/itemProps1.xml><?xml version="1.0" encoding="utf-8"?>
<ds:datastoreItem xmlns:ds="http://schemas.openxmlformats.org/officeDocument/2006/customXml" ds:itemID="{34160056-2259-4000-B7E9-D14B38697A47}">
  <ds:schemaRefs>
    <ds:schemaRef ds:uri="http://schemas.microsoft.com/sharepoint/v3/contenttype/forms"/>
  </ds:schemaRefs>
</ds:datastoreItem>
</file>

<file path=customXml/itemProps2.xml><?xml version="1.0" encoding="utf-8"?>
<ds:datastoreItem xmlns:ds="http://schemas.openxmlformats.org/officeDocument/2006/customXml" ds:itemID="{0DCCAE6F-2B10-4586-98A3-CAD5BB3C143E}"/>
</file>

<file path=customXml/itemProps3.xml><?xml version="1.0" encoding="utf-8"?>
<ds:datastoreItem xmlns:ds="http://schemas.openxmlformats.org/officeDocument/2006/customXml" ds:itemID="{ED016876-EED7-4C3C-9EEF-9A33097CBCDF}">
  <ds:schemaRefs>
    <ds:schemaRef ds:uri="http://purl.org/dc/terms/"/>
    <ds:schemaRef ds:uri="http://schemas.openxmlformats.org/package/2006/metadata/core-properties"/>
    <ds:schemaRef ds:uri="http://purl.org/dc/dcmitype/"/>
    <ds:schemaRef ds:uri="1bf58d84-5e20-4a41-aa73-0a6f7670ae44"/>
    <ds:schemaRef ds:uri="http://purl.org/dc/elements/1.1/"/>
    <ds:schemaRef ds:uri="http://schemas.microsoft.com/office/2006/metadata/properties"/>
    <ds:schemaRef ds:uri="http://schemas.microsoft.com/office/2006/documentManagement/types"/>
    <ds:schemaRef ds:uri="http://schemas.microsoft.com/office/infopath/2007/PartnerControls"/>
    <ds:schemaRef ds:uri="ed53b97b-cfb5-43fb-98c8-420dca68bc0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452</vt:i4>
      </vt:variant>
    </vt:vector>
  </HeadingPairs>
  <TitlesOfParts>
    <vt:vector size="463" baseType="lpstr">
      <vt:lpstr>INSTRUCTIONS</vt:lpstr>
      <vt:lpstr>Common</vt:lpstr>
      <vt:lpstr>Water</vt:lpstr>
      <vt:lpstr>Wastewater</vt:lpstr>
      <vt:lpstr>Stormwater</vt:lpstr>
      <vt:lpstr>Data lists</vt:lpstr>
      <vt:lpstr>Previous years</vt:lpstr>
      <vt:lpstr>Export format</vt:lpstr>
      <vt:lpstr>WWTP Export</vt:lpstr>
      <vt:lpstr>Network export</vt:lpstr>
      <vt:lpstr>WS Alignment with TA Rules</vt:lpstr>
      <vt:lpstr>Above_ground_asset_condition_assessment_programme__WSA13a</vt:lpstr>
      <vt:lpstr>Above_ground_asset_condition_assessment_programme__WWA6</vt:lpstr>
      <vt:lpstr>Above_ground_condition_assessment</vt:lpstr>
      <vt:lpstr>Above_ground_stormwater_asset_assessment_program__SWA5a</vt:lpstr>
      <vt:lpstr>Actual_Capital_Expenditure__Stormwater__SWF17</vt:lpstr>
      <vt:lpstr>Actual_Capital_Expenditure__Wastewater__WWF21</vt:lpstr>
      <vt:lpstr>Actual_Capital_Expenditure__Water_Supply__WSF20</vt:lpstr>
      <vt:lpstr>Actual_Capital_Expenditure_per_Property__Stormwater__SWF18</vt:lpstr>
      <vt:lpstr>Actual_Capital_Expenditure_per_Property__Wastewater__WWF22</vt:lpstr>
      <vt:lpstr>Actual_Capital_Expenditure_per_Property__Water_Supply__WSF21</vt:lpstr>
      <vt:lpstr>Actual_capital_to_improve_the_level_of_service__SWF17b</vt:lpstr>
      <vt:lpstr>Actual_capital_to_improve_the_level_of_service__WSF20b</vt:lpstr>
      <vt:lpstr>Actual_capital_to_improve_the_level_of_service__WWF21b</vt:lpstr>
      <vt:lpstr>Actual_capital_to_meet_additional_demand__SWF17a</vt:lpstr>
      <vt:lpstr>Actual_capital_to_meet_additional_demand__WSF20a</vt:lpstr>
      <vt:lpstr>Actual_capital_to_meet_additional_demand__WWF21a</vt:lpstr>
      <vt:lpstr>Actual_capital_to_replace_existing_assets__SWF17c</vt:lpstr>
      <vt:lpstr>Actual_capital_to_replace_existing_assets__WSF20c</vt:lpstr>
      <vt:lpstr>Actual_capital_to_replace_existing_assets__WWF21c</vt:lpstr>
      <vt:lpstr>Actual_Versus_Budgeted_Expenditure___WSF20_WWF21_SWF17__WSF19_WWF20_SWF16</vt:lpstr>
      <vt:lpstr>Analogue_SCADA__CB19a</vt:lpstr>
      <vt:lpstr>Analogue_SCADA_telemetry__CB19a</vt:lpstr>
      <vt:lpstr>Annual_Depreciation__Stormwater__SWF11</vt:lpstr>
      <vt:lpstr>Annual_Depreciation__Wastewater__WWF15</vt:lpstr>
      <vt:lpstr>Annual_Depreciation__Water_Supply__WSF14</vt:lpstr>
      <vt:lpstr>Attendance_for_non_urgent_water_supply_fault_call_outs__WSS10c</vt:lpstr>
      <vt:lpstr>Attendance_for_urgent_water_supply_fault_call_outs__WSS10a</vt:lpstr>
      <vt:lpstr>Authorised_Consumption__WSB6</vt:lpstr>
      <vt:lpstr>Average_Age_of_Stormwater_Pipelines__SWA3</vt:lpstr>
      <vt:lpstr>Average_Age_of_Wastewater_Pipelines__WWA3</vt:lpstr>
      <vt:lpstr>Average_Age_of_Water_Pipelines__WSA3</vt:lpstr>
      <vt:lpstr>Average_Annual_Residential_Wastewater_Charge_Based_on_200_m3_yr___WWS3</vt:lpstr>
      <vt:lpstr>Average_calculated_wet_weather_overflow_frequency__WWE8b</vt:lpstr>
      <vt:lpstr>Average_Daily_Residential_Wastewater_Production__WWB8</vt:lpstr>
      <vt:lpstr>Average_Daily_Residential_Water_Consumption__WSB8</vt:lpstr>
      <vt:lpstr>Average_Residential_Water_Charge_Based_on_200_m3_yr___WSS9</vt:lpstr>
      <vt:lpstr>Average_Residential_Water_Charge_Based_on_200_m3_yr__WSS9_MAX</vt:lpstr>
      <vt:lpstr>Average_Residential_Water_Charge_Based_on_200_m3_yr__WSS9a_MIN</vt:lpstr>
      <vt:lpstr>Average_system_pressure__WSE2</vt:lpstr>
      <vt:lpstr>Balanced_Budget___WSF1_WSF2___WSF12_WSF15a</vt:lpstr>
      <vt:lpstr>Balanced_Budget___WWF1_WWF2___WWF13_WWF16a</vt:lpstr>
      <vt:lpstr>Balanced_Budget__SWF1__SWF9_SWF12a</vt:lpstr>
      <vt:lpstr>Boiled_water_notices__WSS12</vt:lpstr>
      <vt:lpstr>Budgeted_Capital_Expenditure__Stormwater__SWF16</vt:lpstr>
      <vt:lpstr>Budgeted_Capital_Expenditure__Wastewater__WWF20</vt:lpstr>
      <vt:lpstr>Budgeted_Capital_Expenditure__Water_Supply__WSF19</vt:lpstr>
      <vt:lpstr>Budgeted_capital_to_improve_the_level_of_service__SWF16b</vt:lpstr>
      <vt:lpstr>Budgeted_capital_to_improve_the_level_of_service__WSF19b</vt:lpstr>
      <vt:lpstr>Budgeted_capital_to_improve_the_level_of_service__WWF20b</vt:lpstr>
      <vt:lpstr>Budgeted_capital_to_meet_additional_demand__SWF16a</vt:lpstr>
      <vt:lpstr>Budgeted_capital_to_meet_additional_demand__WSF19a</vt:lpstr>
      <vt:lpstr>Budgeted_capital_to_meet_additional_demand__WWF20a</vt:lpstr>
      <vt:lpstr>Budgeted_capital_to_replace_existing_assets__SWF16c</vt:lpstr>
      <vt:lpstr>Budgeted_capital_to_replace_existing_assets__WSF19c</vt:lpstr>
      <vt:lpstr>Budgeted_capital_to_replace_existing_assets__WWF20c</vt:lpstr>
      <vt:lpstr>Capacity_of_Water_Storage_Reservoirs__WSA8</vt:lpstr>
      <vt:lpstr>CARL__current_annual_real_loss___WSE1c</vt:lpstr>
      <vt:lpstr>CARL__current_annual_real_loss___WSE1d</vt:lpstr>
      <vt:lpstr>CARL__current_annual_real_loss___WSE1e</vt:lpstr>
      <vt:lpstr>Charge_type</vt:lpstr>
      <vt:lpstr>Chemicals_and_Consumables__Water_Supply__WSF8</vt:lpstr>
      <vt:lpstr>Common_Data</vt:lpstr>
      <vt:lpstr>Common_Data_Confidence</vt:lpstr>
      <vt:lpstr>Common_Headings</vt:lpstr>
      <vt:lpstr>Common_Name</vt:lpstr>
      <vt:lpstr>Common_Units</vt:lpstr>
      <vt:lpstr>Condition_Grade_1__Stormwater_pipelines__SWA2a</vt:lpstr>
      <vt:lpstr>Condition_Grade_1__Wastewater_pipelines__WWA2a</vt:lpstr>
      <vt:lpstr>Condition_grade_1__Water_pipelines__WSA2a</vt:lpstr>
      <vt:lpstr>Condition_Grade_2__Stormwater_pipelines__SWA2b</vt:lpstr>
      <vt:lpstr>Condition_Grade_2__Wastewater_pipelines__WWA2b</vt:lpstr>
      <vt:lpstr>Condition_grade_2__Water_pipelines__WSA2b</vt:lpstr>
      <vt:lpstr>Condition_Grade_3__Stormwater_pipelines__SWA2c</vt:lpstr>
      <vt:lpstr>Condition_Grade_3__Wastewater_pipelines__WWA2c</vt:lpstr>
      <vt:lpstr>Condition_grade_3__Water_pipelines__WSA2c</vt:lpstr>
      <vt:lpstr>Condition_Grade_4__Stormwater_pipelines__SWA2d</vt:lpstr>
      <vt:lpstr>Condition_Grade_4__Stormwater_pipelines__SWA2d__CONF</vt:lpstr>
      <vt:lpstr>Condition_Grade_4__Wastewater_pipelines__WWA2d</vt:lpstr>
      <vt:lpstr>Condition_Grade_4__Wastewater_pipelines__WWA2d__CONF</vt:lpstr>
      <vt:lpstr>Condition_grade_4__Water_pipelines__WSA2d</vt:lpstr>
      <vt:lpstr>Condition_Grade_4__WSA2d__CONF</vt:lpstr>
      <vt:lpstr>Condition_Grade_5__Stormwater_pipelines__SWA2e</vt:lpstr>
      <vt:lpstr>Condition_Grade_5__Wastewater_pipelines__WWA2e</vt:lpstr>
      <vt:lpstr>Condition_grade_5__Water_pipelines__WSA2e</vt:lpstr>
      <vt:lpstr>Consent_status</vt:lpstr>
      <vt:lpstr>Contaminant_Based_Charging__WWS1d</vt:lpstr>
      <vt:lpstr>Continuing_professional_development_enrolments__CB16</vt:lpstr>
      <vt:lpstr>Continuing_proffessional_development_enrolments__CB16</vt:lpstr>
      <vt:lpstr>Continuity_of_water_supply_complaints__WSS5e</vt:lpstr>
      <vt:lpstr>Contracted_staff__CB11</vt:lpstr>
      <vt:lpstr>Contracted_staff_per_1000_serviced_properties__CB11__WSB4_WWB4</vt:lpstr>
      <vt:lpstr>Council_Contract_Management_Costs___Water_Supply__WSF11</vt:lpstr>
      <vt:lpstr>Council_Contract_Management_Costs__Stormwater__SWF8</vt:lpstr>
      <vt:lpstr>Council_Overview_Costs___Water_Supply__WSF11</vt:lpstr>
      <vt:lpstr>Council_Overview_Costs__Stormwater__SWF8</vt:lpstr>
      <vt:lpstr>Council_s_Overview_Costs__Wastewater___WWF12</vt:lpstr>
      <vt:lpstr>Councils_Contract_Management_Costs__Wastewater___WWF12</vt:lpstr>
      <vt:lpstr>Data_confidence</vt:lpstr>
      <vt:lpstr>Days_of_treated_water_stored_in_resevoirs_on_average__WSA7__WSB5_365</vt:lpstr>
      <vt:lpstr>Debt_Affordability__Stormwater__SWF12b</vt:lpstr>
      <vt:lpstr>Debt_affordability__Wastewater__WWF16b</vt:lpstr>
      <vt:lpstr>Debt_affordability__Water_Supply__WSF15b</vt:lpstr>
      <vt:lpstr>Debt_funding__Stormwater__SWF5</vt:lpstr>
      <vt:lpstr>Debt_funding__Wastewater__WWF6</vt:lpstr>
      <vt:lpstr>Debt_funding__Water_Supply__WSF6</vt:lpstr>
      <vt:lpstr>Debt_servicing__SWF12a_SWF1</vt:lpstr>
      <vt:lpstr>Debt_servicing__WSF15a__WSF1___WSF2</vt:lpstr>
      <vt:lpstr>Debt_servicing__WWF16a__WWF1___WWF2</vt:lpstr>
      <vt:lpstr>Decline_in_Service_Potential__Stormwater__SWF21</vt:lpstr>
      <vt:lpstr>Decline_in_Service_Potential__Wastewater__WWF25</vt:lpstr>
      <vt:lpstr>Decline_in_Service_Potential__Water_Supply__WSF24</vt:lpstr>
      <vt:lpstr>Developer_Contributions__WSS22_WWF23_SWF19</vt:lpstr>
      <vt:lpstr>Development_Contribution_Revenue__Stormwater__SWF2</vt:lpstr>
      <vt:lpstr>Development_Contribution_Revenue__Wastewater__WWF3</vt:lpstr>
      <vt:lpstr>Development_Contribution_Revenue__Water_Supply__WSF3</vt:lpstr>
      <vt:lpstr>Development_Contributions__Stormwater_assets__SWF19</vt:lpstr>
      <vt:lpstr>Development_Contributions__Wastewater_assets__WWF23</vt:lpstr>
      <vt:lpstr>Development_Contributions__Water_Supply_assets__WSF22</vt:lpstr>
      <vt:lpstr>Digital_SCADA__CB19b</vt:lpstr>
      <vt:lpstr>Digital_SCADA_telemetry__CB19b</vt:lpstr>
      <vt:lpstr>Disposal_of_wastewater_sludge_in_year_to_composting_and_reuse__WWA7k_3</vt:lpstr>
      <vt:lpstr>Disposal_of_wastewater_sludge_in_year_to_landfill__WWA7k_2</vt:lpstr>
      <vt:lpstr>Disposal_of_wastewater_sludge_in_year_to_on_site_stockpile__WWA7k_1</vt:lpstr>
      <vt:lpstr>Disposal_of_wastewater_sludge_in_year_to_other_routes__WWA7k_4</vt:lpstr>
      <vt:lpstr>Drinking_water_clarity_complaints__WSS5a</vt:lpstr>
      <vt:lpstr>Drinking_water_odour_complaints__WSS5c</vt:lpstr>
      <vt:lpstr>Drinking_water_pressure_or_flow_complaints__WSS5d</vt:lpstr>
      <vt:lpstr>Drinking_water_taste_complaints__WSS5b</vt:lpstr>
      <vt:lpstr>Dry_Weather_Wastewater_Overflows__WWE1</vt:lpstr>
      <vt:lpstr>Dry_Weather_Wastewater_Overflows_per_1000_connections__WWE1_WWB4</vt:lpstr>
      <vt:lpstr>Energy_consumption__Stormwater__SWE5</vt:lpstr>
      <vt:lpstr>Energy_Consumption__Wastewater__WWE5a</vt:lpstr>
      <vt:lpstr>Energy_Consumption__Water_Supply__WSE3</vt:lpstr>
      <vt:lpstr>Energy_Costs__Wastewater__WWF7</vt:lpstr>
      <vt:lpstr>Energy_Costs__Water_Supply__WSF7</vt:lpstr>
      <vt:lpstr>Energy_Generation__Wastewater__WWE5c</vt:lpstr>
      <vt:lpstr>Energy_Generation__Water_Supply__WSE4</vt:lpstr>
      <vt:lpstr>Energy_Intensity__Wastewater__WWE5b</vt:lpstr>
      <vt:lpstr>Energy_Intensity__Water_Supply__WSE3a</vt:lpstr>
      <vt:lpstr>Estimated_total_network_water_loss__WSE1a</vt:lpstr>
      <vt:lpstr>External_Grants__Stormwater__SWF22</vt:lpstr>
      <vt:lpstr>External_Grants__Wastewater__WWF26</vt:lpstr>
      <vt:lpstr>External_Grants__Water_Supply__WSF25</vt:lpstr>
      <vt:lpstr>External_Opex__SWF6</vt:lpstr>
      <vt:lpstr>Failure_of_wastewater_pipes__WWS7a</vt:lpstr>
      <vt:lpstr>Fire_hydrants_tested_in_the_previous_five_years__WSS12a</vt:lpstr>
      <vt:lpstr>Fixed__Charge_Type__Non_residential_wastewater__WWS1b</vt:lpstr>
      <vt:lpstr>Fixed_Charge__Non_residential_wastewater__WWS1a</vt:lpstr>
      <vt:lpstr>Fixed_Charge__Non_residential_water__WSS7a</vt:lpstr>
      <vt:lpstr>Fixed_Charge__Residential_wastewater__WWS2a</vt:lpstr>
      <vt:lpstr>Fixed_Charge__Residential_water__WSS8a</vt:lpstr>
      <vt:lpstr>Fixed_Charge__Residential_water__WSS8a_MAX</vt:lpstr>
      <vt:lpstr>Fixed_Charge__Residential_water__WSS8a_MIN</vt:lpstr>
      <vt:lpstr>Fixed_Charge_Type__Non_residential_water__WSS7b</vt:lpstr>
      <vt:lpstr>Fixed_Charge_Type__Residential_wastewater__WWS2b</vt:lpstr>
      <vt:lpstr>Fixed_Charge_Type__Residential_water__WSS8b</vt:lpstr>
      <vt:lpstr>Flooding_Events__SWS5</vt:lpstr>
      <vt:lpstr>Flooding_events_resulting_from_other_causes__SWS5c</vt:lpstr>
      <vt:lpstr>Flooding_events_resulting_from_storms_exceeding_stormwater_capacity__SWS5</vt:lpstr>
      <vt:lpstr>Flooding_Response_Time__SWS6</vt:lpstr>
      <vt:lpstr>Guest_Nights__Annual__CB8</vt:lpstr>
      <vt:lpstr>Guest_Nights__Peak_month__CB9</vt:lpstr>
      <vt:lpstr>Household_Occupancy___CB6</vt:lpstr>
      <vt:lpstr>ILI___infrastructure_leakage_index___CARL_UARL___WSE1h</vt:lpstr>
      <vt:lpstr>Inflow_and_Infiltration___WWE7</vt:lpstr>
      <vt:lpstr>Interest__Stormwater__SWF12a</vt:lpstr>
      <vt:lpstr>Interest__Wastewater__WWF16a</vt:lpstr>
      <vt:lpstr>Interest__Water_Supply__WSF15a</vt:lpstr>
      <vt:lpstr>Internal_staff__CB10</vt:lpstr>
      <vt:lpstr>Internal_staff_per_1000_serviced_properties__CB10__WSB4_WWB4</vt:lpstr>
      <vt:lpstr>landfill__WSA12a</vt:lpstr>
      <vt:lpstr>Last_year_desludged__WWA7k_5</vt:lpstr>
      <vt:lpstr>Length_of_new_stormwater_mains_constructed_using_internal_CAPEX__SWA1c</vt:lpstr>
      <vt:lpstr>Length_of_new_wastewater_mains_constructed_using_internal_CAPEX__WWA1c</vt:lpstr>
      <vt:lpstr>Length_of_new_water_mains_constructed_using_internal_CAPEX__WSA1c</vt:lpstr>
      <vt:lpstr>Length_of_stormwater_mains_renewed_using_internal_CAPEX__SWA1b</vt:lpstr>
      <vt:lpstr>Length_of_wastewater_mains_renewed_using_internal_CAPEX__WWA1b</vt:lpstr>
      <vt:lpstr>Length_of_water_mains_renewed_using_internal_CAPEX__WSA1b</vt:lpstr>
      <vt:lpstr>Length_of_Water_Supply_Network__WSA1a</vt:lpstr>
      <vt:lpstr>Lost_time_injuries__CB13</vt:lpstr>
      <vt:lpstr>Lost_time_injuries_per_staff_member__internal_and_contracted___CB13__CB10_CB11</vt:lpstr>
      <vt:lpstr>Management_Costs__Stormwater__SWF7</vt:lpstr>
      <vt:lpstr>Management_Costs__Wastewater__WWF11</vt:lpstr>
      <vt:lpstr>Management_Costs__Water_Supply__WSF10</vt:lpstr>
      <vt:lpstr>Near_miss_reports__CB12</vt:lpstr>
      <vt:lpstr>Near_miss_reports_per_staff_member__internal_and_contracted___CB12__CB10_CB11</vt:lpstr>
      <vt:lpstr>Non_compliant_fire_hydrants__WSS12b</vt:lpstr>
      <vt:lpstr>Non_residential_properties__CB4</vt:lpstr>
      <vt:lpstr>Non_residential_Water_Consumption__WSB7</vt:lpstr>
      <vt:lpstr>Not_assessed__Stormwater_pipelines__SWA2f</vt:lpstr>
      <vt:lpstr>Not_assessed__Wastewater_pipelines__WWA2f</vt:lpstr>
      <vt:lpstr>Not_assessed__Water_pipelines__WSA2f</vt:lpstr>
      <vt:lpstr>Not_yet_assessed__SWA2f_CONF</vt:lpstr>
      <vt:lpstr>Not_yet_assessed__WSA2f_CONF</vt:lpstr>
      <vt:lpstr>Number_of_consents_at_each_treatment_plant__WWA7g</vt:lpstr>
      <vt:lpstr>Number_of_different_water_charging_regimes__WSS7</vt:lpstr>
      <vt:lpstr>Number_of_habitable_floors_affected__SWS5a</vt:lpstr>
      <vt:lpstr>Number_of_habitable_floors_affected_by_flooding_from_other_causes__SWS5d</vt:lpstr>
      <vt:lpstr>Number_of_habitable_floors_affected_by_storms_exceeding_stormwater_capacity__SWS5a</vt:lpstr>
      <vt:lpstr>Number_of_habitable_floors_affected_per_1000_stormwater_serviced_properties__SWS5b</vt:lpstr>
      <vt:lpstr>Number_of_stormwater_discharges_from_the_piped_network__SWE1a</vt:lpstr>
      <vt:lpstr>Number_of_stormwater_discharges_with_resource_consents__SWE1b</vt:lpstr>
      <vt:lpstr>Number_of_wastewater_treatment_plants__WWA7</vt:lpstr>
      <vt:lpstr>Operating_Cost__Stormwater__SWF9</vt:lpstr>
      <vt:lpstr>Operating_Cost__Wastewater__WWF13</vt:lpstr>
      <vt:lpstr>Operating_Cost__Water_Supply__WSF12</vt:lpstr>
      <vt:lpstr>Operating_Cost_per_Property__Stormwater__SWF10</vt:lpstr>
      <vt:lpstr>Operating_Cost_per_Property__Wastewater__WWF14</vt:lpstr>
      <vt:lpstr>Operating_Cost_per_Property__Water_Supply__WSF13</vt:lpstr>
      <vt:lpstr>Operating_Revenue__Stormwater__SWF1</vt:lpstr>
      <vt:lpstr>Operating_Revenue__Wastewater__WWF2</vt:lpstr>
      <vt:lpstr>Operating_Revenue__Water_Supply__WSF2</vt:lpstr>
      <vt:lpstr>Operational_Cost_Coverage__Stormwater__SWF13</vt:lpstr>
      <vt:lpstr>Operational_Cost_Coverage__Wastewater__WWF17</vt:lpstr>
      <vt:lpstr>Operational_Cost_Coverage__Water_Supply__WSF16</vt:lpstr>
      <vt:lpstr>other__specify___WSA12c</vt:lpstr>
      <vt:lpstr>Other_External_Opex___WSF9</vt:lpstr>
      <vt:lpstr>Other_wastewater_asset_value__WWF24b</vt:lpstr>
      <vt:lpstr>Other_water_supply_asset_value__WSF23b</vt:lpstr>
      <vt:lpstr>Overflows_calculated_through_calibrated_hydraulic_models__WWE9d</vt:lpstr>
      <vt:lpstr>Overflows_calculated_through_hydraulic_models__WWE9c</vt:lpstr>
      <vt:lpstr>Overflows_caused_by_blockages__WWE1a</vt:lpstr>
      <vt:lpstr>Overflows_caused_by_mechanical_failures__WWE1b</vt:lpstr>
      <vt:lpstr>Overflows_caused_by_plant_failures__WWE1b</vt:lpstr>
      <vt:lpstr>Overflows_recorded_through_SCADA_monitoring__WWE9b</vt:lpstr>
      <vt:lpstr>Overflows_recorded_through_verbal_reports__WWE9a</vt:lpstr>
      <vt:lpstr>Peak_wet_to_average_dry_weather_ratio__WWA7m_MAX</vt:lpstr>
      <vt:lpstr>Peak_wet_to_average_dry_weather_ratio__WWA7m_MIN</vt:lpstr>
      <vt:lpstr>Percent_of_above_ground_assets_assessed_within_3_years__WSA13c</vt:lpstr>
      <vt:lpstr>Percent_of_above_ground_assets_assessed_within_3_years__WWA6b</vt:lpstr>
      <vt:lpstr>Percentage_Estimated_Total_Network_Water_Loss__WSE1b</vt:lpstr>
      <vt:lpstr>Percentage_of_above_ground_stormwater_assets_assessed_in_3_years__SWA5c</vt:lpstr>
      <vt:lpstr>Percentage_of_dry_solids_in_wastewater_sludge_biosolids__WWA7j_2</vt:lpstr>
      <vt:lpstr>Percentage_of_non_residential_connections_with_meters__WSA10_WSB3</vt:lpstr>
      <vt:lpstr>Percentage_of_nonresidential_connections_with_meters__WSA9b_WSB3</vt:lpstr>
      <vt:lpstr>Percentage_of_residential_connections_with_meters__WSA9_WSB2</vt:lpstr>
      <vt:lpstr>Percentage_of_residential_connections_with_meters__WSA9a_WSB2</vt:lpstr>
      <vt:lpstr>Pipeline_Condition_Assessment_Approach__WSA2g</vt:lpstr>
      <vt:lpstr>Pipeline_Condition_Assessment_Approach__WWA2g</vt:lpstr>
      <vt:lpstr>Pipeline_condition_grading_approaches</vt:lpstr>
      <vt:lpstr>Planned_Interruptions__Wastewater__WWS7c</vt:lpstr>
      <vt:lpstr>Planned_Interruptions__Water_Supply__WSS3</vt:lpstr>
      <vt:lpstr>Primary_stormwater_network_capacity__SWS7a</vt:lpstr>
      <vt:lpstr>Properties_with_Water_Meters___Non_Residential___WSA9b</vt:lpstr>
      <vt:lpstr>Properties_with_Water_Meters___Residential__WSA9a</vt:lpstr>
      <vt:lpstr>Properties_with_Water_Restrictors__WSA10</vt:lpstr>
      <vt:lpstr>Proportion_of_trade_waste_at_treatment_plant__WWA7f</vt:lpstr>
      <vt:lpstr>Protocol_used_for_above_ground_condition_assessments__WSA13b</vt:lpstr>
      <vt:lpstr>Protocol_used_for_above_ground_condition_assessments__WWA6a</vt:lpstr>
      <vt:lpstr>Protocol_used_for_above_ground_stormwater_asset_assessments__SWA5b</vt:lpstr>
      <vt:lpstr>Reactive_maintenance__Stormwater___SWF6b</vt:lpstr>
      <vt:lpstr>Reactive_Maintenance__Wastewater__WWF10</vt:lpstr>
      <vt:lpstr>Reactive_maintenance__Water_Supply__WSF9b</vt:lpstr>
      <vt:lpstr>Reactive_vs_Routine_Stormwater_OPEX__WWF10_WWF9</vt:lpstr>
      <vt:lpstr>Reactive_vs_Routine_Wastewater_OPEX__WWF10_WWF9</vt:lpstr>
      <vt:lpstr>Reactive_vs_Routine_Water_Supply_OPEX__WSF9b_WSF9a</vt:lpstr>
      <vt:lpstr>Resevoir_average_level__WSA7_WSA8</vt:lpstr>
      <vt:lpstr>Residential_properties__CB3</vt:lpstr>
      <vt:lpstr>Residential_water_consumption__WSB5_WSB7</vt:lpstr>
      <vt:lpstr>Residential_water_metering_coverage</vt:lpstr>
      <vt:lpstr>Resolution_for_non_urgent_water_supply_fault_call_outs__WSS10d</vt:lpstr>
      <vt:lpstr>Resolution_for_urgent_water_supply_fault_call_outs__WSS10b</vt:lpstr>
      <vt:lpstr>Retiring_staff__CB10b</vt:lpstr>
      <vt:lpstr>Revenue_from_Supply_of_Water_to_Other_Local_Authorities__WSF1</vt:lpstr>
      <vt:lpstr>Revenue_from_the_Provision_of_Wastewater_Treatment_Services_to_Another_Local_Authority__WWF1</vt:lpstr>
      <vt:lpstr>Revenue_per_Property__Wastewater__WWF5</vt:lpstr>
      <vt:lpstr>Revenue_per_Property__Water_Supply__WSF5</vt:lpstr>
      <vt:lpstr>Routine_maintenance__Stormwater___SWF6a</vt:lpstr>
      <vt:lpstr>Routine_Maintenance__Wastewater__WWF9</vt:lpstr>
      <vt:lpstr>Routine_maintenance__Water_Supply__WSF9a</vt:lpstr>
      <vt:lpstr>SCADA_Controls__CB19c</vt:lpstr>
      <vt:lpstr>SCADA_Monitoring__CB19d</vt:lpstr>
      <vt:lpstr>SCADA_telemetry_controls__CB19c</vt:lpstr>
      <vt:lpstr>SCADA_telemetry_monitoring__CB19d</vt:lpstr>
      <vt:lpstr>Secondary_stormwater_network_capacity__SWS7b</vt:lpstr>
      <vt:lpstr>Sewage_containment_design_standards__WWE8a</vt:lpstr>
      <vt:lpstr>Sewage_containment_of_the_existing_network__WWE8</vt:lpstr>
      <vt:lpstr>Sewage_design_standards__WWE8a</vt:lpstr>
      <vt:lpstr>Sewage_design_standards_for_network_capacity__WWE7</vt:lpstr>
      <vt:lpstr>Sewage_odour_complaints__WWS4a</vt:lpstr>
      <vt:lpstr>sewer__WSA12b</vt:lpstr>
      <vt:lpstr>Sewerage_system_blockage_complaints__WWS4c</vt:lpstr>
      <vt:lpstr>Sewerage_system_fault_complaints__WWS4b</vt:lpstr>
      <vt:lpstr>Sludge_Disposal_Costs__Wastewater__WWF8</vt:lpstr>
      <vt:lpstr>Source_water_monitoring__WSS15</vt:lpstr>
      <vt:lpstr>Source_water_zone_management__WSS14</vt:lpstr>
      <vt:lpstr>Staff_completed_apprentiships__CB15d</vt:lpstr>
      <vt:lpstr>Staff_training__CB14</vt:lpstr>
      <vt:lpstr>Staff_training_enrolments__CB14b</vt:lpstr>
      <vt:lpstr>Staff_training_hours__CB14a</vt:lpstr>
      <vt:lpstr>Staff_vacancies__CB10a</vt:lpstr>
      <vt:lpstr>Staff_with_a_Bachelor_of_Engineering__CB15a</vt:lpstr>
      <vt:lpstr>Staff_with_a_NZ_Certificate__CB15b</vt:lpstr>
      <vt:lpstr>Staff_with_a_NZ_Diploma__CB15c</vt:lpstr>
      <vt:lpstr>Staff_with_a_relevant_Bachelors_degree__CB15a</vt:lpstr>
      <vt:lpstr>Staff_with_completed_apprenticeships__CB15d</vt:lpstr>
      <vt:lpstr>Stormwater_asset_value_at_end_of_reporting_year__SWF20</vt:lpstr>
      <vt:lpstr>Stormwater_blockage_complaints__SWS3a</vt:lpstr>
      <vt:lpstr>Stormwater_capital_expenditure_versus_depreciation__SWF17_SWF11</vt:lpstr>
      <vt:lpstr>Stormwater_catchment_management_plans__SWE4</vt:lpstr>
      <vt:lpstr>Stormwater_Charge__SWS1</vt:lpstr>
      <vt:lpstr>Stormwater_Charge_type__SWS2</vt:lpstr>
      <vt:lpstr>Stormwater_Complaints__SWS3</vt:lpstr>
      <vt:lpstr>Stormwater_Complaints_Frequency__SWS4</vt:lpstr>
      <vt:lpstr>Stormwater_consent_abatement_notices__SWE2a</vt:lpstr>
      <vt:lpstr>Stormwater_consent_enforcement_orders__SWE2c</vt:lpstr>
      <vt:lpstr>Stormwater_consent_formal_warning__SWE2g</vt:lpstr>
      <vt:lpstr>Stormwater_consent_infringement_notices__SWE2b</vt:lpstr>
      <vt:lpstr>Stormwater_consent_letters_of_direction__SWE2f</vt:lpstr>
      <vt:lpstr>Stormwater_consent_non_conformance__SWE2e</vt:lpstr>
      <vt:lpstr>Stormwater_Data</vt:lpstr>
      <vt:lpstr>Stormwater_Data_Confidence</vt:lpstr>
      <vt:lpstr>Stormwater_fault_complaints__SWS3b</vt:lpstr>
      <vt:lpstr>Stormwater_Headings</vt:lpstr>
      <vt:lpstr>Stormwater_Name</vt:lpstr>
      <vt:lpstr>Stormwater_network_CCTV_inspection__SWA6</vt:lpstr>
      <vt:lpstr>Stormwater_Pipeline_Condition_Assessment_Approach__SWA2g</vt:lpstr>
      <vt:lpstr>Stormwater_Pump_Stations__SWA7</vt:lpstr>
      <vt:lpstr>Stormwater_quality_monitoring__SWE3</vt:lpstr>
      <vt:lpstr>Stormwater_Serviced_Population__SWB1</vt:lpstr>
      <vt:lpstr>Stormwater_Serviced_Properties___Non_residential__SWB3</vt:lpstr>
      <vt:lpstr>Stormwater_Serviced_Properties___Residential__SWB2</vt:lpstr>
      <vt:lpstr>Stormwater_successful_prosecutions__SWE2d</vt:lpstr>
      <vt:lpstr>Stormwater_Units</vt:lpstr>
      <vt:lpstr>The_authorities_response_to_any_of_these_issues__WSS5f</vt:lpstr>
      <vt:lpstr>The_authority’s_response_to_issues_with_its_sewerage_system__WWS4d</vt:lpstr>
      <vt:lpstr>Third_party_disruptions_to_the_wastewater_system__WWS7b</vt:lpstr>
      <vt:lpstr>Third_party_Incidents__Wastewater__WWS7b</vt:lpstr>
      <vt:lpstr>Third_Party_Incidents__Water_Supply__WSS4</vt:lpstr>
      <vt:lpstr>Total__Properties__CB5</vt:lpstr>
      <vt:lpstr>Total_Area__CB1</vt:lpstr>
      <vt:lpstr>Total_asset_value__WWF24b__WSF23b__SWF20__WWF24a__WSF23a</vt:lpstr>
      <vt:lpstr>Total_CAPEX__SWF17__WWF21__WSF20</vt:lpstr>
      <vt:lpstr>Total_Cost__Stormwater__SWF14</vt:lpstr>
      <vt:lpstr>Total_Cost__Wastewater__WWF18</vt:lpstr>
      <vt:lpstr>Total_Cost__Water_Supply__WSF17</vt:lpstr>
      <vt:lpstr>Total_Cost_per_Property__Stormwater__SWF15</vt:lpstr>
      <vt:lpstr>Total_Cost_per_Property__Wastewater__WWF19</vt:lpstr>
      <vt:lpstr>Total_Cost_per_Property__Water_Supply__WSF18</vt:lpstr>
      <vt:lpstr>Total_Length_of_Combined_Wastewater_and_Stormwater_Pipelines__WWA8</vt:lpstr>
      <vt:lpstr>Total_Length_of_Public_Stormwater_Network__SWA1a</vt:lpstr>
      <vt:lpstr>Total_Length_of_Public_Wastewater_Network__WWA1a</vt:lpstr>
      <vt:lpstr>Total_Population__CB2</vt:lpstr>
      <vt:lpstr>Total_Revenue__Stormwater__SWF3</vt:lpstr>
      <vt:lpstr>Total_Revenue__Wastewater__WWF4</vt:lpstr>
      <vt:lpstr>Total_Revenue__Water_Supply__WSF4</vt:lpstr>
      <vt:lpstr>Total_Revenue__WSF4_WWF4_SWF3</vt:lpstr>
      <vt:lpstr>Total_Revenue_per_Property__Stormwater__SWF4</vt:lpstr>
      <vt:lpstr>Total_Stormwater_Serviced_Properties__SWB4</vt:lpstr>
      <vt:lpstr>Total_Wastewater_Overflows___WWE3</vt:lpstr>
      <vt:lpstr>Total_Wastewater_Produced__WWB7</vt:lpstr>
      <vt:lpstr>Total_Wastewater_Serviced_Properties__WWB4</vt:lpstr>
      <vt:lpstr>Total_Water_Serviced_Properties__WSB4</vt:lpstr>
      <vt:lpstr>Trade_Waste_Management__WWE6</vt:lpstr>
      <vt:lpstr>Tradewaste_approach</vt:lpstr>
      <vt:lpstr>Treatment_Plant_backup_generators__WWA7l</vt:lpstr>
      <vt:lpstr>Treatment_plant_effluent_consent_status__WWA7i</vt:lpstr>
      <vt:lpstr>Treatment_Plant_effluent_resource_consent_expiry_date__WWA7h</vt:lpstr>
      <vt:lpstr>Treatment_plant_peak_wet_to_average_dry_weather_flow_ratio__WWA7m</vt:lpstr>
      <vt:lpstr>Treatment_Plant_sludge_production__WWA7j</vt:lpstr>
      <vt:lpstr>Treatment_Plant_sludge_production_of_wet_sludge_biosolids__WWA7j_1</vt:lpstr>
      <vt:lpstr>UARL__unavoidable_annual_real_loss___WSE1f</vt:lpstr>
      <vt:lpstr>UARL__unavoidable_annual_real_loss___WSE1g</vt:lpstr>
      <vt:lpstr>Unplanned_Interruption_Frequency__Wastewater__WWS7c</vt:lpstr>
      <vt:lpstr>Unplanned_Interruption_Frequency__Wastewater__WWS7d</vt:lpstr>
      <vt:lpstr>Unplanned_Interruption_Frequency__Water_Supply__WSS2</vt:lpstr>
      <vt:lpstr>Unplanned_Total_Interruptions__Wastewater__WWS7a</vt:lpstr>
      <vt:lpstr>Unplanned_Total_Interruptions__Water_Supply__WSS1</vt:lpstr>
      <vt:lpstr>Vacancies_per_1000_serviced_properties__CB10a__WSB4_WWB4</vt:lpstr>
      <vt:lpstr>Volume_of_wastewater_treated_at_treatment_plant__WWA7d</vt:lpstr>
      <vt:lpstr>Volumetric_Charge__Non_residential_wastewater__WWS1c</vt:lpstr>
      <vt:lpstr>Volumetric_Charge__Non_residential_water__WSS7c</vt:lpstr>
      <vt:lpstr>Volumetric_Charge__Residential_wastewater__WWS2c</vt:lpstr>
      <vt:lpstr>Volumetric_Charge__Residential_water__WSS8c</vt:lpstr>
      <vt:lpstr>Volumetric_Charge_for_200m3</vt:lpstr>
      <vt:lpstr>Wastewater_capital_expenditure_versus_depreciation__WWF21_WWF15</vt:lpstr>
      <vt:lpstr>Wastewater_CCTV_inspection__WWA4</vt:lpstr>
      <vt:lpstr>Wastewater_complaints__WWS4</vt:lpstr>
      <vt:lpstr>Wastewater_complaints_frequency__WWS5</vt:lpstr>
      <vt:lpstr>Wastewater_connection_density__WWB4_WWA1a</vt:lpstr>
      <vt:lpstr>Wastewater_consent_abatement_notices__WWE4a</vt:lpstr>
      <vt:lpstr>Wastewater_consent_enforcement_orders__WWE4c</vt:lpstr>
      <vt:lpstr>Wastewater_consent_formal_warming__WWE4i</vt:lpstr>
      <vt:lpstr>Wastewater_consent_infringement_notices__WWE4b</vt:lpstr>
      <vt:lpstr>Wastewater_consent_letter_of_direction__WWE4h</vt:lpstr>
      <vt:lpstr>Wastewater_consent_successful_prosecutions__WWE4d</vt:lpstr>
      <vt:lpstr>Wastewater!Wastewater_Data</vt:lpstr>
      <vt:lpstr>Wastewater!Wastewater_Data_Confidence</vt:lpstr>
      <vt:lpstr>Wastewater_Exported_for_Treatment__WWB5</vt:lpstr>
      <vt:lpstr>Wastewater_facility_value_at_end_of_reporting_year__WWF24a</vt:lpstr>
      <vt:lpstr>Wastewater_fault_attendance_time__WWS6a</vt:lpstr>
      <vt:lpstr>Wastewater_fault_resolution_time__WWS6b</vt:lpstr>
      <vt:lpstr>Wastewater!Wastewater_Headings</vt:lpstr>
      <vt:lpstr>Wastewater_Imported_for_Treatment__WWB6</vt:lpstr>
      <vt:lpstr>Wastewater_maintenance__WWF9_WWF10</vt:lpstr>
      <vt:lpstr>Wastewater!Wastewater_Name</vt:lpstr>
      <vt:lpstr>Wastewater_network_discharge_consents__WWE4g</vt:lpstr>
      <vt:lpstr>Wastewater_network_discharge_non_conformance__WWE4f</vt:lpstr>
      <vt:lpstr>Wastewater_overflows_on_private_properties__WWE3a</vt:lpstr>
      <vt:lpstr>Wastewater_Pump_Stations__WWA5</vt:lpstr>
      <vt:lpstr>Wastewater_Pump_Stations_Standby_Generators__WWA5a</vt:lpstr>
      <vt:lpstr>Wastewater_Pump_Stations_without_backup_generators__WWA5_WWA5a</vt:lpstr>
      <vt:lpstr>Wastewater_Service_Coverage__WWB1b</vt:lpstr>
      <vt:lpstr>Wastewater_Serviced_Population__WWB1a</vt:lpstr>
      <vt:lpstr>Wastewater_Serviced_Properties__Non_residential__WWB3</vt:lpstr>
      <vt:lpstr>Wastewater_Serviced_Properties__Residential__WWB2</vt:lpstr>
      <vt:lpstr>Wastewater_treatment_plant_consent_non_conformance__WWE4e</vt:lpstr>
      <vt:lpstr>Wastewater_treatment_plant_effluent_environmental_discharge_emissions_assessment__WWE5e</vt:lpstr>
      <vt:lpstr>Wastewater_treatment_plant_name__WWA7a</vt:lpstr>
      <vt:lpstr>Wastewater_treatment_plant_process_emissions_assessment__WWE5d</vt:lpstr>
      <vt:lpstr>Wastewater_Treatment_Plants__without_backup_generators__WWA7a___WWA7l</vt:lpstr>
      <vt:lpstr>Wastewater_Treatment_Plants__without_backup_generators__WWA7a__WWA7l</vt:lpstr>
      <vt:lpstr>Wastewater!Wastewater_Units</vt:lpstr>
      <vt:lpstr>Water_and_wastewater_properties_serviced__WSB4_WWB4</vt:lpstr>
      <vt:lpstr>Water_capital_expenditure_versus_depreciation__SWF17_SWF11</vt:lpstr>
      <vt:lpstr>Water_capital_expenditure_versus_depreciation__WSF20_WSF14</vt:lpstr>
      <vt:lpstr>Water_Data</vt:lpstr>
      <vt:lpstr>Water_Data_Confidence</vt:lpstr>
      <vt:lpstr>Water_Demand_Forecasting__WSB9</vt:lpstr>
      <vt:lpstr>Water_exported_to_other_authorities__WSB5b</vt:lpstr>
      <vt:lpstr>Water_Headings</vt:lpstr>
      <vt:lpstr>Water_imported_from_other_authorities__WSB5a</vt:lpstr>
      <vt:lpstr>Water_Name</vt:lpstr>
      <vt:lpstr>Water_Pump_Stations__WSA5</vt:lpstr>
      <vt:lpstr>Water_Pump_Stations_Standby_Generators__WSA5a</vt:lpstr>
      <vt:lpstr>Water_Pump_Stations_without_backup_generators__WSA5_WSA5a</vt:lpstr>
      <vt:lpstr>Water_Pump_Stations_without_backup_generators__WSA5WSA5a</vt:lpstr>
      <vt:lpstr>Water_restriction_days__WSS11</vt:lpstr>
      <vt:lpstr>Water_safety_plan_actions__WSS13a</vt:lpstr>
      <vt:lpstr>Water_safety_plan_imlpementation__WSS13b</vt:lpstr>
      <vt:lpstr>Water_Serviced_Population__WSB1a</vt:lpstr>
      <vt:lpstr>Water_Serviced_Properties__Non_Residential__WSB3</vt:lpstr>
      <vt:lpstr>Water_Serviced_Properties__Residential__WSB2</vt:lpstr>
      <vt:lpstr>Water_Stored_in_Reservoirs__WSA7</vt:lpstr>
      <vt:lpstr>Water_Supplied_to_Own_System__WSB5</vt:lpstr>
      <vt:lpstr>Water_Supply_Complaints__WSS5</vt:lpstr>
      <vt:lpstr>Water_Supply_Complaints_Frequency__WSS6</vt:lpstr>
      <vt:lpstr>Water_Supply_Connection_Density__WSB4_WSA1a</vt:lpstr>
      <vt:lpstr>Water_Supply_Reservoirs__WSA6</vt:lpstr>
      <vt:lpstr>Water_Supply_Service_Coverage__WSB1b</vt:lpstr>
      <vt:lpstr>Water_treatment_facility_value_at_end_of_reporting_year__WSF23a</vt:lpstr>
      <vt:lpstr>Water_Treatment_Plant_Standby_Generators__WSA4a</vt:lpstr>
      <vt:lpstr>Water_Treatment_Plants__WSA4</vt:lpstr>
      <vt:lpstr>Water_Treatment_Plants_without_backup_generators__WSA4_WSA4a</vt:lpstr>
      <vt:lpstr>Water_Treatment_Sludge_Production__WSA11</vt:lpstr>
      <vt:lpstr>Water_Units</vt:lpstr>
      <vt:lpstr>Weighted_inflow_infiltration</vt:lpstr>
      <vt:lpstr>Wet_weather_overflow_regulation_approach__WWE4g</vt:lpstr>
      <vt:lpstr>Wet_weather_overflows_from_combined_stormwater_and_wastewater_networks__WWE2b</vt:lpstr>
      <vt:lpstr>Wet_weather_overflows_from_the_wastewater_network__WWE2a</vt:lpstr>
      <vt:lpstr>Wet_Weather_Wastewater_Overflows_per_1000_connections__WWE2_WWB4</vt:lpstr>
      <vt:lpstr>Wet_Weather_Wastewater_Overflows_per_1000_connections__WWE2a_WWB4</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Lesley Smith</dc:creator>
  <cp:lastModifiedBy>Karelia Gonzalez</cp:lastModifiedBy>
  <cp:lastPrinted>2022-08-22T00:07:37Z</cp:lastPrinted>
  <dcterms:created xsi:type="dcterms:W3CDTF">2018-07-03T08:50:08Z</dcterms:created>
  <dcterms:modified xsi:type="dcterms:W3CDTF">2022-09-22T02:12:56Z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0x010100AE51DAACCCE2CF4EB98C1FA1234C9435</vt:lpwstr>
  </property>
  <property fmtid="{D5CDD505-2E9C-101B-9397-08002B2CF9AE}" pid="3" name="Order">
    <vt:r8>4054500</vt:r8>
  </property>
  <property fmtid="{D5CDD505-2E9C-101B-9397-08002B2CF9AE}" pid="4" name="MediaServiceImageTags">
    <vt:lpwstr/>
  </property>
</Properties>
</file>