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17"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VaughnCrowther\Utility Dropbox\Utility Projects\Projects\QLDC\J000054 - S&amp;P Secondment\4 - Working Files\WaterNZ Perf Monitoring\"/>
    </mc:Choice>
  </mc:AlternateContent>
  <xr:revisionPtr revIDLastSave="5" documentId="13_ncr:1_{6920FA43-655B-49FE-8DD6-524375565BD3}" xr6:coauthVersionLast="47" xr6:coauthVersionMax="47" xr10:uidLastSave="{624444CA-27F1-4318-B4E3-8B10CAEC88EB}"/>
  <bookViews>
    <workbookView xWindow="-98" yWindow="-98" windowWidth="20715" windowHeight="13155" tabRatio="323" firstSheet="2" activeTab="2" xr2:uid="{00000000-000D-0000-FFFF-FFFF00000000}"/>
  </bookViews>
  <sheets>
    <sheet name="INSTRUCTIONS" sheetId="10" r:id="rId1"/>
    <sheet name="Common" sheetId="4" r:id="rId2"/>
    <sheet name="Water" sheetId="1" r:id="rId3"/>
    <sheet name="Wastewater" sheetId="12" r:id="rId4"/>
    <sheet name="Stormwater" sheetId="3" r:id="rId5"/>
    <sheet name="Median rates" sheetId="16" r:id="rId6"/>
    <sheet name="WS P_L" sheetId="15" r:id="rId7"/>
    <sheet name="WW P_L" sheetId="17" r:id="rId8"/>
    <sheet name="SW P_L" sheetId="18" r:id="rId9"/>
    <sheet name="Capex Projects" sheetId="21" r:id="rId10"/>
    <sheet name="Capex Projects List" sheetId="20" r:id="rId11"/>
    <sheet name="Maintenance breakdown" sheetId="22" r:id="rId12"/>
    <sheet name="Data lists" sheetId="5" state="hidden" r:id="rId13"/>
    <sheet name="Previous years" sheetId="6" state="hidden" r:id="rId14"/>
    <sheet name="Export format" sheetId="7" state="hidden" r:id="rId15"/>
    <sheet name="WWTP Export" sheetId="13" state="hidden" r:id="rId16"/>
    <sheet name="Network export" sheetId="14" state="hidden" r:id="rId17"/>
    <sheet name="WS Alignment with TA Rules" sheetId="11" state="hidden" r:id="rId18"/>
  </sheets>
  <externalReferences>
    <externalReference r:id="rId19"/>
  </externalReferences>
  <definedNames>
    <definedName name="_3_waters_affordability___WSS9_WWS3_SWS1__CB7">'Export format'!#REF!</definedName>
    <definedName name="_xlnm._FilterDatabase" localSheetId="1" hidden="1">Common!$C$5:$L$23</definedName>
    <definedName name="_xlnm._FilterDatabase" localSheetId="4" hidden="1">Stormwater!$A$5:$AF$80</definedName>
    <definedName name="_xlnm._FilterDatabase" localSheetId="3" hidden="1">Wastewater!$B$5:$AF$127</definedName>
    <definedName name="_xlnm._FilterDatabase" localSheetId="2" hidden="1">Water!$A$5:$AJ$109</definedName>
    <definedName name="Above_ground_asset_condition_assessment_programme__WSA13a">'Export format'!$BE$3</definedName>
    <definedName name="Above_ground_asset_condition_assessment_programme__WWA6">'Export format'!$FB$3</definedName>
    <definedName name="Above_ground_condition_assessment">'Data lists'!$D$2:$D$8</definedName>
    <definedName name="Above_ground_stormwater_asset_assessment_program__SWA5a">'Export format'!$JN$3</definedName>
    <definedName name="Actual_Capital_Expenditure__Stormwater__SWF17">'Export format'!$LN$3</definedName>
    <definedName name="Actual_Capital_Expenditure__Wastewater__WWF21">'Export format'!$IO$3</definedName>
    <definedName name="Actual_Capital_Expenditure__Water_Supply__WSF20">'Export format'!$DV$3</definedName>
    <definedName name="Actual_Capital_Expenditure_per_Property__Stormwater__SWF18">'Export format'!$LR$3</definedName>
    <definedName name="Actual_Capital_Expenditure_per_Property__Wastewater__WWF22">'Export format'!$IS$3</definedName>
    <definedName name="Actual_Capital_Expenditure_per_Property__Water_Supply__WSF21">'Export format'!$DZ$3</definedName>
    <definedName name="Actual_capital_to_improve_the_level_of_service__SWF17b">'Export format'!$LP$3</definedName>
    <definedName name="Actual_capital_to_improve_the_level_of_service__WSF20b">'Export format'!$DX$3</definedName>
    <definedName name="Actual_capital_to_improve_the_level_of_service__WWF21b">'Export format'!$IQ$3</definedName>
    <definedName name="Actual_capital_to_meet_additional_demand__SWF17a">'Export format'!$LO$3</definedName>
    <definedName name="Actual_capital_to_meet_additional_demand__WSF20a">'Export format'!$DW$3</definedName>
    <definedName name="Actual_capital_to_meet_additional_demand__WWF21a">'Export format'!$IP$3</definedName>
    <definedName name="Actual_capital_to_replace_existing_assets__SWF17c">'Export format'!$LQ$3</definedName>
    <definedName name="Actual_capital_to_replace_existing_assets__WSF20c">'Export format'!$DY$3</definedName>
    <definedName name="Actual_capital_to_replace_existing_assets__WWF21c">'Export format'!$IR$3</definedName>
    <definedName name="Actual_Versus_Budgeted_Expenditure___WSF20_WWF21_SWF17__WSF19_WWF20_SWF16">'Export format'!$LW$3</definedName>
    <definedName name="Analogue_SCADA__CB19a">'Export format'!$S$3</definedName>
    <definedName name="Analogue_SCADA_telemetry__CB19a">'Export format'!$S$3</definedName>
    <definedName name="Annual_Depreciation__Stormwater__SWF11">'Export format'!$LD$3</definedName>
    <definedName name="Annual_Depreciation__Wastewater__WWF15">'Export format'!$IE$3</definedName>
    <definedName name="Annual_Depreciation__Water_Supply__WSF14">'Export format'!$DL$3</definedName>
    <definedName name="Attendance_for_non_urgent_water_supply_fault_call_outs__WSS10c">'Export format'!$CP$3</definedName>
    <definedName name="Attendance_for_urgent_water_supply_fault_call_outs__WSS10a">'Export format'!$CN$3</definedName>
    <definedName name="Authorised_Consumption__WSB6">'Export format'!$AE$3</definedName>
    <definedName name="Average_Age_of_Stormwater_Pipelines__SWA3">'Export format'!$JM$3</definedName>
    <definedName name="Average_Age_of_Wastewater_Pipelines__WWA3">'Export format'!$EX$3</definedName>
    <definedName name="Average_Age_of_Water_Pipelines__WSA3">'Export format'!$AS$3</definedName>
    <definedName name="Average_Annual_Residential_Wastewater_Charge_Based_on_200_m3_yr___WWS3">'Export format'!$HE$3</definedName>
    <definedName name="Average_calculated_wet_weather_overflow_frequency__WWE8b">'Export format'!$GA$3</definedName>
    <definedName name="Average_Daily_Residential_Wastewater_Production__WWB8">'Export format'!$EE$6</definedName>
    <definedName name="Average_Daily_Residential_Water_Consumption__WSB8">'Export format'!$AG$3</definedName>
    <definedName name="Average_Residential_Water_Charge_Based_on_200_m3_yr___WSS9">'Export format'!$CM$3</definedName>
    <definedName name="Average_Residential_Water_Charge_Based_on_200_m3_yr__WSS9_MAX">'Export format'!$NC$3</definedName>
    <definedName name="Average_Residential_Water_Charge_Based_on_200_m3_yr__WSS9a_MIN">'Export format'!$ND$3</definedName>
    <definedName name="Average_system_pressure__WSE2">'Export format'!$BP$3</definedName>
    <definedName name="Balanced_Budget___WSF1_WSF2___WSF12_WSF15a">'Export format'!$LX$3</definedName>
    <definedName name="Balanced_Budget___WWF1_WWF2___WWF13_WWF16a">'Export format'!$LY$3</definedName>
    <definedName name="Balanced_Budget__SWF1__SWF9_SWF12a">'Export format'!$LZ$3</definedName>
    <definedName name="Boiled_water_notices__WSS12">'Export format'!$CU$3</definedName>
    <definedName name="Budgeted_Capital_Expenditure__Stormwater__SWF16">'Export format'!$LJ$3</definedName>
    <definedName name="Budgeted_Capital_Expenditure__Wastewater__WWF20">'Export format'!$IK$3</definedName>
    <definedName name="Budgeted_Capital_Expenditure__Water_Supply__WSF19">'Export format'!$DR$3</definedName>
    <definedName name="Budgeted_capital_to_improve_the_level_of_service__SWF16b">'Export format'!$LL$3</definedName>
    <definedName name="Budgeted_capital_to_improve_the_level_of_service__WSF19b">'Export format'!$DT$3</definedName>
    <definedName name="Budgeted_capital_to_improve_the_level_of_service__WWF20b">'Export format'!$IM$3</definedName>
    <definedName name="Budgeted_capital_to_meet_additional_demand__SWF16a">'Export format'!$LK$3</definedName>
    <definedName name="Budgeted_capital_to_meet_additional_demand__WSF19a">'Export format'!$DS$3</definedName>
    <definedName name="Budgeted_capital_to_meet_additional_demand__WWF20a">'Export format'!$IL$3</definedName>
    <definedName name="Budgeted_capital_to_replace_existing_assets__SWF16c">'Export format'!$LM$3</definedName>
    <definedName name="Budgeted_capital_to_replace_existing_assets__WSF19c">'Export format'!$DU$3</definedName>
    <definedName name="Budgeted_capital_to_replace_existing_assets__WWF20c">'Export format'!$IN$3</definedName>
    <definedName name="Capacity_of_Water_Storage_Reservoirs__WSA8">'Export format'!$AZ$3</definedName>
    <definedName name="CARL__current_annual_real_loss___WSE1c">'Export format'!$BJ$3</definedName>
    <definedName name="CARL__current_annual_real_loss___WSE1d">'Export format'!$BK$3</definedName>
    <definedName name="CARL__current_annual_real_loss___WSE1e">'Export format'!$BL$3</definedName>
    <definedName name="Charge_type">'Data lists'!$E$2:$E$5</definedName>
    <definedName name="Chemicals_and_Consumables__Water_Supply__WSF8">'Export format'!$DE$3</definedName>
    <definedName name="Common_Data">Common!$H$6:$H$27</definedName>
    <definedName name="Common_Data_Confidence">Common!$I$6:$I$27</definedName>
    <definedName name="Common_Headings">Common!$C$6:$C$27</definedName>
    <definedName name="Common_Name">Common!$B$6:$B$27</definedName>
    <definedName name="Common_Units">Common!$F$6:$F$27</definedName>
    <definedName name="Condition_Grade_1__Stormwater_pipelines__SWA2a">'Export format'!$JF$3</definedName>
    <definedName name="Condition_Grade_1__Wastewater_pipelines__WWA2a">'Export format'!$EQ$3</definedName>
    <definedName name="Condition_grade_1__Water_pipelines__WSA2a">'Export format'!$AL$3</definedName>
    <definedName name="Condition_Grade_2__Stormwater_pipelines__SWA2b">'Export format'!$JG$3</definedName>
    <definedName name="Condition_Grade_2__Wastewater_pipelines__WWA2b">'Export format'!$ER$3</definedName>
    <definedName name="Condition_grade_2__Water_pipelines__WSA2b">'Export format'!$AM$3</definedName>
    <definedName name="Condition_Grade_3__Stormwater_pipelines__SWA2c">'Export format'!$JH$3</definedName>
    <definedName name="Condition_Grade_3__Wastewater_pipelines__WWA2c">'Export format'!$ES$3</definedName>
    <definedName name="Condition_grade_3__Water_pipelines__WSA2c">'Export format'!$AN$3</definedName>
    <definedName name="Condition_Grade_4__Stormwater_pipelines__SWA2d">'Export format'!$JI$3</definedName>
    <definedName name="Condition_Grade_4__Stormwater_pipelines__SWA2d__CONF">'Export format'!$MB$6</definedName>
    <definedName name="Condition_Grade_4__Wastewater_pipelines__WWA2d">'Export format'!$ET$3</definedName>
    <definedName name="Condition_Grade_4__Wastewater_pipelines__WWA2d__CONF">'Export format'!$MC$6</definedName>
    <definedName name="Condition_grade_4__Water_pipelines__WSA2d">'Export format'!$AO$3</definedName>
    <definedName name="Condition_Grade_4__WSA2d__CONF">'Export format'!$MA$6</definedName>
    <definedName name="Condition_Grade_5__Stormwater_pipelines__SWA2e">'Export format'!$JJ$3</definedName>
    <definedName name="Condition_Grade_5__Wastewater_pipelines__WWA2e">'Export format'!$EU$3</definedName>
    <definedName name="Condition_grade_5__Water_pipelines__WSA2e">'Export format'!$AP$3</definedName>
    <definedName name="Consent_status">'Data lists'!$F$2:$F$5</definedName>
    <definedName name="Contaminant_Based_Charging__WWS1d">'Export format'!$HA$3</definedName>
    <definedName name="Continuing_professional_development_enrolments__CB16">'Export format'!$R$3</definedName>
    <definedName name="Continuing_proffessional_development_enrolments__CB16">'Export format'!$R$3</definedName>
    <definedName name="Continuity_of_water_supply_complaints__WSS5e">'Export format'!$CC$3</definedName>
    <definedName name="Contracted_staff__CB11">'Export format'!$I$3</definedName>
    <definedName name="Contracted_staff_per_1000_serviced_properties__CB11__WSB4_WWB4">'Export format'!$MA$3</definedName>
    <definedName name="Council_Contract_Management_Costs___Water_Supply__WSF11">'Export format'!$DI$3</definedName>
    <definedName name="Council_Contract_Management_Costs__Stormwater__SWF8">'Export format'!$LA$3</definedName>
    <definedName name="Council_Overview_Costs___Water_Supply__WSF11">'Export format'!$DA$6</definedName>
    <definedName name="Council_Overview_Costs__Stormwater__SWF8">'Export format'!$JY$6</definedName>
    <definedName name="Council_s_Overview_Costs__Wastewater___WWF12">'Export format'!$HG$6</definedName>
    <definedName name="Councils_Contract_Management_Costs__Wastewater___WWF12">'Export format'!$IB$3</definedName>
    <definedName name="Data_confidence">'Data lists'!$A$2:$A$6</definedName>
    <definedName name="Days_of_treated_water_stored_in_resevoirs_on_average__WSA7__WSB5_365">'Export format'!$MB$3</definedName>
    <definedName name="Debt_Affordability__Stormwater__SWF12b">'Export format'!$LF$3</definedName>
    <definedName name="Debt_affordability__Wastewater__WWF16b">'Export format'!$IG$3</definedName>
    <definedName name="Debt_affordability__Water_Supply__WSF15b">'Export format'!$DN$3</definedName>
    <definedName name="Debt_funding__Stormwater__SWF5">'Export format'!$KW$3</definedName>
    <definedName name="Debt_funding__Wastewater__WWF6">'Export format'!$HV$3</definedName>
    <definedName name="Debt_funding__Water_Supply__WSF6">'Export format'!$DC$3</definedName>
    <definedName name="Debt_servicing__SWF12a_SWF1">'Export format'!$MC$3</definedName>
    <definedName name="Debt_servicing__WSF15a__WSF1___WSF2">'Export format'!$MD$3</definedName>
    <definedName name="Debt_servicing__WWF16a__WWF1___WWF2">'Export format'!$ME$3</definedName>
    <definedName name="Decline_in_Service_Potential__Stormwater__SWF21">'Export format'!$LU$3</definedName>
    <definedName name="Decline_in_Service_Potential__Wastewater__WWF25">'Export format'!$IW$3</definedName>
    <definedName name="Decline_in_Service_Potential__Water_Supply__WSF24">'Export format'!$ED$3</definedName>
    <definedName name="Developer_Contributions__WSS22_WWF23_SWF19">'Export format'!$NJ$3</definedName>
    <definedName name="Development_Contribution_Revenue__Stormwater__SWF2">'Export format'!$KT$3</definedName>
    <definedName name="Development_Contribution_Revenue__Wastewater__WWF3">'Export format'!$HS$3</definedName>
    <definedName name="Development_Contribution_Revenue__Water_Supply__WSF3">'Export format'!$CZ$3</definedName>
    <definedName name="Development_Contributions__Stormwater_assets__SWF19">'Export format'!$LS$3</definedName>
    <definedName name="Development_Contributions__Wastewater_assets__WWF23">'Export format'!$IT$3</definedName>
    <definedName name="Development_Contributions__Water_Supply_assets__WSF22">'Export format'!$EA$3</definedName>
    <definedName name="Digital_SCADA__CB19b">'Export format'!$T$3</definedName>
    <definedName name="Digital_SCADA_telemetry__CB19b">'Export format'!$T$3</definedName>
    <definedName name="Disposal_of_wastewater_sludge_in_year_to_composting_and_reuse__WWA7k_3">'Export format'!$FP$3</definedName>
    <definedName name="Disposal_of_wastewater_sludge_in_year_to_landfill__WWA7k_2">'Export format'!$FO$3</definedName>
    <definedName name="Disposal_of_wastewater_sludge_in_year_to_on_site_stockpile__WWA7k_1">'Export format'!$FN$3</definedName>
    <definedName name="Disposal_of_wastewater_sludge_in_year_to_other_routes__WWA7k_4">'Export format'!$FQ$3</definedName>
    <definedName name="Drinking_water_clarity_complaints__WSS5a">'Export format'!$BY$3</definedName>
    <definedName name="Drinking_water_odour_complaints__WSS5c">'Export format'!$CA$3</definedName>
    <definedName name="Drinking_water_pressure_or_flow_complaints__WSS5d">'Export format'!$CB$3</definedName>
    <definedName name="Drinking_water_taste_complaints__WSS5b">'Export format'!$BZ$3</definedName>
    <definedName name="Dry_Weather_Wastewater_Overflows__WWE1">'Export format'!$FV$3</definedName>
    <definedName name="Dry_Weather_Wastewater_Overflows_per_1000_connections__WWE1_WWB4">'Export format'!$MF$3</definedName>
    <definedName name="Energy_consumption__Stormwater__SWE5">'Export format'!$KD$3</definedName>
    <definedName name="Energy_Consumption__Wastewater__WWE5a">'Export format'!$GR$3</definedName>
    <definedName name="Energy_Consumption__Water_Supply__WSE3">'Export format'!$BQ$3</definedName>
    <definedName name="Energy_Costs__Wastewater__WWF7">'Export format'!$HW$3</definedName>
    <definedName name="Energy_Costs__Water_Supply__WSF7">'Export format'!$DD$3</definedName>
    <definedName name="Energy_Generation__Wastewater__WWE5c">'Export format'!$GT$3</definedName>
    <definedName name="Energy_Generation__Water_Supply__WSE4">'Export format'!$BS$3</definedName>
    <definedName name="Energy_Intensity__Wastewater__WWE5b">'Export format'!$GS$3</definedName>
    <definedName name="Energy_Intensity__Water_Supply__WSE3a">'Export format'!$BR$3</definedName>
    <definedName name="Estimated_total_network_water_loss__WSE1a">'Export format'!$BH$3</definedName>
    <definedName name="External_Grants__Stormwater__SWF22">'Export format'!$LV$3</definedName>
    <definedName name="External_Grants__Wastewater__WWF26">'Export format'!$IX$3</definedName>
    <definedName name="External_Grants__Water_Supply__WSF25">'Export format'!$EE$3</definedName>
    <definedName name="External_Opex__SWF6">'Export format'!$JW$6</definedName>
    <definedName name="Failure_of_wastewater_pipes__WWS7a">'Export format'!$GT$6</definedName>
    <definedName name="Fire_hydrants_tested_in_the_previous_five_years__WSS12a">'Export format'!$CS$3</definedName>
    <definedName name="Fixed__Charge_Type__Non_residential_wastewater__WWS1b">'Export format'!$GY$3</definedName>
    <definedName name="Fixed_Charge__Non_residential_wastewater__WWS1a">'Export format'!$GX$3</definedName>
    <definedName name="Fixed_Charge__Non_residential_water__WSS7a">'Export format'!$CG$3</definedName>
    <definedName name="Fixed_Charge__Residential_wastewater__WWS2a">'Export format'!$HB$3</definedName>
    <definedName name="Fixed_Charge__Residential_water__WSS8a">'Export format'!$CJ$3</definedName>
    <definedName name="Fixed_Charge__Residential_water__WSS8a_MAX">'Export format'!$NA$3</definedName>
    <definedName name="Fixed_Charge__Residential_water__WSS8a_MIN">'Export format'!$NB$3</definedName>
    <definedName name="Fixed_Charge_Type__Non_residential_water__WSS7b">'Export format'!$CH$3</definedName>
    <definedName name="Fixed_Charge_Type__Residential_wastewater__WWS2b">'Export format'!$HC$3</definedName>
    <definedName name="Fixed_Charge_Type__Residential_water__WSS8b">'Export format'!$CK$3</definedName>
    <definedName name="Flooding_Events__SWS5">'Export format'!$JJ$6</definedName>
    <definedName name="Flooding_events_resulting_from_other_causes__SWS5c">'Export format'!$KN$3</definedName>
    <definedName name="Flooding_events_resulting_from_storms_exceeding_stormwater_capacity__SWS5">'Export format'!$KK$3</definedName>
    <definedName name="Flooding_Response_Time__SWS6">'Export format'!$KP$3</definedName>
    <definedName name="Guest_Nights__Annual__CB8">'Export format'!$G$6</definedName>
    <definedName name="Guest_Nights__Peak_month__CB9">'Export format'!$H$6</definedName>
    <definedName name="Household_Income__CB7">'Export format'!#REF!</definedName>
    <definedName name="Household_Occupancy___CB6">'Export format'!$F$3</definedName>
    <definedName name="ILI___infrastructure_leakage_index___CARL_UARL___WSE1h">'Export format'!$BO$3</definedName>
    <definedName name="Inflow_and_Infiltration___WWE7">'Export format'!$GD$6</definedName>
    <definedName name="Interest__Stormwater__SWF12a">'Export format'!$LE$3</definedName>
    <definedName name="Interest__Wastewater__WWF16a">'Export format'!$IF$3</definedName>
    <definedName name="Interest__Water_Supply__WSF15a">'Export format'!$DM$3</definedName>
    <definedName name="Internal_staff__CB10">'Export format'!$G$3</definedName>
    <definedName name="Internal_staff_per_1000_serviced_properties__CB10__WSB4_WWB4">'Export format'!$MG$3</definedName>
    <definedName name="landfill__WSA12a">'Export format'!$AX$6</definedName>
    <definedName name="Last_year_desludged__WWA7k_5">'Export format'!$FR$3</definedName>
    <definedName name="Length_of_new_stormwater_mains_constructed_using_internal_CAPEX__SWA1c">'Export format'!$JE$3</definedName>
    <definedName name="Length_of_new_wastewater_mains_constructed_using_internal_CAPEX__WWA1c">'Export format'!$EP$3</definedName>
    <definedName name="Length_of_new_water_mains_constructed_using_internal_CAPEX__WSA1c">'Export format'!$AK$3</definedName>
    <definedName name="Length_of_stormwater_mains_renewed_using_internal_CAPEX__SWA1b">'Export format'!$JD$3</definedName>
    <definedName name="Length_of_wastewater_mains_renewed_using_internal_CAPEX__WWA1b">'Export format'!$EO$3</definedName>
    <definedName name="Length_of_water_mains_renewed_using_internal_CAPEX__WSA1b">'Export format'!$AJ$3</definedName>
    <definedName name="Length_of_Water_Supply_Network__WSA1a">'Export format'!$AI$3</definedName>
    <definedName name="Lost_time_injuries__CB13">'Export format'!$K$3</definedName>
    <definedName name="Lost_time_injuries_per_staff_member__internal_and_contracted___CB13__CB10_CB11">'Export format'!$MH$3</definedName>
    <definedName name="Management_Costs__Stormwater__SWF7">'Export format'!$KZ$3</definedName>
    <definedName name="Management_Costs__Wastewater__WWF11">'Export format'!$IA$3</definedName>
    <definedName name="Management_Costs__Water_Supply__WSF10">'Export format'!$DH$3</definedName>
    <definedName name="Near_miss_reports__CB12">'Export format'!$J$3</definedName>
    <definedName name="Near_miss_reports_per_staff_member__internal_and_contracted___CB12__CB10_CB11">'Export format'!$MI$3</definedName>
    <definedName name="Non_compliant_fire_hydrants__WSS12b">'Export format'!$CT$3</definedName>
    <definedName name="Non_residential_properties__CB4">'Export format'!$D$3</definedName>
    <definedName name="Non_residential_Water_Consumption__WSB7">'Export format'!$AF$3</definedName>
    <definedName name="Not_assessed__Stormwater_pipelines__SWA2f">'Export format'!$JK$3</definedName>
    <definedName name="Not_assessed__Wastewater_pipelines__WWA2f">'Export format'!$EV$3</definedName>
    <definedName name="Not_assessed__Water_pipelines__WSA2f">'Export format'!$AQ$3</definedName>
    <definedName name="Not_yet_assessed__SWA2f_CONF">'Export format'!$MD$6</definedName>
    <definedName name="Not_yet_assessed__WSA2f_CONF">'Export format'!$ME$6</definedName>
    <definedName name="Not_yet_assessed__WWA2f_CONF">'Export format'!#REF!</definedName>
    <definedName name="Number_of_consents_at_each_treatment_plant__WWA7g">'Export format'!$FI$3</definedName>
    <definedName name="Number_of_different_water_charging_regimes__WSS7">'Export format'!$CF$3</definedName>
    <definedName name="Number_of_habitable_floors_affected__SWS5a">'Export format'!$JK$6</definedName>
    <definedName name="Number_of_habitable_floors_affected_by_flooding_from_other_causes__SWS5d">'Export format'!$KO$3</definedName>
    <definedName name="Number_of_habitable_floors_affected_by_storms_exceeding_stormwater_capacity__SWS5a">'Export format'!$KL$3</definedName>
    <definedName name="Number_of_habitable_floors_affected_per_1000_stormwater_serviced_properties__SWS5b">'Export format'!$KM$3</definedName>
    <definedName name="Number_of_residential_wastewater_scheme_charges">'Export format'!#REF!</definedName>
    <definedName name="Number_of_residential_water_scheme_charges">'Export format'!#REF!</definedName>
    <definedName name="Number_of_stormwater_discharges_from_the_piped_network__SWE1a">'Export format'!$JS$3</definedName>
    <definedName name="Number_of_stormwater_discharges_with_resource_consents__SWE1b">'Export format'!$JT$3</definedName>
    <definedName name="Number_of_wastewater_treatment_plants__WWA7">'Export format'!$FE$3</definedName>
    <definedName name="Operating_Cost__Stormwater__SWF9">'Export format'!$LB$3</definedName>
    <definedName name="Operating_Cost__Wastewater__WWF13">'Export format'!$IC$3</definedName>
    <definedName name="Operating_Cost__Water_Supply__WSF12">'Export format'!$DJ$3</definedName>
    <definedName name="Operating_Cost_per_Property__Stormwater__SWF10">'Export format'!$LC$3</definedName>
    <definedName name="Operating_Cost_per_Property__Wastewater__WWF14">'Export format'!$ID$3</definedName>
    <definedName name="Operating_Cost_per_Property__Water_Supply__WSF13">'Export format'!$DK$3</definedName>
    <definedName name="Operating_Revenue__Stormwater__SWF1">'Export format'!$KS$3</definedName>
    <definedName name="Operating_Revenue__Wastewater__WWF2">'Export format'!$HR$3</definedName>
    <definedName name="Operating_Revenue__Water_Supply__WSF2">'Export format'!$CY$3</definedName>
    <definedName name="Operational_Cost_Coverage__Stormwater__SWF13">'Export format'!$LG$3</definedName>
    <definedName name="Operational_Cost_Coverage__Wastewater__WWF17">'Export format'!$IH$3</definedName>
    <definedName name="Operational_Cost_Coverage__Water_Supply__WSF16">'Export format'!$DO$3</definedName>
    <definedName name="other__specify___WSA12c">'Export format'!$AZ$6</definedName>
    <definedName name="Other_External_Opex___WSF9">'Export format'!$CW$6</definedName>
    <definedName name="Other_wastewater_asset_value__WWF24b">'Export format'!$IV$3</definedName>
    <definedName name="Other_water_supply_asset_value__WSF23b">'Export format'!$EC$3</definedName>
    <definedName name="Overflows_calculated_through_calibrated_hydraulic_models__WWE9d">'Export format'!$GH$3</definedName>
    <definedName name="Overflows_calculated_through_hydraulic_models__WWE9c">'Export format'!$GG$3</definedName>
    <definedName name="Overflows_caused_by_blockages__WWE1a">'Export format'!$FW$3</definedName>
    <definedName name="Overflows_caused_by_mechanical_failures__WWE1b">'Export format'!$FM$6</definedName>
    <definedName name="Overflows_caused_by_plant_failures__WWE1b">'Export format'!$FX$3</definedName>
    <definedName name="Overflows_recorded_through_SCADA_monitoring__WWE9b">'Export format'!$GF$3</definedName>
    <definedName name="Overflows_recorded_through_verbal_reports__WWE9a">'Export format'!$GE$3</definedName>
    <definedName name="Peak_wet_to_average_dry_weather_ratio__WWA7m_MAX">'Export format'!$NE$3</definedName>
    <definedName name="Peak_wet_to_average_dry_weather_ratio__WWA7m_MIN">'Export format'!$NF$3</definedName>
    <definedName name="Percent_of_above_ground_assets_assessed_within_3_years__WSA13c">'Export format'!$BG$3</definedName>
    <definedName name="Percent_of_above_ground_assets_assessed_within_3_years__WWA6b">'Export format'!$FD$3</definedName>
    <definedName name="Percentage_Estimated_Total_Network_Water_Loss__WSE1b">'Export format'!$BI$3</definedName>
    <definedName name="Percentage_of_above_ground_stormwater_assets_assessed_in_3_years__SWA5c">'Export format'!$JP$3</definedName>
    <definedName name="Percentage_of_dry_solids_in_wastewater_sludge_biosolids__WWA7j_2">'Export format'!$FM$3</definedName>
    <definedName name="Percentage_of_non_residential_connections_with_meters__WSA10_WSB3">'Export format'!$LJ$6</definedName>
    <definedName name="Percentage_of_nonresidential_connections_with_meters__WSA9b_WSB3">'Export format'!$MJ$3</definedName>
    <definedName name="Percentage_of_residential_connections_with_meters__WSA9_WSB2">'Export format'!$LK$6</definedName>
    <definedName name="Percentage_of_residential_connections_with_meters__WSA9a_WSB2">'Export format'!$MK$3</definedName>
    <definedName name="Pipeline_Condition_Assessment_Approach__WSA2g">'Export format'!$AR$3</definedName>
    <definedName name="Pipeline_Condition_Assessment_Approach__WWA2g">'Export format'!$EW$3</definedName>
    <definedName name="Pipeline_condition_grading_approaches">'Data lists'!$B$2:$B$9</definedName>
    <definedName name="Planned_Interruptions__Wastewater__WWS7c">'Export format'!$HG$3</definedName>
    <definedName name="Planned_Interruptions__Water_Supply__WSS3">'Export format'!$BV$3</definedName>
    <definedName name="Primary_stormwater_network_capacity__SWS7a">'Export format'!$KQ$3</definedName>
    <definedName name="Properties_with_Water_Meters___Non_Residential___WSA9b">'Export format'!$BB$3</definedName>
    <definedName name="Properties_with_Water_Meters___Residential__WSA9a">'Export format'!$BA$3</definedName>
    <definedName name="Properties_with_Water_Restrictors__WSA10">'Export format'!$BC$3</definedName>
    <definedName name="Proportion_of_trade_waste_at_treatment_plant__WWA7f">'Export format'!$FH$3</definedName>
    <definedName name="Protocol_used_for_above_ground_condition_assessments__WSA13b">'Export format'!$BF$3</definedName>
    <definedName name="Protocol_used_for_above_ground_condition_assessments__WWA6a">'Export format'!$FC$3</definedName>
    <definedName name="Protocol_used_for_above_ground_stormwater_asset_assessments__SWA5b">'Export format'!$JO$3</definedName>
    <definedName name="Reactive_maintenance__Stormwater___SWF6b">'Export format'!$KY$3</definedName>
    <definedName name="Reactive_Maintenance__Wastewater__WWF10">'Export format'!$HZ$3</definedName>
    <definedName name="Reactive_maintenance__Water_Supply__WSF9b">'Export format'!$DG$3</definedName>
    <definedName name="Reactive_vs_Routine_Stormwater_OPEX__WWF10_WWF9">'Export format'!$NM$3</definedName>
    <definedName name="Reactive_vs_Routine_Wastewater_OPEX__WWF10_WWF9">'Export format'!$NL$3</definedName>
    <definedName name="Reactive_vs_Routine_Water_Supply_OPEX__WSF9b_WSF9a">'Export format'!$NK$3</definedName>
    <definedName name="Resevoir_average_level__WSA7_WSA8">'Export format'!$ML$3</definedName>
    <definedName name="Residential_properties__CB3">'Export format'!$C$3</definedName>
    <definedName name="Residential_water_consumption__WSB5_WSB7">'Export format'!$LM$6</definedName>
    <definedName name="Residential_water_metering_coverage">'Export format'!$LN$6</definedName>
    <definedName name="Resolution_for_non_urgent_water_supply_fault_call_outs__WSS10d">'Export format'!$CQ$3</definedName>
    <definedName name="Resolution_for_urgent_water_supply_fault_call_outs__WSS10b">'Export format'!$CO$3</definedName>
    <definedName name="Reticulation_External_OPEX__WWF10">'Export format'!#REF!</definedName>
    <definedName name="Retiring_staff__CB10b">'Export format'!$I$3</definedName>
    <definedName name="Revenue_from_Supply_of_Water_to_Other_Local_Authorities__WSF1">'Export format'!$CX$3</definedName>
    <definedName name="Revenue_from_the_Provision_of_Wastewater_Treatment_Services_to_Another_Local_Authority__WWF1">'Export format'!$HQ$3</definedName>
    <definedName name="Revenue_per_Property__Wastewater__WWF5">'Export format'!$HU$3</definedName>
    <definedName name="Revenue_per_Property__Water_Supply__WSF5">'Export format'!$DB$3</definedName>
    <definedName name="Routine_maintenance__Stormwater___SWF6a">'Export format'!$KX$3</definedName>
    <definedName name="Routine_Maintenance__Wastewater__WWF9">'Export format'!$HY$3</definedName>
    <definedName name="Routine_maintenance__Water_Supply__WSF9a">'Export format'!$DF$3</definedName>
    <definedName name="SCADA_Controls__CB19c">'Export format'!$U$3</definedName>
    <definedName name="SCADA_Monitoring__CB19d">'Export format'!$V$3</definedName>
    <definedName name="SCADA_telemetry_controls__CB19c">'Export format'!$U$3</definedName>
    <definedName name="SCADA_telemetry_monitoring__CB19d">'Export format'!$V$3</definedName>
    <definedName name="Secondary_stormwater_network_capacity__SWS7b">'Export format'!$KR$3</definedName>
    <definedName name="Sewage_containment_design_standards__WWE8a">'Export format'!$FQ$6</definedName>
    <definedName name="Sewage_containment_of_the_existing_network__WWE8">'Export format'!$GD$3</definedName>
    <definedName name="Sewage_design_standards__WWE8a">'Export format'!$FZ$3</definedName>
    <definedName name="Sewage_design_standards_for_network_capacity__WWE7">'Export format'!$GC$3</definedName>
    <definedName name="Sewage_odour_complaints__WWS4a">'Export format'!$HG$3</definedName>
    <definedName name="sewer__WSA12b">'Export format'!$AY$6</definedName>
    <definedName name="Sewerage_system_blockage_complaints__WWS4c">'Export format'!$HI$3</definedName>
    <definedName name="Sewerage_system_fault_complaints__WWS4b">'Export format'!$HH$3</definedName>
    <definedName name="Sludge_Disposal_Costs__Wastewater__WWF8">'Export format'!$HX$3</definedName>
    <definedName name="Source_water_monitoring__WSS15">'Export format'!$CW$3</definedName>
    <definedName name="Source_water_zone_management__WSS14">'Export format'!$CV$3</definedName>
    <definedName name="Staff_completed_apprentiships__CB15d">'Export format'!$Q$3</definedName>
    <definedName name="Staff_training__CB14">'Export format'!$M$3</definedName>
    <definedName name="Staff_training_enrolments__CB14b">'Export format'!$M$3</definedName>
    <definedName name="Staff_training_hours__CB14a">'Export format'!$L$3</definedName>
    <definedName name="Staff_vacancies__CB10a">'Export format'!$H$3</definedName>
    <definedName name="Staff_with_a_Bachelor_of_Engineering__CB15a">'Export format'!$N$3</definedName>
    <definedName name="Staff_with_a_NZ_Certificate__CB15b">'Export format'!$P$3</definedName>
    <definedName name="Staff_with_a_NZ_Diploma__CB15c">'Export format'!$O$3</definedName>
    <definedName name="Staff_with_a_relevant_Bachelors_degree__CB15a">'Export format'!$N$3</definedName>
    <definedName name="Staff_with_completed_apprenticeships__CB15d">'Export format'!$Q$3</definedName>
    <definedName name="Stormwater_asset_value_at_end_of_reporting_year__SWF20">'Export format'!$LT$3</definedName>
    <definedName name="Stormwater_blockage_complaints__SWS3a">'Export format'!$KH$3</definedName>
    <definedName name="Stormwater_capital_expenditure_versus_depreciation__SWF17_SWF11">'Export format'!$MY$3</definedName>
    <definedName name="Stormwater_catchment_management_plans__SWE4">'Export format'!$KC$3</definedName>
    <definedName name="Stormwater_Charge__SWS1">'Export format'!$KE$3</definedName>
    <definedName name="Stormwater_Charge_type__SWS2">'Export format'!$KF$3</definedName>
    <definedName name="Stormwater_Complaints__SWS3">'Export format'!$KG$3</definedName>
    <definedName name="Stormwater_Complaints_Frequency__SWS4">'Export format'!$KJ$3</definedName>
    <definedName name="Stormwater_consent_abatement_notices__SWE2a">'Export format'!$JU$3</definedName>
    <definedName name="Stormwater_consent_enforcement_orders__SWE2c">'Export format'!$JW$3</definedName>
    <definedName name="Stormwater_consent_formal_warning__SWE2g">'Export format'!$KA$3</definedName>
    <definedName name="Stormwater_consent_infringement_notices__SWE2b">'Export format'!$JV$3</definedName>
    <definedName name="Stormwater_consent_letters_of_direction__SWE2f">'Export format'!$JZ$3</definedName>
    <definedName name="Stormwater_consent_non_conformance__SWE2e">'Export format'!$JY$3</definedName>
    <definedName name="Stormwater_Data">Stormwater!$H$6:$H$80</definedName>
    <definedName name="Stormwater_Data_Confidence">Stormwater!$I$6:$I$80</definedName>
    <definedName name="Stormwater_fault_complaints__SWS3b">'Export format'!$KI$3</definedName>
    <definedName name="Stormwater_Headings">Stormwater!$C$6:$C$80</definedName>
    <definedName name="Stormwater_Name">Stormwater!$B$6:$B$80</definedName>
    <definedName name="Stormwater_network_CCTV_inspection__SWA6">'Export format'!$JQ$3</definedName>
    <definedName name="Stormwater_Pipeline_Condition_Assessment_Approach__SWA2g">'Export format'!$JL$3</definedName>
    <definedName name="Stormwater_Pump_Stations__SWA7">'Export format'!$JR$3</definedName>
    <definedName name="Stormwater_quality_monitoring__SWE3">'Export format'!$KB$3</definedName>
    <definedName name="Stormwater_Serviced_Population__SWB1">'Export format'!$IY$3</definedName>
    <definedName name="Stormwater_Serviced_Properties___Non_residential__SWB3">'Export format'!$JA$3</definedName>
    <definedName name="Stormwater_Serviced_Properties___Residential__SWB2">'Export format'!$IZ$3</definedName>
    <definedName name="Stormwater_successful_prosecutions__SWE2d">'Export format'!$JX$3</definedName>
    <definedName name="Stormwater_Units">Stormwater!$F$6:$F$80</definedName>
    <definedName name="The_authorities_response_to_any_of_these_issues__WSS5f">'Export format'!$CD$3</definedName>
    <definedName name="The_authority’s_response_to_issues_with_its_sewerage_system__WWS4d">'Export format'!$HJ$3</definedName>
    <definedName name="Third_party_disruptions_to_the_wastewater_system__WWS7b">'Export format'!$GU$6</definedName>
    <definedName name="Third_party_Incidents__Wastewater__WWS7b">'Export format'!$HO$3</definedName>
    <definedName name="Third_Party_Incidents__Water_Supply__WSS4">'Export format'!$BW$3</definedName>
    <definedName name="Total__Properties__CB5">'Export format'!$E$3</definedName>
    <definedName name="Total_Area__CB1">'Export format'!$A$3</definedName>
    <definedName name="Total_asset_value__WWF24b__WSF23b__SWF20__WWF24a__WSF23a">'Export format'!$NI$3</definedName>
    <definedName name="Total_CAPEX__SWF17__WWF21__WSF20">'Export format'!$NH$3</definedName>
    <definedName name="Total_Cost__Stormwater__SWF14">'Export format'!$LH$3</definedName>
    <definedName name="Total_Cost__Wastewater__WWF18">'Export format'!$II$3</definedName>
    <definedName name="Total_Cost__Water_Supply__WSF17">'Export format'!$DP$3</definedName>
    <definedName name="Total_Cost_per_Property__Stormwater__SWF15">'Export format'!$LI$3</definedName>
    <definedName name="Total_Cost_per_Property__Wastewater__WWF19">'Export format'!$IJ$3</definedName>
    <definedName name="Total_Cost_per_Property__Water_Supply__WSF18">'Export format'!$DQ$3</definedName>
    <definedName name="Total_Length_of_Combined_Wastewater_and_Stormwater_Pipelines__WWA8">'Export format'!$FU$3</definedName>
    <definedName name="Total_Length_of_Public_Stormwater_Network__SWA1a">'Export format'!$JC$3</definedName>
    <definedName name="Total_Length_of_Public_Wastewater_Network__WWA1a">'Export format'!$EN$3</definedName>
    <definedName name="Total_occupied_and_unoccupied_dwellings">'Export format'!#REF!</definedName>
    <definedName name="Total_Population__CB2">'Export format'!$B$3</definedName>
    <definedName name="Total_Revenue__Stormwater__SWF3">'Export format'!$KU$3</definedName>
    <definedName name="Total_Revenue__Wastewater__WWF4">'Export format'!$HT$3</definedName>
    <definedName name="Total_Revenue__Water_Supply__WSF4">'Export format'!$DA$3</definedName>
    <definedName name="Total_Revenue__WSF4_WWF4_SWF3">'Export format'!$MM$3</definedName>
    <definedName name="Total_Revenue_per_Property__Stormwater__SWF4">'Export format'!$KV$3</definedName>
    <definedName name="Total_Stormwater_Serviced_Properties__SWB4">'Export format'!$JB$3</definedName>
    <definedName name="Total_Wastewater_Overflows___WWE3">'Export format'!$GA$3</definedName>
    <definedName name="Total_Wastewater_Produced__WWB7">'Export format'!$EM$3</definedName>
    <definedName name="Total_Wastewater_Serviced_Properties__WWB4">'Export format'!$EJ$3</definedName>
    <definedName name="Total_Water_Serviced_Properties__WSB4">'Export format'!$AA$3</definedName>
    <definedName name="Trade_Waste_Management__WWE6">'Export format'!$GW$3</definedName>
    <definedName name="Tradewaste_approach">'Data lists'!$G$2:$G$5</definedName>
    <definedName name="Treatment_Plant_backup_generators__WWA7l">'Export format'!$FS$3</definedName>
    <definedName name="Treatment_plant_effluent_consent_status__WWA7i">'Export format'!$FK$3</definedName>
    <definedName name="Treatment_Plant_effluent_resource_consent_expiry_date__WWA7h">'Export format'!$FJ$3</definedName>
    <definedName name="Treatment_plant_peak_wet_to_average_dry_weather_flow_ratio__WWA7m">'Export format'!$FT$3</definedName>
    <definedName name="Treatment_Plant_sludge_production__WWA7j">'Export format'!$FJ$3</definedName>
    <definedName name="Treatment_Plant_sludge_production_of_wet_sludge_biosolids__WWA7j_1">'Export format'!$FL$3</definedName>
    <definedName name="UARL__unavoidable_annual_real_loss___WSE1f">'Export format'!$BM$3</definedName>
    <definedName name="UARL__unavoidable_annual_real_loss___WSE1g">'Export format'!$BN$3</definedName>
    <definedName name="Unplanned_Interruption_Frequency__Wastewater__WWS7c">'Export format'!$HP$3</definedName>
    <definedName name="Unplanned_Interruption_Frequency__Wastewater__WWS7d">'Export format'!$HH$3</definedName>
    <definedName name="Unplanned_Interruption_Frequency__Water_Supply__WSS2">'Export format'!$BU$3</definedName>
    <definedName name="Unplanned_Total_Interruptions__Wastewater__WWS7a">'Export format'!$HN$3</definedName>
    <definedName name="Unplanned_Total_Interruptions__Water_Supply__WSS1">'Export format'!$BT$3</definedName>
    <definedName name="Vacancies_per_1000_serviced_properties__CB10a__WSB4_WWB4">'Export format'!$MN$3</definedName>
    <definedName name="Volume_of_wastewater_treated_at_treatment_plant__WWA7d">'Export format'!$FG$3</definedName>
    <definedName name="Volumetric_Charge__Non_residential_wastewater__WWS1c">'Export format'!$GZ$3</definedName>
    <definedName name="Volumetric_Charge__Non_residential_water__WSS7c">'Export format'!$CI$3</definedName>
    <definedName name="Volumetric_Charge__Residential_wastewater__WWS2c">'Export format'!$HD$3</definedName>
    <definedName name="Volumetric_Charge__Residential_water__WSS8c">'Export format'!$CL$3</definedName>
    <definedName name="Volumetric_Charge_for_200m3">'Export format'!$MO$3</definedName>
    <definedName name="Wastewater_capital_expenditure_versus_depreciation__SWF17_SWF11">'Export format'!#REF!</definedName>
    <definedName name="Wastewater_capital_expenditure_versus_depreciation__WWF21_WWF15">'Export format'!$MX$3</definedName>
    <definedName name="Wastewater_CCTV_inspection__WWA4">'Export format'!$EY$3</definedName>
    <definedName name="Wastewater_complaints__WWS4">'Export format'!$HF$3</definedName>
    <definedName name="Wastewater_complaints_frequency__WWS5">'Export format'!$HK$3</definedName>
    <definedName name="Wastewater_connection_density__WWB4_WWA1a">'Export format'!$MP$3</definedName>
    <definedName name="Wastewater_consent_abatement_notices__WWE4a">'Export format'!$GI$3</definedName>
    <definedName name="Wastewater_consent_enforcement_orders__WWE4c">'Export format'!$GK$3</definedName>
    <definedName name="Wastewater_consent_formal_warming__WWE4i">'Export format'!$GQ$3</definedName>
    <definedName name="Wastewater_consent_infringement_notices__WWE4b">'Export format'!$GJ$3</definedName>
    <definedName name="Wastewater_consent_letter_of_direction__WWE4h">'Export format'!$GP$3</definedName>
    <definedName name="Wastewater_consent_successful_prosecutions__WWE4d">'Export format'!$GL$3</definedName>
    <definedName name="Wastewater_Data" localSheetId="3">Wastewater!$H$32:$H$127</definedName>
    <definedName name="Wastewater_Data">#REF!</definedName>
    <definedName name="Wastewater_Data_Confidence" localSheetId="3">Wastewater!$I$32:$I$127</definedName>
    <definedName name="Wastewater_Data_Confidence">#REF!</definedName>
    <definedName name="Wastewater_Exported_for_Treatment__WWB5">'Export format'!$EK$3</definedName>
    <definedName name="Wastewater_facility_value_at_end_of_reporting_year__WWF24a">'Export format'!$IU$3</definedName>
    <definedName name="Wastewater_fault_attendance_time__WWS6a">'Export format'!$HL$3</definedName>
    <definedName name="Wastewater_fault_resolution_time__WWS6b">'Export format'!$HM$3</definedName>
    <definedName name="Wastewater_Headings" localSheetId="3">Wastewater!$C$32:$C$127</definedName>
    <definedName name="Wastewater_Headings">#REF!</definedName>
    <definedName name="Wastewater_Imported_for_Treatment__WWB6">'Export format'!$EL$3</definedName>
    <definedName name="Wastewater_maintenance__WWF9_WWF10">'Export format'!$NG$3</definedName>
    <definedName name="Wastewater_Name" localSheetId="3">Wastewater!$B$18:$B$148</definedName>
    <definedName name="Wastewater_Name">#REF!</definedName>
    <definedName name="Wastewater_network_discharge_consents__WWE4g">'Export format'!$GL$3</definedName>
    <definedName name="Wastewater_network_discharge_non_conformance__WWE4f">'Export format'!$GN$3</definedName>
    <definedName name="Wastewater_overflows_on_private_properties__WWE3a">'Export format'!$GB$3</definedName>
    <definedName name="Wastewater_Pump_Stations__WWA5">'Export format'!$EZ$3</definedName>
    <definedName name="Wastewater_Pump_Stations_Standby_Generators__WWA5a">'Export format'!$FA$3</definedName>
    <definedName name="Wastewater_Pump_Stations_without_backup_generators__WWA5_WWA5a">'Export format'!$MQ$3</definedName>
    <definedName name="Wastewater_Service_Coverage__WWB1b">'Export format'!$EG$3</definedName>
    <definedName name="Wastewater_Serviced_Population__WWB1a">'Export format'!$EF$3</definedName>
    <definedName name="Wastewater_Serviced_Properties__Non_residential__WWB3">'Export format'!$EI$3</definedName>
    <definedName name="Wastewater_Serviced_Properties__Residential__WWB2">'Export format'!$EH$3</definedName>
    <definedName name="Wastewater_treatment_plant_consent_non_conformance__WWE4e">'Export format'!$GM$3</definedName>
    <definedName name="Wastewater_treatment_plant_effluent_environmental_discharge_emissions_assessment__WWE5e">'Export format'!$GV$3</definedName>
    <definedName name="Wastewater_treatment_plant_name__WWA7a">'Export format'!$FF$3</definedName>
    <definedName name="Wastewater_treatment_plant_process_emissions_assessment__WWE5d">'Export format'!$GU$3</definedName>
    <definedName name="Wastewater_Treatment_Plants__without_backup_generators__WWA7a___WWA7l">'Export format'!$LU$6</definedName>
    <definedName name="Wastewater_Treatment_Plants__without_backup_generators__WWA7a__WWA7l">'Export format'!$MR$3</definedName>
    <definedName name="Wastewater_Units" localSheetId="3">Wastewater!$F$32:$F$127</definedName>
    <definedName name="Wastewater_Units">#REF!</definedName>
    <definedName name="Water_and_wastewater_affordability___WSS9_WWS3__CB7">'Export format'!#REF!</definedName>
    <definedName name="Water_and_wastewater_properties_serviced__WSB4_WWB4">'Export format'!$MZ$3</definedName>
    <definedName name="Water_capital_expenditure_versus_depreciation__SWF17_SWF11">'Export format'!$LY$6</definedName>
    <definedName name="Water_capital_expenditure_versus_depreciation__WSF20_WSF14">'Export format'!$MW$3</definedName>
    <definedName name="Water_Data">Water!$J$16:$J$109</definedName>
    <definedName name="Water_Data_Confidence">Water!$K$16:$K$109</definedName>
    <definedName name="Water_Demand_Forecasting__WSB9">'Export format'!$AH$3</definedName>
    <definedName name="Water_exported_to_other_authorities__WSB5b">'Export format'!$AD$3</definedName>
    <definedName name="Water_Headings">Water!$C$16:$C$109</definedName>
    <definedName name="Water_imported_from_other_authorities__WSB5a">'Export format'!$AC$3</definedName>
    <definedName name="Water_Name">Water!$B$16:$B$109</definedName>
    <definedName name="Water_Pump_Stations__WSA5">'Export format'!$AV$3</definedName>
    <definedName name="Water_Pump_Stations_Standby_Generators__WSA5a">'Export format'!$AW$3</definedName>
    <definedName name="Water_Pump_Stations_without_backup_generators__WSA5_WSA5a">'Export format'!$MS$3</definedName>
    <definedName name="Water_Pump_Stations_without_backup_generators__WSA5WSA5a">'Export format'!$MS$3</definedName>
    <definedName name="Water_restriction_days__WSS11">'Export format'!$CR$3</definedName>
    <definedName name="Water_safety_plan_actions__WSS13a">'Export format'!$CT$3</definedName>
    <definedName name="Water_safety_plan_imlpementation__WSS13b">'Export format'!$CU$3</definedName>
    <definedName name="Water_Serviced_Population__WSB1a">'Export format'!$W$3</definedName>
    <definedName name="Water_Serviced_Properties__Non_Residential__WSB3">'Export format'!$Z$3</definedName>
    <definedName name="Water_Serviced_Properties__Residential__WSB2">'Export format'!$Y$3</definedName>
    <definedName name="Water_Stored_in_Reservoirs__WSA7">'Export format'!$AY$3</definedName>
    <definedName name="Water_Supplied_to_Own_System__WSB5">'Export format'!$AB$3</definedName>
    <definedName name="Water_Supply_Complaints__WSS5">'Export format'!$BX$3</definedName>
    <definedName name="Water_Supply_Complaints_Frequency__WSS6">'Export format'!$CE$3</definedName>
    <definedName name="Water_Supply_Connection_Density__WSB4_WSA1a">'Export format'!$MT$3</definedName>
    <definedName name="Water_Supply_Reservoirs__WSA6">'Export format'!$AX$3</definedName>
    <definedName name="Water_Supply_Service_Coverage__WSB1b">'Export format'!$X$3</definedName>
    <definedName name="Water_treatment_facility_value_at_end_of_reporting_year__WSF23a">'Export format'!$EB$3</definedName>
    <definedName name="Water_Treatment_Plant_Standby_Generators__WSA4a">'Export format'!$AU$3</definedName>
    <definedName name="Water_Treatment_Plants__WSA4">'Export format'!$AT$3</definedName>
    <definedName name="Water_Treatment_Plants_without_backup_generators__WSA4_WSA4a">'Export format'!$MU$3</definedName>
    <definedName name="Water_Treatment_Sludge_Production__WSA11">'Export format'!$BD$3</definedName>
    <definedName name="Water_Units">Water!$G$16:$G$109</definedName>
    <definedName name="Weighted_inflow_infiltration">'Export format'!$NN$3</definedName>
    <definedName name="Wet_weather_overflow_regulation_approach__WWE4g">'Export format'!$GO$3</definedName>
    <definedName name="Wet_weather_overflows_from_combined_stormwater_and_wastewater_networks__WWE2b">'Export format'!$FZ$3</definedName>
    <definedName name="Wet_weather_overflows_from_the_wastewater_network__WWE2a">'Export format'!$FY$3</definedName>
    <definedName name="Wet_Weather_Wastewater_Overflows_per_1000_connections__WWE2_WWB4">'Export format'!$LX$6</definedName>
    <definedName name="Wet_Weather_Wastewater_Overflows_per_1000_connections__WWE2a_WWB4">'Export format'!$MV$3</definedName>
    <definedName name="WWTP_External_OPEX__WWF9">'Export format'!#REF!</definedName>
  </definedNames>
  <calcPr calcId="191028"/>
  <pivotCaches>
    <pivotCache cacheId="3000"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0" i="3" l="1"/>
  <c r="H49" i="3"/>
  <c r="H18" i="3"/>
  <c r="H38" i="12" l="1"/>
  <c r="H37" i="12"/>
  <c r="H9" i="12"/>
  <c r="H33" i="12"/>
  <c r="H32" i="12"/>
  <c r="H9" i="3" l="1"/>
  <c r="H8" i="3"/>
  <c r="H27" i="4"/>
  <c r="H26" i="4"/>
  <c r="H25" i="4"/>
  <c r="H24" i="4"/>
  <c r="J53" i="1"/>
  <c r="J52" i="1"/>
  <c r="J30" i="1"/>
  <c r="J29" i="1"/>
  <c r="J28" i="1"/>
  <c r="J27" i="1"/>
  <c r="J19" i="1"/>
  <c r="J16" i="1"/>
  <c r="J15" i="1" l="1"/>
  <c r="J14" i="1"/>
  <c r="H16" i="12"/>
  <c r="H121" i="12"/>
  <c r="J100" i="1"/>
  <c r="H120" i="12"/>
  <c r="H76" i="3"/>
  <c r="H75" i="3"/>
  <c r="H118" i="12"/>
  <c r="J98" i="1"/>
  <c r="J99" i="1"/>
  <c r="H74" i="3"/>
  <c r="H117" i="12"/>
  <c r="H72" i="3"/>
  <c r="H116" i="12"/>
  <c r="J102" i="1"/>
  <c r="H71" i="3"/>
  <c r="J104" i="1"/>
  <c r="H122" i="12"/>
  <c r="H70" i="3"/>
  <c r="J103" i="1"/>
  <c r="H64" i="3" l="1"/>
  <c r="H63" i="3"/>
  <c r="H52" i="3"/>
  <c r="H51" i="3" a="1"/>
  <c r="H51" i="3" s="1"/>
  <c r="N71" i="18"/>
  <c r="K71" i="18"/>
  <c r="J71" i="18"/>
  <c r="L71" i="18" s="1"/>
  <c r="I71" i="18"/>
  <c r="F71" i="18"/>
  <c r="E71" i="18"/>
  <c r="D71" i="18"/>
  <c r="O71" i="18" l="1"/>
  <c r="G71" i="18"/>
  <c r="N33" i="18"/>
  <c r="K33" i="18"/>
  <c r="J33" i="18"/>
  <c r="I33" i="18"/>
  <c r="O33" i="18" s="1"/>
  <c r="F33" i="18"/>
  <c r="E33" i="18"/>
  <c r="D33" i="18"/>
  <c r="G33" i="18" s="1"/>
  <c r="N15" i="18"/>
  <c r="K15" i="18"/>
  <c r="J15" i="18"/>
  <c r="I15" i="18"/>
  <c r="O15" i="18" s="1"/>
  <c r="F15" i="18"/>
  <c r="E15" i="18"/>
  <c r="D15" i="18"/>
  <c r="F35" i="18" l="1"/>
  <c r="J35" i="18"/>
  <c r="N35" i="18"/>
  <c r="I35" i="18"/>
  <c r="G15" i="18"/>
  <c r="D35" i="18"/>
  <c r="G35" i="18" s="1"/>
  <c r="L35" i="18"/>
  <c r="L33" i="18"/>
  <c r="K35" i="18"/>
  <c r="L15" i="18"/>
  <c r="E35" i="18"/>
  <c r="O35" i="18"/>
  <c r="H37" i="3" l="1"/>
  <c r="H110" i="12"/>
  <c r="H109" i="12"/>
  <c r="H102" i="12"/>
  <c r="H101" i="12"/>
  <c r="H96" i="12"/>
  <c r="H95" i="12" a="1"/>
  <c r="H95" i="12" s="1"/>
  <c r="N40" i="17"/>
  <c r="K40" i="17"/>
  <c r="J40" i="17"/>
  <c r="I40" i="17"/>
  <c r="F40" i="17"/>
  <c r="E40" i="17"/>
  <c r="D40" i="17"/>
  <c r="N17" i="17"/>
  <c r="K17" i="17"/>
  <c r="J17" i="17"/>
  <c r="I17" i="17"/>
  <c r="O17" i="17" s="1"/>
  <c r="F17" i="17"/>
  <c r="E17" i="17"/>
  <c r="D17" i="17"/>
  <c r="D42" i="17" l="1"/>
  <c r="G17" i="17"/>
  <c r="O40" i="17"/>
  <c r="F42" i="17"/>
  <c r="E42" i="17"/>
  <c r="L40" i="17"/>
  <c r="J42" i="17"/>
  <c r="L42" i="17" s="1"/>
  <c r="N42" i="17"/>
  <c r="K42" i="17"/>
  <c r="G42" i="17"/>
  <c r="L17" i="17"/>
  <c r="I42" i="17"/>
  <c r="G40" i="17"/>
  <c r="O42" i="17" l="1"/>
  <c r="H84" i="12"/>
  <c r="H80" i="12"/>
  <c r="J92" i="1"/>
  <c r="J91" i="1"/>
  <c r="J83" i="1"/>
  <c r="J78" i="1"/>
  <c r="J77" i="1" a="1"/>
  <c r="J77" i="1" s="1"/>
  <c r="J72" i="1"/>
  <c r="J69" i="1"/>
  <c r="N36" i="15"/>
  <c r="K36" i="15"/>
  <c r="J36" i="15"/>
  <c r="L36" i="15" s="1"/>
  <c r="I36" i="15"/>
  <c r="F36" i="15"/>
  <c r="E36" i="15"/>
  <c r="D36" i="15"/>
  <c r="N17" i="15"/>
  <c r="K17" i="15"/>
  <c r="K38" i="15" s="1"/>
  <c r="J17" i="15"/>
  <c r="L17" i="15" s="1"/>
  <c r="I17" i="15"/>
  <c r="F17" i="15"/>
  <c r="F38" i="15" s="1"/>
  <c r="E17" i="15"/>
  <c r="E38" i="15" s="1"/>
  <c r="D17" i="15"/>
  <c r="D3" i="3"/>
  <c r="H36" i="12"/>
  <c r="H35" i="12"/>
  <c r="T1" i="14"/>
  <c r="T2" i="14"/>
  <c r="T3" i="14"/>
  <c r="T4" i="14"/>
  <c r="T5" i="14"/>
  <c r="T6" i="14"/>
  <c r="T7" i="14"/>
  <c r="T8" i="14"/>
  <c r="T9" i="14"/>
  <c r="T10" i="14"/>
  <c r="T11" i="14"/>
  <c r="T12" i="14"/>
  <c r="T13" i="14"/>
  <c r="T14" i="14"/>
  <c r="T15" i="14"/>
  <c r="T16" i="14"/>
  <c r="T17" i="14"/>
  <c r="T18" i="14"/>
  <c r="B1" i="14"/>
  <c r="C1" i="14"/>
  <c r="D1" i="14"/>
  <c r="E1" i="14"/>
  <c r="F1" i="14"/>
  <c r="G1" i="14"/>
  <c r="H1" i="14"/>
  <c r="I1" i="14"/>
  <c r="J1" i="14"/>
  <c r="K1" i="14"/>
  <c r="L1" i="14"/>
  <c r="M1" i="14"/>
  <c r="N1" i="14"/>
  <c r="O1" i="14"/>
  <c r="P1" i="14"/>
  <c r="Q1" i="14"/>
  <c r="R1" i="14"/>
  <c r="S1" i="14"/>
  <c r="B2" i="14"/>
  <c r="C2" i="14"/>
  <c r="D2" i="14"/>
  <c r="E2" i="14"/>
  <c r="F2" i="14"/>
  <c r="G2" i="14"/>
  <c r="H2" i="14"/>
  <c r="I2" i="14"/>
  <c r="J2" i="14"/>
  <c r="K2" i="14"/>
  <c r="L2" i="14"/>
  <c r="M2" i="14"/>
  <c r="N2" i="14"/>
  <c r="O2" i="14"/>
  <c r="P2" i="14"/>
  <c r="Q2" i="14"/>
  <c r="R2" i="14"/>
  <c r="S2" i="14"/>
  <c r="B3" i="14"/>
  <c r="C3" i="14"/>
  <c r="D3" i="14"/>
  <c r="E3" i="14"/>
  <c r="F3" i="14"/>
  <c r="G3" i="14"/>
  <c r="H3" i="14"/>
  <c r="I3" i="14"/>
  <c r="J3" i="14"/>
  <c r="K3" i="14"/>
  <c r="L3" i="14"/>
  <c r="M3" i="14"/>
  <c r="N3" i="14"/>
  <c r="O3" i="14"/>
  <c r="P3" i="14"/>
  <c r="Q3" i="14"/>
  <c r="R3" i="14"/>
  <c r="S3" i="14"/>
  <c r="B4" i="14"/>
  <c r="C4" i="14"/>
  <c r="D4" i="14"/>
  <c r="E4" i="14"/>
  <c r="F4" i="14"/>
  <c r="G4" i="14"/>
  <c r="H4" i="14"/>
  <c r="I4" i="14"/>
  <c r="J4" i="14"/>
  <c r="K4" i="14"/>
  <c r="L4" i="14"/>
  <c r="M4" i="14"/>
  <c r="N4" i="14"/>
  <c r="O4" i="14"/>
  <c r="P4" i="14"/>
  <c r="Q4" i="14"/>
  <c r="R4" i="14"/>
  <c r="S4" i="14"/>
  <c r="B5" i="14"/>
  <c r="C5" i="14"/>
  <c r="D5" i="14"/>
  <c r="E5" i="14"/>
  <c r="F5" i="14"/>
  <c r="G5" i="14"/>
  <c r="H5" i="14"/>
  <c r="I5" i="14"/>
  <c r="J5" i="14"/>
  <c r="K5" i="14"/>
  <c r="L5" i="14"/>
  <c r="M5" i="14"/>
  <c r="N5" i="14"/>
  <c r="O5" i="14"/>
  <c r="P5" i="14"/>
  <c r="Q5" i="14"/>
  <c r="R5" i="14"/>
  <c r="S5" i="14"/>
  <c r="B6" i="14"/>
  <c r="C6" i="14"/>
  <c r="D6" i="14"/>
  <c r="E6" i="14"/>
  <c r="F6" i="14"/>
  <c r="G6" i="14"/>
  <c r="H6" i="14"/>
  <c r="I6" i="14"/>
  <c r="J6" i="14"/>
  <c r="K6" i="14"/>
  <c r="L6" i="14"/>
  <c r="M6" i="14"/>
  <c r="N6" i="14"/>
  <c r="O6" i="14"/>
  <c r="P6" i="14"/>
  <c r="Q6" i="14"/>
  <c r="R6" i="14"/>
  <c r="S6" i="14"/>
  <c r="B7" i="14"/>
  <c r="C7" i="14"/>
  <c r="D7" i="14"/>
  <c r="E7" i="14"/>
  <c r="F7" i="14"/>
  <c r="G7" i="14"/>
  <c r="H7" i="14"/>
  <c r="I7" i="14"/>
  <c r="J7" i="14"/>
  <c r="K7" i="14"/>
  <c r="L7" i="14"/>
  <c r="M7" i="14"/>
  <c r="N7" i="14"/>
  <c r="O7" i="14"/>
  <c r="P7" i="14"/>
  <c r="Q7" i="14"/>
  <c r="R7" i="14"/>
  <c r="S7" i="14"/>
  <c r="B8" i="14"/>
  <c r="C8" i="14"/>
  <c r="D8" i="14"/>
  <c r="E8" i="14"/>
  <c r="F8" i="14"/>
  <c r="G8" i="14"/>
  <c r="H8" i="14"/>
  <c r="I8" i="14"/>
  <c r="J8" i="14"/>
  <c r="K8" i="14"/>
  <c r="L8" i="14"/>
  <c r="M8" i="14"/>
  <c r="N8" i="14"/>
  <c r="O8" i="14"/>
  <c r="P8" i="14"/>
  <c r="Q8" i="14"/>
  <c r="R8" i="14"/>
  <c r="S8" i="14"/>
  <c r="B9" i="14"/>
  <c r="C9" i="14"/>
  <c r="D9" i="14"/>
  <c r="E9" i="14"/>
  <c r="F9" i="14"/>
  <c r="G9" i="14"/>
  <c r="H9" i="14"/>
  <c r="I9" i="14"/>
  <c r="J9" i="14"/>
  <c r="K9" i="14"/>
  <c r="L9" i="14"/>
  <c r="M9" i="14"/>
  <c r="N9" i="14"/>
  <c r="O9" i="14"/>
  <c r="P9" i="14"/>
  <c r="Q9" i="14"/>
  <c r="R9" i="14"/>
  <c r="S9" i="14"/>
  <c r="B10" i="14"/>
  <c r="C10" i="14"/>
  <c r="D10" i="14"/>
  <c r="E10" i="14"/>
  <c r="F10" i="14"/>
  <c r="G10" i="14"/>
  <c r="H10" i="14"/>
  <c r="I10" i="14"/>
  <c r="J10" i="14"/>
  <c r="K10" i="14"/>
  <c r="L10" i="14"/>
  <c r="M10" i="14"/>
  <c r="N10" i="14"/>
  <c r="O10" i="14"/>
  <c r="P10" i="14"/>
  <c r="Q10" i="14"/>
  <c r="R10" i="14"/>
  <c r="S10" i="14"/>
  <c r="B11" i="14"/>
  <c r="C11" i="14"/>
  <c r="D11" i="14"/>
  <c r="E11" i="14"/>
  <c r="F11" i="14"/>
  <c r="G11" i="14"/>
  <c r="H11" i="14"/>
  <c r="I11" i="14"/>
  <c r="J11" i="14"/>
  <c r="K11" i="14"/>
  <c r="L11" i="14"/>
  <c r="M11" i="14"/>
  <c r="N11" i="14"/>
  <c r="O11" i="14"/>
  <c r="P11" i="14"/>
  <c r="Q11" i="14"/>
  <c r="R11" i="14"/>
  <c r="S11" i="14"/>
  <c r="B12" i="14"/>
  <c r="C12" i="14"/>
  <c r="D12" i="14"/>
  <c r="E12" i="14"/>
  <c r="F12" i="14"/>
  <c r="G12" i="14"/>
  <c r="H12" i="14"/>
  <c r="I12" i="14"/>
  <c r="J12" i="14"/>
  <c r="K12" i="14"/>
  <c r="L12" i="14"/>
  <c r="M12" i="14"/>
  <c r="N12" i="14"/>
  <c r="O12" i="14"/>
  <c r="P12" i="14"/>
  <c r="Q12" i="14"/>
  <c r="R12" i="14"/>
  <c r="S12" i="14"/>
  <c r="B13" i="14"/>
  <c r="C13" i="14"/>
  <c r="D13" i="14"/>
  <c r="E13" i="14"/>
  <c r="F13" i="14"/>
  <c r="G13" i="14"/>
  <c r="H13" i="14"/>
  <c r="I13" i="14"/>
  <c r="J13" i="14"/>
  <c r="K13" i="14"/>
  <c r="L13" i="14"/>
  <c r="M13" i="14"/>
  <c r="N13" i="14"/>
  <c r="O13" i="14"/>
  <c r="P13" i="14"/>
  <c r="Q13" i="14"/>
  <c r="R13" i="14"/>
  <c r="S13" i="14"/>
  <c r="B14" i="14"/>
  <c r="C14" i="14"/>
  <c r="D14" i="14"/>
  <c r="E14" i="14"/>
  <c r="F14" i="14"/>
  <c r="G14" i="14"/>
  <c r="H14" i="14"/>
  <c r="I14" i="14"/>
  <c r="J14" i="14"/>
  <c r="K14" i="14"/>
  <c r="L14" i="14"/>
  <c r="M14" i="14"/>
  <c r="N14" i="14"/>
  <c r="O14" i="14"/>
  <c r="P14" i="14"/>
  <c r="Q14" i="14"/>
  <c r="R14" i="14"/>
  <c r="S14" i="14"/>
  <c r="B15" i="14"/>
  <c r="C15" i="14"/>
  <c r="D15" i="14"/>
  <c r="E15" i="14"/>
  <c r="F15" i="14"/>
  <c r="G15" i="14"/>
  <c r="H15" i="14"/>
  <c r="I15" i="14"/>
  <c r="J15" i="14"/>
  <c r="K15" i="14"/>
  <c r="L15" i="14"/>
  <c r="M15" i="14"/>
  <c r="N15" i="14"/>
  <c r="O15" i="14"/>
  <c r="P15" i="14"/>
  <c r="Q15" i="14"/>
  <c r="R15" i="14"/>
  <c r="S15" i="14"/>
  <c r="B16" i="14"/>
  <c r="C16" i="14"/>
  <c r="D16" i="14"/>
  <c r="E16" i="14"/>
  <c r="F16" i="14"/>
  <c r="G16" i="14"/>
  <c r="H16" i="14"/>
  <c r="I16" i="14"/>
  <c r="J16" i="14"/>
  <c r="K16" i="14"/>
  <c r="L16" i="14"/>
  <c r="M16" i="14"/>
  <c r="N16" i="14"/>
  <c r="O16" i="14"/>
  <c r="P16" i="14"/>
  <c r="Q16" i="14"/>
  <c r="R16" i="14"/>
  <c r="S16" i="14"/>
  <c r="B17" i="14"/>
  <c r="C17" i="14"/>
  <c r="D17" i="14"/>
  <c r="E17" i="14"/>
  <c r="F17" i="14"/>
  <c r="G17" i="14"/>
  <c r="H17" i="14"/>
  <c r="I17" i="14"/>
  <c r="J17" i="14"/>
  <c r="K17" i="14"/>
  <c r="L17" i="14"/>
  <c r="M17" i="14"/>
  <c r="N17" i="14"/>
  <c r="O17" i="14"/>
  <c r="P17" i="14"/>
  <c r="Q17" i="14"/>
  <c r="R17" i="14"/>
  <c r="S17" i="14"/>
  <c r="B18" i="14"/>
  <c r="C18" i="14"/>
  <c r="D18" i="14"/>
  <c r="E18" i="14"/>
  <c r="F18" i="14"/>
  <c r="G18" i="14"/>
  <c r="H18" i="14"/>
  <c r="I18" i="14"/>
  <c r="J18" i="14"/>
  <c r="K18" i="14"/>
  <c r="L18" i="14"/>
  <c r="M18" i="14"/>
  <c r="N18" i="14"/>
  <c r="O18" i="14"/>
  <c r="P18" i="14"/>
  <c r="Q18" i="14"/>
  <c r="R18" i="14"/>
  <c r="S18" i="14"/>
  <c r="A14" i="14"/>
  <c r="A15" i="14"/>
  <c r="A16" i="14"/>
  <c r="A17" i="14"/>
  <c r="A18" i="14"/>
  <c r="A13" i="14"/>
  <c r="A2" i="14"/>
  <c r="A3" i="14"/>
  <c r="A4" i="14"/>
  <c r="A5" i="14"/>
  <c r="A6" i="14"/>
  <c r="A7" i="14"/>
  <c r="A8" i="14"/>
  <c r="A9" i="14"/>
  <c r="A10" i="14"/>
  <c r="A11" i="14"/>
  <c r="A12" i="14"/>
  <c r="A1" i="14"/>
  <c r="U19" i="13"/>
  <c r="U18" i="13"/>
  <c r="U17" i="13"/>
  <c r="U16" i="13"/>
  <c r="U15" i="13"/>
  <c r="U14" i="13"/>
  <c r="U13" i="13"/>
  <c r="U12" i="13"/>
  <c r="U11" i="13"/>
  <c r="U10" i="13"/>
  <c r="U9" i="13"/>
  <c r="U8" i="13"/>
  <c r="U7" i="13"/>
  <c r="U6" i="13"/>
  <c r="U5" i="13"/>
  <c r="U4" i="13"/>
  <c r="U3" i="13"/>
  <c r="U2" i="13"/>
  <c r="U1" i="13"/>
  <c r="T19" i="13"/>
  <c r="S19" i="13"/>
  <c r="R19" i="13"/>
  <c r="Q19" i="13"/>
  <c r="P19" i="13"/>
  <c r="O19" i="13"/>
  <c r="N19" i="13"/>
  <c r="M19" i="13"/>
  <c r="L19" i="13"/>
  <c r="K19" i="13"/>
  <c r="J19" i="13"/>
  <c r="I19" i="13"/>
  <c r="H19" i="13"/>
  <c r="G19" i="13"/>
  <c r="F19" i="13"/>
  <c r="E19" i="13"/>
  <c r="D19" i="13"/>
  <c r="C19" i="13"/>
  <c r="B19" i="13"/>
  <c r="T18" i="13"/>
  <c r="S18" i="13"/>
  <c r="R18" i="13"/>
  <c r="Q18" i="13"/>
  <c r="P18" i="13"/>
  <c r="O18" i="13"/>
  <c r="N18" i="13"/>
  <c r="M18" i="13"/>
  <c r="L18" i="13"/>
  <c r="K18" i="13"/>
  <c r="J18" i="13"/>
  <c r="I18" i="13"/>
  <c r="H18" i="13"/>
  <c r="G18" i="13"/>
  <c r="F18" i="13"/>
  <c r="E18" i="13"/>
  <c r="D18" i="13"/>
  <c r="C18" i="13"/>
  <c r="B18" i="13"/>
  <c r="T17" i="13"/>
  <c r="S17" i="13"/>
  <c r="R17" i="13"/>
  <c r="Q17" i="13"/>
  <c r="P17" i="13"/>
  <c r="O17" i="13"/>
  <c r="N17" i="13"/>
  <c r="M17" i="13"/>
  <c r="L17" i="13"/>
  <c r="K17" i="13"/>
  <c r="J17" i="13"/>
  <c r="I17" i="13"/>
  <c r="H17" i="13"/>
  <c r="G17" i="13"/>
  <c r="F17" i="13"/>
  <c r="E17" i="13"/>
  <c r="D17" i="13"/>
  <c r="C17" i="13"/>
  <c r="B17" i="13"/>
  <c r="T16" i="13"/>
  <c r="S16" i="13"/>
  <c r="R16" i="13"/>
  <c r="Q16" i="13"/>
  <c r="P16" i="13"/>
  <c r="O16" i="13"/>
  <c r="N16" i="13"/>
  <c r="M16" i="13"/>
  <c r="L16" i="13"/>
  <c r="K16" i="13"/>
  <c r="J16" i="13"/>
  <c r="I16" i="13"/>
  <c r="H16" i="13"/>
  <c r="G16" i="13"/>
  <c r="F16" i="13"/>
  <c r="E16" i="13"/>
  <c r="D16" i="13"/>
  <c r="C16" i="13"/>
  <c r="B16" i="13"/>
  <c r="T15" i="13"/>
  <c r="S15" i="13"/>
  <c r="R15" i="13"/>
  <c r="Q15" i="13"/>
  <c r="P15" i="13"/>
  <c r="O15" i="13"/>
  <c r="N15" i="13"/>
  <c r="M15" i="13"/>
  <c r="L15" i="13"/>
  <c r="K15" i="13"/>
  <c r="J15" i="13"/>
  <c r="I15" i="13"/>
  <c r="H15" i="13"/>
  <c r="G15" i="13"/>
  <c r="F15" i="13"/>
  <c r="E15" i="13"/>
  <c r="D15" i="13"/>
  <c r="C15" i="13"/>
  <c r="B15" i="13"/>
  <c r="T14" i="13"/>
  <c r="S14" i="13"/>
  <c r="R14" i="13"/>
  <c r="Q14" i="13"/>
  <c r="P14" i="13"/>
  <c r="O14" i="13"/>
  <c r="N14" i="13"/>
  <c r="M14" i="13"/>
  <c r="L14" i="13"/>
  <c r="K14" i="13"/>
  <c r="J14" i="13"/>
  <c r="I14" i="13"/>
  <c r="H14" i="13"/>
  <c r="G14" i="13"/>
  <c r="F14" i="13"/>
  <c r="E14" i="13"/>
  <c r="D14" i="13"/>
  <c r="C14" i="13"/>
  <c r="B14" i="13"/>
  <c r="T13" i="13"/>
  <c r="S13" i="13"/>
  <c r="R13" i="13"/>
  <c r="Q13" i="13"/>
  <c r="P13" i="13"/>
  <c r="O13" i="13"/>
  <c r="N13" i="13"/>
  <c r="M13" i="13"/>
  <c r="L13" i="13"/>
  <c r="K13" i="13"/>
  <c r="J13" i="13"/>
  <c r="I13" i="13"/>
  <c r="H13" i="13"/>
  <c r="G13" i="13"/>
  <c r="F13" i="13"/>
  <c r="E13" i="13"/>
  <c r="D13" i="13"/>
  <c r="C13" i="13"/>
  <c r="B13" i="13"/>
  <c r="T12" i="13"/>
  <c r="S12" i="13"/>
  <c r="R12" i="13"/>
  <c r="Q12" i="13"/>
  <c r="P12" i="13"/>
  <c r="O12" i="13"/>
  <c r="N12" i="13"/>
  <c r="M12" i="13"/>
  <c r="L12" i="13"/>
  <c r="K12" i="13"/>
  <c r="J12" i="13"/>
  <c r="I12" i="13"/>
  <c r="H12" i="13"/>
  <c r="G12" i="13"/>
  <c r="F12" i="13"/>
  <c r="E12" i="13"/>
  <c r="D12" i="13"/>
  <c r="C12" i="13"/>
  <c r="B12" i="13"/>
  <c r="T11" i="13"/>
  <c r="S11" i="13"/>
  <c r="R11" i="13"/>
  <c r="Q11" i="13"/>
  <c r="P11" i="13"/>
  <c r="O11" i="13"/>
  <c r="N11" i="13"/>
  <c r="M11" i="13"/>
  <c r="L11" i="13"/>
  <c r="K11" i="13"/>
  <c r="J11" i="13"/>
  <c r="I11" i="13"/>
  <c r="H11" i="13"/>
  <c r="G11" i="13"/>
  <c r="F11" i="13"/>
  <c r="E11" i="13"/>
  <c r="D11" i="13"/>
  <c r="C11" i="13"/>
  <c r="B11" i="13"/>
  <c r="T10" i="13"/>
  <c r="S10" i="13"/>
  <c r="R10" i="13"/>
  <c r="Q10" i="13"/>
  <c r="P10" i="13"/>
  <c r="O10" i="13"/>
  <c r="N10" i="13"/>
  <c r="M10" i="13"/>
  <c r="L10" i="13"/>
  <c r="K10" i="13"/>
  <c r="J10" i="13"/>
  <c r="I10" i="13"/>
  <c r="H10" i="13"/>
  <c r="G10" i="13"/>
  <c r="F10" i="13"/>
  <c r="E10" i="13"/>
  <c r="D10" i="13"/>
  <c r="C10" i="13"/>
  <c r="B10" i="13"/>
  <c r="T9" i="13"/>
  <c r="S9" i="13"/>
  <c r="R9" i="13"/>
  <c r="Q9" i="13"/>
  <c r="P9" i="13"/>
  <c r="O9" i="13"/>
  <c r="N9" i="13"/>
  <c r="M9" i="13"/>
  <c r="L9" i="13"/>
  <c r="K9" i="13"/>
  <c r="J9" i="13"/>
  <c r="I9" i="13"/>
  <c r="H9" i="13"/>
  <c r="G9" i="13"/>
  <c r="F9" i="13"/>
  <c r="E9" i="13"/>
  <c r="D9" i="13"/>
  <c r="C9" i="13"/>
  <c r="B9" i="13"/>
  <c r="T8" i="13"/>
  <c r="S8" i="13"/>
  <c r="R8" i="13"/>
  <c r="Q8" i="13"/>
  <c r="P8" i="13"/>
  <c r="O8" i="13"/>
  <c r="N8" i="13"/>
  <c r="M8" i="13"/>
  <c r="L8" i="13"/>
  <c r="K8" i="13"/>
  <c r="J8" i="13"/>
  <c r="I8" i="13"/>
  <c r="H8" i="13"/>
  <c r="G8" i="13"/>
  <c r="F8" i="13"/>
  <c r="E8" i="13"/>
  <c r="D8" i="13"/>
  <c r="C8" i="13"/>
  <c r="B8" i="13"/>
  <c r="T7" i="13"/>
  <c r="S7" i="13"/>
  <c r="R7" i="13"/>
  <c r="Q7" i="13"/>
  <c r="P7" i="13"/>
  <c r="O7" i="13"/>
  <c r="N7" i="13"/>
  <c r="M7" i="13"/>
  <c r="L7" i="13"/>
  <c r="K7" i="13"/>
  <c r="J7" i="13"/>
  <c r="I7" i="13"/>
  <c r="H7" i="13"/>
  <c r="G7" i="13"/>
  <c r="F7" i="13"/>
  <c r="E7" i="13"/>
  <c r="D7" i="13"/>
  <c r="C7" i="13"/>
  <c r="B7" i="13"/>
  <c r="T6" i="13"/>
  <c r="S6" i="13"/>
  <c r="R6" i="13"/>
  <c r="Q6" i="13"/>
  <c r="P6" i="13"/>
  <c r="O6" i="13"/>
  <c r="N6" i="13"/>
  <c r="M6" i="13"/>
  <c r="L6" i="13"/>
  <c r="K6" i="13"/>
  <c r="J6" i="13"/>
  <c r="I6" i="13"/>
  <c r="H6" i="13"/>
  <c r="G6" i="13"/>
  <c r="F6" i="13"/>
  <c r="E6" i="13"/>
  <c r="D6" i="13"/>
  <c r="C6" i="13"/>
  <c r="B6" i="13"/>
  <c r="T5" i="13"/>
  <c r="S5" i="13"/>
  <c r="R5" i="13"/>
  <c r="Q5" i="13"/>
  <c r="P5" i="13"/>
  <c r="O5" i="13"/>
  <c r="N5" i="13"/>
  <c r="M5" i="13"/>
  <c r="L5" i="13"/>
  <c r="K5" i="13"/>
  <c r="J5" i="13"/>
  <c r="I5" i="13"/>
  <c r="H5" i="13"/>
  <c r="G5" i="13"/>
  <c r="F5" i="13"/>
  <c r="E5" i="13"/>
  <c r="D5" i="13"/>
  <c r="C5" i="13"/>
  <c r="B5" i="13"/>
  <c r="T4" i="13"/>
  <c r="S4" i="13"/>
  <c r="R4" i="13"/>
  <c r="Q4" i="13"/>
  <c r="P4" i="13"/>
  <c r="O4" i="13"/>
  <c r="N4" i="13"/>
  <c r="M4" i="13"/>
  <c r="L4" i="13"/>
  <c r="K4" i="13"/>
  <c r="J4" i="13"/>
  <c r="I4" i="13"/>
  <c r="H4" i="13"/>
  <c r="G4" i="13"/>
  <c r="F4" i="13"/>
  <c r="E4" i="13"/>
  <c r="D4" i="13"/>
  <c r="C4" i="13"/>
  <c r="B4" i="13"/>
  <c r="T3" i="13"/>
  <c r="S3" i="13"/>
  <c r="R3" i="13"/>
  <c r="Q3" i="13"/>
  <c r="P3" i="13"/>
  <c r="O3" i="13"/>
  <c r="N3" i="13"/>
  <c r="M3" i="13"/>
  <c r="L3" i="13"/>
  <c r="K3" i="13"/>
  <c r="J3" i="13"/>
  <c r="I3" i="13"/>
  <c r="H3" i="13"/>
  <c r="G3" i="13"/>
  <c r="F3" i="13"/>
  <c r="E3" i="13"/>
  <c r="D3" i="13"/>
  <c r="C3" i="13"/>
  <c r="B3" i="13"/>
  <c r="H2" i="13"/>
  <c r="I2" i="13"/>
  <c r="J2" i="13"/>
  <c r="K2" i="13"/>
  <c r="L2" i="13"/>
  <c r="M2" i="13"/>
  <c r="N2" i="13"/>
  <c r="O2" i="13"/>
  <c r="P2" i="13"/>
  <c r="Q2" i="13"/>
  <c r="R2" i="13"/>
  <c r="S2" i="13"/>
  <c r="T2" i="13"/>
  <c r="A2" i="13"/>
  <c r="G2" i="13"/>
  <c r="E2" i="13"/>
  <c r="F2" i="13"/>
  <c r="D2" i="13"/>
  <c r="A3" i="13"/>
  <c r="T1" i="13"/>
  <c r="S1" i="13"/>
  <c r="R1" i="13"/>
  <c r="Q1" i="13"/>
  <c r="P1" i="13"/>
  <c r="O1" i="13"/>
  <c r="N1" i="13"/>
  <c r="M1" i="13"/>
  <c r="L1" i="13"/>
  <c r="K1" i="13"/>
  <c r="J1" i="13"/>
  <c r="I1" i="13"/>
  <c r="H1" i="13"/>
  <c r="G1" i="13"/>
  <c r="F1" i="13"/>
  <c r="E1" i="13"/>
  <c r="D1" i="13"/>
  <c r="C1" i="13"/>
  <c r="B1" i="13"/>
  <c r="A1" i="13"/>
  <c r="C2" i="13"/>
  <c r="A4" i="13"/>
  <c r="A5" i="13"/>
  <c r="A6" i="13"/>
  <c r="A7" i="13"/>
  <c r="A8" i="13"/>
  <c r="A9" i="13"/>
  <c r="A10" i="13"/>
  <c r="A11" i="13"/>
  <c r="A12" i="13"/>
  <c r="A13" i="13"/>
  <c r="A14" i="13"/>
  <c r="A15" i="13"/>
  <c r="A16" i="13"/>
  <c r="A17" i="13"/>
  <c r="A18" i="13"/>
  <c r="A19" i="13"/>
  <c r="B2" i="13"/>
  <c r="IZ9" i="7"/>
  <c r="JA9" i="7"/>
  <c r="JB9" i="7"/>
  <c r="JC9" i="7"/>
  <c r="JD9" i="7"/>
  <c r="JE9" i="7"/>
  <c r="JF9" i="7"/>
  <c r="JG9" i="7"/>
  <c r="JH9" i="7"/>
  <c r="JI9" i="7"/>
  <c r="JJ9" i="7"/>
  <c r="JK9" i="7"/>
  <c r="JL9" i="7"/>
  <c r="JM9" i="7"/>
  <c r="JN9" i="7"/>
  <c r="JO9" i="7"/>
  <c r="JP9" i="7"/>
  <c r="JQ9" i="7"/>
  <c r="JR9" i="7"/>
  <c r="JS9" i="7"/>
  <c r="JT9" i="7"/>
  <c r="JU9" i="7"/>
  <c r="JV9" i="7"/>
  <c r="JW9" i="7"/>
  <c r="JX9" i="7"/>
  <c r="JY9" i="7"/>
  <c r="JZ9" i="7"/>
  <c r="KA9" i="7"/>
  <c r="KB9" i="7"/>
  <c r="KC9" i="7"/>
  <c r="KD9" i="7"/>
  <c r="KE9" i="7"/>
  <c r="KF9" i="7"/>
  <c r="KG9" i="7"/>
  <c r="KH9" i="7"/>
  <c r="KI9" i="7"/>
  <c r="KJ9" i="7"/>
  <c r="KK9" i="7"/>
  <c r="KL9" i="7"/>
  <c r="KM9" i="7"/>
  <c r="KN9" i="7"/>
  <c r="KO9" i="7"/>
  <c r="KP9" i="7"/>
  <c r="KQ9" i="7"/>
  <c r="KR9" i="7"/>
  <c r="KS9" i="7"/>
  <c r="KT9" i="7"/>
  <c r="KU9" i="7"/>
  <c r="KV9" i="7"/>
  <c r="KW9" i="7"/>
  <c r="KX9" i="7"/>
  <c r="KY9" i="7"/>
  <c r="KZ9" i="7"/>
  <c r="LA9" i="7"/>
  <c r="LB9" i="7"/>
  <c r="LC9" i="7"/>
  <c r="LD9" i="7"/>
  <c r="LE9" i="7"/>
  <c r="LF9" i="7"/>
  <c r="LG9" i="7"/>
  <c r="LH9" i="7"/>
  <c r="LI9" i="7"/>
  <c r="LJ9" i="7"/>
  <c r="LK9" i="7"/>
  <c r="LL9" i="7"/>
  <c r="LM9" i="7"/>
  <c r="LN9" i="7"/>
  <c r="LO9" i="7"/>
  <c r="LP9" i="7"/>
  <c r="LQ9" i="7"/>
  <c r="LR9" i="7"/>
  <c r="LS9" i="7"/>
  <c r="LT9" i="7"/>
  <c r="LU9" i="7"/>
  <c r="LV9" i="7"/>
  <c r="IY9" i="7"/>
  <c r="IW9" i="7"/>
  <c r="IV9" i="7"/>
  <c r="IU9" i="7"/>
  <c r="IT9" i="7"/>
  <c r="IS9" i="7"/>
  <c r="IR9" i="7"/>
  <c r="IQ9" i="7"/>
  <c r="IP9" i="7"/>
  <c r="IO9" i="7"/>
  <c r="IN9" i="7"/>
  <c r="IM9" i="7"/>
  <c r="IL9" i="7"/>
  <c r="IK9" i="7"/>
  <c r="IJ9" i="7"/>
  <c r="II9" i="7"/>
  <c r="IH9" i="7"/>
  <c r="IG9" i="7"/>
  <c r="IF9" i="7"/>
  <c r="IE9" i="7"/>
  <c r="ID9" i="7"/>
  <c r="IC9" i="7"/>
  <c r="IB9" i="7"/>
  <c r="IA9" i="7"/>
  <c r="HZ9" i="7"/>
  <c r="HY9" i="7"/>
  <c r="HX9" i="7"/>
  <c r="HW9" i="7"/>
  <c r="HV9" i="7"/>
  <c r="HU9" i="7"/>
  <c r="HT9" i="7"/>
  <c r="HS9" i="7"/>
  <c r="HR9" i="7"/>
  <c r="HQ9" i="7"/>
  <c r="HP9" i="7"/>
  <c r="HO9" i="7"/>
  <c r="HN9" i="7"/>
  <c r="HM9" i="7"/>
  <c r="HL9" i="7"/>
  <c r="HK9" i="7"/>
  <c r="HJ9" i="7"/>
  <c r="HI9" i="7"/>
  <c r="HH9" i="7"/>
  <c r="HG9" i="7"/>
  <c r="HF9" i="7"/>
  <c r="HE9" i="7"/>
  <c r="HD9" i="7"/>
  <c r="HC9" i="7"/>
  <c r="HB9" i="7"/>
  <c r="HA9" i="7"/>
  <c r="GZ9" i="7"/>
  <c r="GY9" i="7"/>
  <c r="GX9" i="7"/>
  <c r="GW9" i="7"/>
  <c r="GV9" i="7"/>
  <c r="GU9" i="7"/>
  <c r="GT9" i="7"/>
  <c r="GS9" i="7"/>
  <c r="GR9" i="7"/>
  <c r="GQ9" i="7"/>
  <c r="GP9" i="7"/>
  <c r="GO9" i="7"/>
  <c r="GN9" i="7"/>
  <c r="GM9" i="7"/>
  <c r="GL9" i="7"/>
  <c r="GK9" i="7"/>
  <c r="GJ9" i="7"/>
  <c r="GI9" i="7"/>
  <c r="GH9" i="7"/>
  <c r="GG9" i="7"/>
  <c r="GF9" i="7"/>
  <c r="GE9" i="7"/>
  <c r="GD9" i="7"/>
  <c r="GC9" i="7"/>
  <c r="GB9" i="7"/>
  <c r="GA9" i="7"/>
  <c r="FZ9" i="7"/>
  <c r="FY9" i="7"/>
  <c r="FX9" i="7"/>
  <c r="FW9" i="7"/>
  <c r="FV9" i="7"/>
  <c r="FU9" i="7"/>
  <c r="FT9" i="7"/>
  <c r="FS9" i="7"/>
  <c r="FR9" i="7"/>
  <c r="FQ9" i="7"/>
  <c r="FP9" i="7"/>
  <c r="FO9" i="7"/>
  <c r="FN9" i="7"/>
  <c r="FM9" i="7"/>
  <c r="FL9" i="7"/>
  <c r="FK9" i="7"/>
  <c r="FJ9" i="7"/>
  <c r="FI9" i="7"/>
  <c r="FH9" i="7"/>
  <c r="FG9" i="7"/>
  <c r="FF9" i="7"/>
  <c r="FE9" i="7"/>
  <c r="FD9" i="7"/>
  <c r="FC9" i="7"/>
  <c r="FB9" i="7"/>
  <c r="FA9" i="7"/>
  <c r="EZ9" i="7"/>
  <c r="EY9" i="7"/>
  <c r="EX9" i="7"/>
  <c r="EW9" i="7"/>
  <c r="EV9" i="7"/>
  <c r="EU9" i="7"/>
  <c r="ET9" i="7"/>
  <c r="ES9" i="7"/>
  <c r="ER9" i="7"/>
  <c r="EQ9" i="7"/>
  <c r="EP9" i="7"/>
  <c r="EO9" i="7"/>
  <c r="EN9" i="7"/>
  <c r="EM9" i="7"/>
  <c r="EL9" i="7"/>
  <c r="EK9" i="7"/>
  <c r="EJ9" i="7"/>
  <c r="EI9" i="7"/>
  <c r="EH9" i="7"/>
  <c r="EG9" i="7"/>
  <c r="EF9" i="7"/>
  <c r="IX9" i="7"/>
  <c r="X9" i="7"/>
  <c r="Y9" i="7"/>
  <c r="Z9" i="7"/>
  <c r="AA9" i="7"/>
  <c r="AB9" i="7"/>
  <c r="AC9" i="7"/>
  <c r="AD9" i="7"/>
  <c r="AE9" i="7"/>
  <c r="AF9" i="7"/>
  <c r="AG9" i="7"/>
  <c r="AH9" i="7"/>
  <c r="AI9" i="7"/>
  <c r="AJ9" i="7"/>
  <c r="AK9" i="7"/>
  <c r="AL9" i="7"/>
  <c r="AM9" i="7"/>
  <c r="AN9" i="7"/>
  <c r="AO9" i="7"/>
  <c r="AP9" i="7"/>
  <c r="AQ9" i="7"/>
  <c r="AR9" i="7"/>
  <c r="AS9" i="7"/>
  <c r="AT9" i="7"/>
  <c r="AU9" i="7"/>
  <c r="AV9" i="7"/>
  <c r="AW9" i="7"/>
  <c r="AX9" i="7"/>
  <c r="AY9" i="7"/>
  <c r="AZ9" i="7"/>
  <c r="BA9" i="7"/>
  <c r="BB9" i="7"/>
  <c r="BC9" i="7"/>
  <c r="BD9" i="7"/>
  <c r="BE9" i="7"/>
  <c r="BF9" i="7"/>
  <c r="BG9" i="7"/>
  <c r="BH9" i="7"/>
  <c r="BI9" i="7"/>
  <c r="BJ9" i="7"/>
  <c r="BK9" i="7"/>
  <c r="BL9" i="7"/>
  <c r="BM9" i="7"/>
  <c r="BN9" i="7"/>
  <c r="BO9" i="7"/>
  <c r="BP9" i="7"/>
  <c r="BQ9" i="7"/>
  <c r="BR9" i="7"/>
  <c r="BS9" i="7"/>
  <c r="BT9" i="7"/>
  <c r="BU9" i="7"/>
  <c r="BV9" i="7"/>
  <c r="BW9" i="7"/>
  <c r="BX9" i="7"/>
  <c r="BY9" i="7"/>
  <c r="BZ9" i="7"/>
  <c r="CA9" i="7"/>
  <c r="CB9" i="7"/>
  <c r="CC9" i="7"/>
  <c r="CD9" i="7"/>
  <c r="CE9" i="7"/>
  <c r="CF9" i="7"/>
  <c r="CG9" i="7"/>
  <c r="CH9" i="7"/>
  <c r="CI9" i="7"/>
  <c r="CJ9" i="7"/>
  <c r="CK9" i="7"/>
  <c r="CL9" i="7"/>
  <c r="CM9" i="7"/>
  <c r="CN9" i="7"/>
  <c r="CO9" i="7"/>
  <c r="CP9" i="7"/>
  <c r="CQ9" i="7"/>
  <c r="CR9" i="7"/>
  <c r="CS9" i="7"/>
  <c r="CT9" i="7"/>
  <c r="CU9" i="7"/>
  <c r="CV9" i="7"/>
  <c r="CW9" i="7"/>
  <c r="CX9" i="7"/>
  <c r="CY9" i="7"/>
  <c r="CZ9" i="7"/>
  <c r="DA9" i="7"/>
  <c r="DB9" i="7"/>
  <c r="DC9" i="7"/>
  <c r="DD9" i="7"/>
  <c r="DE9" i="7"/>
  <c r="DF9" i="7"/>
  <c r="DG9" i="7"/>
  <c r="DH9" i="7"/>
  <c r="DI9" i="7"/>
  <c r="DJ9" i="7"/>
  <c r="DK9" i="7"/>
  <c r="DL9" i="7"/>
  <c r="DM9" i="7"/>
  <c r="DN9" i="7"/>
  <c r="DO9" i="7"/>
  <c r="DP9" i="7"/>
  <c r="DQ9" i="7"/>
  <c r="DR9" i="7"/>
  <c r="DS9" i="7"/>
  <c r="DT9" i="7"/>
  <c r="DU9" i="7"/>
  <c r="DV9" i="7"/>
  <c r="DW9" i="7"/>
  <c r="DX9" i="7"/>
  <c r="DY9" i="7"/>
  <c r="DZ9" i="7"/>
  <c r="EA9" i="7"/>
  <c r="EB9" i="7"/>
  <c r="EC9" i="7"/>
  <c r="ED9" i="7"/>
  <c r="EE9" i="7"/>
  <c r="W9" i="7"/>
  <c r="B9" i="7"/>
  <c r="C9" i="7"/>
  <c r="D9" i="7"/>
  <c r="E9" i="7"/>
  <c r="F9" i="7"/>
  <c r="G9" i="7"/>
  <c r="H9" i="7"/>
  <c r="I9" i="7"/>
  <c r="J9" i="7"/>
  <c r="K9" i="7"/>
  <c r="L9" i="7"/>
  <c r="M9" i="7"/>
  <c r="N9" i="7"/>
  <c r="O9" i="7"/>
  <c r="P9" i="7"/>
  <c r="Q9" i="7"/>
  <c r="R9" i="7"/>
  <c r="S9" i="7"/>
  <c r="T9" i="7"/>
  <c r="U9" i="7"/>
  <c r="V9" i="7"/>
  <c r="A9" i="7"/>
  <c r="PJ3" i="7"/>
  <c r="PI3" i="7"/>
  <c r="PH3" i="7"/>
  <c r="PG3" i="7"/>
  <c r="PF3" i="7"/>
  <c r="PE3" i="7"/>
  <c r="PD3" i="7"/>
  <c r="PC3" i="7"/>
  <c r="PB3" i="7"/>
  <c r="PA3" i="7"/>
  <c r="NF3" i="7"/>
  <c r="NE3" i="7"/>
  <c r="OR6" i="7"/>
  <c r="OS6" i="7"/>
  <c r="OT6" i="7"/>
  <c r="OU6" i="7"/>
  <c r="OV6" i="7"/>
  <c r="OW6" i="7"/>
  <c r="OX6" i="7"/>
  <c r="OY6" i="7"/>
  <c r="OZ6" i="7"/>
  <c r="OQ6" i="7"/>
  <c r="OP6" i="7"/>
  <c r="OJ6" i="7"/>
  <c r="OK6" i="7"/>
  <c r="OL6" i="7"/>
  <c r="OM6" i="7"/>
  <c r="ON6" i="7"/>
  <c r="OO6" i="7"/>
  <c r="OI6" i="7"/>
  <c r="NP6" i="7"/>
  <c r="NQ6" i="7"/>
  <c r="NR6" i="7"/>
  <c r="NS6" i="7"/>
  <c r="NT6" i="7"/>
  <c r="NU6" i="7"/>
  <c r="NV6" i="7"/>
  <c r="NW6" i="7"/>
  <c r="NX6" i="7"/>
  <c r="NY6" i="7"/>
  <c r="NZ6" i="7"/>
  <c r="OA6" i="7"/>
  <c r="OB6" i="7"/>
  <c r="OC6" i="7"/>
  <c r="OD6" i="7"/>
  <c r="OE6" i="7"/>
  <c r="OF6" i="7"/>
  <c r="OG6" i="7"/>
  <c r="OH6" i="7"/>
  <c r="NO6" i="7"/>
  <c r="OZ3" i="7"/>
  <c r="OR3" i="7"/>
  <c r="OS3" i="7"/>
  <c r="OT3" i="7"/>
  <c r="OU3" i="7"/>
  <c r="OV3" i="7"/>
  <c r="OW3" i="7"/>
  <c r="OX3" i="7"/>
  <c r="OY3" i="7"/>
  <c r="OQ3" i="7"/>
  <c r="OP3" i="7"/>
  <c r="OJ3" i="7"/>
  <c r="OK3" i="7"/>
  <c r="OL3" i="7"/>
  <c r="OM3" i="7"/>
  <c r="ON3" i="7"/>
  <c r="OO3" i="7"/>
  <c r="OI3" i="7"/>
  <c r="NP3" i="7"/>
  <c r="NR3" i="7"/>
  <c r="NS3" i="7"/>
  <c r="NT3" i="7"/>
  <c r="NU3" i="7"/>
  <c r="NV3" i="7"/>
  <c r="NW3" i="7"/>
  <c r="NX3" i="7"/>
  <c r="NY3" i="7"/>
  <c r="NZ3" i="7"/>
  <c r="OA3" i="7"/>
  <c r="OB3" i="7"/>
  <c r="OC3" i="7"/>
  <c r="OD3" i="7"/>
  <c r="NO3" i="7"/>
  <c r="HM3" i="7"/>
  <c r="OE3" i="7"/>
  <c r="OF3" i="7"/>
  <c r="OG3" i="7"/>
  <c r="OH3" i="7"/>
  <c r="IZ6" i="7"/>
  <c r="JA6" i="7"/>
  <c r="JB6" i="7"/>
  <c r="JC6" i="7"/>
  <c r="JI6" i="7"/>
  <c r="JK6" i="7"/>
  <c r="JM6" i="7"/>
  <c r="JP6" i="7"/>
  <c r="JQ6" i="7"/>
  <c r="JR6" i="7"/>
  <c r="JS6" i="7"/>
  <c r="JT6" i="7"/>
  <c r="JU6" i="7"/>
  <c r="JV6" i="7"/>
  <c r="JW6" i="7"/>
  <c r="JX6" i="7"/>
  <c r="JY6" i="7"/>
  <c r="JZ6" i="7"/>
  <c r="KA6" i="7"/>
  <c r="KB6" i="7"/>
  <c r="KC6" i="7"/>
  <c r="KD6" i="7"/>
  <c r="KE6" i="7"/>
  <c r="KF6" i="7"/>
  <c r="KG6" i="7"/>
  <c r="KH6" i="7"/>
  <c r="KI6" i="7"/>
  <c r="KJ6" i="7"/>
  <c r="KK6" i="7"/>
  <c r="KL6" i="7"/>
  <c r="KM6" i="7"/>
  <c r="KN6" i="7"/>
  <c r="KO6" i="7"/>
  <c r="KP6" i="7"/>
  <c r="KQ6" i="7"/>
  <c r="KR6" i="7"/>
  <c r="KS6" i="7"/>
  <c r="KT6" i="7"/>
  <c r="KU6" i="7"/>
  <c r="KV6" i="7"/>
  <c r="KW6" i="7"/>
  <c r="KX6" i="7"/>
  <c r="KY6" i="7"/>
  <c r="KZ6" i="7"/>
  <c r="LA6" i="7"/>
  <c r="LB6" i="7"/>
  <c r="LC6" i="7"/>
  <c r="LD6" i="7"/>
  <c r="LE6" i="7"/>
  <c r="LF6" i="7"/>
  <c r="LG6" i="7"/>
  <c r="LH6" i="7"/>
  <c r="LI6" i="7"/>
  <c r="LJ6" i="7"/>
  <c r="LK6" i="7"/>
  <c r="LL6" i="7"/>
  <c r="LM6" i="7"/>
  <c r="LN6" i="7"/>
  <c r="LO6" i="7"/>
  <c r="LP6" i="7"/>
  <c r="LQ6" i="7"/>
  <c r="LR6" i="7"/>
  <c r="LS6" i="7"/>
  <c r="LT6" i="7"/>
  <c r="LU6" i="7"/>
  <c r="LV6" i="7"/>
  <c r="IY6" i="7"/>
  <c r="EG6" i="7"/>
  <c r="EH6" i="7"/>
  <c r="EI6" i="7"/>
  <c r="EJ6" i="7"/>
  <c r="EK6" i="7"/>
  <c r="EL6" i="7"/>
  <c r="EN6" i="7"/>
  <c r="ET6" i="7"/>
  <c r="EV6" i="7"/>
  <c r="EX6" i="7"/>
  <c r="EY6" i="7"/>
  <c r="EZ6" i="7"/>
  <c r="FB6" i="7"/>
  <c r="FE6" i="7"/>
  <c r="FF6" i="7"/>
  <c r="FG6" i="7"/>
  <c r="FH6" i="7"/>
  <c r="FI6" i="7"/>
  <c r="FJ6" i="7"/>
  <c r="FK6" i="7"/>
  <c r="FL6" i="7"/>
  <c r="FM6" i="7"/>
  <c r="FN6" i="7"/>
  <c r="FO6" i="7"/>
  <c r="FP6" i="7"/>
  <c r="FQ6" i="7"/>
  <c r="FR6" i="7"/>
  <c r="FT6" i="7"/>
  <c r="FU6" i="7"/>
  <c r="FV6" i="7"/>
  <c r="FW6" i="7"/>
  <c r="FX6" i="7"/>
  <c r="FY6" i="7"/>
  <c r="FZ6" i="7"/>
  <c r="GA6" i="7"/>
  <c r="GB6" i="7"/>
  <c r="GC6" i="7"/>
  <c r="GD6" i="7"/>
  <c r="GE6" i="7"/>
  <c r="GF6" i="7"/>
  <c r="GG6" i="7"/>
  <c r="GH6" i="7"/>
  <c r="GI6" i="7"/>
  <c r="GJ6" i="7"/>
  <c r="GK6" i="7"/>
  <c r="GL6" i="7"/>
  <c r="GM6" i="7"/>
  <c r="GN6" i="7"/>
  <c r="GO6" i="7"/>
  <c r="GP6" i="7"/>
  <c r="GQ6" i="7"/>
  <c r="GT6" i="7"/>
  <c r="GX6" i="7"/>
  <c r="GY6" i="7"/>
  <c r="GZ6" i="7"/>
  <c r="HA6" i="7"/>
  <c r="HB6" i="7"/>
  <c r="HC6" i="7"/>
  <c r="HD6" i="7"/>
  <c r="HE6" i="7"/>
  <c r="HF6" i="7"/>
  <c r="HG6" i="7"/>
  <c r="HH6" i="7"/>
  <c r="HI6" i="7"/>
  <c r="HJ6" i="7"/>
  <c r="HK6" i="7"/>
  <c r="HL6" i="7"/>
  <c r="HM6" i="7"/>
  <c r="HN6" i="7"/>
  <c r="HO6" i="7"/>
  <c r="HP6" i="7"/>
  <c r="HQ6" i="7"/>
  <c r="HR6" i="7"/>
  <c r="HS6" i="7"/>
  <c r="HT6" i="7"/>
  <c r="HU6" i="7"/>
  <c r="HV6" i="7"/>
  <c r="HW6" i="7"/>
  <c r="HX6" i="7"/>
  <c r="HY6" i="7"/>
  <c r="HZ6" i="7"/>
  <c r="IA6" i="7"/>
  <c r="IB6" i="7"/>
  <c r="IC6" i="7"/>
  <c r="ID6" i="7"/>
  <c r="IE6" i="7"/>
  <c r="IF6" i="7"/>
  <c r="IG6" i="7"/>
  <c r="IH6" i="7"/>
  <c r="II6" i="7"/>
  <c r="IJ6" i="7"/>
  <c r="IK6" i="7"/>
  <c r="IL6" i="7"/>
  <c r="IM6" i="7"/>
  <c r="IN6" i="7"/>
  <c r="IO6" i="7"/>
  <c r="IP6" i="7"/>
  <c r="IQ6" i="7"/>
  <c r="IR6" i="7"/>
  <c r="IS6" i="7"/>
  <c r="IT6" i="7"/>
  <c r="IU6" i="7"/>
  <c r="IV6" i="7"/>
  <c r="IW6" i="7"/>
  <c r="IX6" i="7"/>
  <c r="EF6" i="7"/>
  <c r="X6" i="7"/>
  <c r="Y6" i="7"/>
  <c r="Z6" i="7"/>
  <c r="AA6" i="7"/>
  <c r="AB6" i="7"/>
  <c r="AC6" i="7"/>
  <c r="AD6" i="7"/>
  <c r="AF6" i="7"/>
  <c r="AG6" i="7"/>
  <c r="AI6" i="7"/>
  <c r="AO6" i="7"/>
  <c r="AQ6" i="7"/>
  <c r="AS6" i="7"/>
  <c r="AT6" i="7"/>
  <c r="AV6" i="7"/>
  <c r="AX6" i="7"/>
  <c r="BA6" i="7"/>
  <c r="BB6" i="7"/>
  <c r="BG6" i="7"/>
  <c r="BH6" i="7"/>
  <c r="BK6" i="7"/>
  <c r="BL6" i="7"/>
  <c r="BO6" i="7"/>
  <c r="BP6" i="7"/>
  <c r="BQ6" i="7"/>
  <c r="BR6" i="7"/>
  <c r="BS6" i="7"/>
  <c r="BT6" i="7"/>
  <c r="BU6" i="7"/>
  <c r="BV6" i="7"/>
  <c r="BW6" i="7"/>
  <c r="BX6" i="7"/>
  <c r="BY6" i="7"/>
  <c r="BZ6" i="7"/>
  <c r="CA6" i="7"/>
  <c r="CB6" i="7"/>
  <c r="CC6" i="7"/>
  <c r="CD6" i="7"/>
  <c r="CE6" i="7"/>
  <c r="CG6" i="7"/>
  <c r="CH6" i="7"/>
  <c r="CI6" i="7"/>
  <c r="CJ6" i="7"/>
  <c r="CK6" i="7"/>
  <c r="CL6" i="7"/>
  <c r="CM6" i="7"/>
  <c r="CN6" i="7"/>
  <c r="CO6" i="7"/>
  <c r="CP6" i="7"/>
  <c r="CQ6" i="7"/>
  <c r="CR6" i="7"/>
  <c r="CS6" i="7"/>
  <c r="CX6" i="7"/>
  <c r="CY6" i="7"/>
  <c r="CZ6" i="7"/>
  <c r="DA6" i="7"/>
  <c r="DB6" i="7"/>
  <c r="DC6" i="7"/>
  <c r="DD6" i="7"/>
  <c r="DE6" i="7"/>
  <c r="DF6" i="7"/>
  <c r="DG6" i="7"/>
  <c r="DH6" i="7"/>
  <c r="DI6" i="7"/>
  <c r="DJ6" i="7"/>
  <c r="DK6" i="7"/>
  <c r="DL6" i="7"/>
  <c r="DM6" i="7"/>
  <c r="DN6" i="7"/>
  <c r="DO6" i="7"/>
  <c r="DP6" i="7"/>
  <c r="DQ6" i="7"/>
  <c r="DR6" i="7"/>
  <c r="DS6" i="7"/>
  <c r="DT6" i="7"/>
  <c r="DU6" i="7"/>
  <c r="DV6" i="7"/>
  <c r="DW6" i="7"/>
  <c r="DX6" i="7"/>
  <c r="DY6" i="7"/>
  <c r="DZ6" i="7"/>
  <c r="EA6" i="7"/>
  <c r="EB6" i="7"/>
  <c r="EC6" i="7"/>
  <c r="ED6" i="7"/>
  <c r="EE6" i="7"/>
  <c r="W6" i="7"/>
  <c r="B6" i="7"/>
  <c r="C6" i="7"/>
  <c r="D6" i="7"/>
  <c r="E6" i="7"/>
  <c r="F6" i="7"/>
  <c r="G6" i="7"/>
  <c r="H6" i="7"/>
  <c r="I6" i="7"/>
  <c r="J6" i="7"/>
  <c r="K6" i="7"/>
  <c r="L6" i="7"/>
  <c r="M6" i="7"/>
  <c r="N6" i="7"/>
  <c r="O6" i="7"/>
  <c r="P6" i="7"/>
  <c r="Q6" i="7"/>
  <c r="R6" i="7"/>
  <c r="S6" i="7"/>
  <c r="T6" i="7"/>
  <c r="U6" i="7"/>
  <c r="V6" i="7"/>
  <c r="A6" i="7"/>
  <c r="IZ3" i="7"/>
  <c r="JA3" i="7"/>
  <c r="JC3" i="7"/>
  <c r="JI3" i="7"/>
  <c r="JK3" i="7"/>
  <c r="JM3" i="7"/>
  <c r="JP3" i="7"/>
  <c r="JQ3" i="7"/>
  <c r="JR3" i="7"/>
  <c r="JS3" i="7"/>
  <c r="JT3" i="7"/>
  <c r="JU3" i="7"/>
  <c r="JV3" i="7"/>
  <c r="JW3" i="7"/>
  <c r="JX3" i="7"/>
  <c r="JY3" i="7"/>
  <c r="JZ3" i="7"/>
  <c r="KA3" i="7"/>
  <c r="KB3" i="7"/>
  <c r="KC3" i="7"/>
  <c r="KD3" i="7"/>
  <c r="KE3" i="7"/>
  <c r="KF3" i="7"/>
  <c r="KH3" i="7"/>
  <c r="KI3" i="7"/>
  <c r="KK3" i="7"/>
  <c r="KL3" i="7"/>
  <c r="KN3" i="7"/>
  <c r="KO3" i="7"/>
  <c r="KP3" i="7"/>
  <c r="KQ3" i="7"/>
  <c r="KR3" i="7"/>
  <c r="KS3" i="7"/>
  <c r="KT3" i="7"/>
  <c r="KW3" i="7"/>
  <c r="KX3" i="7"/>
  <c r="KY3" i="7"/>
  <c r="KZ3" i="7"/>
  <c r="LA3" i="7"/>
  <c r="LD3" i="7"/>
  <c r="LE3" i="7"/>
  <c r="LK3" i="7"/>
  <c r="LL3" i="7"/>
  <c r="LM3" i="7"/>
  <c r="LO3" i="7"/>
  <c r="LP3" i="7"/>
  <c r="LQ3" i="7"/>
  <c r="LS3" i="7"/>
  <c r="LT3" i="7"/>
  <c r="LV3" i="7"/>
  <c r="N38" i="15" l="1"/>
  <c r="G17" i="15"/>
  <c r="G36" i="15"/>
  <c r="G38" i="15"/>
  <c r="O17" i="15"/>
  <c r="J38" i="15"/>
  <c r="O36" i="15"/>
  <c r="D38" i="15"/>
  <c r="I38" i="15"/>
  <c r="O38" i="15" s="1"/>
  <c r="J12" i="1"/>
  <c r="NQ3" i="7" s="1"/>
  <c r="L38" i="15" l="1"/>
  <c r="EH3" i="7"/>
  <c r="EI3" i="7"/>
  <c r="EN3" i="7"/>
  <c r="ET3" i="7"/>
  <c r="EV3" i="7"/>
  <c r="EX3" i="7"/>
  <c r="EY3" i="7"/>
  <c r="EZ3" i="7"/>
  <c r="FB3" i="7"/>
  <c r="FE3" i="7"/>
  <c r="FF3" i="7"/>
  <c r="FR3" i="7"/>
  <c r="FU3" i="7"/>
  <c r="FW3" i="7"/>
  <c r="FX3" i="7"/>
  <c r="FY3" i="7"/>
  <c r="FZ3" i="7"/>
  <c r="GB3" i="7"/>
  <c r="GC3" i="7"/>
  <c r="GD3" i="7"/>
  <c r="GE3" i="7"/>
  <c r="GF3" i="7"/>
  <c r="GG3" i="7"/>
  <c r="GH3" i="7"/>
  <c r="GI3" i="7"/>
  <c r="GJ3" i="7"/>
  <c r="GK3" i="7"/>
  <c r="GL3" i="7"/>
  <c r="GM3" i="7"/>
  <c r="GN3" i="7"/>
  <c r="GO3" i="7"/>
  <c r="GP3" i="7"/>
  <c r="GQ3" i="7"/>
  <c r="GT3" i="7"/>
  <c r="GX3" i="7"/>
  <c r="GY3" i="7"/>
  <c r="GZ3" i="7"/>
  <c r="HA3" i="7"/>
  <c r="HB3" i="7"/>
  <c r="HC3" i="7"/>
  <c r="HD3" i="7"/>
  <c r="HG3" i="7"/>
  <c r="HH3" i="7"/>
  <c r="HI3" i="7"/>
  <c r="HJ3" i="7"/>
  <c r="HL3" i="7"/>
  <c r="HN3" i="7"/>
  <c r="HO3" i="7"/>
  <c r="HQ3" i="7"/>
  <c r="HR3" i="7"/>
  <c r="HS3" i="7"/>
  <c r="HV3" i="7"/>
  <c r="HW3" i="7"/>
  <c r="HX3" i="7"/>
  <c r="HY3" i="7"/>
  <c r="HZ3" i="7"/>
  <c r="IA3" i="7"/>
  <c r="IB3" i="7"/>
  <c r="IE3" i="7"/>
  <c r="IF3" i="7"/>
  <c r="IL3" i="7"/>
  <c r="IM3" i="7"/>
  <c r="IN3" i="7"/>
  <c r="IP3" i="7"/>
  <c r="IQ3" i="7"/>
  <c r="IR3" i="7"/>
  <c r="IT3" i="7"/>
  <c r="IU3" i="7"/>
  <c r="IV3" i="7"/>
  <c r="IX3" i="7"/>
  <c r="J109" i="1"/>
  <c r="ED3" i="7" s="1"/>
  <c r="CX3" i="7"/>
  <c r="CY3" i="7"/>
  <c r="CZ3" i="7"/>
  <c r="DC3" i="7"/>
  <c r="DD3" i="7"/>
  <c r="DE3" i="7"/>
  <c r="DF3" i="7"/>
  <c r="DG3" i="7"/>
  <c r="DH3" i="7"/>
  <c r="DI3" i="7"/>
  <c r="DL3" i="7"/>
  <c r="DM3" i="7"/>
  <c r="DS3" i="7"/>
  <c r="DT3" i="7"/>
  <c r="DU3" i="7"/>
  <c r="DW3" i="7"/>
  <c r="DX3" i="7"/>
  <c r="DY3" i="7"/>
  <c r="EA3" i="7"/>
  <c r="EB3" i="7"/>
  <c r="EC3" i="7"/>
  <c r="EE3" i="7"/>
  <c r="Y3" i="7"/>
  <c r="Z3" i="7"/>
  <c r="AB3" i="7"/>
  <c r="AC3" i="7"/>
  <c r="AD3" i="7"/>
  <c r="AF3" i="7"/>
  <c r="AI3" i="7"/>
  <c r="AO3" i="7"/>
  <c r="AQ3" i="7"/>
  <c r="AS3" i="7"/>
  <c r="AT3" i="7"/>
  <c r="AV3" i="7"/>
  <c r="AX3" i="7"/>
  <c r="BA3" i="7"/>
  <c r="BB3" i="7"/>
  <c r="BG3" i="7"/>
  <c r="BK3" i="7"/>
  <c r="BQ3" i="7"/>
  <c r="BS3" i="7"/>
  <c r="BT3" i="7"/>
  <c r="BV3" i="7"/>
  <c r="BW3" i="7"/>
  <c r="BY3" i="7"/>
  <c r="BZ3" i="7"/>
  <c r="CA3" i="7"/>
  <c r="CB3" i="7"/>
  <c r="CC3" i="7"/>
  <c r="CD3" i="7"/>
  <c r="CH3" i="7"/>
  <c r="CK3" i="7"/>
  <c r="CN3" i="7"/>
  <c r="CO3" i="7"/>
  <c r="CP3" i="7"/>
  <c r="CQ3" i="7"/>
  <c r="CR3" i="7"/>
  <c r="CS3" i="7"/>
  <c r="W3" i="7"/>
  <c r="G3" i="7"/>
  <c r="H3" i="7"/>
  <c r="I3" i="7"/>
  <c r="J3" i="7"/>
  <c r="K3" i="7"/>
  <c r="L3" i="7"/>
  <c r="M3" i="7"/>
  <c r="N3" i="7"/>
  <c r="O3" i="7"/>
  <c r="P3" i="7"/>
  <c r="Q3" i="7"/>
  <c r="R3" i="7"/>
  <c r="S3" i="7"/>
  <c r="T3" i="7"/>
  <c r="U3" i="7"/>
  <c r="V3" i="7"/>
  <c r="C3" i="7"/>
  <c r="D3" i="7"/>
  <c r="Q3" i="11" l="1"/>
  <c r="Q4" i="11"/>
  <c r="Q5" i="11"/>
  <c r="Q6" i="11"/>
  <c r="Q7" i="11"/>
  <c r="Q8" i="11"/>
  <c r="Q9" i="11"/>
  <c r="Q10" i="11"/>
  <c r="Q11" i="11"/>
  <c r="Q14" i="11"/>
  <c r="Q15" i="11"/>
  <c r="Q16" i="11"/>
  <c r="Q17" i="11"/>
  <c r="Q18" i="11"/>
  <c r="Q19" i="11"/>
  <c r="Q20" i="11"/>
  <c r="Q21" i="11"/>
  <c r="Q22" i="11"/>
  <c r="Q23" i="11"/>
  <c r="Q24" i="11"/>
  <c r="Q25" i="11"/>
  <c r="Q26" i="11"/>
  <c r="Q27" i="11"/>
  <c r="Q30" i="11"/>
  <c r="Q31" i="11"/>
  <c r="Q32" i="11"/>
  <c r="Q33" i="11"/>
  <c r="Q34" i="11"/>
  <c r="Q35" i="11"/>
  <c r="Q36" i="11"/>
  <c r="Q37" i="11"/>
  <c r="Q38" i="11"/>
  <c r="Q39" i="11"/>
  <c r="Q40" i="11"/>
  <c r="Q41" i="11"/>
  <c r="Q42" i="11"/>
  <c r="Q43" i="11"/>
  <c r="Q44" i="11"/>
  <c r="Q45" i="11"/>
  <c r="Q46" i="11"/>
  <c r="Q47" i="11"/>
  <c r="Q48" i="11"/>
  <c r="Q49" i="11"/>
  <c r="Q50" i="11"/>
  <c r="Q51" i="11"/>
  <c r="Q2" i="11"/>
  <c r="FQ3" i="7"/>
  <c r="H23" i="12"/>
  <c r="FP3" i="7" s="1"/>
  <c r="H22" i="12"/>
  <c r="FO3" i="7" s="1"/>
  <c r="H21" i="12"/>
  <c r="FN3" i="7" s="1"/>
  <c r="H19" i="12"/>
  <c r="FL3" i="7" s="1"/>
  <c r="H20" i="12"/>
  <c r="FM3" i="7" s="1"/>
  <c r="FT3" i="7"/>
  <c r="H31" i="12"/>
  <c r="H30" i="12"/>
  <c r="H29" i="12"/>
  <c r="H28" i="12"/>
  <c r="H27" i="12"/>
  <c r="FI3" i="7"/>
  <c r="H14" i="12"/>
  <c r="EK3" i="7" s="1"/>
  <c r="H13" i="12"/>
  <c r="EL3" i="7" s="1"/>
  <c r="H12" i="12"/>
  <c r="FH3" i="7" s="1"/>
  <c r="H11" i="12"/>
  <c r="FG3" i="7" s="1"/>
  <c r="O75" i="1"/>
  <c r="CG3" i="7"/>
  <c r="BP3" i="7"/>
  <c r="BO3" i="7"/>
  <c r="BL3" i="7"/>
  <c r="J50" i="1" l="1"/>
  <c r="BH3" i="7"/>
  <c r="J17" i="1"/>
  <c r="X3" i="7" s="1"/>
  <c r="H10" i="4"/>
  <c r="E3" i="7" s="1"/>
  <c r="H119" i="12"/>
  <c r="IO3" i="7" s="1"/>
  <c r="H115" i="12"/>
  <c r="IK3" i="7" s="1"/>
  <c r="H107" i="12"/>
  <c r="H97" i="12"/>
  <c r="H87" i="12"/>
  <c r="HE3" i="7" s="1"/>
  <c r="EJ3" i="7"/>
  <c r="J101" i="1"/>
  <c r="DV3" i="7" s="1"/>
  <c r="J97" i="1"/>
  <c r="DR3" i="7" s="1"/>
  <c r="J89" i="1"/>
  <c r="DJ3" i="7" s="1"/>
  <c r="J79" i="1"/>
  <c r="DA3" i="7" s="1"/>
  <c r="J18" i="1"/>
  <c r="AA3" i="7" s="1"/>
  <c r="H80" i="3"/>
  <c r="LU3" i="7" s="1"/>
  <c r="H73" i="3"/>
  <c r="LN3" i="7" s="1"/>
  <c r="H69" i="3"/>
  <c r="LJ3" i="7" s="1"/>
  <c r="H61" i="3"/>
  <c r="H53" i="3"/>
  <c r="H39" i="3"/>
  <c r="KG3" i="7" s="1"/>
  <c r="H11" i="3"/>
  <c r="H127" i="12"/>
  <c r="IW3" i="7" s="1"/>
  <c r="H88" i="12"/>
  <c r="H48" i="12"/>
  <c r="B30" i="3"/>
  <c r="H65" i="3" l="1"/>
  <c r="LF3" i="7" s="1"/>
  <c r="KU3" i="7"/>
  <c r="LB3" i="7"/>
  <c r="H66" i="3"/>
  <c r="LG3" i="7" s="1"/>
  <c r="HF3" i="7"/>
  <c r="H93" i="12"/>
  <c r="HK3" i="7" s="1"/>
  <c r="H112" i="12"/>
  <c r="IH3" i="7" s="1"/>
  <c r="IC3" i="7"/>
  <c r="H111" i="12"/>
  <c r="IG3" i="7" s="1"/>
  <c r="HT3" i="7"/>
  <c r="H53" i="12"/>
  <c r="GA3" i="7" s="1"/>
  <c r="FV3" i="7"/>
  <c r="H45" i="3"/>
  <c r="KM3" i="7" s="1"/>
  <c r="JB3" i="7"/>
  <c r="H77" i="3"/>
  <c r="LR3" i="7" s="1"/>
  <c r="H42" i="3"/>
  <c r="KJ3" i="7" s="1"/>
  <c r="H54" i="3"/>
  <c r="KV3" i="7" s="1"/>
  <c r="H62" i="3"/>
  <c r="LC3" i="7" s="1"/>
  <c r="H67" i="3"/>
  <c r="H113" i="12"/>
  <c r="II3" i="7" s="1"/>
  <c r="J95" i="1"/>
  <c r="DP3" i="7" s="1"/>
  <c r="H108" i="12"/>
  <c r="ID3" i="7" s="1"/>
  <c r="H123" i="12"/>
  <c r="IS3" i="7" s="1"/>
  <c r="H98" i="12"/>
  <c r="HU3" i="7" s="1"/>
  <c r="H41" i="12"/>
  <c r="HP3" i="7" s="1"/>
  <c r="B13" i="3"/>
  <c r="B74" i="12"/>
  <c r="B73" i="12"/>
  <c r="B72" i="12"/>
  <c r="B33" i="3"/>
  <c r="J93" i="1"/>
  <c r="DN3" i="7" s="1"/>
  <c r="J67" i="1"/>
  <c r="J34" i="1"/>
  <c r="BU3" i="7" s="1"/>
  <c r="AG52" i="1"/>
  <c r="J68" i="1" l="1"/>
  <c r="CE3" i="7" s="1"/>
  <c r="BX3" i="7"/>
  <c r="H68" i="3"/>
  <c r="LI3" i="7" s="1"/>
  <c r="LH3" i="7"/>
  <c r="H114" i="12"/>
  <c r="IJ3" i="7" s="1"/>
  <c r="J105" i="1"/>
  <c r="DZ3" i="7" s="1"/>
  <c r="J90" i="1"/>
  <c r="DK3" i="7" s="1"/>
  <c r="J94" i="1"/>
  <c r="DO3" i="7" s="1"/>
  <c r="J96" i="1"/>
  <c r="DQ3" i="7" s="1"/>
  <c r="J80" i="1"/>
  <c r="DB3" i="7" s="1"/>
  <c r="B47" i="1"/>
  <c r="B11" i="1"/>
  <c r="B44" i="1"/>
  <c r="B43" i="1"/>
  <c r="B42" i="1"/>
  <c r="B41" i="1"/>
  <c r="B39" i="1"/>
  <c r="B38" i="1"/>
  <c r="B36" i="1"/>
  <c r="B35" i="1"/>
  <c r="B6" i="1"/>
  <c r="C2" i="12"/>
  <c r="B60" i="1" l="1"/>
  <c r="B59" i="1"/>
  <c r="B58" i="1"/>
  <c r="B57" i="1"/>
  <c r="B51" i="1"/>
  <c r="B26" i="1"/>
  <c r="B25" i="1"/>
  <c r="B24" i="1"/>
  <c r="B23" i="1"/>
  <c r="B13" i="1"/>
  <c r="B12" i="1"/>
  <c r="B31" i="12" l="1"/>
  <c r="B30" i="12"/>
  <c r="B29" i="12"/>
  <c r="B28" i="12"/>
  <c r="B27" i="12"/>
  <c r="BR3" i="7" l="1"/>
  <c r="Q75" i="1"/>
  <c r="R75" i="1"/>
  <c r="S75" i="1"/>
  <c r="T75" i="1"/>
  <c r="U75" i="1"/>
  <c r="C2" i="3"/>
  <c r="B36" i="3"/>
  <c r="B32" i="3"/>
  <c r="B31" i="3"/>
  <c r="B148" i="12"/>
  <c r="B147" i="12"/>
  <c r="B146" i="12"/>
  <c r="B145" i="12"/>
  <c r="B144" i="12"/>
  <c r="B143" i="12"/>
  <c r="B142" i="12"/>
  <c r="B141" i="12"/>
  <c r="B140" i="12"/>
  <c r="B139" i="12"/>
  <c r="B138" i="12"/>
  <c r="B137" i="12"/>
  <c r="B136" i="12"/>
  <c r="B135" i="12"/>
  <c r="B134" i="12"/>
  <c r="B133" i="12"/>
  <c r="B132" i="12"/>
  <c r="B131" i="12"/>
  <c r="B130" i="12"/>
  <c r="B129" i="12"/>
  <c r="B100"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99" i="12"/>
  <c r="B98" i="12"/>
  <c r="B97" i="12"/>
  <c r="B96" i="12"/>
  <c r="B95" i="12"/>
  <c r="B94" i="12"/>
  <c r="B41" i="12"/>
  <c r="B40" i="12"/>
  <c r="B39" i="12"/>
  <c r="B38" i="12"/>
  <c r="B37" i="12"/>
  <c r="B93" i="12"/>
  <c r="B92" i="12"/>
  <c r="B91" i="12"/>
  <c r="B90" i="12"/>
  <c r="B89" i="12"/>
  <c r="B88" i="12"/>
  <c r="B87" i="12"/>
  <c r="B86" i="12"/>
  <c r="B85" i="12"/>
  <c r="B84" i="12"/>
  <c r="B83" i="12"/>
  <c r="B82" i="12"/>
  <c r="B81" i="12"/>
  <c r="B80" i="12"/>
  <c r="B71" i="12"/>
  <c r="B70" i="12"/>
  <c r="B69" i="12"/>
  <c r="B68" i="12"/>
  <c r="B67" i="12"/>
  <c r="B66" i="12"/>
  <c r="B65" i="12"/>
  <c r="B64" i="12"/>
  <c r="B63" i="12"/>
  <c r="B62" i="12"/>
  <c r="B61" i="12"/>
  <c r="B60" i="12"/>
  <c r="B59" i="12"/>
  <c r="B58" i="12"/>
  <c r="B57" i="12"/>
  <c r="B56" i="12"/>
  <c r="B55" i="12"/>
  <c r="B50" i="12"/>
  <c r="B49" i="12"/>
  <c r="B48" i="12"/>
  <c r="B26" i="12"/>
  <c r="B25" i="12"/>
  <c r="B24" i="12"/>
  <c r="B23" i="12"/>
  <c r="B22" i="12"/>
  <c r="B21" i="12"/>
  <c r="B20" i="12"/>
  <c r="B19" i="12"/>
  <c r="B17" i="12"/>
  <c r="B16" i="12"/>
  <c r="B15" i="12"/>
  <c r="B12" i="12"/>
  <c r="B11" i="12"/>
  <c r="B10" i="12"/>
  <c r="B9" i="12"/>
  <c r="B13" i="12"/>
  <c r="B14" i="12"/>
  <c r="B18" i="12"/>
  <c r="D3" i="12"/>
  <c r="FK3" i="7" l="1"/>
  <c r="FJ3" i="7"/>
  <c r="H7" i="4"/>
  <c r="B3" i="7" s="1"/>
  <c r="G35" i="3"/>
  <c r="G77" i="12"/>
  <c r="G17" i="4"/>
  <c r="G67" i="3"/>
  <c r="G80" i="12"/>
  <c r="G18" i="4"/>
  <c r="H6" i="4"/>
  <c r="A3" i="7" s="1"/>
  <c r="G13" i="4"/>
  <c r="G32" i="12"/>
  <c r="G16" i="4"/>
  <c r="G16" i="12"/>
  <c r="G15" i="4"/>
  <c r="G115" i="12"/>
  <c r="G98" i="12"/>
  <c r="G34" i="12"/>
  <c r="G44" i="3"/>
  <c r="G121" i="12"/>
  <c r="G57" i="12"/>
  <c r="G75" i="3"/>
  <c r="G51" i="12"/>
  <c r="G64" i="12"/>
  <c r="G66" i="3"/>
  <c r="G91" i="12"/>
  <c r="G95" i="12"/>
  <c r="G31" i="12"/>
  <c r="G49" i="3"/>
  <c r="G11" i="12"/>
  <c r="G78" i="12"/>
  <c r="G14" i="12"/>
  <c r="G24" i="3"/>
  <c r="G109" i="12"/>
  <c r="G37" i="12"/>
  <c r="G47" i="3"/>
  <c r="G124" i="12"/>
  <c r="G60" i="12"/>
  <c r="G70" i="3"/>
  <c r="G83" i="12"/>
  <c r="G55" i="3"/>
  <c r="G59" i="12"/>
  <c r="G90" i="12"/>
  <c r="G26" i="12"/>
  <c r="G36" i="3"/>
  <c r="G113" i="12"/>
  <c r="G49" i="12"/>
  <c r="G59" i="3"/>
  <c r="G37" i="3"/>
  <c r="G56" i="12"/>
  <c r="G58" i="3"/>
  <c r="G35" i="12"/>
  <c r="G87" i="12"/>
  <c r="G23" i="12"/>
  <c r="G41" i="3"/>
  <c r="G70" i="12"/>
  <c r="G80" i="3"/>
  <c r="G15" i="3"/>
  <c r="G101" i="12"/>
  <c r="G29" i="12"/>
  <c r="G39" i="3"/>
  <c r="G116" i="12"/>
  <c r="G52" i="12"/>
  <c r="G62" i="3"/>
  <c r="G65" i="12"/>
  <c r="G74" i="3"/>
  <c r="G22" i="12"/>
  <c r="G68" i="12"/>
  <c r="G19" i="12"/>
  <c r="G82" i="12"/>
  <c r="G18" i="12"/>
  <c r="G28" i="3"/>
  <c r="G105" i="12"/>
  <c r="G41" i="12"/>
  <c r="G51" i="3"/>
  <c r="G120" i="12"/>
  <c r="G48" i="12"/>
  <c r="G50" i="3"/>
  <c r="G77" i="3"/>
  <c r="G79" i="12"/>
  <c r="G15" i="12"/>
  <c r="G33" i="3"/>
  <c r="G126" i="12"/>
  <c r="G62" i="12"/>
  <c r="G72" i="3"/>
  <c r="G7" i="3"/>
  <c r="G93" i="12"/>
  <c r="G21" i="12"/>
  <c r="G31" i="3"/>
  <c r="G108" i="12"/>
  <c r="G44" i="12"/>
  <c r="G54" i="3"/>
  <c r="G6" i="12"/>
  <c r="G103" i="12"/>
  <c r="G32" i="3"/>
  <c r="G69" i="3"/>
  <c r="G10" i="12"/>
  <c r="G20" i="3"/>
  <c r="G97" i="12"/>
  <c r="G33" i="12"/>
  <c r="G43" i="3"/>
  <c r="G112" i="12"/>
  <c r="G40" i="12"/>
  <c r="G42" i="3"/>
  <c r="G21" i="3"/>
  <c r="G71" i="12"/>
  <c r="G7" i="12"/>
  <c r="G25" i="3"/>
  <c r="G118" i="12"/>
  <c r="G54" i="12"/>
  <c r="G64" i="3"/>
  <c r="G99" i="12"/>
  <c r="G85" i="12"/>
  <c r="G13" i="12"/>
  <c r="G23" i="3"/>
  <c r="G100" i="12"/>
  <c r="G36" i="12"/>
  <c r="G46" i="3"/>
  <c r="G6" i="3"/>
  <c r="G9" i="3"/>
  <c r="G86" i="12"/>
  <c r="G117" i="12"/>
  <c r="G66" i="12"/>
  <c r="G76" i="3"/>
  <c r="G11" i="3"/>
  <c r="G89" i="12"/>
  <c r="G25" i="12"/>
  <c r="G27" i="3"/>
  <c r="G104" i="12"/>
  <c r="G24" i="12"/>
  <c r="G34" i="3"/>
  <c r="G127" i="12"/>
  <c r="G63" i="12"/>
  <c r="G110" i="12"/>
  <c r="G56" i="3"/>
  <c r="G27" i="12"/>
  <c r="G69" i="12"/>
  <c r="G79" i="3"/>
  <c r="G14" i="3"/>
  <c r="G92" i="12"/>
  <c r="G28" i="12"/>
  <c r="G38" i="3"/>
  <c r="G52" i="3"/>
  <c r="G39" i="12"/>
  <c r="G45" i="12"/>
  <c r="G122" i="12"/>
  <c r="G58" i="12"/>
  <c r="G68" i="3"/>
  <c r="G67" i="12"/>
  <c r="G81" i="12"/>
  <c r="G17" i="12"/>
  <c r="G19" i="3"/>
  <c r="G96" i="12"/>
  <c r="G8" i="12"/>
  <c r="G26" i="3"/>
  <c r="G119" i="12"/>
  <c r="G55" i="12"/>
  <c r="G73" i="3"/>
  <c r="G8" i="3"/>
  <c r="G102" i="12"/>
  <c r="G38" i="12"/>
  <c r="G48" i="3"/>
  <c r="G61" i="3"/>
  <c r="G61" i="12"/>
  <c r="G71" i="3"/>
  <c r="G107" i="12"/>
  <c r="G84" i="12"/>
  <c r="G20" i="12"/>
  <c r="G30" i="3"/>
  <c r="G78" i="3"/>
  <c r="G114" i="12"/>
  <c r="G50" i="12"/>
  <c r="G60" i="3"/>
  <c r="G45" i="3"/>
  <c r="G9" i="12"/>
  <c r="G10" i="3"/>
  <c r="G88" i="12"/>
  <c r="G18" i="3"/>
  <c r="G111" i="12"/>
  <c r="G47" i="12"/>
  <c r="G65" i="3"/>
  <c r="G123" i="12"/>
  <c r="G94" i="12"/>
  <c r="G30" i="12"/>
  <c r="G40" i="3"/>
  <c r="G125" i="12"/>
  <c r="G53" i="12"/>
  <c r="G63" i="3"/>
  <c r="G76" i="12"/>
  <c r="G12" i="12"/>
  <c r="G22" i="3"/>
  <c r="G106" i="12"/>
  <c r="G57" i="3"/>
  <c r="G53" i="3"/>
  <c r="I79" i="1"/>
  <c r="I62" i="1"/>
  <c r="I93" i="1"/>
  <c r="I29" i="1"/>
  <c r="I84" i="1"/>
  <c r="I12" i="1"/>
  <c r="I67" i="1"/>
  <c r="I15" i="1"/>
  <c r="I50" i="1"/>
  <c r="I23" i="1"/>
  <c r="I49" i="1"/>
  <c r="I104" i="1"/>
  <c r="I40" i="1"/>
  <c r="I31" i="1"/>
  <c r="I85" i="1"/>
  <c r="I21" i="1"/>
  <c r="I76" i="1"/>
  <c r="I59" i="1"/>
  <c r="I106" i="1"/>
  <c r="I105" i="1"/>
  <c r="I41" i="1"/>
  <c r="I96" i="1"/>
  <c r="I32" i="1"/>
  <c r="I6" i="1"/>
  <c r="I46" i="1"/>
  <c r="I77" i="1"/>
  <c r="I13" i="1"/>
  <c r="I68" i="1"/>
  <c r="I7" i="1"/>
  <c r="I51" i="1"/>
  <c r="I98" i="1"/>
  <c r="I34" i="1"/>
  <c r="I97" i="1"/>
  <c r="I33" i="1"/>
  <c r="I88" i="1"/>
  <c r="I24" i="1"/>
  <c r="I64" i="1"/>
  <c r="I70" i="1"/>
  <c r="I71" i="1"/>
  <c r="I48" i="1"/>
  <c r="I102" i="1"/>
  <c r="I30" i="1"/>
  <c r="I69" i="1"/>
  <c r="I87" i="1"/>
  <c r="I60" i="1"/>
  <c r="I107" i="1"/>
  <c r="I43" i="1"/>
  <c r="I90" i="1"/>
  <c r="I26" i="1"/>
  <c r="I89" i="1"/>
  <c r="I25" i="1"/>
  <c r="I80" i="1"/>
  <c r="I16" i="1"/>
  <c r="I9" i="1"/>
  <c r="I101" i="1"/>
  <c r="I75" i="1"/>
  <c r="I57" i="1"/>
  <c r="I94" i="1"/>
  <c r="I22" i="1"/>
  <c r="I61" i="1"/>
  <c r="I39" i="1"/>
  <c r="I52" i="1"/>
  <c r="I99" i="1"/>
  <c r="I27" i="1"/>
  <c r="I82" i="1"/>
  <c r="I18" i="1"/>
  <c r="I81" i="1"/>
  <c r="I17" i="1"/>
  <c r="I72" i="1"/>
  <c r="I8" i="1"/>
  <c r="I10" i="1"/>
  <c r="I37" i="1"/>
  <c r="I20" i="1"/>
  <c r="I58" i="1"/>
  <c r="I47" i="1"/>
  <c r="I86" i="1"/>
  <c r="I14" i="1"/>
  <c r="I53" i="1"/>
  <c r="I108" i="1"/>
  <c r="I44" i="1"/>
  <c r="I91" i="1"/>
  <c r="I19" i="1"/>
  <c r="I74" i="1"/>
  <c r="I73" i="1"/>
  <c r="I92" i="1"/>
  <c r="I63" i="1"/>
  <c r="I78" i="1"/>
  <c r="I109" i="1"/>
  <c r="I45" i="1"/>
  <c r="I100" i="1"/>
  <c r="I28" i="1"/>
  <c r="I83" i="1"/>
  <c r="I11" i="1"/>
  <c r="I66" i="1"/>
  <c r="I103" i="1"/>
  <c r="I65" i="1"/>
  <c r="I95" i="1"/>
  <c r="I56" i="1"/>
  <c r="G14" i="4"/>
  <c r="J74" i="1" l="1"/>
  <c r="CL3" i="7" s="1"/>
  <c r="CJ3" i="7"/>
  <c r="J71" i="1"/>
  <c r="CI3" i="7" s="1"/>
  <c r="J75" i="1" l="1"/>
  <c r="CM3" i="7" s="1"/>
  <c r="B56" i="3" l="1"/>
  <c r="B80" i="3"/>
  <c r="B79" i="3"/>
  <c r="B78" i="3"/>
  <c r="B77" i="3"/>
  <c r="B76" i="3"/>
  <c r="B75" i="3"/>
  <c r="B74" i="3"/>
  <c r="B73" i="3"/>
  <c r="B72" i="3"/>
  <c r="B71" i="3"/>
  <c r="B70" i="3"/>
  <c r="B69" i="3"/>
  <c r="B68" i="3"/>
  <c r="B67" i="3"/>
  <c r="B66" i="3"/>
  <c r="B65" i="3"/>
  <c r="B64" i="3"/>
  <c r="B63" i="3"/>
  <c r="B62" i="3"/>
  <c r="B61" i="3"/>
  <c r="B60" i="3"/>
  <c r="B59" i="3"/>
  <c r="B58" i="3"/>
  <c r="B57" i="3"/>
  <c r="B55" i="3"/>
  <c r="B54" i="3"/>
  <c r="B53" i="3"/>
  <c r="B52" i="3"/>
  <c r="B51" i="3"/>
  <c r="B50" i="3"/>
  <c r="B49" i="3"/>
  <c r="B48" i="3"/>
  <c r="B47" i="3"/>
  <c r="B46" i="3"/>
  <c r="B45" i="3"/>
  <c r="B44" i="3"/>
  <c r="B43" i="3"/>
  <c r="B42" i="3"/>
  <c r="B41" i="3"/>
  <c r="B40" i="3"/>
  <c r="B39" i="3"/>
  <c r="B38" i="3"/>
  <c r="B37" i="3"/>
  <c r="B29" i="3"/>
  <c r="B28" i="3"/>
  <c r="B27" i="3"/>
  <c r="B26" i="3"/>
  <c r="B25" i="3"/>
  <c r="B24" i="3"/>
  <c r="B23" i="3"/>
  <c r="B22" i="3"/>
  <c r="B21" i="3"/>
  <c r="B20" i="3"/>
  <c r="B19" i="3"/>
  <c r="B18" i="3"/>
  <c r="B7" i="3"/>
  <c r="B17" i="3"/>
  <c r="B16" i="3"/>
  <c r="B14" i="3"/>
  <c r="B12" i="3"/>
  <c r="B6" i="3"/>
  <c r="B11" i="3"/>
  <c r="B9" i="3"/>
  <c r="B8" i="3"/>
  <c r="B82"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1" i="1"/>
  <c r="B80" i="1"/>
  <c r="B79" i="1"/>
  <c r="B78" i="1"/>
  <c r="B77" i="1"/>
  <c r="B76" i="1"/>
  <c r="B45" i="1"/>
  <c r="B30" i="1"/>
  <c r="B29" i="1"/>
  <c r="B28" i="1"/>
  <c r="B27" i="1"/>
  <c r="B75" i="1"/>
  <c r="B74" i="1"/>
  <c r="B73" i="1"/>
  <c r="B72" i="1"/>
  <c r="B71" i="1"/>
  <c r="B70" i="1"/>
  <c r="B69" i="1"/>
  <c r="B68" i="1"/>
  <c r="B66" i="1"/>
  <c r="B65" i="1"/>
  <c r="B64" i="1"/>
  <c r="B63" i="1"/>
  <c r="B62" i="1"/>
  <c r="B61" i="1"/>
  <c r="B67" i="1"/>
  <c r="B32" i="1"/>
  <c r="B31" i="1"/>
  <c r="B34" i="1"/>
  <c r="B33" i="1"/>
  <c r="B56" i="1"/>
  <c r="B55" i="1"/>
  <c r="B54" i="1"/>
  <c r="B40" i="1"/>
  <c r="B49" i="1"/>
  <c r="B48" i="1"/>
  <c r="B46" i="1"/>
  <c r="B53" i="1"/>
  <c r="B52" i="1"/>
  <c r="B8" i="1"/>
  <c r="B9" i="1"/>
  <c r="B7" i="1"/>
  <c r="B37" i="1"/>
  <c r="B10" i="1"/>
  <c r="B50" i="1"/>
  <c r="B20" i="1"/>
  <c r="B22" i="1"/>
  <c r="B21" i="1"/>
  <c r="B19" i="1"/>
  <c r="B18" i="1"/>
  <c r="B15" i="1"/>
  <c r="B14" i="1"/>
  <c r="B17" i="1"/>
  <c r="B27" i="4"/>
  <c r="B26" i="4"/>
  <c r="B25" i="4"/>
  <c r="B24" i="4"/>
  <c r="B23" i="4"/>
  <c r="B22" i="4"/>
  <c r="B21" i="4"/>
  <c r="B20" i="4"/>
  <c r="B19" i="4"/>
  <c r="B18" i="4"/>
  <c r="B17" i="4"/>
  <c r="B16" i="4"/>
  <c r="B15" i="4"/>
  <c r="B14" i="4"/>
  <c r="B13" i="4"/>
  <c r="B12" i="4"/>
  <c r="B11" i="4"/>
  <c r="B10" i="4"/>
  <c r="B9" i="4"/>
  <c r="B8" i="4"/>
  <c r="B7" i="4"/>
  <c r="NA3" i="7" l="1"/>
  <c r="NB3" i="7" l="1"/>
  <c r="B10" i="3" l="1"/>
  <c r="G19" i="4" l="1"/>
  <c r="G20" i="4"/>
  <c r="G21" i="4"/>
  <c r="G22" i="4"/>
  <c r="G23" i="4"/>
  <c r="D3" i="1" l="1"/>
  <c r="G24" i="4" l="1"/>
  <c r="G27" i="4"/>
  <c r="G12" i="4"/>
  <c r="G26" i="4"/>
  <c r="G25" i="4"/>
  <c r="H11" i="4" l="1"/>
  <c r="H34" i="12" s="1"/>
  <c r="F3" i="7" l="1"/>
  <c r="H10" i="3"/>
  <c r="IY3" i="7" s="1"/>
  <c r="AG3" i="7"/>
  <c r="EF3" i="7" l="1"/>
  <c r="EG3" i="7"/>
  <c r="P75" i="1" l="1"/>
  <c r="V75" i="1"/>
  <c r="W75" i="1"/>
  <c r="X75" i="1"/>
  <c r="Y75" i="1"/>
  <c r="Z75" i="1"/>
  <c r="AA75" i="1"/>
  <c r="AB75" i="1"/>
  <c r="AC75" i="1"/>
  <c r="AD75" i="1"/>
  <c r="AE75" i="1"/>
  <c r="AF75" i="1"/>
  <c r="AG75" i="1"/>
  <c r="AH75" i="1"/>
  <c r="G6" i="4" l="1"/>
  <c r="NC3" i="7" l="1"/>
  <c r="ND3" i="7"/>
  <c r="G7" i="4"/>
  <c r="G8" i="4"/>
  <c r="G9" i="4"/>
  <c r="G10" i="4"/>
  <c r="G11" i="4"/>
  <c r="B16" i="1" l="1"/>
  <c r="B6" i="4"/>
  <c r="NJ4" i="7" l="1"/>
  <c r="NI3" i="7" l="1"/>
  <c r="MA3" i="7"/>
  <c r="MG3" i="7"/>
  <c r="MO3" i="7"/>
  <c r="MU3" i="7"/>
  <c r="MC3" i="7"/>
  <c r="NM3" i="7"/>
  <c r="MN3" i="7"/>
  <c r="MQ3" i="7"/>
  <c r="MV3" i="7"/>
  <c r="MT3" i="7"/>
  <c r="ME3" i="7"/>
  <c r="MY3" i="7"/>
  <c r="NG3" i="7"/>
  <c r="MF3" i="7"/>
  <c r="MD3" i="7"/>
  <c r="LX3" i="7"/>
  <c r="LY3" i="7"/>
  <c r="MK3" i="7"/>
  <c r="MR3" i="7"/>
  <c r="MP3" i="7"/>
  <c r="NL3" i="7"/>
  <c r="MX3" i="7"/>
  <c r="MM3" i="7"/>
  <c r="NJ3" i="7"/>
  <c r="NK3" i="7"/>
  <c r="MB3" i="7"/>
  <c r="ML3" i="7"/>
  <c r="MW3" i="7"/>
  <c r="LW3" i="7"/>
  <c r="NH3" i="7"/>
  <c r="MS3" i="7"/>
  <c r="MJ3" i="7"/>
  <c r="MH3" i="7"/>
  <c r="MI3" i="7"/>
  <c r="MZ3" i="7"/>
  <c r="LZ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tc={4A604487-EC43-4D2E-841B-A34AEACF6ED2}</author>
  </authors>
  <commentList>
    <comment ref="H8"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Taken from - DIA Report -  General-Level2-Report excluding: General Rate commercial, General Rate CBD Commercial, Genera Rate - Primary Ind, General rate 50% comm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tc={7AB8B952-BBB9-4F90-865A-97C9F9A539A1}</author>
  </authors>
  <commentList>
    <comment ref="J26" authorId="0" shapeId="0" xr:uid="{00000000-0006-0000-1100-000001000000}">
      <text>
        <t>[Threaded comment]
Your version of Excel allows you to read this threaded comment; however, any edits to it will get removed if the file is opened in a newer version of Excel. Learn more: https://go.microsoft.com/fwlink/?linkid=870924
Comment:
    Why did we not ask about unplanned interruptions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<sst xmlns="http://schemas.openxmlformats.org/spreadsheetml/2006/main" count="8406" uniqueCount="3403">
  <si>
    <t>National Performance Review 2021/22</t>
  </si>
  <si>
    <t>INSTRUCTIONS</t>
  </si>
  <si>
    <r>
      <rPr>
        <b/>
        <sz val="11"/>
        <color theme="1"/>
        <rFont val="Calibri"/>
        <family val="2"/>
      </rPr>
      <t>Data submission</t>
    </r>
    <r>
      <rPr>
        <sz val="11"/>
        <color theme="1"/>
        <rFont val="Calibri"/>
        <family val="2"/>
      </rPr>
      <t xml:space="preserve">
Data should be submitted to </t>
    </r>
    <r>
      <rPr>
        <u/>
        <sz val="11"/>
        <color theme="3"/>
        <rFont val="Calibri"/>
        <family val="2"/>
      </rPr>
      <t>Lesley.smith@waternz.org.nz</t>
    </r>
    <r>
      <rPr>
        <sz val="11"/>
        <color theme="1"/>
        <rFont val="Calibri"/>
        <family val="2"/>
      </rPr>
      <t xml:space="preserve">  no later than COB 30th September 2022. It is responsibility of the nominated representative to check all data thoroughly prior to submission.</t>
    </r>
  </si>
  <si>
    <r>
      <rPr>
        <b/>
        <sz val="11"/>
        <rFont val="Calibri"/>
        <family val="2"/>
        <scheme val="minor"/>
      </rPr>
      <t>Data definitions</t>
    </r>
    <r>
      <rPr>
        <sz val="11"/>
        <rFont val="Calibri"/>
        <family val="2"/>
        <scheme val="minor"/>
      </rPr>
      <t xml:space="preserve">
The companion data definitions document, provides supporting definitions for each of the fields availble at this link</t>
    </r>
    <r>
      <rPr>
        <u/>
        <sz val="11"/>
        <color theme="10"/>
        <rFont val="Calibri"/>
        <family val="2"/>
        <scheme val="minor"/>
      </rPr>
      <t xml:space="preserve">: </t>
    </r>
    <r>
      <rPr>
        <u/>
        <sz val="11"/>
        <color theme="3"/>
        <rFont val="Calibri"/>
        <family val="2"/>
        <scheme val="minor"/>
      </rPr>
      <t>https://www.waternz.org.nz/DefinitionsGuide</t>
    </r>
    <r>
      <rPr>
        <u/>
        <sz val="11"/>
        <color theme="10"/>
        <rFont val="Calibri"/>
        <family val="2"/>
        <scheme val="minor"/>
      </rPr>
      <t xml:space="preserve">
</t>
    </r>
    <r>
      <rPr>
        <sz val="11"/>
        <rFont val="Calibri"/>
        <family val="2"/>
        <scheme val="minor"/>
      </rPr>
      <t xml:space="preserve">Where measure and code fields are in bold changes have been made to data definition used in previous years. </t>
    </r>
  </si>
  <si>
    <r>
      <rPr>
        <sz val="11"/>
        <rFont val="Calibri"/>
        <family val="2"/>
        <scheme val="minor"/>
      </rPr>
      <t>Changes have been made to align measures with Taumata Arowai's Network Environmental Performance Measures. Taumata Arowai measure codes have been used to cross-reference measures. Further information on the Taumata Arowai measures is available here:</t>
    </r>
    <r>
      <rPr>
        <u/>
        <sz val="11"/>
        <color theme="10"/>
        <rFont val="Calibri"/>
        <family val="2"/>
        <scheme val="minor"/>
      </rPr>
      <t xml:space="preserve"> </t>
    </r>
    <r>
      <rPr>
        <u/>
        <sz val="11"/>
        <color theme="3"/>
        <rFont val="Calibri"/>
        <family val="2"/>
        <scheme val="minor"/>
      </rPr>
      <t>https://www.taumataarowai.govt.nz/for-water-suppliers/network-environmental-performance-measures/</t>
    </r>
  </si>
  <si>
    <r>
      <rPr>
        <b/>
        <sz val="11"/>
        <color theme="1"/>
        <rFont val="Calibri"/>
        <family val="2"/>
        <scheme val="minor"/>
      </rPr>
      <t>Network and district level data</t>
    </r>
    <r>
      <rPr>
        <sz val="11"/>
        <color theme="1"/>
        <rFont val="Calibri"/>
        <family val="2"/>
        <scheme val="minor"/>
      </rPr>
      <t xml:space="preserve">
The Taumata Arowai Network Environmental Performance Measures require some data points to be recorded at a network, rather than whole of district level. This is optional for the National Performance Review. Where provided, upper and lower performance bands will be included in associated reporting.
This data entry sheet will provide additional fields to input network level data if macros are enabled.</t>
    </r>
  </si>
  <si>
    <r>
      <rPr>
        <b/>
        <sz val="11"/>
        <rFont val="Calibri"/>
        <family val="2"/>
        <scheme val="minor"/>
      </rPr>
      <t>Enabling macros</t>
    </r>
    <r>
      <rPr>
        <sz val="11"/>
        <rFont val="Calibri"/>
        <family val="2"/>
        <scheme val="minor"/>
      </rPr>
      <t xml:space="preserve">
Macros need to be enabled the first time the data collection spreadsheet is opened, whenever the spreadsheet is resaved, or, opened on a new machine. Instructions for enabling macros are available at the following link:</t>
    </r>
    <r>
      <rPr>
        <u/>
        <sz val="11"/>
        <color theme="10"/>
        <rFont val="Calibri"/>
        <family val="2"/>
        <scheme val="minor"/>
      </rPr>
      <t xml:space="preserve"> </t>
    </r>
    <r>
      <rPr>
        <u/>
        <sz val="11"/>
        <color theme="4" tint="-0.499984740745262"/>
        <rFont val="Calibri"/>
        <family val="2"/>
        <scheme val="minor"/>
      </rPr>
      <t xml:space="preserve">https://support.office.com/en-us/article/enable-or-disable-macros-in-office-files-12b036fd-d140-4e74-b45e-16fed1a7e5c6 </t>
    </r>
    <r>
      <rPr>
        <u/>
        <sz val="11"/>
        <color theme="10"/>
        <rFont val="Calibri"/>
        <family val="2"/>
        <scheme val="minor"/>
      </rPr>
      <t xml:space="preserve">
</t>
    </r>
    <r>
      <rPr>
        <sz val="11"/>
        <rFont val="Calibri"/>
        <family val="2"/>
        <scheme val="minor"/>
      </rPr>
      <t xml:space="preserve">
The "Undo" function may not always work unless the macro enabled spreadsheet is opened in safe mode. To open excel in safe mode hold Ctrl while you click on the app's shortcut. An onscreen message will appear. Click Yes to confirm your choice and the Safe Mode app will start. Open the spreadsheet in this version of excel.</t>
    </r>
  </si>
  <si>
    <t xml:space="preserve">If you are blocked from enabling macros on your PC additional cells may be manually accessed by unhiding columns (L to AG on the water worksheet, L to AE on the wastewater worksheet). </t>
  </si>
  <si>
    <r>
      <rPr>
        <b/>
        <sz val="11"/>
        <color theme="1"/>
        <rFont val="Calibri"/>
        <family val="2"/>
        <scheme val="minor"/>
      </rPr>
      <t>Populating data</t>
    </r>
    <r>
      <rPr>
        <sz val="11"/>
        <color theme="1"/>
        <rFont val="Calibri"/>
        <family val="2"/>
        <scheme val="minor"/>
      </rPr>
      <t xml:space="preserve">
Populate white boxes ONLY on each of the four worksheets provided in this spreadsheet as outlined in the table below. 
Data in grey and coloured boxes is either pre-populated, calculated automatically from other entered values, or not required. If more accurate figures are available pre-populated and calculated values may be overwritten. In these circumstances an explanation of the data source used should be provided in the ‘Comments’ column.
For fields for which data is not available leave the space blank. The comments field may be used to indicate if data is not relevant or why it is not available.</t>
    </r>
  </si>
  <si>
    <t>Code</t>
  </si>
  <si>
    <t>TA Code</t>
  </si>
  <si>
    <t>Measure</t>
  </si>
  <si>
    <t>Units</t>
  </si>
  <si>
    <t>Network of District</t>
  </si>
  <si>
    <t>2020/21 Data</t>
  </si>
  <si>
    <t>Data</t>
  </si>
  <si>
    <t>Data Confidence</t>
  </si>
  <si>
    <t>Data Source</t>
  </si>
  <si>
    <t>Reporter Name</t>
  </si>
  <si>
    <t>Comments</t>
  </si>
  <si>
    <t>A pre-populated data code, used to align collected information with reporting and definition guidelines</t>
  </si>
  <si>
    <t>The associated Taumata Arowai code if applicable (for water supply only)</t>
  </si>
  <si>
    <t>A pre-populated measure name used to refer to the data point</t>
  </si>
  <si>
    <t>A pre-populated units field. Do not list units in the ‘Data’ field. If units other than those specified are provided indicate this in the ‘Comments’ column.</t>
  </si>
  <si>
    <t>For water supply onlt, the field indicates if Taumata Arowai data will be required for either:
N - individual water networks
D - the entire district</t>
  </si>
  <si>
    <t>For those who provided data in 2018/19 previous years values will be provided here as a reference. This data cannot be retrospectively updated.</t>
  </si>
  <si>
    <t xml:space="preserve">Data pertaining to  1/7/2021 to 30/6/2022. 
Data entered is to align with data provided in the definition guide. A summary of definitions displays when field is selected. </t>
  </si>
  <si>
    <t>Data confidence values are required wherever a drop down boxes appears in the ‘Data Confidence’ column. Definitions for the data confidence fields are below.</t>
  </si>
  <si>
    <t>Where data is sourced from (e.g. Asset Management System, Water Balance Report etc). Populating will streamline data checks and assist with future years reporting however this fields is not mandatory.</t>
  </si>
  <si>
    <t>Who provided the data. Populating will streamline data checks and assist with future years reporting however this fields is not mandatory.</t>
  </si>
  <si>
    <t xml:space="preserve">An optional field to note any relevant info e.g. reasons data deviates from previous years, deviations from standard data definitions, or reasons data is not provided. </t>
  </si>
  <si>
    <t>Highly reliable/ Audited</t>
  </si>
  <si>
    <t>Reliable/ Verified</t>
  </si>
  <si>
    <t>Less Reliable</t>
  </si>
  <si>
    <t>Uncertain</t>
  </si>
  <si>
    <t>Very uncertain</t>
  </si>
  <si>
    <t>Processes</t>
  </si>
  <si>
    <t xml:space="preserve">Formal process for collecting and analysing data.  Process is documented and always followed by all staff.  </t>
  </si>
  <si>
    <t xml:space="preserve">Strong process to collect data.  May not be fully documented but usually undertaken by most staff. </t>
  </si>
  <si>
    <t>Process to collect data established.  May not be fully documented but usually undertaken by most staff.</t>
  </si>
  <si>
    <t>Semi formal process usually followed. Poor documentation.  Process to collect data followed about half the time.</t>
  </si>
  <si>
    <t>Ad hoc procedures to collect data.  Minimal or no process documentation.  Process followed occasionally.</t>
  </si>
  <si>
    <t>Asset Data</t>
  </si>
  <si>
    <t>Very high level of data confidence.  Data is believed to be 95-100% complete and + or - 5% accurate. Regular data audits verify high level of accuracy in data received.</t>
  </si>
  <si>
    <t xml:space="preserve">Good level of data confidence.  Data is believed to be 80-95% complete and + or - 10% to15% accurate. Some minor data extrapolation or assumptions has been applied.  Occasional data audits verify reasonable level of confidence. </t>
  </si>
  <si>
    <t xml:space="preserve">Average level of data confidence.  Data is believed to be 50-80% complete and + or - 15 to 20% accurate.  Some  data extrapolation has been applied based on supported assumptions.  Occasional data audits verify reasonable level of confidence. </t>
  </si>
  <si>
    <t xml:space="preserve">Not sure of data confidence, or data confidence is good for some data, but most of dataset is based on extrapolation of incomplete data set with unsupported assumptions.  </t>
  </si>
  <si>
    <t xml:space="preserve">Very low data confidence. Data based on very large unsupported assumptions, cursory inspection and analysis.  Data may have been developed by extrapolation from small, unverified data sets. </t>
  </si>
  <si>
    <t>Common Data:</t>
  </si>
  <si>
    <t>Queenstown-Lakes</t>
  </si>
  <si>
    <t>Name</t>
  </si>
  <si>
    <t>Headings</t>
  </si>
  <si>
    <t>Audit Comments</t>
  </si>
  <si>
    <t>Audit Response</t>
  </si>
  <si>
    <t>Background</t>
  </si>
  <si>
    <t>CB1</t>
  </si>
  <si>
    <t>Total Area</t>
  </si>
  <si>
    <r>
      <t>km</t>
    </r>
    <r>
      <rPr>
        <vertAlign val="superscript"/>
        <sz val="11"/>
        <color theme="1"/>
        <rFont val="Calibri"/>
        <family val="2"/>
        <scheme val="minor"/>
      </rPr>
      <t>2</t>
    </r>
  </si>
  <si>
    <t>Statistics New Zealand</t>
  </si>
  <si>
    <t>CB2</t>
  </si>
  <si>
    <t>Total Population</t>
  </si>
  <si>
    <t>Number</t>
  </si>
  <si>
    <t>CB3</t>
  </si>
  <si>
    <t>Residential properties</t>
  </si>
  <si>
    <t>Karelia</t>
  </si>
  <si>
    <t>Rates</t>
  </si>
  <si>
    <t>Rating units (SUIPs) not demand units e.g. commercial accom may have multi demand units under 1 SUIP. This number includes visitor accom. Downgraded reliability slightly as I can't go back in time and this isn't saved during the year.</t>
  </si>
  <si>
    <t>CB4</t>
  </si>
  <si>
    <t>Non-residential properties</t>
  </si>
  <si>
    <t>SUIPs. Downgraded reliability slightly as I can't go back in time and this isn't saved during the year.</t>
  </si>
  <si>
    <t>CB5</t>
  </si>
  <si>
    <t>Total  Properties</t>
  </si>
  <si>
    <t>Calc</t>
  </si>
  <si>
    <t>CB6</t>
  </si>
  <si>
    <t xml:space="preserve">Household Occupancy </t>
  </si>
  <si>
    <t>Staff</t>
  </si>
  <si>
    <t>CB10</t>
  </si>
  <si>
    <t>Internal staff</t>
  </si>
  <si>
    <t>FTE</t>
  </si>
  <si>
    <t>Alex/Mark</t>
  </si>
  <si>
    <t>CB10a</t>
  </si>
  <si>
    <t>Staff vacancies</t>
  </si>
  <si>
    <t>CB11</t>
  </si>
  <si>
    <t>Contracted staff</t>
  </si>
  <si>
    <t>Andrew/Simon</t>
  </si>
  <si>
    <t>CB12</t>
  </si>
  <si>
    <t>Near miss reports</t>
  </si>
  <si>
    <t>CB13</t>
  </si>
  <si>
    <t>Lost time injuries</t>
  </si>
  <si>
    <t>days</t>
  </si>
  <si>
    <t>CB14a</t>
  </si>
  <si>
    <t>Staff training hours</t>
  </si>
  <si>
    <t>hours/year</t>
  </si>
  <si>
    <t>HR</t>
  </si>
  <si>
    <t>CB14b</t>
  </si>
  <si>
    <t>Staff training enrolments</t>
  </si>
  <si>
    <t>CB15a</t>
  </si>
  <si>
    <t>Staff with a relevant Bachelors degree</t>
  </si>
  <si>
    <t>CB15c</t>
  </si>
  <si>
    <t>Staff with a NZ Diploma</t>
  </si>
  <si>
    <t>CB15b</t>
  </si>
  <si>
    <t>Staff with a NZ Certificate</t>
  </si>
  <si>
    <t>CB15d</t>
  </si>
  <si>
    <t>Staff with completed apprenticeships</t>
  </si>
  <si>
    <t>CB16</t>
  </si>
  <si>
    <t>Continuing professional development enrolments</t>
  </si>
  <si>
    <t>Technology</t>
  </si>
  <si>
    <t>CB19a</t>
  </si>
  <si>
    <t>Analogue SCADA/telemetry</t>
  </si>
  <si>
    <t>%</t>
  </si>
  <si>
    <t>CB19b</t>
  </si>
  <si>
    <t>Digital SCADA/telemetry</t>
  </si>
  <si>
    <t>CB19c</t>
  </si>
  <si>
    <t>SCADA/telemetry controls</t>
  </si>
  <si>
    <t>CB19d</t>
  </si>
  <si>
    <t>SCADA/telemetry monitoring</t>
  </si>
  <si>
    <t>National Performance Review 2021/2022</t>
  </si>
  <si>
    <t>Water Supply:</t>
  </si>
  <si>
    <t>Network/District</t>
  </si>
  <si>
    <t xml:space="preserve"> Data</t>
  </si>
  <si>
    <t>Network 1</t>
  </si>
  <si>
    <t>Network 2</t>
  </si>
  <si>
    <t>Network 3</t>
  </si>
  <si>
    <t>Network 4</t>
  </si>
  <si>
    <t>Network 5</t>
  </si>
  <si>
    <t>Network 6</t>
  </si>
  <si>
    <t>Network 7</t>
  </si>
  <si>
    <t>Network 8</t>
  </si>
  <si>
    <t>Network 9</t>
  </si>
  <si>
    <t>Network 10</t>
  </si>
  <si>
    <t>Network 11</t>
  </si>
  <si>
    <t>Network 12</t>
  </si>
  <si>
    <t>Network 13</t>
  </si>
  <si>
    <t>Network 14</t>
  </si>
  <si>
    <t>Network 15</t>
  </si>
  <si>
    <t>Network 16</t>
  </si>
  <si>
    <t>Network 17</t>
  </si>
  <si>
    <t>Network 18</t>
  </si>
  <si>
    <t>Network 19</t>
  </si>
  <si>
    <t>Network 20</t>
  </si>
  <si>
    <t>Drinking water</t>
  </si>
  <si>
    <t>WST1</t>
  </si>
  <si>
    <t>A1</t>
  </si>
  <si>
    <t>Drinking water networks</t>
  </si>
  <si>
    <t>D</t>
  </si>
  <si>
    <t>The number of distinct drinking water supply systems, operated by a drinking water network operator. A network includes:
• the source of raw water
• water treatment plants
• the distribution system (storage and pipe Network).</t>
  </si>
  <si>
    <t xml:space="preserve">network </t>
  </si>
  <si>
    <t>WSA4</t>
  </si>
  <si>
    <t>A2</t>
  </si>
  <si>
    <t>Water treatment plants</t>
  </si>
  <si>
    <t>Reliable</t>
  </si>
  <si>
    <t>GIS</t>
  </si>
  <si>
    <t>information</t>
  </si>
  <si>
    <t>WSA6</t>
  </si>
  <si>
    <t>A3</t>
  </si>
  <si>
    <t>Water reservoirs</t>
  </si>
  <si>
    <t xml:space="preserve">D </t>
  </si>
  <si>
    <t>This number includes private tanks as in the previous year report.</t>
  </si>
  <si>
    <t>WSA5</t>
  </si>
  <si>
    <t>A4</t>
  </si>
  <si>
    <t>Water pump stations</t>
  </si>
  <si>
    <t>WSA1a</t>
  </si>
  <si>
    <t>A5</t>
  </si>
  <si>
    <t>Water supply kilometres of pipe</t>
  </si>
  <si>
    <t>km</t>
  </si>
  <si>
    <t>Taken from GIS Layer_WSMains_Excluding Pvate, abandoned,removed</t>
  </si>
  <si>
    <t>WST1a</t>
  </si>
  <si>
    <t>Network name</t>
  </si>
  <si>
    <t>Text</t>
  </si>
  <si>
    <t>WST2</t>
  </si>
  <si>
    <t>A6</t>
  </si>
  <si>
    <t>Drinking water abstraction points</t>
  </si>
  <si>
    <t>N</t>
  </si>
  <si>
    <t>WST3</t>
  </si>
  <si>
    <t>A7</t>
  </si>
  <si>
    <t>Drinking water network source type</t>
  </si>
  <si>
    <t>Selection</t>
  </si>
  <si>
    <t>WSB2</t>
  </si>
  <si>
    <t>EH1</t>
  </si>
  <si>
    <t>Residential connections in the drinking water network</t>
  </si>
  <si>
    <t>Elliot</t>
  </si>
  <si>
    <t>5% on last year</t>
  </si>
  <si>
    <t>network</t>
  </si>
  <si>
    <t>WSB3</t>
  </si>
  <si>
    <t>EH2</t>
  </si>
  <si>
    <t>Non-residential connections in the drinking water network</t>
  </si>
  <si>
    <t>connections</t>
  </si>
  <si>
    <t>WSB1a</t>
  </si>
  <si>
    <t>EH3</t>
  </si>
  <si>
    <t>Total population served by the drinking water network</t>
  </si>
  <si>
    <t>Growth Projections</t>
  </si>
  <si>
    <t>Estimate from 2020 growth projections</t>
  </si>
  <si>
    <t>WSB1b</t>
  </si>
  <si>
    <t>Water Supply Service Coverage</t>
  </si>
  <si>
    <t>WSB4</t>
  </si>
  <si>
    <t>Total connections to water networks</t>
  </si>
  <si>
    <t xml:space="preserve">Volume of water </t>
  </si>
  <si>
    <t>WSB5</t>
  </si>
  <si>
    <t>EH5</t>
  </si>
  <si>
    <t>Water Supplied to the drinking water network</t>
  </si>
  <si>
    <r>
      <t>m</t>
    </r>
    <r>
      <rPr>
        <vertAlign val="superscript"/>
        <sz val="11"/>
        <color theme="1"/>
        <rFont val="Calibri"/>
        <family val="2"/>
        <scheme val="minor"/>
      </rPr>
      <t>3</t>
    </r>
    <r>
      <rPr>
        <sz val="11"/>
        <color theme="1"/>
        <rFont val="Calibri"/>
        <family val="2"/>
        <scheme val="minor"/>
      </rPr>
      <t>/year</t>
    </r>
  </si>
  <si>
    <t>DIA Reporting SCADA Veolia and Fulton Hogan</t>
  </si>
  <si>
    <t>abstracted</t>
  </si>
  <si>
    <t>WSB7</t>
  </si>
  <si>
    <t>EH8</t>
  </si>
  <si>
    <t xml:space="preserve">Non-residential water use </t>
  </si>
  <si>
    <t xml:space="preserve">Vaughn </t>
  </si>
  <si>
    <t>WDM Plan</t>
  </si>
  <si>
    <t>Estimate from non res consumption in 2020/21</t>
  </si>
  <si>
    <t>WSB5a</t>
  </si>
  <si>
    <t>EH6</t>
  </si>
  <si>
    <t>Water imported from other suppliers</t>
  </si>
  <si>
    <t>WSB5b</t>
  </si>
  <si>
    <t>EH7</t>
  </si>
  <si>
    <t>Water exported to other suppliers</t>
  </si>
  <si>
    <t>Millbrook scheme</t>
  </si>
  <si>
    <t xml:space="preserve">Resource consent </t>
  </si>
  <si>
    <t>WST4</t>
  </si>
  <si>
    <t>EH9</t>
  </si>
  <si>
    <t>Number of resource consents that are held</t>
  </si>
  <si>
    <t>AMP / WDM Plan</t>
  </si>
  <si>
    <t>compliance</t>
  </si>
  <si>
    <t>WST5</t>
  </si>
  <si>
    <t>EH10</t>
  </si>
  <si>
    <t xml:space="preserve">Type of resources consent </t>
  </si>
  <si>
    <t>WST6</t>
  </si>
  <si>
    <t>EH11</t>
  </si>
  <si>
    <t>Resource consent reference numbers</t>
  </si>
  <si>
    <t>WST7</t>
  </si>
  <si>
    <t>EH12</t>
  </si>
  <si>
    <t>Expiry dates for resource consents</t>
  </si>
  <si>
    <t>dd/mm/yyyy</t>
  </si>
  <si>
    <t>Response times</t>
  </si>
  <si>
    <t>WSS10a</t>
  </si>
  <si>
    <t>R1</t>
  </si>
  <si>
    <t>Median hours to attend to an urgent fault</t>
  </si>
  <si>
    <t>hrs</t>
  </si>
  <si>
    <t>WSS10b</t>
  </si>
  <si>
    <t>R3</t>
  </si>
  <si>
    <t>Median hours to resolve an urgent fault</t>
  </si>
  <si>
    <t>WSS10c</t>
  </si>
  <si>
    <t>R2</t>
  </si>
  <si>
    <t>Median hours to attend to a non-urgent fault</t>
  </si>
  <si>
    <t>WSS10d</t>
  </si>
  <si>
    <t>R4</t>
  </si>
  <si>
    <t>Median hours to resolve a non-urgent fault</t>
  </si>
  <si>
    <t xml:space="preserve">System </t>
  </si>
  <si>
    <t>WSS3</t>
  </si>
  <si>
    <t>R5</t>
  </si>
  <si>
    <t>Planned interruptions to water supply</t>
  </si>
  <si>
    <t>Number/year</t>
  </si>
  <si>
    <t>RFS / Veolia</t>
  </si>
  <si>
    <t>interruptions</t>
  </si>
  <si>
    <t>WSS4</t>
  </si>
  <si>
    <t>R6</t>
  </si>
  <si>
    <t>Third party incidents water supply</t>
  </si>
  <si>
    <t>WSS1</t>
  </si>
  <si>
    <t>Unplanned total interruptions water supply</t>
  </si>
  <si>
    <t>WSS2</t>
  </si>
  <si>
    <t>Unplanned interruption frequency water supply</t>
  </si>
  <si>
    <t>Number/1000 connections</t>
  </si>
  <si>
    <t>Asset Condition</t>
  </si>
  <si>
    <t>WSA2f</t>
  </si>
  <si>
    <t>R7</t>
  </si>
  <si>
    <t>Percentage of pipelines that have received a condition grading</t>
  </si>
  <si>
    <t>WSA2d</t>
  </si>
  <si>
    <t>R8</t>
  </si>
  <si>
    <t>Percentage of pipelines in poor or very poor condition</t>
  </si>
  <si>
    <t>WSA3</t>
  </si>
  <si>
    <t>R9</t>
  </si>
  <si>
    <t>Average age of water pipelines</t>
  </si>
  <si>
    <t>years</t>
  </si>
  <si>
    <t>Valuation</t>
  </si>
  <si>
    <t>WSA13c</t>
  </si>
  <si>
    <t>R10</t>
  </si>
  <si>
    <t>Percentage of above ground assets that have received a condition grading</t>
  </si>
  <si>
    <t>Veolia</t>
  </si>
  <si>
    <t>WSA2d+WSA2g</t>
  </si>
  <si>
    <t>R11</t>
  </si>
  <si>
    <t>Percentage of above ground assets in poor or very poor condition</t>
  </si>
  <si>
    <t>TechOne</t>
  </si>
  <si>
    <t>Water pressure</t>
  </si>
  <si>
    <t>WSE2</t>
  </si>
  <si>
    <t>R12</t>
  </si>
  <si>
    <t>Average system pressure</t>
  </si>
  <si>
    <t>m</t>
  </si>
  <si>
    <t>Calibrated Model</t>
  </si>
  <si>
    <t xml:space="preserve">Average of all schemes. </t>
  </si>
  <si>
    <t>WST8</t>
  </si>
  <si>
    <t>R13</t>
  </si>
  <si>
    <t>Has a reference level for water pressure been set</t>
  </si>
  <si>
    <t>Yes/No</t>
  </si>
  <si>
    <t>Yes</t>
  </si>
  <si>
    <t xml:space="preserve">Water restriction days </t>
  </si>
  <si>
    <t>WSS11</t>
  </si>
  <si>
    <t>R14</t>
  </si>
  <si>
    <t>Number of days water restrictions applied</t>
  </si>
  <si>
    <t>WST9</t>
  </si>
  <si>
    <t>R15</t>
  </si>
  <si>
    <t>Number of connections affected by restrictions</t>
  </si>
  <si>
    <t>Fire fighting</t>
  </si>
  <si>
    <t>WST10</t>
  </si>
  <si>
    <t>R16</t>
  </si>
  <si>
    <t>Has the FENZ Code of Practice (SNZ PAS 4509:2008) been adopted</t>
  </si>
  <si>
    <t>WSS12a</t>
  </si>
  <si>
    <t>R17</t>
  </si>
  <si>
    <t>Fire hydrants tested in the previous five years</t>
  </si>
  <si>
    <t>Water loss</t>
  </si>
  <si>
    <t>WSE1a</t>
  </si>
  <si>
    <t>RE1</t>
  </si>
  <si>
    <t>Estimated total drinking water network water loss</t>
  </si>
  <si>
    <t>WSE1d</t>
  </si>
  <si>
    <t>RE2</t>
  </si>
  <si>
    <t>Current annual real loss</t>
  </si>
  <si>
    <t>L/connection/day</t>
  </si>
  <si>
    <t>WSE1e</t>
  </si>
  <si>
    <t>m3/km mains/day</t>
  </si>
  <si>
    <t>WSE1h</t>
  </si>
  <si>
    <t>RE3</t>
  </si>
  <si>
    <t>ILI ( infrastructure leakage index (=CARL/UARL))</t>
  </si>
  <si>
    <t>non-dimensional</t>
  </si>
  <si>
    <t>Water use</t>
  </si>
  <si>
    <t>WSB8</t>
  </si>
  <si>
    <t>RE4</t>
  </si>
  <si>
    <t>Median residential water consumption (L/day/connection)</t>
  </si>
  <si>
    <t>L/person/day</t>
  </si>
  <si>
    <t>RE5</t>
  </si>
  <si>
    <t>Is there a water conservation education programme in place</t>
  </si>
  <si>
    <t>No</t>
  </si>
  <si>
    <t>WSA9a</t>
  </si>
  <si>
    <t>RE6</t>
  </si>
  <si>
    <t>Residential connections with water meters</t>
  </si>
  <si>
    <t>Last year plus 5%</t>
  </si>
  <si>
    <t>WSA9b</t>
  </si>
  <si>
    <t>RE7</t>
  </si>
  <si>
    <t>Non-residential connections with water meters</t>
  </si>
  <si>
    <t>Energy use</t>
  </si>
  <si>
    <t>WSE3</t>
  </si>
  <si>
    <t>RE8</t>
  </si>
  <si>
    <t>Water supply grid electricity use</t>
  </si>
  <si>
    <t>kWh</t>
  </si>
  <si>
    <t>Gus / Vaughn</t>
  </si>
  <si>
    <t>WSE3a</t>
  </si>
  <si>
    <t>RE9</t>
  </si>
  <si>
    <t>Water supply energy use from other fuels</t>
  </si>
  <si>
    <t>GJ</t>
  </si>
  <si>
    <t>WSE4</t>
  </si>
  <si>
    <t>RE10</t>
  </si>
  <si>
    <t>Water supply energy generation</t>
  </si>
  <si>
    <t>Critical assets</t>
  </si>
  <si>
    <t>WST11</t>
  </si>
  <si>
    <t>RL1</t>
  </si>
  <si>
    <t>Has an assessment been undertaken to identify critical water supply assets</t>
  </si>
  <si>
    <t>Climate change</t>
  </si>
  <si>
    <t>WSCC1</t>
  </si>
  <si>
    <t>Has a climate change risk assessment been undertaken for water supply networks</t>
  </si>
  <si>
    <t>Mark Baker</t>
  </si>
  <si>
    <t>WSCC2</t>
  </si>
  <si>
    <t>Is there a climate change adapataion plan in place for water supply networks</t>
  </si>
  <si>
    <t>WSCC3</t>
  </si>
  <si>
    <t>Has an emissions baseline been set for forecast water supply investments</t>
  </si>
  <si>
    <t>Complaints</t>
  </si>
  <si>
    <t>WSS5a</t>
  </si>
  <si>
    <t>Drinking water clarity complaints</t>
  </si>
  <si>
    <t>WSS5b</t>
  </si>
  <si>
    <t>Drinking water taste complaints</t>
  </si>
  <si>
    <t>WSS5c</t>
  </si>
  <si>
    <t>Drinking water odour complaints</t>
  </si>
  <si>
    <t>WSS5d</t>
  </si>
  <si>
    <t>Drinking water pressure or flow complaints</t>
  </si>
  <si>
    <t>WSS5e</t>
  </si>
  <si>
    <t>Continuity of water supply complaints</t>
  </si>
  <si>
    <t>WSS5f</t>
  </si>
  <si>
    <t>The authorities response to any of these issues</t>
  </si>
  <si>
    <t>WSS5</t>
  </si>
  <si>
    <t>Water supply complaints</t>
  </si>
  <si>
    <t>WSS6</t>
  </si>
  <si>
    <t>Water supply complaints frequency</t>
  </si>
  <si>
    <t>Charges</t>
  </si>
  <si>
    <t>WSS7a</t>
  </si>
  <si>
    <t>Fixed charge: non-residential water</t>
  </si>
  <si>
    <t>$</t>
  </si>
  <si>
    <t>Susan</t>
  </si>
  <si>
    <t xml:space="preserve">Median Rates tab </t>
  </si>
  <si>
    <t>WSS7b</t>
  </si>
  <si>
    <t>Fixed charge type: non-residential water</t>
  </si>
  <si>
    <t>Targeted Rate</t>
  </si>
  <si>
    <t>WSS7c</t>
  </si>
  <si>
    <t>Volumetric Charge: non-residential water</t>
  </si>
  <si>
    <r>
      <t>$/m</t>
    </r>
    <r>
      <rPr>
        <vertAlign val="superscript"/>
        <sz val="11"/>
        <color theme="1"/>
        <rFont val="Calibri"/>
        <family val="2"/>
        <scheme val="minor"/>
      </rPr>
      <t>3</t>
    </r>
  </si>
  <si>
    <t>WSS8a</t>
  </si>
  <si>
    <t>Fixed charge: residential water</t>
  </si>
  <si>
    <t>WSS8b</t>
  </si>
  <si>
    <t>Fixed charge type: residential water</t>
  </si>
  <si>
    <t>WSS8c</t>
  </si>
  <si>
    <t>Volumetric charge: residential water</t>
  </si>
  <si>
    <t>WSS9</t>
  </si>
  <si>
    <t xml:space="preserve">Average residential water charge based on 200 m3/yr </t>
  </si>
  <si>
    <r>
      <t>$/200m</t>
    </r>
    <r>
      <rPr>
        <vertAlign val="superscript"/>
        <sz val="11"/>
        <color theme="1"/>
        <rFont val="Calibri"/>
        <family val="2"/>
        <scheme val="minor"/>
      </rPr>
      <t>3</t>
    </r>
  </si>
  <si>
    <t>Revenue</t>
  </si>
  <si>
    <t>WSF1</t>
  </si>
  <si>
    <t>Revenue from supply of water to other local authorities</t>
  </si>
  <si>
    <t>N/a</t>
  </si>
  <si>
    <t>WSF2</t>
  </si>
  <si>
    <t>Operating revenue: water supply</t>
  </si>
  <si>
    <t>WS P&amp;L Tab</t>
  </si>
  <si>
    <t>WSF3</t>
  </si>
  <si>
    <t>Development contribution revenue: water supply</t>
  </si>
  <si>
    <t>WSF4</t>
  </si>
  <si>
    <t>Total revenue: water supply</t>
  </si>
  <si>
    <t>WSF5</t>
  </si>
  <si>
    <t>Revenue per property: water supply</t>
  </si>
  <si>
    <t>$/connection</t>
  </si>
  <si>
    <t>WSF6</t>
  </si>
  <si>
    <t>Debt funding: water supply</t>
  </si>
  <si>
    <t>Susan / Stew</t>
  </si>
  <si>
    <t>LNSye22 spreadsheet in Year End folder</t>
  </si>
  <si>
    <t>Grants</t>
  </si>
  <si>
    <t>WSF25</t>
  </si>
  <si>
    <t>External grants: water supply</t>
  </si>
  <si>
    <t>Techone</t>
  </si>
  <si>
    <t>Expenditure</t>
  </si>
  <si>
    <t>WSF7</t>
  </si>
  <si>
    <t>Energy costs: water supply</t>
  </si>
  <si>
    <t>WSF8</t>
  </si>
  <si>
    <t>Chemicals and consumables: water supply</t>
  </si>
  <si>
    <t>WSF9a</t>
  </si>
  <si>
    <t>Routine maintenance: water supply</t>
  </si>
  <si>
    <t>Maintenance Breakdown tab</t>
  </si>
  <si>
    <t>WSF9b</t>
  </si>
  <si>
    <t>Reactive maintenance: water supply</t>
  </si>
  <si>
    <t>WSF10</t>
  </si>
  <si>
    <t>Management costs: water supply</t>
  </si>
  <si>
    <t>WSF11</t>
  </si>
  <si>
    <t>Council contract management Costs : water supply</t>
  </si>
  <si>
    <t>WSF12</t>
  </si>
  <si>
    <t>Operating cost: water supply</t>
  </si>
  <si>
    <t>WSF13</t>
  </si>
  <si>
    <t>Operating cost per property: water supply</t>
  </si>
  <si>
    <t>WSF14</t>
  </si>
  <si>
    <t>Annual depreciation: water supply</t>
  </si>
  <si>
    <t>WSF15a</t>
  </si>
  <si>
    <t>Interest: water supply</t>
  </si>
  <si>
    <t>WSF15b</t>
  </si>
  <si>
    <t>Debt affordability: water supply</t>
  </si>
  <si>
    <t>WSF16</t>
  </si>
  <si>
    <t>Operational cost coverage: water supply</t>
  </si>
  <si>
    <t>WSF17</t>
  </si>
  <si>
    <t>Total cost: water supply</t>
  </si>
  <si>
    <t>WSF18</t>
  </si>
  <si>
    <t>Total cost per property: water supply</t>
  </si>
  <si>
    <t>WSF19</t>
  </si>
  <si>
    <t>Budgeted capital expenditure: water supply</t>
  </si>
  <si>
    <t>WSF19a</t>
  </si>
  <si>
    <t>Budgeted capital to meet additional demand</t>
  </si>
  <si>
    <t>Capex Projects tab &amp; list</t>
  </si>
  <si>
    <t>WSF19b</t>
  </si>
  <si>
    <t>Budgeted capital to improve the level of service</t>
  </si>
  <si>
    <t>WSF19c</t>
  </si>
  <si>
    <t>Budgeted capital to replace existing assets</t>
  </si>
  <si>
    <t>WSF20</t>
  </si>
  <si>
    <t>Actual capital expenditure: water supply</t>
  </si>
  <si>
    <t>WSF20a</t>
  </si>
  <si>
    <t>Actual capital to meet additional demand</t>
  </si>
  <si>
    <t>WSF20b</t>
  </si>
  <si>
    <t>Actual capital to improve the level of service</t>
  </si>
  <si>
    <t>WSF20c</t>
  </si>
  <si>
    <t>Actual capital to replace existing assets</t>
  </si>
  <si>
    <t>WSF21</t>
  </si>
  <si>
    <t>Actual capital expenditure per property: water supply</t>
  </si>
  <si>
    <t>Asset value</t>
  </si>
  <si>
    <t>WSF22</t>
  </si>
  <si>
    <t>Development contributions: water supply assets</t>
  </si>
  <si>
    <t>Core Asset Disclosure Note</t>
  </si>
  <si>
    <t>WSF23a</t>
  </si>
  <si>
    <t>Water treatment facility value at end of reporting year</t>
  </si>
  <si>
    <t>WSF23b</t>
  </si>
  <si>
    <t>Other water supply asset value</t>
  </si>
  <si>
    <t>WSF24</t>
  </si>
  <si>
    <t>Decline in service potential: water supply</t>
  </si>
  <si>
    <t>Wastewater:</t>
  </si>
  <si>
    <t>Wastewater network</t>
  </si>
  <si>
    <t>WWA5</t>
  </si>
  <si>
    <t>Wastewater Pump Stations</t>
  </si>
  <si>
    <t>WWA1a</t>
  </si>
  <si>
    <t>Total Length of Public Wastewater Network</t>
  </si>
  <si>
    <t>WWA8</t>
  </si>
  <si>
    <t>Total Length of Combined Wastewater and Stormwater Pipelines</t>
  </si>
  <si>
    <t>WWA7</t>
  </si>
  <si>
    <t>Number of wastewater treatment plants</t>
  </si>
  <si>
    <t>Same as last year</t>
  </si>
  <si>
    <t>Plant 1</t>
  </si>
  <si>
    <t>Plant 2</t>
  </si>
  <si>
    <t>Plant 3</t>
  </si>
  <si>
    <t>Plant 4</t>
  </si>
  <si>
    <t>Plant 5</t>
  </si>
  <si>
    <t>Plant 6</t>
  </si>
  <si>
    <t>Plant 7</t>
  </si>
  <si>
    <t>Plant 8</t>
  </si>
  <si>
    <t>Plant 9</t>
  </si>
  <si>
    <t>Plant 10</t>
  </si>
  <si>
    <t>Plant 11</t>
  </si>
  <si>
    <t>Plant 12</t>
  </si>
  <si>
    <t>Plant 13</t>
  </si>
  <si>
    <t>Plant 14</t>
  </si>
  <si>
    <t>Plant 15</t>
  </si>
  <si>
    <t>Plant 16</t>
  </si>
  <si>
    <t>Plant 17</t>
  </si>
  <si>
    <t>Plant 18</t>
  </si>
  <si>
    <t>WWA7a</t>
  </si>
  <si>
    <t>Wastewater treatment plant name</t>
  </si>
  <si>
    <t>Volume of wastewater</t>
  </si>
  <si>
    <t>WWA7d</t>
  </si>
  <si>
    <t>Volume of wastewater treated at treatment plant</t>
  </si>
  <si>
    <t>Andrew S</t>
  </si>
  <si>
    <t>treated</t>
  </si>
  <si>
    <t>WWA7f</t>
  </si>
  <si>
    <t>Proportion of trade waste at treatment plant</t>
  </si>
  <si>
    <t>WWB6</t>
  </si>
  <si>
    <t>Wastewater Imported for Treatment</t>
  </si>
  <si>
    <t>WWB5</t>
  </si>
  <si>
    <t>Wastewater Exported for Treatment</t>
  </si>
  <si>
    <t xml:space="preserve">Queenstown WWTP (Project Shotover) </t>
  </si>
  <si>
    <t>Wanaka WWTP (Project Pure)</t>
  </si>
  <si>
    <t>Cardrona WWTP</t>
  </si>
  <si>
    <t xml:space="preserve"> Hawea WWTP</t>
  </si>
  <si>
    <t>Glendhu Bay campground</t>
  </si>
  <si>
    <t>Albert Town campground</t>
  </si>
  <si>
    <t>Resource consents</t>
  </si>
  <si>
    <t>WWA7g</t>
  </si>
  <si>
    <t>Number of consents at each treatment plant</t>
  </si>
  <si>
    <t>Rebecca Mcloud  / Vaughn</t>
  </si>
  <si>
    <t>WWA7h</t>
  </si>
  <si>
    <t>Treatment Plant effluent resource consent expiry date</t>
  </si>
  <si>
    <t>dd/mm/yyyyy</t>
  </si>
  <si>
    <t>WWA7i</t>
  </si>
  <si>
    <t>Treatment plant effluent consent status</t>
  </si>
  <si>
    <t>Current</t>
  </si>
  <si>
    <t xml:space="preserve">Current </t>
  </si>
  <si>
    <t>WWE4g</t>
  </si>
  <si>
    <t>Wet weather overflow regulation approach</t>
  </si>
  <si>
    <t>No regulatory approach</t>
  </si>
  <si>
    <t>Biosolids</t>
  </si>
  <si>
    <t>WWA7j-1</t>
  </si>
  <si>
    <t>Treatment Plant sludge production of wet sludge/biosolids</t>
  </si>
  <si>
    <t>tonne/year</t>
  </si>
  <si>
    <t>WWA7j-2</t>
  </si>
  <si>
    <t>Percentage of dry solids in wastewater sludge/biosolids</t>
  </si>
  <si>
    <t>WWA7k-1</t>
  </si>
  <si>
    <t>Disposal of wastewater sludge in year to on site stockpile</t>
  </si>
  <si>
    <t>WWA7k-2</t>
  </si>
  <si>
    <t>Disposal of wastewater sludge in year to landfill</t>
  </si>
  <si>
    <t>WWA7k-3</t>
  </si>
  <si>
    <t>Disposal of wastewater sludge in year to composting and reuse</t>
  </si>
  <si>
    <t>WWA7k-4</t>
  </si>
  <si>
    <t>Disposal of wastewater sludge in year to other routes</t>
  </si>
  <si>
    <t>WWA7k-5</t>
  </si>
  <si>
    <t>Last year desludged</t>
  </si>
  <si>
    <t>year</t>
  </si>
  <si>
    <t>Taken from GIS Layer_WWMains_Excluding Pvate, abandoned,removed</t>
  </si>
  <si>
    <t>Inflow and infiltration</t>
  </si>
  <si>
    <t>WWA7m</t>
  </si>
  <si>
    <t>Treatment plant peak wet to average dry weather flow ratio</t>
  </si>
  <si>
    <t>Taken from GIS Layer_WWMains+SWMains_Excluding Pvate, abandoned,removed</t>
  </si>
  <si>
    <t>Greenhouse gas</t>
  </si>
  <si>
    <t>WWA7n</t>
  </si>
  <si>
    <t>Wastewater treatment plant process emissions</t>
  </si>
  <si>
    <t>tCO2-e/yr</t>
  </si>
  <si>
    <t>Mark Baker / Katherine Durman</t>
  </si>
  <si>
    <t xml:space="preserve"> emissions</t>
  </si>
  <si>
    <t>WWA7o</t>
  </si>
  <si>
    <t>Wastewater treatment wetland emissions</t>
  </si>
  <si>
    <t>WWA7p</t>
  </si>
  <si>
    <t>Wastewater effluent disposal emissions</t>
  </si>
  <si>
    <t>WWA7q</t>
  </si>
  <si>
    <t>Wastewater sludge treatment emissions</t>
  </si>
  <si>
    <t>WWA7r</t>
  </si>
  <si>
    <t>Wastewater sludge disposal emissions</t>
  </si>
  <si>
    <t xml:space="preserve">Wastewater network </t>
  </si>
  <si>
    <t>WWB2</t>
  </si>
  <si>
    <t>Residential connections to the wastewater network</t>
  </si>
  <si>
    <t>WWB3</t>
  </si>
  <si>
    <t>Non-residential connections to the wastewater network</t>
  </si>
  <si>
    <t>WWB1a</t>
  </si>
  <si>
    <t>Wastewater Serviced Population</t>
  </si>
  <si>
    <t xml:space="preserve">WWB1b </t>
  </si>
  <si>
    <t>Wastewater Service Coverage</t>
  </si>
  <si>
    <t>WWB4</t>
  </si>
  <si>
    <t>Total connections to wastewater networks</t>
  </si>
  <si>
    <t xml:space="preserve">Fault attendance </t>
  </si>
  <si>
    <t>WWS6a</t>
  </si>
  <si>
    <t>Wastewater fault attendance time</t>
  </si>
  <si>
    <t>DIA</t>
  </si>
  <si>
    <t>and resolution</t>
  </si>
  <si>
    <t>WWS6b</t>
  </si>
  <si>
    <t>Wastewater fault resolution time</t>
  </si>
  <si>
    <t>Outages</t>
  </si>
  <si>
    <t>WWS7a</t>
  </si>
  <si>
    <t>Unplanned Total Interruptions: Wastewater</t>
  </si>
  <si>
    <t>WWS7b</t>
  </si>
  <si>
    <t>Third party Incidents: Wastewater</t>
  </si>
  <si>
    <t>WWS7c</t>
  </si>
  <si>
    <t>Unplanned Interruption Frequency: Wastewater</t>
  </si>
  <si>
    <t>Asset condition</t>
  </si>
  <si>
    <t>WWA2f</t>
  </si>
  <si>
    <t>WWA2d</t>
  </si>
  <si>
    <t>WWA3</t>
  </si>
  <si>
    <t>Average Age of Wastewater Pipelines</t>
  </si>
  <si>
    <t>Changes in DRC/ORC compared to 2021</t>
  </si>
  <si>
    <t>WWA4</t>
  </si>
  <si>
    <t>Wastewater CCTV inspection</t>
  </si>
  <si>
    <t>WWA6</t>
  </si>
  <si>
    <t>WWT1</t>
  </si>
  <si>
    <t>Overflows</t>
  </si>
  <si>
    <t>WWE1</t>
  </si>
  <si>
    <t>Dry Weather Wastewater Overflows</t>
  </si>
  <si>
    <t>WWE1a</t>
  </si>
  <si>
    <t>Overflows caused by blockages</t>
  </si>
  <si>
    <t>DIA measures</t>
  </si>
  <si>
    <t>WWE1b</t>
  </si>
  <si>
    <t>Overflows caused by plant failures</t>
  </si>
  <si>
    <t>WWE2a</t>
  </si>
  <si>
    <t>Wet weather overflows from the wastewater network</t>
  </si>
  <si>
    <t>WWE2b</t>
  </si>
  <si>
    <t>Wet weather overflows from combined stormwater and wastewater networks</t>
  </si>
  <si>
    <t>WWE3</t>
  </si>
  <si>
    <t xml:space="preserve">Total Wastewater Overflows </t>
  </si>
  <si>
    <t>WWE3a</t>
  </si>
  <si>
    <t>Wastewater overflows on private properties</t>
  </si>
  <si>
    <t>WWE7</t>
  </si>
  <si>
    <t>Sewage design standards for network capacity</t>
  </si>
  <si>
    <t>NZS4404</t>
  </si>
  <si>
    <t>WWE8</t>
  </si>
  <si>
    <t>Sewage containment of the existing network</t>
  </si>
  <si>
    <t>WWE9a</t>
  </si>
  <si>
    <t>Overflows recorded through verbal reports</t>
  </si>
  <si>
    <t>Brandon</t>
  </si>
  <si>
    <t>WWE9b</t>
  </si>
  <si>
    <t>Overflows recorded through SCADA monitoring</t>
  </si>
  <si>
    <t>WWE9c</t>
  </si>
  <si>
    <t>Overflows calculated through hydraulic models</t>
  </si>
  <si>
    <t>WWE9d</t>
  </si>
  <si>
    <t>Overflows calculated through calibrated hydraulic models</t>
  </si>
  <si>
    <t>Compliance</t>
  </si>
  <si>
    <t>WWE4a</t>
  </si>
  <si>
    <t>Wastewater consent abatement notices</t>
  </si>
  <si>
    <t>CS VUE</t>
  </si>
  <si>
    <t>WWE4b</t>
  </si>
  <si>
    <t>Wastewater consent infringement notices</t>
  </si>
  <si>
    <t>WWE4c</t>
  </si>
  <si>
    <t>Wastewater consent enforcement orders</t>
  </si>
  <si>
    <t>WWE4d</t>
  </si>
  <si>
    <t>Wastewater consent successful prosecutions</t>
  </si>
  <si>
    <t>WWE4e</t>
  </si>
  <si>
    <t>Wastewater treatment plant consent non-conformance</t>
  </si>
  <si>
    <t xml:space="preserve">Exceedance of effluent quality, flows and ponding </t>
  </si>
  <si>
    <t>WWE4f</t>
  </si>
  <si>
    <t>Wastewater network discharge non-conformance</t>
  </si>
  <si>
    <t>WWE4h</t>
  </si>
  <si>
    <t>Wastewater consent letter of direction</t>
  </si>
  <si>
    <t>WWE4i</t>
  </si>
  <si>
    <t>Wastewater consent formal warming</t>
  </si>
  <si>
    <t>Energy</t>
  </si>
  <si>
    <t>WWT2</t>
  </si>
  <si>
    <t>Wastewater grid electricity use</t>
  </si>
  <si>
    <t>WWT3</t>
  </si>
  <si>
    <t>Wastewater energy use from other fuels</t>
  </si>
  <si>
    <t>WWE5c</t>
  </si>
  <si>
    <t>Wastewater energy generation</t>
  </si>
  <si>
    <t>WWCC1</t>
  </si>
  <si>
    <t>Has a climate change risk assesment been undertaken for wastewater networks</t>
  </si>
  <si>
    <t>NO</t>
  </si>
  <si>
    <t>WWCC2</t>
  </si>
  <si>
    <t>Is there a climate change adapataion plan in place for wastewater networks</t>
  </si>
  <si>
    <t>WWCC3</t>
  </si>
  <si>
    <t>Has an emissions baseline been set for forecast wastewater investments</t>
  </si>
  <si>
    <t>WWT4</t>
  </si>
  <si>
    <t>Has an assessment been undertaken to identify critical wastewater assets</t>
  </si>
  <si>
    <t>Trade waste</t>
  </si>
  <si>
    <t>WWE6a</t>
  </si>
  <si>
    <t>Trade waste bylaw</t>
  </si>
  <si>
    <t>WWE6b</t>
  </si>
  <si>
    <t>Individual trade waste consents</t>
  </si>
  <si>
    <t>WWE6c</t>
  </si>
  <si>
    <t>Companies breaching trade waste consents</t>
  </si>
  <si>
    <t>WWE6d</t>
  </si>
  <si>
    <t>Non-compliance actions in response to trade waste breaches</t>
  </si>
  <si>
    <t>Comment</t>
  </si>
  <si>
    <t>WWS1a</t>
  </si>
  <si>
    <t>Fixed Charge: Non residential wastewater</t>
  </si>
  <si>
    <t>WWS1b</t>
  </si>
  <si>
    <t>Fixed  Charge Type: Non residential wastewater</t>
  </si>
  <si>
    <t>WWS1c</t>
  </si>
  <si>
    <t>Volumetric Charge: Non residential wastewater</t>
  </si>
  <si>
    <t>WWS1d</t>
  </si>
  <si>
    <t>Contaminant Based Charging</t>
  </si>
  <si>
    <t>WWS2a</t>
  </si>
  <si>
    <t>Fixed Charge: Residential wastewater</t>
  </si>
  <si>
    <t>WWS2b</t>
  </si>
  <si>
    <t>Fixed Charge Type: Residential wastewater</t>
  </si>
  <si>
    <t>WWS2c</t>
  </si>
  <si>
    <t>Volumetric Charge: Residential wastewater</t>
  </si>
  <si>
    <t>WWS3</t>
  </si>
  <si>
    <r>
      <t>Average Annual Residential Wastewater Charge Based on 200 m</t>
    </r>
    <r>
      <rPr>
        <vertAlign val="superscript"/>
        <sz val="11"/>
        <color theme="1"/>
        <rFont val="Calibri"/>
        <family val="2"/>
        <scheme val="minor"/>
      </rPr>
      <t>3</t>
    </r>
    <r>
      <rPr>
        <sz val="11"/>
        <color theme="1"/>
        <rFont val="Calibri"/>
        <family val="2"/>
        <scheme val="minor"/>
      </rPr>
      <t xml:space="preserve">/yr </t>
    </r>
  </si>
  <si>
    <t>WWS4</t>
  </si>
  <si>
    <t>Wastewater complaints</t>
  </si>
  <si>
    <t>WWS4a</t>
  </si>
  <si>
    <t>Sewage odour complaints</t>
  </si>
  <si>
    <t>WWS4b</t>
  </si>
  <si>
    <t>Sewerage system fault complaints</t>
  </si>
  <si>
    <t>WWS4c</t>
  </si>
  <si>
    <t>Sewerage system blockage complaints</t>
  </si>
  <si>
    <t>WWS4d</t>
  </si>
  <si>
    <t>The authority’s response to issues with its sewerage system</t>
  </si>
  <si>
    <t>WWS5</t>
  </si>
  <si>
    <t>Wastewater complaints frequency</t>
  </si>
  <si>
    <t>WWF1</t>
  </si>
  <si>
    <t>Revenue from the Provision of Wastewater Treatment Services to Another Local Authority</t>
  </si>
  <si>
    <t>WWF2</t>
  </si>
  <si>
    <t>Operating Revenue: Wastewater</t>
  </si>
  <si>
    <t>WW P &amp; L tab</t>
  </si>
  <si>
    <t>WWF3</t>
  </si>
  <si>
    <t>Development Contribution Revenue: Wastewater</t>
  </si>
  <si>
    <t>WWF4</t>
  </si>
  <si>
    <t>Total Revenue: Wastewater</t>
  </si>
  <si>
    <t>WWF5</t>
  </si>
  <si>
    <t>Revenue per Property: Wastewater</t>
  </si>
  <si>
    <t>WWF6</t>
  </si>
  <si>
    <t>Debt funding: Wastewater</t>
  </si>
  <si>
    <t>WWF26</t>
  </si>
  <si>
    <t>External Grants: Wastewater</t>
  </si>
  <si>
    <t>WWF7</t>
  </si>
  <si>
    <t>Energy Costs: Wastewater</t>
  </si>
  <si>
    <t>WWF8</t>
  </si>
  <si>
    <t>Sludge Disposal Costs: Wastewater</t>
  </si>
  <si>
    <t>WWF9</t>
  </si>
  <si>
    <t>Routine Maintenance: Wastewater</t>
  </si>
  <si>
    <t>WWF10</t>
  </si>
  <si>
    <t>Reactive Maintenance: Wastewater</t>
  </si>
  <si>
    <t>WWF11</t>
  </si>
  <si>
    <t>Management Costs: Wastewater</t>
  </si>
  <si>
    <t>WWF12</t>
  </si>
  <si>
    <t xml:space="preserve">Councils Contract Management Costs: Wastewater </t>
  </si>
  <si>
    <t>Andrew/Vaughn/Gus</t>
  </si>
  <si>
    <t>WWF13</t>
  </si>
  <si>
    <t>Operating Cost: Wastewater</t>
  </si>
  <si>
    <t>WWF14</t>
  </si>
  <si>
    <t>Operating Cost per Property: Wastewater</t>
  </si>
  <si>
    <t>WWF15</t>
  </si>
  <si>
    <t>Annual Depreciation: Wastewater</t>
  </si>
  <si>
    <t>WWF16a</t>
  </si>
  <si>
    <t>Interest: Wastewater</t>
  </si>
  <si>
    <t>WWF16b</t>
  </si>
  <si>
    <t>Debt affordability: Wastewater</t>
  </si>
  <si>
    <t>WWF17</t>
  </si>
  <si>
    <t>Operational Cost Coverage: Wastewater</t>
  </si>
  <si>
    <t>WWF18</t>
  </si>
  <si>
    <t>Total Cost: Wastewater</t>
  </si>
  <si>
    <t>WWF19</t>
  </si>
  <si>
    <t>Total Cost per Property: Wastewater</t>
  </si>
  <si>
    <t>WWF20</t>
  </si>
  <si>
    <t>Budgeted Capital Expenditure: Wastewater</t>
  </si>
  <si>
    <t>WWF20a</t>
  </si>
  <si>
    <t>WWF20b</t>
  </si>
  <si>
    <t>WWF20c</t>
  </si>
  <si>
    <t>WWF21</t>
  </si>
  <si>
    <t>Actual Capital Expenditure: Wastewater</t>
  </si>
  <si>
    <t>WWF21a</t>
  </si>
  <si>
    <t>WWF21b</t>
  </si>
  <si>
    <t>WWF21c</t>
  </si>
  <si>
    <t>WWF22</t>
  </si>
  <si>
    <t>Actual Capital Expenditure per Property: Wastewater</t>
  </si>
  <si>
    <t>WWF23</t>
  </si>
  <si>
    <t>Development Contributions: Wastewater assets</t>
  </si>
  <si>
    <t>WWF24a</t>
  </si>
  <si>
    <t>Wastewater facility value at end of reporting year</t>
  </si>
  <si>
    <t>WWF24b</t>
  </si>
  <si>
    <t>Other wastewater asset value</t>
  </si>
  <si>
    <t>WWF25</t>
  </si>
  <si>
    <t>Decline in Service Potential: Wastewater</t>
  </si>
  <si>
    <t>Stormwater:</t>
  </si>
  <si>
    <t xml:space="preserve">Stormwater network </t>
  </si>
  <si>
    <t>SWA1a</t>
  </si>
  <si>
    <t>Total Length of Public Stormwater Network</t>
  </si>
  <si>
    <t>Taken from GIS Layer_SWMains_Excluding Pvate, abandoned,removed</t>
  </si>
  <si>
    <t>SWA7</t>
  </si>
  <si>
    <t>Stormwater Pump Stations</t>
  </si>
  <si>
    <t>SWB2</t>
  </si>
  <si>
    <t>Stormwater Serviced Properties - Residential</t>
  </si>
  <si>
    <t>SWB3</t>
  </si>
  <si>
    <t>Stormwater Serviced Properties - Non-residential</t>
  </si>
  <si>
    <t>SWB1</t>
  </si>
  <si>
    <t>Stormwater Serviced Population</t>
  </si>
  <si>
    <t>SWB4</t>
  </si>
  <si>
    <t>Total Stormwater Serviced Properties</t>
  </si>
  <si>
    <t>SWA2f</t>
  </si>
  <si>
    <t>SWA2d</t>
  </si>
  <si>
    <t>SWA3</t>
  </si>
  <si>
    <t>Average Age of Stormwater Pipelines</t>
  </si>
  <si>
    <t>Change in DRC/ORC from 2021</t>
  </si>
  <si>
    <t>SWA6</t>
  </si>
  <si>
    <t>Stormwater network CCTV inspection</t>
  </si>
  <si>
    <t>SWA5c</t>
  </si>
  <si>
    <t>Percentage of above ground stormwater assets that have received a condition grading</t>
  </si>
  <si>
    <t>SWA5d</t>
  </si>
  <si>
    <t>Percentage of above ground assets in poor of very poor condition</t>
  </si>
  <si>
    <t>Discharges</t>
  </si>
  <si>
    <t>SWE1a</t>
  </si>
  <si>
    <t>Number of stormwater discharges from the piped network</t>
  </si>
  <si>
    <t>Assume same as last year</t>
  </si>
  <si>
    <t>SWE1b</t>
  </si>
  <si>
    <t>Number of stormwater discharges with resource consents</t>
  </si>
  <si>
    <t>SWE2a</t>
  </si>
  <si>
    <t>Stormwater consent abatement notices</t>
  </si>
  <si>
    <t>SWE2b</t>
  </si>
  <si>
    <t>Stormwater consent infringement notices</t>
  </si>
  <si>
    <t>SWE2c</t>
  </si>
  <si>
    <t>Stormwater consent enforcement orders</t>
  </si>
  <si>
    <t>SWE2d</t>
  </si>
  <si>
    <t>Stormwater successful prosecutions</t>
  </si>
  <si>
    <t>SWE2e</t>
  </si>
  <si>
    <t>Stormwater consent non-conformance</t>
  </si>
  <si>
    <t>SWE2f</t>
  </si>
  <si>
    <t>Stormwater consent letters of direction</t>
  </si>
  <si>
    <t>SWE2g</t>
  </si>
  <si>
    <t>Stormwater consent formal warning</t>
  </si>
  <si>
    <t>Quality</t>
  </si>
  <si>
    <t>SWE3</t>
  </si>
  <si>
    <t>Stormwater quality monitoring</t>
  </si>
  <si>
    <t>SWE4</t>
  </si>
  <si>
    <t>Stormwater catchment management plans</t>
  </si>
  <si>
    <t>SWE5</t>
  </si>
  <si>
    <t>Stormwater grid electricity use</t>
  </si>
  <si>
    <t>SWT1</t>
  </si>
  <si>
    <t>Stormwater energy use from other fuels</t>
  </si>
  <si>
    <t>SWE6</t>
  </si>
  <si>
    <t>Has a climate change risk assesment been undertaken for stormwater networks</t>
  </si>
  <si>
    <t>SWE7</t>
  </si>
  <si>
    <t>Is there a climate change adapataion plan in place for stormwater networks</t>
  </si>
  <si>
    <t>SWE8</t>
  </si>
  <si>
    <t>Has an emissions baseline been set for forecast stormwater investments</t>
  </si>
  <si>
    <t>SWE9</t>
  </si>
  <si>
    <t>Attenuation storage requirements for new developments</t>
  </si>
  <si>
    <t>L/m2</t>
  </si>
  <si>
    <t>SWE10</t>
  </si>
  <si>
    <t>RCP scenario (s) new stormwater systems are designed to</t>
  </si>
  <si>
    <t>SWE11</t>
  </si>
  <si>
    <t>Time horizon (s) new stormwater systems are designed to</t>
  </si>
  <si>
    <t>Year</t>
  </si>
  <si>
    <t>SWS1</t>
  </si>
  <si>
    <t>Stormwater Charge</t>
  </si>
  <si>
    <t>SWS2</t>
  </si>
  <si>
    <t>Stormwater Charge type</t>
  </si>
  <si>
    <t>SWS3</t>
  </si>
  <si>
    <t>Stormwater Complaints</t>
  </si>
  <si>
    <t>SWS3a</t>
  </si>
  <si>
    <t>Stormwater blockage complaints</t>
  </si>
  <si>
    <t>DIA measuers</t>
  </si>
  <si>
    <t>SWS3b</t>
  </si>
  <si>
    <t>Stormwater fault complaints</t>
  </si>
  <si>
    <t>SWS4</t>
  </si>
  <si>
    <t>Stormwater Complaints Frequency</t>
  </si>
  <si>
    <t>Number/1000 props</t>
  </si>
  <si>
    <t>Flooding</t>
  </si>
  <si>
    <t>SWS5</t>
  </si>
  <si>
    <t>Flooding events resulting from storms exceeding stormwater capacity</t>
  </si>
  <si>
    <t>SWS5a</t>
  </si>
  <si>
    <t>Number of habitable floors affected by storms exceeding stormwater capacity</t>
  </si>
  <si>
    <t>SWS5b</t>
  </si>
  <si>
    <t>Number of habitable floors affected per 1000 stormwater serviced properties</t>
  </si>
  <si>
    <t>SWS5c</t>
  </si>
  <si>
    <t>Flooding events resulting from other causes</t>
  </si>
  <si>
    <t>SWS5d</t>
  </si>
  <si>
    <t>Number of habitable floors affected by flooding from other causes</t>
  </si>
  <si>
    <t>SWS6</t>
  </si>
  <si>
    <t>Flooding Response Time</t>
  </si>
  <si>
    <t>SWS7a</t>
  </si>
  <si>
    <t>Primary stormwater network capacity</t>
  </si>
  <si>
    <t>AEP%</t>
  </si>
  <si>
    <t>Assumed same as last year</t>
  </si>
  <si>
    <t>SWS7b</t>
  </si>
  <si>
    <t>Secondary stormwater network capacity</t>
  </si>
  <si>
    <t>SWF1</t>
  </si>
  <si>
    <t>Operating Revenue: Stormwater</t>
  </si>
  <si>
    <t>SW P&amp;L tab</t>
  </si>
  <si>
    <t>SWF2</t>
  </si>
  <si>
    <t>Development Contribution Revenue: Stormwater</t>
  </si>
  <si>
    <t>SWF3</t>
  </si>
  <si>
    <t>Total Revenue: Stormwater</t>
  </si>
  <si>
    <t>SWF4</t>
  </si>
  <si>
    <t>Total Revenue per Property: Stormwater</t>
  </si>
  <si>
    <t>$/property</t>
  </si>
  <si>
    <t>SWF5</t>
  </si>
  <si>
    <t>Debt funding: Stormwater</t>
  </si>
  <si>
    <t>SWF22</t>
  </si>
  <si>
    <t>External Grants: Stormwater</t>
  </si>
  <si>
    <t>SWF6a</t>
  </si>
  <si>
    <t xml:space="preserve">Routine maintenance: Stormwater </t>
  </si>
  <si>
    <t>SWF6b</t>
  </si>
  <si>
    <t xml:space="preserve">Reactive maintenance: Stormwater </t>
  </si>
  <si>
    <t>SWF7</t>
  </si>
  <si>
    <t>Management Costs: Stormwater</t>
  </si>
  <si>
    <t>SWF8</t>
  </si>
  <si>
    <t>Council Contract Management Costs: Stormwater</t>
  </si>
  <si>
    <t>Simon</t>
  </si>
  <si>
    <t>SWF9</t>
  </si>
  <si>
    <t>Operating Cost: Stormwater</t>
  </si>
  <si>
    <t>SWF10</t>
  </si>
  <si>
    <t>Operating Cost per Property: Stormwater</t>
  </si>
  <si>
    <t>SWF11</t>
  </si>
  <si>
    <t>Annual Depreciation: Stormwater</t>
  </si>
  <si>
    <t>SWF12a</t>
  </si>
  <si>
    <t>Interest: Stormwater</t>
  </si>
  <si>
    <t>SWF12b</t>
  </si>
  <si>
    <t>Debt Affordability: Stormwater</t>
  </si>
  <si>
    <t>SWF13</t>
  </si>
  <si>
    <t>Operational Cost Coverage: Stormwater</t>
  </si>
  <si>
    <t>SWF14</t>
  </si>
  <si>
    <t>Total Cost: Stormwater</t>
  </si>
  <si>
    <t>SWF15</t>
  </si>
  <si>
    <t>Total Cost per Property: Stormwater</t>
  </si>
  <si>
    <t>SWF16</t>
  </si>
  <si>
    <t>Budgeted Capital Expenditure: Stormwater</t>
  </si>
  <si>
    <t>SWF16a</t>
  </si>
  <si>
    <t>SWF16b</t>
  </si>
  <si>
    <t>SWF16c</t>
  </si>
  <si>
    <t>SWF17</t>
  </si>
  <si>
    <t>Actual Capital Expenditure: Stormwater</t>
  </si>
  <si>
    <t>SWF17a</t>
  </si>
  <si>
    <t>SWF17b</t>
  </si>
  <si>
    <t>SWF17c</t>
  </si>
  <si>
    <t>SWF18</t>
  </si>
  <si>
    <t>Actual Capital Expenditure per Property: Stormwater</t>
  </si>
  <si>
    <t>SWF19</t>
  </si>
  <si>
    <t>Development Contributions: Stormwater assets</t>
  </si>
  <si>
    <t>SWF20</t>
  </si>
  <si>
    <t>Stormwater asset value at end of reporting year</t>
  </si>
  <si>
    <t>SWF21</t>
  </si>
  <si>
    <t>Decline in Service Potential: Stormwater</t>
  </si>
  <si>
    <t>RESIDENTIAL</t>
  </si>
  <si>
    <t>QUEENSTOWN</t>
  </si>
  <si>
    <t>WANAKA</t>
  </si>
  <si>
    <t>ARROWTOWN</t>
  </si>
  <si>
    <t>EST 2020/21</t>
  </si>
  <si>
    <t>EST 2021/22</t>
  </si>
  <si>
    <t>DIFF</t>
  </si>
  <si>
    <t>Capital Value</t>
  </si>
  <si>
    <t>Uniform Annual General Charge</t>
  </si>
  <si>
    <t>Sports, Halls &amp; Libraries Charge (District)</t>
  </si>
  <si>
    <t>Combined Fixed Charges (Rec, Gov &amp; Reg)</t>
  </si>
  <si>
    <t>Aquatic  Centre Charge (Ward)</t>
  </si>
  <si>
    <t xml:space="preserve">General Rate </t>
  </si>
  <si>
    <t xml:space="preserve">Recreation &amp; Events Rate </t>
  </si>
  <si>
    <t xml:space="preserve">Governance Rate </t>
  </si>
  <si>
    <t xml:space="preserve">Regulatory Rate </t>
  </si>
  <si>
    <t>Roading Rate (Ward)</t>
  </si>
  <si>
    <t>Stormwater Rate (Ward)</t>
  </si>
  <si>
    <t>Total General Rates</t>
  </si>
  <si>
    <t>Water</t>
  </si>
  <si>
    <t>Uniform Annual Charge</t>
  </si>
  <si>
    <t>Capital Value Base Rate</t>
  </si>
  <si>
    <t>Sewerage</t>
  </si>
  <si>
    <t>Connection Charge</t>
  </si>
  <si>
    <t>Waste Management Charge (District)</t>
  </si>
  <si>
    <t>Total Rates</t>
  </si>
  <si>
    <t>COMMERCIAL</t>
  </si>
  <si>
    <t>Combined new Fixed Charges (Rec, Gov &amp; Reg)</t>
  </si>
  <si>
    <t>Roading Rate</t>
  </si>
  <si>
    <t>Stormwater Rate</t>
  </si>
  <si>
    <t>Promotion Rate</t>
  </si>
  <si>
    <t>Total General Rate</t>
  </si>
  <si>
    <t>Waste Management</t>
  </si>
  <si>
    <t>UTILITIES</t>
  </si>
  <si>
    <t>HYDRO</t>
  </si>
  <si>
    <t>Type</t>
  </si>
  <si>
    <t>Primary Industry</t>
  </si>
  <si>
    <t>Country Dwelling</t>
  </si>
  <si>
    <t>ACCOMMODATION</t>
  </si>
  <si>
    <t>MIXED - USE ACCOMMODATION</t>
  </si>
  <si>
    <t>PRIMARY INDUSTRY</t>
  </si>
  <si>
    <t>WAKATIPU</t>
  </si>
  <si>
    <t>COUNTRY DWELLING</t>
  </si>
  <si>
    <t>VACANT</t>
  </si>
  <si>
    <t>Aquatic  Centre Charge</t>
  </si>
  <si>
    <t xml:space="preserve">Recreation Rate </t>
  </si>
  <si>
    <t>MIXED - USE COMMERCIAL</t>
  </si>
  <si>
    <t>GLENORCHY</t>
  </si>
  <si>
    <t>ALBERT TOWN</t>
  </si>
  <si>
    <t>HAWEA</t>
  </si>
  <si>
    <t>KINGSTON</t>
  </si>
  <si>
    <t>ARTHURS POINT</t>
  </si>
  <si>
    <t>LAKE HAYES</t>
  </si>
  <si>
    <t>LUGGATE</t>
  </si>
  <si>
    <t>n/a</t>
  </si>
  <si>
    <t>SUMMARY OF INDICATIVE TOTAL RATE MOVEMENTS 21/22</t>
  </si>
  <si>
    <t>Median Values</t>
  </si>
  <si>
    <t>MEDIAN</t>
  </si>
  <si>
    <t>PROPERTY TYPE</t>
  </si>
  <si>
    <t>CV</t>
  </si>
  <si>
    <t>LOCATION</t>
  </si>
  <si>
    <t>PROPOSED FUNDING CHANGES 2011/12</t>
  </si>
  <si>
    <t>L) DISTRICT PLAN</t>
  </si>
  <si>
    <t>a) Existing Treatment (000's)</t>
  </si>
  <si>
    <t>b) Proposed Treatment (000's)</t>
  </si>
  <si>
    <t>Net Operating Cost</t>
  </si>
  <si>
    <t>Loan (65%)</t>
  </si>
  <si>
    <t>Loan (0%)</t>
  </si>
  <si>
    <t>Rate Funded</t>
  </si>
  <si>
    <t>Loan Repayment</t>
  </si>
  <si>
    <t>Rates Required</t>
  </si>
  <si>
    <t>Additional Loan</t>
  </si>
  <si>
    <t>M/U ACCOMMODATION</t>
  </si>
  <si>
    <t>M) DEPRECIATION FUNDING</t>
  </si>
  <si>
    <t>Expense (000's)</t>
  </si>
  <si>
    <t>Movement (000's)</t>
  </si>
  <si>
    <t>2012/13</t>
  </si>
  <si>
    <t>Water Supply</t>
  </si>
  <si>
    <t>Stormwater</t>
  </si>
  <si>
    <t>Roading</t>
  </si>
  <si>
    <t>M/U COMMERCIAL</t>
  </si>
  <si>
    <t>Total</t>
  </si>
  <si>
    <t>To Fund (000's)</t>
  </si>
  <si>
    <t>Indicative Residential Rates 2013-14</t>
  </si>
  <si>
    <t>Draft</t>
  </si>
  <si>
    <t>Location</t>
  </si>
  <si>
    <t>Queenstown</t>
  </si>
  <si>
    <t>Wanaka</t>
  </si>
  <si>
    <t>Arrowtown</t>
  </si>
  <si>
    <t>Glenorchy</t>
  </si>
  <si>
    <t>Kingston</t>
  </si>
  <si>
    <t>Albert Town</t>
  </si>
  <si>
    <t>Hawea</t>
  </si>
  <si>
    <t>Lake Hayes</t>
  </si>
  <si>
    <t xml:space="preserve"> CV</t>
  </si>
  <si>
    <t>UAGC</t>
  </si>
  <si>
    <t>Sports, Halls &amp; Libraries</t>
  </si>
  <si>
    <t xml:space="preserve">Aquatic Centre </t>
  </si>
  <si>
    <t>% Funded</t>
  </si>
  <si>
    <t>General Rate</t>
  </si>
  <si>
    <t>WATER &amp; SEWERAGE CHARGES 2011/12</t>
  </si>
  <si>
    <t>Water Rates/Charges</t>
  </si>
  <si>
    <t>2014/15</t>
  </si>
  <si>
    <t>plus CV Rate</t>
  </si>
  <si>
    <t>Waste Mgmt</t>
  </si>
  <si>
    <t>% Increase</t>
  </si>
  <si>
    <t>$ Increase</t>
  </si>
  <si>
    <t>Indicative Commercial Rates 2013-14</t>
  </si>
  <si>
    <t>Sewer Rates/Charges</t>
  </si>
  <si>
    <t>Commercial</t>
  </si>
  <si>
    <t>Mixed Use</t>
  </si>
  <si>
    <t>Indicative Accommodation Rates 2013-14</t>
  </si>
  <si>
    <t>Accommodation</t>
  </si>
  <si>
    <t>Indicative Rural Rates 2013-14</t>
  </si>
  <si>
    <t>Wakatipu</t>
  </si>
  <si>
    <t>FORMAT XLONE REPORT</t>
  </si>
  <si>
    <t>DefnSheetName=_defntmp_</t>
  </si>
  <si>
    <t>SET</t>
  </si>
  <si>
    <t>*</t>
  </si>
  <si>
    <t>2021/22 Profit &amp; Loss by Department</t>
  </si>
  <si>
    <t>26 - Water Supply</t>
  </si>
  <si>
    <t>as at June</t>
  </si>
  <si>
    <t>Run as at: 20-Sep-2022 09:26:37</t>
  </si>
  <si>
    <t>Manager: SIMONM</t>
  </si>
  <si>
    <t>SIGN</t>
  </si>
  <si>
    <t>Account</t>
  </si>
  <si>
    <t>Description</t>
  </si>
  <si>
    <t>June</t>
  </si>
  <si>
    <t>Fav /</t>
  </si>
  <si>
    <t>YTD</t>
  </si>
  <si>
    <t xml:space="preserve">Full Year </t>
  </si>
  <si>
    <t>% of Full Year</t>
  </si>
  <si>
    <t>Financial Advisory Month Comments</t>
  </si>
  <si>
    <t>Financial Advisory YTD Comments</t>
  </si>
  <si>
    <t>Actual</t>
  </si>
  <si>
    <t>Budget</t>
  </si>
  <si>
    <t>Var</t>
  </si>
  <si>
    <t>Unfav</t>
  </si>
  <si>
    <t xml:space="preserve">Actual </t>
  </si>
  <si>
    <t>Budget Spent</t>
  </si>
  <si>
    <t>LIST</t>
  </si>
  <si>
    <t>1101</t>
  </si>
  <si>
    <t>Water rates</t>
  </si>
  <si>
    <t>U</t>
  </si>
  <si>
    <t>1</t>
  </si>
  <si>
    <t>26</t>
  </si>
  <si>
    <t>1500</t>
  </si>
  <si>
    <t>Development contributions Water Supply</t>
  </si>
  <si>
    <t>F</t>
  </si>
  <si>
    <t>1699</t>
  </si>
  <si>
    <t>Sundry income - User Charges</t>
  </si>
  <si>
    <t>1901</t>
  </si>
  <si>
    <t>Vested assets</t>
  </si>
  <si>
    <t>1950</t>
  </si>
  <si>
    <t>Gain/(loss) on diposal of property, plant &amp; equipment</t>
  </si>
  <si>
    <t>Total Income</t>
  </si>
  <si>
    <t>2001</t>
  </si>
  <si>
    <t>Depreciation</t>
  </si>
  <si>
    <t>2</t>
  </si>
  <si>
    <t>2030</t>
  </si>
  <si>
    <t>Amortisation - software</t>
  </si>
  <si>
    <t>2131</t>
  </si>
  <si>
    <t>Asset write-off</t>
  </si>
  <si>
    <t>2312</t>
  </si>
  <si>
    <t>Insurance premiums - other</t>
  </si>
  <si>
    <t>2320</t>
  </si>
  <si>
    <t>Legal fees</t>
  </si>
  <si>
    <t>2330</t>
  </si>
  <si>
    <t>Electricity</t>
  </si>
  <si>
    <t>2334</t>
  </si>
  <si>
    <t>Rates - council owned ORC</t>
  </si>
  <si>
    <t>2335</t>
  </si>
  <si>
    <t>Rates - council owned QLDC</t>
  </si>
  <si>
    <t>2461</t>
  </si>
  <si>
    <t>Sundry expenses</t>
  </si>
  <si>
    <t>2469</t>
  </si>
  <si>
    <t>Technical Services</t>
  </si>
  <si>
    <t>2520</t>
  </si>
  <si>
    <t>Water maintenance contract</t>
  </si>
  <si>
    <t>2535</t>
  </si>
  <si>
    <t>Other Consultants</t>
  </si>
  <si>
    <t>2565</t>
  </si>
  <si>
    <t>Engineering Services Consultant</t>
  </si>
  <si>
    <t>2568</t>
  </si>
  <si>
    <t>Network Investigations</t>
  </si>
  <si>
    <t>2800</t>
  </si>
  <si>
    <t>Interest - borrowings</t>
  </si>
  <si>
    <t>3050</t>
  </si>
  <si>
    <t>Overhead allocation</t>
  </si>
  <si>
    <t>3</t>
  </si>
  <si>
    <t>Total Expenses</t>
  </si>
  <si>
    <t>Net Operating Surplus/(Deficit)</t>
  </si>
  <si>
    <t>24 - Wastewater</t>
  </si>
  <si>
    <t>as at End of Year</t>
  </si>
  <si>
    <t>Run as at: 20-Sep-2022 09:12:04</t>
  </si>
  <si>
    <t>End of Year</t>
  </si>
  <si>
    <t>1102</t>
  </si>
  <si>
    <t>Sewerage rates</t>
  </si>
  <si>
    <t>24</t>
  </si>
  <si>
    <t>1501</t>
  </si>
  <si>
    <t>Development contributions Wastewater</t>
  </si>
  <si>
    <t>2140</t>
  </si>
  <si>
    <t>Provide for doubtful debts</t>
  </si>
  <si>
    <t>2230</t>
  </si>
  <si>
    <t>Medical insurance</t>
  </si>
  <si>
    <t>2350</t>
  </si>
  <si>
    <t>Advertising</t>
  </si>
  <si>
    <t>2534</t>
  </si>
  <si>
    <t>Landfill costs</t>
  </si>
  <si>
    <t>:REPEAT END</t>
  </si>
  <si>
    <t>25 - Stormwater</t>
  </si>
  <si>
    <t>Run as at: 20-Sep-2022 09:26:29</t>
  </si>
  <si>
    <t>1502</t>
  </si>
  <si>
    <t>Development contributions Stormwater</t>
  </si>
  <si>
    <t>25</t>
  </si>
  <si>
    <t>50 - Financial Services</t>
  </si>
  <si>
    <t>Manager: STEWB</t>
  </si>
  <si>
    <t>1001</t>
  </si>
  <si>
    <t>General rates - residential</t>
  </si>
  <si>
    <t>1003</t>
  </si>
  <si>
    <t>Uniform annual general charge</t>
  </si>
  <si>
    <t>1107</t>
  </si>
  <si>
    <t>Regulatory rates</t>
  </si>
  <si>
    <t>1108</t>
  </si>
  <si>
    <t>Sports Hall &amp; Library rates</t>
  </si>
  <si>
    <t>1110</t>
  </si>
  <si>
    <t>Tourism promotion - Arrowtown</t>
  </si>
  <si>
    <t>1111</t>
  </si>
  <si>
    <t>Tourism promotion - Wakatipu</t>
  </si>
  <si>
    <t>1112</t>
  </si>
  <si>
    <t>Tourism promotion - Wanaka</t>
  </si>
  <si>
    <t>1113</t>
  </si>
  <si>
    <t>Rates - Aquatic Centre</t>
  </si>
  <si>
    <t>1114</t>
  </si>
  <si>
    <t>Roading rates - Wakatipu</t>
  </si>
  <si>
    <t>1115</t>
  </si>
  <si>
    <t>Roading rates - Wanaka</t>
  </si>
  <si>
    <t>1116</t>
  </si>
  <si>
    <t>Stormwater rates - Wakatipu</t>
  </si>
  <si>
    <t>1117</t>
  </si>
  <si>
    <t>Stormwater rates - Wanaka</t>
  </si>
  <si>
    <t>1118</t>
  </si>
  <si>
    <t>Recreation rates</t>
  </si>
  <si>
    <t>1119</t>
  </si>
  <si>
    <t>Governance rates</t>
  </si>
  <si>
    <t>1201</t>
  </si>
  <si>
    <t>Remissions - sports</t>
  </si>
  <si>
    <t>1210</t>
  </si>
  <si>
    <t>Rates penalties</t>
  </si>
  <si>
    <t>1302</t>
  </si>
  <si>
    <t>Interest - IRD</t>
  </si>
  <si>
    <t>1304</t>
  </si>
  <si>
    <t>Interest - bank accounts</t>
  </si>
  <si>
    <t>1307</t>
  </si>
  <si>
    <t>BNZ facility transfers</t>
  </si>
  <si>
    <t>1308</t>
  </si>
  <si>
    <t>BNZ facility costs</t>
  </si>
  <si>
    <t>1711</t>
  </si>
  <si>
    <t>Labour recoveries</t>
  </si>
  <si>
    <t>1960</t>
  </si>
  <si>
    <t>Gain/(loss) in fair value of financial instruments</t>
  </si>
  <si>
    <t>1999</t>
  </si>
  <si>
    <t>Other Income</t>
  </si>
  <si>
    <t>Row Labels</t>
  </si>
  <si>
    <t>Sum of 21_22 Growth Budget</t>
  </si>
  <si>
    <t>Sum of 21_22 Los Budget</t>
  </si>
  <si>
    <t>Sum of 21_22 Renewals Budget</t>
  </si>
  <si>
    <t>Sum of 21_22 Growth Actuals</t>
  </si>
  <si>
    <t>Sum of 21_22 Los Actuals</t>
  </si>
  <si>
    <t>Sum of 21_22 Renewals Actuals</t>
  </si>
  <si>
    <t>Storm Water</t>
  </si>
  <si>
    <t>Waste Water</t>
  </si>
  <si>
    <t>Grand Total</t>
  </si>
  <si>
    <t>Capital Projects Financial Summary Report - INF</t>
  </si>
  <si>
    <t>As at June 2022</t>
  </si>
  <si>
    <t>20-Sep-2022 16:21:56</t>
  </si>
  <si>
    <t>Programme</t>
  </si>
  <si>
    <t>CP ID</t>
  </si>
  <si>
    <t>Project Code</t>
  </si>
  <si>
    <t>Project Description</t>
  </si>
  <si>
    <t>2021-22 Budget</t>
  </si>
  <si>
    <t>2021-22 Actual</t>
  </si>
  <si>
    <t>Growth %</t>
  </si>
  <si>
    <t>Renewal %</t>
  </si>
  <si>
    <t>Level of Service %</t>
  </si>
  <si>
    <t>21_22 Growth Budget</t>
  </si>
  <si>
    <t>21_22 Los Budget</t>
  </si>
  <si>
    <t>21_22 Renewals Budget</t>
  </si>
  <si>
    <t>21_22 Growth Actuals</t>
  </si>
  <si>
    <t>21_22 Los Actuals</t>
  </si>
  <si>
    <t>21_22 Renewals Actuals</t>
  </si>
  <si>
    <t>3 Waters</t>
  </si>
  <si>
    <t>000755</t>
  </si>
  <si>
    <t>LTP 3 Waters Programme Procurement</t>
  </si>
  <si>
    <t>3 Waters - Sub Total</t>
  </si>
  <si>
    <t>Buildings</t>
  </si>
  <si>
    <t>CP0006121</t>
  </si>
  <si>
    <t>000109</t>
  </si>
  <si>
    <t>Hawea Flat Hall - Renewals</t>
  </si>
  <si>
    <t>CP0006111</t>
  </si>
  <si>
    <t>000148</t>
  </si>
  <si>
    <t>Lakeview Development</t>
  </si>
  <si>
    <t>CP0004860</t>
  </si>
  <si>
    <t>000211</t>
  </si>
  <si>
    <t>Albert Town Boat Ramp</t>
  </si>
  <si>
    <t>CP0006028</t>
  </si>
  <si>
    <t>000221</t>
  </si>
  <si>
    <t>Gorge Rd Office Civic Building - Renewal</t>
  </si>
  <si>
    <t>CP0006298</t>
  </si>
  <si>
    <t>000231</t>
  </si>
  <si>
    <t>AMP Improvements - Waterways</t>
  </si>
  <si>
    <t>CP0006322</t>
  </si>
  <si>
    <t>000236</t>
  </si>
  <si>
    <t>Glenorchy Marina  Minor maintenance</t>
  </si>
  <si>
    <t>CP0006361</t>
  </si>
  <si>
    <t>000239</t>
  </si>
  <si>
    <t>Old High School Block A - Renewals</t>
  </si>
  <si>
    <t>CP0006500</t>
  </si>
  <si>
    <t>000286</t>
  </si>
  <si>
    <t>Lakeview Development - Other Inf</t>
  </si>
  <si>
    <t>CP0006507</t>
  </si>
  <si>
    <t>000290</t>
  </si>
  <si>
    <t>46 Connor St Wanaka</t>
  </si>
  <si>
    <t>CP0006509</t>
  </si>
  <si>
    <t>000292</t>
  </si>
  <si>
    <t>198 Warren St Wanaka</t>
  </si>
  <si>
    <t>CP0006510</t>
  </si>
  <si>
    <t>000293</t>
  </si>
  <si>
    <t>6 Merioneth St Arrowtown</t>
  </si>
  <si>
    <t>CP0006519</t>
  </si>
  <si>
    <t>000300</t>
  </si>
  <si>
    <t>Romans Historic Cottage Arrowtown</t>
  </si>
  <si>
    <t>CP0006521</t>
  </si>
  <si>
    <t>000302</t>
  </si>
  <si>
    <t>Grannies Historic Cottage Arrowtown</t>
  </si>
  <si>
    <t>CP0006618</t>
  </si>
  <si>
    <t>000467</t>
  </si>
  <si>
    <t>AMP Improvements - Buildings</t>
  </si>
  <si>
    <t>CP0005184</t>
  </si>
  <si>
    <t>000538</t>
  </si>
  <si>
    <t>Makarora Community Building - Renewals</t>
  </si>
  <si>
    <t>CP0006702</t>
  </si>
  <si>
    <t>000602</t>
  </si>
  <si>
    <t>Car pounds and dog pounds - Renewals</t>
  </si>
  <si>
    <t>CP0006706</t>
  </si>
  <si>
    <t>000607</t>
  </si>
  <si>
    <t>Event Signage</t>
  </si>
  <si>
    <t>CP0006927</t>
  </si>
  <si>
    <t>000730</t>
  </si>
  <si>
    <t>Luggate Hall Replacement</t>
  </si>
  <si>
    <t>CP0004865</t>
  </si>
  <si>
    <t>000736</t>
  </si>
  <si>
    <t>Frankton Beach Jetty</t>
  </si>
  <si>
    <t>CP0006321</t>
  </si>
  <si>
    <t>000772</t>
  </si>
  <si>
    <t>Glenorchy Hall - Renewals</t>
  </si>
  <si>
    <t>CP0006362</t>
  </si>
  <si>
    <t>000773</t>
  </si>
  <si>
    <t>Old High School Block B - Renewals</t>
  </si>
  <si>
    <t>CP0006789</t>
  </si>
  <si>
    <t>000787</t>
  </si>
  <si>
    <t>Malaghan Historic Building</t>
  </si>
  <si>
    <t>CP0006793</t>
  </si>
  <si>
    <t>000789</t>
  </si>
  <si>
    <t>Lake Hawea Jetty &amp; Ramp</t>
  </si>
  <si>
    <t>CP0006792</t>
  </si>
  <si>
    <t>000854</t>
  </si>
  <si>
    <t>Glendhu Bay Rotary Park Ramp</t>
  </si>
  <si>
    <t>CP0006794</t>
  </si>
  <si>
    <t>000855</t>
  </si>
  <si>
    <t>Ruby Island Jetty</t>
  </si>
  <si>
    <t>CP0006795</t>
  </si>
  <si>
    <t>000856</t>
  </si>
  <si>
    <t>Kingston Historic Jetty</t>
  </si>
  <si>
    <t>CP0006799</t>
  </si>
  <si>
    <t>000859</t>
  </si>
  <si>
    <t>Glenorchy Main Town Pier</t>
  </si>
  <si>
    <t>CP0006797</t>
  </si>
  <si>
    <t>000900</t>
  </si>
  <si>
    <t>Queenstown Bay Ramp</t>
  </si>
  <si>
    <t>CP0006791</t>
  </si>
  <si>
    <t>000911</t>
  </si>
  <si>
    <t>Glendhu Bay Camp Ramp</t>
  </si>
  <si>
    <t>CP0006942</t>
  </si>
  <si>
    <t>000913</t>
  </si>
  <si>
    <t>Artificial Turf Programme</t>
  </si>
  <si>
    <t>000958</t>
  </si>
  <si>
    <t>Qtn Old St John Building Fire Reinstate</t>
  </si>
  <si>
    <t>000964</t>
  </si>
  <si>
    <t>Wanaka Rec Centre Prefab</t>
  </si>
  <si>
    <t>CP0005780</t>
  </si>
  <si>
    <t>001010</t>
  </si>
  <si>
    <t>Kingston Community Building - Renewals</t>
  </si>
  <si>
    <t>CP0004833</t>
  </si>
  <si>
    <t>001012</t>
  </si>
  <si>
    <t>Pigeon Island Hut &amp; Jetty</t>
  </si>
  <si>
    <t>CP0004864</t>
  </si>
  <si>
    <t>001013</t>
  </si>
  <si>
    <t>Bayview Jetty &amp; Ramp</t>
  </si>
  <si>
    <t>CP0006512</t>
  </si>
  <si>
    <t>001014</t>
  </si>
  <si>
    <t>71 Ballarat St Flats</t>
  </si>
  <si>
    <t>CP0006520</t>
  </si>
  <si>
    <t>001015</t>
  </si>
  <si>
    <t>Adams Historic Cottage Arrowtown</t>
  </si>
  <si>
    <t>CP0006522</t>
  </si>
  <si>
    <t>001016</t>
  </si>
  <si>
    <t>Historic Old Church Arrowtown</t>
  </si>
  <si>
    <t>CP0006571</t>
  </si>
  <si>
    <t>001017</t>
  </si>
  <si>
    <t>Wanaka Eely Point Jetty/Ramp</t>
  </si>
  <si>
    <t>CP0006796</t>
  </si>
  <si>
    <t>001018</t>
  </si>
  <si>
    <t>Kingston Jetty &amp; Ramp</t>
  </si>
  <si>
    <t>CP0006929</t>
  </si>
  <si>
    <t>001019</t>
  </si>
  <si>
    <t>MacKay Street Jetty</t>
  </si>
  <si>
    <t>CP0007731</t>
  </si>
  <si>
    <t>001134</t>
  </si>
  <si>
    <t>Healthy Homes</t>
  </si>
  <si>
    <t>CP0007699</t>
  </si>
  <si>
    <t>001167</t>
  </si>
  <si>
    <t>Wanaka Airport Other Sustaining</t>
  </si>
  <si>
    <t>CP0007700</t>
  </si>
  <si>
    <t>001168</t>
  </si>
  <si>
    <t>Wanaka Airport Security</t>
  </si>
  <si>
    <t>CP0007481</t>
  </si>
  <si>
    <t>001171</t>
  </si>
  <si>
    <t>Pontoon jetty renewals - Wakatipu</t>
  </si>
  <si>
    <t>CP0007482</t>
  </si>
  <si>
    <t>001172</t>
  </si>
  <si>
    <t>Wanaka Jetty 147 replacement</t>
  </si>
  <si>
    <t>CP0007483</t>
  </si>
  <si>
    <t>001173</t>
  </si>
  <si>
    <t>Buoy Upgrades</t>
  </si>
  <si>
    <t>CP0007484</t>
  </si>
  <si>
    <t>001175</t>
  </si>
  <si>
    <t>Ardmore St Office - Renewals</t>
  </si>
  <si>
    <t>CP0007485</t>
  </si>
  <si>
    <t>001176</t>
  </si>
  <si>
    <t>Church Street Office - Renewals</t>
  </si>
  <si>
    <t>CP0007486</t>
  </si>
  <si>
    <t>001177</t>
  </si>
  <si>
    <t>Stanley Street Office - Renewals</t>
  </si>
  <si>
    <t>CP0007487</t>
  </si>
  <si>
    <t>001179</t>
  </si>
  <si>
    <t>Shotover Street Office - Renewals</t>
  </si>
  <si>
    <t>CP0006790</t>
  </si>
  <si>
    <t>001184</t>
  </si>
  <si>
    <t>Arrowtown Community Rooms - Renewals</t>
  </si>
  <si>
    <t>CP0007475</t>
  </si>
  <si>
    <t>001196</t>
  </si>
  <si>
    <t>Ballantyne Rd Rec Cen - WW Site prep</t>
  </si>
  <si>
    <t>CP0006309</t>
  </si>
  <si>
    <t>001239</t>
  </si>
  <si>
    <t>Cardrona Hall - Renewals</t>
  </si>
  <si>
    <t>CP0007692</t>
  </si>
  <si>
    <t>001270</t>
  </si>
  <si>
    <t>Mitre 10 Youth &amp; Community Centre</t>
  </si>
  <si>
    <t>CP0007732</t>
  </si>
  <si>
    <t>001296</t>
  </si>
  <si>
    <t>Jack Tewa Park Prefab Relocation</t>
  </si>
  <si>
    <t>CP0007489</t>
  </si>
  <si>
    <t>001306</t>
  </si>
  <si>
    <t>EV Charging Stations - Districtwide</t>
  </si>
  <si>
    <t>001321</t>
  </si>
  <si>
    <t>Wanaka Airport Weed Sprayer &amp; Trailer</t>
  </si>
  <si>
    <t>001322</t>
  </si>
  <si>
    <t>Wanaka Airport Equipment Shed</t>
  </si>
  <si>
    <t>CP0007488</t>
  </si>
  <si>
    <t>001337</t>
  </si>
  <si>
    <t>QLDC Bradley Office - Renewals</t>
  </si>
  <si>
    <t>CP0007723</t>
  </si>
  <si>
    <t>001341</t>
  </si>
  <si>
    <t>Stanley St playcentre relocation</t>
  </si>
  <si>
    <t>CP0007730</t>
  </si>
  <si>
    <t>001346</t>
  </si>
  <si>
    <t>Wanaka Airport - Fencing</t>
  </si>
  <si>
    <t>Buildings - Sub Total</t>
  </si>
  <si>
    <t>Camp Grounds</t>
  </si>
  <si>
    <t>CP0006151</t>
  </si>
  <si>
    <t>000150</t>
  </si>
  <si>
    <t>Queenstown Campground - Minor Capex</t>
  </si>
  <si>
    <t>CP0006153</t>
  </si>
  <si>
    <t>000154</t>
  </si>
  <si>
    <t>Wanaka Campground - Minor Capex</t>
  </si>
  <si>
    <t>CP0006152</t>
  </si>
  <si>
    <t>000155</t>
  </si>
  <si>
    <t>Arrowtown Campground - Minor Capex</t>
  </si>
  <si>
    <t>CP0006154</t>
  </si>
  <si>
    <t>000156</t>
  </si>
  <si>
    <t>Glendhu Bay Campground - Minor Capex</t>
  </si>
  <si>
    <t>Camp Grounds - Sub Total</t>
  </si>
  <si>
    <t>Libraries</t>
  </si>
  <si>
    <t>CP0005186</t>
  </si>
  <si>
    <t>000118</t>
  </si>
  <si>
    <t>Queenstown Library - Renewals</t>
  </si>
  <si>
    <t>CP0007035</t>
  </si>
  <si>
    <t>000223</t>
  </si>
  <si>
    <t>Wanaka Library - Renewals</t>
  </si>
  <si>
    <t>CP0006297</t>
  </si>
  <si>
    <t>000230</t>
  </si>
  <si>
    <t>AMP Improvements - Libraries</t>
  </si>
  <si>
    <t>CP0005188</t>
  </si>
  <si>
    <t>000323</t>
  </si>
  <si>
    <t>Glenorchy Library - Renewals</t>
  </si>
  <si>
    <t>CP0006517</t>
  </si>
  <si>
    <t>000622</t>
  </si>
  <si>
    <t>Arrowtown Library - Renewals</t>
  </si>
  <si>
    <t>CP0005189</t>
  </si>
  <si>
    <t>000880</t>
  </si>
  <si>
    <t>Kingston Library - Renewals</t>
  </si>
  <si>
    <t>Libraries - Sub Total</t>
  </si>
  <si>
    <t>Not Applicable</t>
  </si>
  <si>
    <t>CP0007666</t>
  </si>
  <si>
    <t>001135</t>
  </si>
  <si>
    <t>Reform Stimulus Delivery Plan (3W)</t>
  </si>
  <si>
    <t>CP0007187</t>
  </si>
  <si>
    <t>001215</t>
  </si>
  <si>
    <t>Digital Masterplan (IN)</t>
  </si>
  <si>
    <t>CP0007189</t>
  </si>
  <si>
    <t>001288</t>
  </si>
  <si>
    <t>Resilient Infrastructure Networks (IN)</t>
  </si>
  <si>
    <t>CP0007720</t>
  </si>
  <si>
    <t>001319</t>
  </si>
  <si>
    <t>QTN Priority Growth Corridors (IN)</t>
  </si>
  <si>
    <t>CP0007660</t>
  </si>
  <si>
    <t>001338</t>
  </si>
  <si>
    <t>CCTV Analytics - Waterways</t>
  </si>
  <si>
    <t>CP0007719</t>
  </si>
  <si>
    <t>001340</t>
  </si>
  <si>
    <t>Procurement Systems (IN)</t>
  </si>
  <si>
    <t>CP0007725</t>
  </si>
  <si>
    <t>001343</t>
  </si>
  <si>
    <t>Wanaka Airport Masterplan</t>
  </si>
  <si>
    <t>Not Applicable - Sub Total</t>
  </si>
  <si>
    <t>CP0006592</t>
  </si>
  <si>
    <t>000431</t>
  </si>
  <si>
    <t>Public Litter Bin Upgrades</t>
  </si>
  <si>
    <t>CP0006676</t>
  </si>
  <si>
    <t>000590</t>
  </si>
  <si>
    <t>Solid Waste Asset Renewals - Wanaka</t>
  </si>
  <si>
    <t>CP0006675</t>
  </si>
  <si>
    <t>000782</t>
  </si>
  <si>
    <t>Asset Mgt Improvements - Wakatipu (WM)</t>
  </si>
  <si>
    <t>CP0006677</t>
  </si>
  <si>
    <t>000865</t>
  </si>
  <si>
    <t>Solid Waste Asset Renewals - Queenstown</t>
  </si>
  <si>
    <t>CP0006891</t>
  </si>
  <si>
    <t>001033</t>
  </si>
  <si>
    <t>Landfill Consent Renewal</t>
  </si>
  <si>
    <t>CP0007197</t>
  </si>
  <si>
    <t>001180</t>
  </si>
  <si>
    <t>Existing Wakatipu Waste Facilities (WM)</t>
  </si>
  <si>
    <t>CP0007198</t>
  </si>
  <si>
    <t>001181</t>
  </si>
  <si>
    <t>Solid Waste - Large Asset Renewals - Wak</t>
  </si>
  <si>
    <t>CP0007202</t>
  </si>
  <si>
    <t>001203</t>
  </si>
  <si>
    <t>Asset Mgt Improvements - Wanaka (WM)</t>
  </si>
  <si>
    <t>CP0007201</t>
  </si>
  <si>
    <t>001204</t>
  </si>
  <si>
    <t>Zero Waste District Programme - Wakatipu</t>
  </si>
  <si>
    <t>CP0007203</t>
  </si>
  <si>
    <t>001207</t>
  </si>
  <si>
    <t>Master Planning - Wanaka (WM)</t>
  </si>
  <si>
    <t>CP0007039</t>
  </si>
  <si>
    <t>001226</t>
  </si>
  <si>
    <t>Product Stewardship (WM)</t>
  </si>
  <si>
    <t>CP0007199</t>
  </si>
  <si>
    <t>001244</t>
  </si>
  <si>
    <t>Master Planning - Wakatipu (WM)</t>
  </si>
  <si>
    <t>CP0007200</t>
  </si>
  <si>
    <t>001248</t>
  </si>
  <si>
    <t>New Wakatipu Waste Facilities (WM)</t>
  </si>
  <si>
    <t>CP0007688</t>
  </si>
  <si>
    <t>001252</t>
  </si>
  <si>
    <t>Organic Waste Management (WM)</t>
  </si>
  <si>
    <t>CP0007204</t>
  </si>
  <si>
    <t>001257</t>
  </si>
  <si>
    <t>Zero Waste District Programme - Wanaka</t>
  </si>
  <si>
    <t>CP0007205</t>
  </si>
  <si>
    <t>001260</t>
  </si>
  <si>
    <t>Wanaka Waste Facilities (WM)</t>
  </si>
  <si>
    <t>001291</t>
  </si>
  <si>
    <t>Glass Packaging Forum Contribution</t>
  </si>
  <si>
    <t>Waste Management - Sub Total</t>
  </si>
  <si>
    <t>CP0005053</t>
  </si>
  <si>
    <t>000046</t>
  </si>
  <si>
    <t>Stormwater - Renewals - Wakatipu</t>
  </si>
  <si>
    <t>CP0005054</t>
  </si>
  <si>
    <t>000047</t>
  </si>
  <si>
    <t>Stormwater - Renewals - Wanaka</t>
  </si>
  <si>
    <t>CP0006275</t>
  </si>
  <si>
    <t>000226</t>
  </si>
  <si>
    <t>Asset Mgt Improvements (SW)</t>
  </si>
  <si>
    <t>CP0006491</t>
  </si>
  <si>
    <t>000283</t>
  </si>
  <si>
    <t>Lakeview Storm Water upgrade</t>
  </si>
  <si>
    <t>CP0006544</t>
  </si>
  <si>
    <t>000318</t>
  </si>
  <si>
    <t>Frankton Flats Stormwater - Construction</t>
  </si>
  <si>
    <t>6543</t>
  </si>
  <si>
    <t>000508</t>
  </si>
  <si>
    <t>Glenda Dr / Rd 2 Stormwater - CONSTR</t>
  </si>
  <si>
    <t>CP0006832</t>
  </si>
  <si>
    <t>000786</t>
  </si>
  <si>
    <t>Ladies Mile HIF Stormwater new scheme</t>
  </si>
  <si>
    <t>CP0006851</t>
  </si>
  <si>
    <t>000847</t>
  </si>
  <si>
    <t>Aubrey Rd Rec Reserve SW detention pond</t>
  </si>
  <si>
    <t>CP0006831</t>
  </si>
  <si>
    <t>000858</t>
  </si>
  <si>
    <t>Kingston HIF Stormwater new scheme</t>
  </si>
  <si>
    <t>CP0004366</t>
  </si>
  <si>
    <t>000878</t>
  </si>
  <si>
    <t>Magnolia Place duplicate SW pipeline</t>
  </si>
  <si>
    <t>CP0004364</t>
  </si>
  <si>
    <t>000907</t>
  </si>
  <si>
    <t>Kawarau Place duplicate SW pipeline</t>
  </si>
  <si>
    <t>CP0004107</t>
  </si>
  <si>
    <t>000922</t>
  </si>
  <si>
    <t>Lucas Place SW upgrades existing pipes</t>
  </si>
  <si>
    <t>CP0006849</t>
  </si>
  <si>
    <t>000950</t>
  </si>
  <si>
    <t>Bills Way SW pipeline replacement</t>
  </si>
  <si>
    <t>CP0004374</t>
  </si>
  <si>
    <t>001043</t>
  </si>
  <si>
    <t>Queenstown Stormwater - Thompson Street</t>
  </si>
  <si>
    <t>CP0007215</t>
  </si>
  <si>
    <t>001116</t>
  </si>
  <si>
    <t>Stone St Upgrades (SW)</t>
  </si>
  <si>
    <t>CP0007219</t>
  </si>
  <si>
    <t>001197</t>
  </si>
  <si>
    <t>Investigations - Wanaka (SW)</t>
  </si>
  <si>
    <t>CP0007209</t>
  </si>
  <si>
    <t>001275</t>
  </si>
  <si>
    <t>Catchment Mgt Plans - Wakatipu (SW)</t>
  </si>
  <si>
    <t>CP0007212</t>
  </si>
  <si>
    <t>001279</t>
  </si>
  <si>
    <t>Investigations - Wakatipu (SW)</t>
  </si>
  <si>
    <t>CP0007214</t>
  </si>
  <si>
    <t>001289</t>
  </si>
  <si>
    <t>Modelling - Wakatipu (SW)</t>
  </si>
  <si>
    <t>CP0007216</t>
  </si>
  <si>
    <t>001316</t>
  </si>
  <si>
    <t>Catchment Mgt Plans - Wanaka (SW)</t>
  </si>
  <si>
    <t>CP0007222</t>
  </si>
  <si>
    <t>001317</t>
  </si>
  <si>
    <t>Modelling - Wanaka (SW)</t>
  </si>
  <si>
    <t>001318</t>
  </si>
  <si>
    <t>SH6 - Glenda Dr Extension (SW)</t>
  </si>
  <si>
    <t>CP0007221</t>
  </si>
  <si>
    <t>001327</t>
  </si>
  <si>
    <t>Wanaka Improvements - High Risk (SW)</t>
  </si>
  <si>
    <t>CP0007729</t>
  </si>
  <si>
    <t>001347</t>
  </si>
  <si>
    <t>Wanaka Airport - Storm Water</t>
  </si>
  <si>
    <t>Storm Water - Sub Total</t>
  </si>
  <si>
    <t>Transport</t>
  </si>
  <si>
    <t>CP0005142</t>
  </si>
  <si>
    <t>000051</t>
  </si>
  <si>
    <t>CROWN RANGE SPR - Drainage renewals</t>
  </si>
  <si>
    <t>CP0004699</t>
  </si>
  <si>
    <t>000052</t>
  </si>
  <si>
    <t>Crown Range SPR - Traffic services renew</t>
  </si>
  <si>
    <t>CP0004485</t>
  </si>
  <si>
    <t>000053</t>
  </si>
  <si>
    <t>WAKATIPU - Sealed rd resurfacing</t>
  </si>
  <si>
    <t>CP0004499</t>
  </si>
  <si>
    <t>000054</t>
  </si>
  <si>
    <t>WANAKA - Sealed rd resurfacing</t>
  </si>
  <si>
    <t>CP0004490</t>
  </si>
  <si>
    <t>000055</t>
  </si>
  <si>
    <t>WAKATIPU - Unsealed road metalling</t>
  </si>
  <si>
    <t>CP0004503</t>
  </si>
  <si>
    <t>000056</t>
  </si>
  <si>
    <t>WANAKA - Unsealed road metalling</t>
  </si>
  <si>
    <t>CP0005063</t>
  </si>
  <si>
    <t>000058</t>
  </si>
  <si>
    <t>Wakatipu - Road to Zero MIP LCLR (TR)</t>
  </si>
  <si>
    <t>CP0005064</t>
  </si>
  <si>
    <t>000060</t>
  </si>
  <si>
    <t>Wanaka - Road to Zero MIP LCLR (TR)</t>
  </si>
  <si>
    <t>CP0004495</t>
  </si>
  <si>
    <t>000061</t>
  </si>
  <si>
    <t>WANAKA - Sealed road pavement rehab</t>
  </si>
  <si>
    <t>CP0004478</t>
  </si>
  <si>
    <t>000062</t>
  </si>
  <si>
    <t>WAKATIPU - Drainage renewals</t>
  </si>
  <si>
    <t>CP0004481</t>
  </si>
  <si>
    <t>000063</t>
  </si>
  <si>
    <t>WAKATIPU - Sealed road pavement rehab</t>
  </si>
  <si>
    <t>CP0004489</t>
  </si>
  <si>
    <t>000065</t>
  </si>
  <si>
    <t>WAKATIPU - Traffic services renewals</t>
  </si>
  <si>
    <t>CP0004492</t>
  </si>
  <si>
    <t>000066</t>
  </si>
  <si>
    <t>WANAKA - Drainage renewals</t>
  </si>
  <si>
    <t>CP0005964</t>
  </si>
  <si>
    <t>000067</t>
  </si>
  <si>
    <t>WAKATIPU - Structures component replacem</t>
  </si>
  <si>
    <t>CP0004501</t>
  </si>
  <si>
    <t>000069</t>
  </si>
  <si>
    <t>WANAKA Structures component replacement</t>
  </si>
  <si>
    <t>CP0004502</t>
  </si>
  <si>
    <t>000070</t>
  </si>
  <si>
    <t>WANAKA - Traffic services renewals</t>
  </si>
  <si>
    <t>CP0005059</t>
  </si>
  <si>
    <t>000072</t>
  </si>
  <si>
    <t>Crown Range SPR - Structures component r</t>
  </si>
  <si>
    <t>CP0005061</t>
  </si>
  <si>
    <t>000217</t>
  </si>
  <si>
    <t>Crown Range Road to Zero MIP LCLR (TR)</t>
  </si>
  <si>
    <t>CP0006377</t>
  </si>
  <si>
    <t>000243</t>
  </si>
  <si>
    <t>Resilience - GY - Rees River Bridge</t>
  </si>
  <si>
    <t>CP0006497</t>
  </si>
  <si>
    <t>000285</t>
  </si>
  <si>
    <t>Lakeview Development - Transportation</t>
  </si>
  <si>
    <t>CP0004466</t>
  </si>
  <si>
    <t>000352</t>
  </si>
  <si>
    <t>CROWN RANGE SPR - Sealed rd resurfacing</t>
  </si>
  <si>
    <t>CP0006376</t>
  </si>
  <si>
    <t>000379</t>
  </si>
  <si>
    <t>Resilience - GY Road Land Stabilisation</t>
  </si>
  <si>
    <t>CP0006380</t>
  </si>
  <si>
    <t>000380</t>
  </si>
  <si>
    <t>Resilience - Crown Range Road Land Const</t>
  </si>
  <si>
    <t>CP0006727</t>
  </si>
  <si>
    <t>000528</t>
  </si>
  <si>
    <t>New Parking Facilities in CBD</t>
  </si>
  <si>
    <t>CP0006766</t>
  </si>
  <si>
    <t>000529</t>
  </si>
  <si>
    <t>Qtn Arterial - Balance of Route (TR)</t>
  </si>
  <si>
    <t>CP0006738</t>
  </si>
  <si>
    <t>000580</t>
  </si>
  <si>
    <t>Ballantyne Road Reseal</t>
  </si>
  <si>
    <t>CP0006719</t>
  </si>
  <si>
    <t>000589</t>
  </si>
  <si>
    <t>CCTV Crime Prevention &amp; Safety (INF)</t>
  </si>
  <si>
    <t>CP0006997</t>
  </si>
  <si>
    <t>000739</t>
  </si>
  <si>
    <t>Wanaka Town Centre Masterplan</t>
  </si>
  <si>
    <t>CP0006764</t>
  </si>
  <si>
    <t>000788</t>
  </si>
  <si>
    <t>Queenstown Parking Improvements</t>
  </si>
  <si>
    <t>CP0006894</t>
  </si>
  <si>
    <t>000794</t>
  </si>
  <si>
    <t>Lakeview Development Road &amp; Public Realm</t>
  </si>
  <si>
    <t>CP0006989</t>
  </si>
  <si>
    <t>000811</t>
  </si>
  <si>
    <t>Crown Range SPR - Environmental Renewals</t>
  </si>
  <si>
    <t>CP0006990</t>
  </si>
  <si>
    <t>000812</t>
  </si>
  <si>
    <t>WAKATIPU - Environmental Renewals</t>
  </si>
  <si>
    <t>CP0006994</t>
  </si>
  <si>
    <t>000819</t>
  </si>
  <si>
    <t>Wanaka Town Centre Shared Space</t>
  </si>
  <si>
    <t>CP0007001</t>
  </si>
  <si>
    <t>000825</t>
  </si>
  <si>
    <t>WANAKA - Environmental Renewals</t>
  </si>
  <si>
    <t>CP0006879</t>
  </si>
  <si>
    <t>000846</t>
  </si>
  <si>
    <t>Ladies Mile HIF Roading New Scheme</t>
  </si>
  <si>
    <t>CP0006770</t>
  </si>
  <si>
    <t>000853</t>
  </si>
  <si>
    <t>Water taxi service/ferry network</t>
  </si>
  <si>
    <t>CP0006763</t>
  </si>
  <si>
    <t>000868</t>
  </si>
  <si>
    <t>Wakatipu Active Travel Network</t>
  </si>
  <si>
    <t>CP0006049</t>
  </si>
  <si>
    <t>000885</t>
  </si>
  <si>
    <t>CROWN RANGE ROAD - Sealed road pavement</t>
  </si>
  <si>
    <t>CP0006296</t>
  </si>
  <si>
    <t>000903</t>
  </si>
  <si>
    <t>Shotover River Bridge AP Duplication</t>
  </si>
  <si>
    <t>CP0007011</t>
  </si>
  <si>
    <t>000910</t>
  </si>
  <si>
    <t>HIF Quail Rise to Hawthorne Dr Stage 1</t>
  </si>
  <si>
    <t>CP0006884</t>
  </si>
  <si>
    <t>000914</t>
  </si>
  <si>
    <t>Travel Management Queenstown</t>
  </si>
  <si>
    <t>CP0007016</t>
  </si>
  <si>
    <t>000935</t>
  </si>
  <si>
    <t>Wakatipu Public Transport LCLR (TR)</t>
  </si>
  <si>
    <t>CP0007084</t>
  </si>
  <si>
    <t>001123</t>
  </si>
  <si>
    <t>Qtn Town Centre Arterials - CIP Stage 1</t>
  </si>
  <si>
    <t>CP0006765</t>
  </si>
  <si>
    <t>001124</t>
  </si>
  <si>
    <t>Queenstown Street Upgrades - CIP</t>
  </si>
  <si>
    <t>CP0007032</t>
  </si>
  <si>
    <t>001126</t>
  </si>
  <si>
    <t>Lakeview - Thompson St Upgrade</t>
  </si>
  <si>
    <t>CP0007033</t>
  </si>
  <si>
    <t>001127</t>
  </si>
  <si>
    <t>Lakeview - Isle Street Upgrades</t>
  </si>
  <si>
    <t>001128</t>
  </si>
  <si>
    <t>Lakeview Anc Brunswick St Retaining Wall</t>
  </si>
  <si>
    <t>001130</t>
  </si>
  <si>
    <t>Bennetts Bluff Safety Improvements</t>
  </si>
  <si>
    <t>001131</t>
  </si>
  <si>
    <t>Lucas Place Road Rehab</t>
  </si>
  <si>
    <t>001132</t>
  </si>
  <si>
    <t>Malaghans Road Rehab</t>
  </si>
  <si>
    <t>CP0007733</t>
  </si>
  <si>
    <t>001139</t>
  </si>
  <si>
    <t>Lakeview - Thompson St Asbestos Removal</t>
  </si>
  <si>
    <t>CP0005963</t>
  </si>
  <si>
    <t>001145</t>
  </si>
  <si>
    <t>Skipper Bridge Investigation (TR)</t>
  </si>
  <si>
    <t>CP0007093</t>
  </si>
  <si>
    <t>001146</t>
  </si>
  <si>
    <t>Wak Footpath Renewals/Improvements (TR)</t>
  </si>
  <si>
    <t>CP0007695</t>
  </si>
  <si>
    <t>001147</t>
  </si>
  <si>
    <t>Wanaka Airport GA Apron &amp; Taxiway</t>
  </si>
  <si>
    <t>CP0007694</t>
  </si>
  <si>
    <t>001148</t>
  </si>
  <si>
    <t>Wanaka Airport Runway</t>
  </si>
  <si>
    <t>CP0007100</t>
  </si>
  <si>
    <t>001150</t>
  </si>
  <si>
    <t>Wan Footpath Renewals/Improvements (TR)</t>
  </si>
  <si>
    <t>CP0007067</t>
  </si>
  <si>
    <t>001161</t>
  </si>
  <si>
    <t>Butlers Green Retaining Wall (TR)</t>
  </si>
  <si>
    <t>CP0006009</t>
  </si>
  <si>
    <t>001162</t>
  </si>
  <si>
    <t>Malaghans Rd 4.4-5.7 Rehab (TR)</t>
  </si>
  <si>
    <t>CP0007698</t>
  </si>
  <si>
    <t>001164</t>
  </si>
  <si>
    <t>Wanaka Airport Rental Carpark Reseal</t>
  </si>
  <si>
    <t>CP0007095</t>
  </si>
  <si>
    <t>001186</t>
  </si>
  <si>
    <t>Activity Mgt Planning - Wanaka (TR)</t>
  </si>
  <si>
    <t>CP0007096</t>
  </si>
  <si>
    <t>001191</t>
  </si>
  <si>
    <t>Deterioration Model - Wanaka (TR)</t>
  </si>
  <si>
    <t>CP0007099</t>
  </si>
  <si>
    <t>001202</t>
  </si>
  <si>
    <t>Wanaka Active Travel LCLR (TR)</t>
  </si>
  <si>
    <t>CP0007071</t>
  </si>
  <si>
    <t>001227</t>
  </si>
  <si>
    <t>Activity Mgt Planning - Crown Range (TR)</t>
  </si>
  <si>
    <t>CP0007091</t>
  </si>
  <si>
    <t>001231</t>
  </si>
  <si>
    <t>Deterioration Model - Wakatipu (TR)</t>
  </si>
  <si>
    <t>CP0006622</t>
  </si>
  <si>
    <t>001232</t>
  </si>
  <si>
    <t>Roading Data Quality (TR)</t>
  </si>
  <si>
    <t>CP0007072</t>
  </si>
  <si>
    <t>001240</t>
  </si>
  <si>
    <t>Deterioration Model - Crown Range (TR)</t>
  </si>
  <si>
    <t>CP0007076</t>
  </si>
  <si>
    <t>001245</t>
  </si>
  <si>
    <t>Activity Mgt Planning - Glenorchy (TR)</t>
  </si>
  <si>
    <t>CP0007077</t>
  </si>
  <si>
    <t>001247</t>
  </si>
  <si>
    <t>Deterioration Model - Glenorchy (TR)</t>
  </si>
  <si>
    <t>CP0007191</t>
  </si>
  <si>
    <t>001249</t>
  </si>
  <si>
    <t>Wakatipu Active Travel LCLR (TR)</t>
  </si>
  <si>
    <t>CP0007081</t>
  </si>
  <si>
    <t>001258</t>
  </si>
  <si>
    <t>Capell Ave Road Formation (TR)</t>
  </si>
  <si>
    <t>CP0007083</t>
  </si>
  <si>
    <t>001268</t>
  </si>
  <si>
    <t>Woolshed Rd Formation (TR)</t>
  </si>
  <si>
    <t>CP0007090</t>
  </si>
  <si>
    <t>001282</t>
  </si>
  <si>
    <t>Activity Mgt Planning - Wakatipu (TR)</t>
  </si>
  <si>
    <t>001292</t>
  </si>
  <si>
    <t>Lakeview Ancil - Site Clearance</t>
  </si>
  <si>
    <t>001293</t>
  </si>
  <si>
    <t>Lakeview Ancil - Street Upgrades</t>
  </si>
  <si>
    <t>001294</t>
  </si>
  <si>
    <t>Lakeview Anc - Interface Elements</t>
  </si>
  <si>
    <t>CP0007701</t>
  </si>
  <si>
    <t>001295</t>
  </si>
  <si>
    <t>Wakatipu Active Travel LCLR Unsub (TR)</t>
  </si>
  <si>
    <t>CP0007690</t>
  </si>
  <si>
    <t>001300</t>
  </si>
  <si>
    <t>Wanaka Pool to School Active Travel (TR)</t>
  </si>
  <si>
    <t>001301</t>
  </si>
  <si>
    <t>Wakatipu LED Replacement (TR)</t>
  </si>
  <si>
    <t>001302</t>
  </si>
  <si>
    <t>Land - Road Encroachment (TR)</t>
  </si>
  <si>
    <t>001303</t>
  </si>
  <si>
    <t>Travel Demand Management Districtwide TR</t>
  </si>
  <si>
    <t>001304</t>
  </si>
  <si>
    <t>Transport Model Districtwide (TR)</t>
  </si>
  <si>
    <t>CP0007717</t>
  </si>
  <si>
    <t>001305</t>
  </si>
  <si>
    <t>Monitoring &amp; Benefits Realisation (TR)</t>
  </si>
  <si>
    <t>CP0007713</t>
  </si>
  <si>
    <t>001308</t>
  </si>
  <si>
    <t>Arrowtown Footpath Renewals (TR) unsub</t>
  </si>
  <si>
    <t>CP0007085</t>
  </si>
  <si>
    <t>001309</t>
  </si>
  <si>
    <t>Frankton Track Improvement (TR)</t>
  </si>
  <si>
    <t>CP0007718</t>
  </si>
  <si>
    <t>001310</t>
  </si>
  <si>
    <t>Public Transport Investigation Unsub(TR)</t>
  </si>
  <si>
    <t>CP0007712</t>
  </si>
  <si>
    <t>001311</t>
  </si>
  <si>
    <t>Arawata Tce Retaining Wall (TR) unsub</t>
  </si>
  <si>
    <t>CP0007715</t>
  </si>
  <si>
    <t>001312</t>
  </si>
  <si>
    <t>Lines &amp; Signs - Wakatipu (TR) Unsub</t>
  </si>
  <si>
    <t>CP0007716</t>
  </si>
  <si>
    <t>001313</t>
  </si>
  <si>
    <t>Lines &amp; Signs - Wanaka (TR) Unsub</t>
  </si>
  <si>
    <t>CP0007082</t>
  </si>
  <si>
    <t>001323</t>
  </si>
  <si>
    <t>Lakeview Dev Isle St Upgrades (TR)</t>
  </si>
  <si>
    <t>CP0007089</t>
  </si>
  <si>
    <t>001324</t>
  </si>
  <si>
    <t>Lakeview Dev Hay St Upgrade (TR)</t>
  </si>
  <si>
    <t>CP0007714</t>
  </si>
  <si>
    <t>001339</t>
  </si>
  <si>
    <t>GY Weather Station/Webcam (TR) unsub</t>
  </si>
  <si>
    <t>CP0007724</t>
  </si>
  <si>
    <t>001342</t>
  </si>
  <si>
    <t>Rees River Bridge Investigative Works TR</t>
  </si>
  <si>
    <t>CP0007726</t>
  </si>
  <si>
    <t>001344</t>
  </si>
  <si>
    <t>Wanaka Airport - Aircraft Movement Areas</t>
  </si>
  <si>
    <t>CP0007727</t>
  </si>
  <si>
    <t>001345</t>
  </si>
  <si>
    <t>Wanaka Airport - Cafe Carpark Reseal</t>
  </si>
  <si>
    <t>Transport - Sub Total</t>
  </si>
  <si>
    <t>Venues and Facilities</t>
  </si>
  <si>
    <t>CP0007467</t>
  </si>
  <si>
    <t>000237</t>
  </si>
  <si>
    <t>Lake Wanaka Centre - Renewals</t>
  </si>
  <si>
    <t>CP0006299</t>
  </si>
  <si>
    <t>000374</t>
  </si>
  <si>
    <t>AMP Improvements - Community Facilities</t>
  </si>
  <si>
    <t>CP0006562</t>
  </si>
  <si>
    <t>000402</t>
  </si>
  <si>
    <t>Queenstown Memorial Hall - Renewals</t>
  </si>
  <si>
    <t>CP0006910</t>
  </si>
  <si>
    <t>000797</t>
  </si>
  <si>
    <t>Arrowtown Hall - Renewals</t>
  </si>
  <si>
    <t>CP0006900</t>
  </si>
  <si>
    <t>000833</t>
  </si>
  <si>
    <t>Lake Hayes Pavilion - Renewals</t>
  </si>
  <si>
    <t>CP0007020</t>
  </si>
  <si>
    <t>001107</t>
  </si>
  <si>
    <t>QEC Changing room upgrade</t>
  </si>
  <si>
    <t>CP0007471</t>
  </si>
  <si>
    <t>001189</t>
  </si>
  <si>
    <t>Facilities Management System</t>
  </si>
  <si>
    <t>CP0007468</t>
  </si>
  <si>
    <t>001285</t>
  </si>
  <si>
    <t>Building Management System</t>
  </si>
  <si>
    <t>CP0007470</t>
  </si>
  <si>
    <t>001336</t>
  </si>
  <si>
    <t>Glenorchy Comm Bldg - Renewals</t>
  </si>
  <si>
    <t>Venues and Facilities - Sub Total</t>
  </si>
  <si>
    <t>CP0004157</t>
  </si>
  <si>
    <t>000024</t>
  </si>
  <si>
    <t>Wastewater - Renewals - Queenstown</t>
  </si>
  <si>
    <t>CP0004161</t>
  </si>
  <si>
    <t>000025</t>
  </si>
  <si>
    <t>Wastewater - Renewals - Wanaka</t>
  </si>
  <si>
    <t>CP0004158</t>
  </si>
  <si>
    <t>000026</t>
  </si>
  <si>
    <t>Wastewater - Renewals - Arrowtown</t>
  </si>
  <si>
    <t>CP0004163</t>
  </si>
  <si>
    <t>000027</t>
  </si>
  <si>
    <t>Wastewater - Renewals - Hawea</t>
  </si>
  <si>
    <t>CP0004159</t>
  </si>
  <si>
    <t>000028</t>
  </si>
  <si>
    <t>Wastewater - Renewals - Lake Hayes</t>
  </si>
  <si>
    <t>CP0004160</t>
  </si>
  <si>
    <t>000030</t>
  </si>
  <si>
    <t>Wastewater - Renewals - Arthurs Point</t>
  </si>
  <si>
    <t>CP0005052</t>
  </si>
  <si>
    <t>000031</t>
  </si>
  <si>
    <t>Wastewater - Renewals - Luggate</t>
  </si>
  <si>
    <t>CP0004060</t>
  </si>
  <si>
    <t>000164</t>
  </si>
  <si>
    <t>Cardrona new Wastewater Scheme</t>
  </si>
  <si>
    <t>CP0006292</t>
  </si>
  <si>
    <t>000229</t>
  </si>
  <si>
    <t>Asset Mgt Improvements (WW)</t>
  </si>
  <si>
    <t>CP0004175</t>
  </si>
  <si>
    <t>000324</t>
  </si>
  <si>
    <t>Gordon Road Pump Station upgrade</t>
  </si>
  <si>
    <t>CP0005930</t>
  </si>
  <si>
    <t>000366</t>
  </si>
  <si>
    <t>Recreation Ground new WW Pump Station</t>
  </si>
  <si>
    <t>CP0006474</t>
  </si>
  <si>
    <t>000384</t>
  </si>
  <si>
    <t>Lakeview Development WW servicing</t>
  </si>
  <si>
    <t>6544</t>
  </si>
  <si>
    <t>000507</t>
  </si>
  <si>
    <t>Glenda Dr / Rd 2 Wastewater - CONSTR</t>
  </si>
  <si>
    <t>CP0006743</t>
  </si>
  <si>
    <t>000561</t>
  </si>
  <si>
    <t>Marine Parade WWPS upgrades</t>
  </si>
  <si>
    <t>CP0006284</t>
  </si>
  <si>
    <t>000625</t>
  </si>
  <si>
    <t>Project Pure WWTP upgrade</t>
  </si>
  <si>
    <t>CP0006610</t>
  </si>
  <si>
    <t>000767</t>
  </si>
  <si>
    <t>Masterplanning - Arrowtown (WW)</t>
  </si>
  <si>
    <t>CP0006611</t>
  </si>
  <si>
    <t>000769</t>
  </si>
  <si>
    <t>Masterplanning - Arthurs Point (WW)</t>
  </si>
  <si>
    <t>CP0006614</t>
  </si>
  <si>
    <t>000770</t>
  </si>
  <si>
    <t>Masterplanning - Hawea (WW)</t>
  </si>
  <si>
    <t>CP0006616</t>
  </si>
  <si>
    <t>000771</t>
  </si>
  <si>
    <t>Ladies Mile HIF Wastewater new Scheme</t>
  </si>
  <si>
    <t>CP0004036</t>
  </si>
  <si>
    <t>000779</t>
  </si>
  <si>
    <t>Hawea Wastewater Management (WW)</t>
  </si>
  <si>
    <t>CP0006826</t>
  </si>
  <si>
    <t>000781</t>
  </si>
  <si>
    <t>Willow Place WWPS Rising Main upgrade</t>
  </si>
  <si>
    <t>CP0005903</t>
  </si>
  <si>
    <t>000883</t>
  </si>
  <si>
    <t>Luggate new WWPS &amp; Cxn to Project Pure</t>
  </si>
  <si>
    <t>CP0006287</t>
  </si>
  <si>
    <t>000892</t>
  </si>
  <si>
    <t>Project Shotover WWTP upgrade</t>
  </si>
  <si>
    <t>CP0006617</t>
  </si>
  <si>
    <t>000895</t>
  </si>
  <si>
    <t>Masterplanning - Luggate (WW)</t>
  </si>
  <si>
    <t>CP0006612</t>
  </si>
  <si>
    <t>000896</t>
  </si>
  <si>
    <t>Masterplanning - Cardrona (WW)</t>
  </si>
  <si>
    <t>CP0007009</t>
  </si>
  <si>
    <t>000909</t>
  </si>
  <si>
    <t>Kingston HIF Wastewater new scheme</t>
  </si>
  <si>
    <t>CP0006829</t>
  </si>
  <si>
    <t>000944</t>
  </si>
  <si>
    <t>North Wanaka new WW conveyance scheme</t>
  </si>
  <si>
    <t>CP0006665</t>
  </si>
  <si>
    <t>000988</t>
  </si>
  <si>
    <t>Renewal of Resource Consent - Cardrona</t>
  </si>
  <si>
    <t>CP0006609</t>
  </si>
  <si>
    <t>000989</t>
  </si>
  <si>
    <t>Masterplanning - Wanaka (WW)</t>
  </si>
  <si>
    <t>CP0004013</t>
  </si>
  <si>
    <t>001006</t>
  </si>
  <si>
    <t>CBD to Frankton Waste Water Reticulation</t>
  </si>
  <si>
    <t>CP0004015</t>
  </si>
  <si>
    <t>001063</t>
  </si>
  <si>
    <t>Remarkables Park Pump Station Upgrades</t>
  </si>
  <si>
    <t>CP0004017</t>
  </si>
  <si>
    <t>001064</t>
  </si>
  <si>
    <t>Frankton Beach to Shotover Conveyance WW</t>
  </si>
  <si>
    <t>CP0007029</t>
  </si>
  <si>
    <t>001115</t>
  </si>
  <si>
    <t>Southern Conveyance Network (WW)</t>
  </si>
  <si>
    <t>CP0007028</t>
  </si>
  <si>
    <t>001118</t>
  </si>
  <si>
    <t>Lakeview WW Thompson St Sewer &amp; Pressure</t>
  </si>
  <si>
    <t>CP0007027</t>
  </si>
  <si>
    <t>001119</t>
  </si>
  <si>
    <t>Wastewater Network Audit</t>
  </si>
  <si>
    <t>NA</t>
  </si>
  <si>
    <t>001122</t>
  </si>
  <si>
    <t>Cardrona new Wastewater Pipeline</t>
  </si>
  <si>
    <t>CP0007696</t>
  </si>
  <si>
    <t>001149</t>
  </si>
  <si>
    <t>Wanaka Airport Wastewater Upgrades</t>
  </si>
  <si>
    <t>CP0007277</t>
  </si>
  <si>
    <t>001174</t>
  </si>
  <si>
    <t>Hydr Model &amp; Sys Perf - Luggate (WW)</t>
  </si>
  <si>
    <t>CP0006694</t>
  </si>
  <si>
    <t>001183</t>
  </si>
  <si>
    <t>Wastewater - Renewals - Cardrona (WW)</t>
  </si>
  <si>
    <t>CP0007274</t>
  </si>
  <si>
    <t>001194</t>
  </si>
  <si>
    <t>Masterplanning - Lake Hayes (WW)</t>
  </si>
  <si>
    <t>CP0007276</t>
  </si>
  <si>
    <t>001199</t>
  </si>
  <si>
    <t>Telemetry - Lake Hayes (WW)</t>
  </si>
  <si>
    <t>CP0007263</t>
  </si>
  <si>
    <t>001201</t>
  </si>
  <si>
    <t>Telemetry - Arthurs Pt (WW)</t>
  </si>
  <si>
    <t>CP0007273</t>
  </si>
  <si>
    <t>001206</t>
  </si>
  <si>
    <t>Hydr Model &amp; Sys Perf - Lake Hayes (WW)</t>
  </si>
  <si>
    <t>CP0007279</t>
  </si>
  <si>
    <t>001210</t>
  </si>
  <si>
    <t>Telemetry - Luggate (WW)</t>
  </si>
  <si>
    <t>CP0007290</t>
  </si>
  <si>
    <t>001212</t>
  </si>
  <si>
    <t>Telemetry - Queenstown (WW)</t>
  </si>
  <si>
    <t>CP0007291</t>
  </si>
  <si>
    <t>001213</t>
  </si>
  <si>
    <t>Albert Town PS#1 Capacity (WW)</t>
  </si>
  <si>
    <t>CP0007282</t>
  </si>
  <si>
    <t>001214</t>
  </si>
  <si>
    <t>Hanleys Farm PS Upgrade (WW)</t>
  </si>
  <si>
    <t>CP0007293</t>
  </si>
  <si>
    <t>001216</t>
  </si>
  <si>
    <t>Hydr Model &amp; Sys Perf - Wanaka (WW)</t>
  </si>
  <si>
    <t>CP0007296</t>
  </si>
  <si>
    <t>001219</t>
  </si>
  <si>
    <t>Telemetry - Wanaka (WW)</t>
  </si>
  <si>
    <t>CP0007259</t>
  </si>
  <si>
    <t>001234</t>
  </si>
  <si>
    <t>Hydr Model &amp; Sys Perf - Arrowtown (WW)</t>
  </si>
  <si>
    <t>CP0007261</t>
  </si>
  <si>
    <t>001238</t>
  </si>
  <si>
    <t>Telemetry - Arrowtown (WW)</t>
  </si>
  <si>
    <t>CP0007687</t>
  </si>
  <si>
    <t>001250</t>
  </si>
  <si>
    <t>Millbrook 3 Waters Infrastructure</t>
  </si>
  <si>
    <t>CP0007689</t>
  </si>
  <si>
    <t>001261</t>
  </si>
  <si>
    <t>Biosolids Disposal  (WW)</t>
  </si>
  <si>
    <t>CP0007266</t>
  </si>
  <si>
    <t>001263</t>
  </si>
  <si>
    <t>Telemetry - Cardrona (WW)</t>
  </si>
  <si>
    <t>CP0007268</t>
  </si>
  <si>
    <t>001264</t>
  </si>
  <si>
    <t>Hydr Model &amp; Sys Perf - Hawea (WW)</t>
  </si>
  <si>
    <t>CP0007262</t>
  </si>
  <si>
    <t>001266</t>
  </si>
  <si>
    <t>Hydr Model &amp; Sys Perf - Arthurs Pt (WW)</t>
  </si>
  <si>
    <t>CP0007270</t>
  </si>
  <si>
    <t>001269</t>
  </si>
  <si>
    <t>Telemetry - Hawea (WW)</t>
  </si>
  <si>
    <t>CP0007271</t>
  </si>
  <si>
    <t>001272</t>
  </si>
  <si>
    <t>Masterplanning - Kingston (WW)</t>
  </si>
  <si>
    <t>CP0007283</t>
  </si>
  <si>
    <t>001274</t>
  </si>
  <si>
    <t>Hydr Model &amp; Sys Perf - Queenstown (WW)</t>
  </si>
  <si>
    <t>CP0007285</t>
  </si>
  <si>
    <t>001278</t>
  </si>
  <si>
    <t>Masterplanning - Queenstown (WW)</t>
  </si>
  <si>
    <t>CP0007287</t>
  </si>
  <si>
    <t>001286</t>
  </si>
  <si>
    <t>Park St PS Mechanical Upgrade (WW)</t>
  </si>
  <si>
    <t>CP0007721</t>
  </si>
  <si>
    <t>001314</t>
  </si>
  <si>
    <t>Shotover Disposal Field (WW)</t>
  </si>
  <si>
    <t>CP0007281</t>
  </si>
  <si>
    <t>001315</t>
  </si>
  <si>
    <t>Fryer St-Rec Ground PS Retic Upgrade(WW)</t>
  </si>
  <si>
    <t>CP0007265</t>
  </si>
  <si>
    <t>001328</t>
  </si>
  <si>
    <t>Hydr Model &amp; Sys Perf - Cardrona (WW)</t>
  </si>
  <si>
    <t>CP0007288</t>
  </si>
  <si>
    <t>001329</t>
  </si>
  <si>
    <t>PS Emergency Storage - Queenstown (WW)</t>
  </si>
  <si>
    <t>CP0007294</t>
  </si>
  <si>
    <t>001330</t>
  </si>
  <si>
    <t>PS Emergency Storage - Wanaka (WW)</t>
  </si>
  <si>
    <t>Waste Water - Sub Total</t>
  </si>
  <si>
    <t>CP0004048</t>
  </si>
  <si>
    <t>000001</t>
  </si>
  <si>
    <t>Glenorchy WS Bore upgrades</t>
  </si>
  <si>
    <t>CP0004184</t>
  </si>
  <si>
    <t>000006</t>
  </si>
  <si>
    <t>Water Supply - Renewals - Queenstown</t>
  </si>
  <si>
    <t>CP0004189</t>
  </si>
  <si>
    <t>000007</t>
  </si>
  <si>
    <t>Water Supply - Renewals - Wanaka</t>
  </si>
  <si>
    <t>CP0004185</t>
  </si>
  <si>
    <t>000008</t>
  </si>
  <si>
    <t>Water Supply - Renewals - Arrowtown</t>
  </si>
  <si>
    <t>CP0004186</t>
  </si>
  <si>
    <t>000009</t>
  </si>
  <si>
    <t>Water Supply - Renewals - Glenorchy</t>
  </si>
  <si>
    <t>CP0004191</t>
  </si>
  <si>
    <t>000010</t>
  </si>
  <si>
    <t>Water Supply - Renewals - Luggate</t>
  </si>
  <si>
    <t>CP0004188</t>
  </si>
  <si>
    <t>000011</t>
  </si>
  <si>
    <t>Water Supply - Renewals - Arthurs Pt</t>
  </si>
  <si>
    <t>CP0004187</t>
  </si>
  <si>
    <t>000012</t>
  </si>
  <si>
    <t>Water Supply - Renewals - Lake Hayes</t>
  </si>
  <si>
    <t>CP0004190</t>
  </si>
  <si>
    <t>000013</t>
  </si>
  <si>
    <t>Water Supply - Renewals - Hawea</t>
  </si>
  <si>
    <t>CP0006281</t>
  </si>
  <si>
    <t>000228</t>
  </si>
  <si>
    <t>Asset Mgt Improvements (WS)</t>
  </si>
  <si>
    <t>CP0006485</t>
  </si>
  <si>
    <t>000280</t>
  </si>
  <si>
    <t>Shotover Country WS new WTP</t>
  </si>
  <si>
    <t>CP0006486</t>
  </si>
  <si>
    <t>000281</t>
  </si>
  <si>
    <t>Shotover Country Rising Main (bridge)</t>
  </si>
  <si>
    <t>CP0004061</t>
  </si>
  <si>
    <t>000330</t>
  </si>
  <si>
    <t>Cardrona new Water Supply Scheme</t>
  </si>
  <si>
    <t>CP0005828</t>
  </si>
  <si>
    <t>000361</t>
  </si>
  <si>
    <t>Glenorchy Reservoir upgrade</t>
  </si>
  <si>
    <t>CP0006027</t>
  </si>
  <si>
    <t>000369</t>
  </si>
  <si>
    <t>Capell Ave Hawea Watermain extension</t>
  </si>
  <si>
    <t>CP0006480</t>
  </si>
  <si>
    <t>000385</t>
  </si>
  <si>
    <t>Lakeview Development WS servicing</t>
  </si>
  <si>
    <t>CP0004255</t>
  </si>
  <si>
    <t>000518</t>
  </si>
  <si>
    <t>Beacon Point new Reservoir</t>
  </si>
  <si>
    <t>CP0006729</t>
  </si>
  <si>
    <t>000571</t>
  </si>
  <si>
    <t>Algae Interim Investigations</t>
  </si>
  <si>
    <t>CP0006985</t>
  </si>
  <si>
    <t>000756</t>
  </si>
  <si>
    <t>BP Roundabout - Kawarau Bridge Retic(WS)</t>
  </si>
  <si>
    <t>CP0004228</t>
  </si>
  <si>
    <t>000762</t>
  </si>
  <si>
    <t>Beacon Pt new Water Treatment Plant Land</t>
  </si>
  <si>
    <t>CP0007147</t>
  </si>
  <si>
    <t>000763</t>
  </si>
  <si>
    <t>Masterplanning - Arthurs Pt (WS)</t>
  </si>
  <si>
    <t>CP0007177</t>
  </si>
  <si>
    <t>000775</t>
  </si>
  <si>
    <t>Masterplanning - Queenstown (WS)</t>
  </si>
  <si>
    <t>CP0006679</t>
  </si>
  <si>
    <t>000866</t>
  </si>
  <si>
    <t>Drinking Water Minor Capex - Wanaka</t>
  </si>
  <si>
    <t>CP0004244</t>
  </si>
  <si>
    <t>000875</t>
  </si>
  <si>
    <t>Two Mile new Water Treatment Plant</t>
  </si>
  <si>
    <t>CP0007150</t>
  </si>
  <si>
    <t>000884</t>
  </si>
  <si>
    <t>Masterplanning - Cardrona (WS)</t>
  </si>
  <si>
    <t>CP0006816</t>
  </si>
  <si>
    <t>000887</t>
  </si>
  <si>
    <t>Hanley's Farm new Reservoir (Coneburn)</t>
  </si>
  <si>
    <t>CP0005754</t>
  </si>
  <si>
    <t>000888</t>
  </si>
  <si>
    <t>Arrowtown new WPS &amp; bores</t>
  </si>
  <si>
    <t>CP0004629</t>
  </si>
  <si>
    <t>000905</t>
  </si>
  <si>
    <t>Luggate Water Supply Scheme (WS)</t>
  </si>
  <si>
    <t>CP0004050</t>
  </si>
  <si>
    <t>000930</t>
  </si>
  <si>
    <t>Kingston HIF Water Supply new scheme</t>
  </si>
  <si>
    <t>CP0005920</t>
  </si>
  <si>
    <t>000936</t>
  </si>
  <si>
    <t>Quail Rise new Reservoir</t>
  </si>
  <si>
    <t>CP0006813</t>
  </si>
  <si>
    <t>000937</t>
  </si>
  <si>
    <t>Hanley Frm PS &amp; Ris/Fall mains(Coneburn)</t>
  </si>
  <si>
    <t>CP0006982</t>
  </si>
  <si>
    <t>000940</t>
  </si>
  <si>
    <t>Glenorchy WS new WTP and building</t>
  </si>
  <si>
    <t>CP0006987</t>
  </si>
  <si>
    <t>000941</t>
  </si>
  <si>
    <t>Western Wanaka Level of Service (WS)</t>
  </si>
  <si>
    <t>CP0007142</t>
  </si>
  <si>
    <t>000991</t>
  </si>
  <si>
    <t>Masterplanning - Arrowtown (WS)</t>
  </si>
  <si>
    <t>CP0007155</t>
  </si>
  <si>
    <t>000992</t>
  </si>
  <si>
    <t>Masterplanning - Glenorchy (WS)</t>
  </si>
  <si>
    <t>CP0007166</t>
  </si>
  <si>
    <t>000993</t>
  </si>
  <si>
    <t>Masterplanning - Lake Hayes (WS)</t>
  </si>
  <si>
    <t>CP0007162</t>
  </si>
  <si>
    <t>000994</t>
  </si>
  <si>
    <t>Masterplanning - Kingston (WS)</t>
  </si>
  <si>
    <t>CP0007159</t>
  </si>
  <si>
    <t>000995</t>
  </si>
  <si>
    <t>Masterplanning - Hawea (WS)</t>
  </si>
  <si>
    <t>CP0006282</t>
  </si>
  <si>
    <t>000997</t>
  </si>
  <si>
    <t>Masterplanning - Wanaka (WS)</t>
  </si>
  <si>
    <t>CP0005824</t>
  </si>
  <si>
    <t>001074</t>
  </si>
  <si>
    <t>Demand Mgt - Lake Hayes (WS)</t>
  </si>
  <si>
    <t>CP0005941</t>
  </si>
  <si>
    <t>001075</t>
  </si>
  <si>
    <t>Demand Mgt - Arrowtown (WS)</t>
  </si>
  <si>
    <t>CP0007170</t>
  </si>
  <si>
    <t>001079</t>
  </si>
  <si>
    <t>Masterplanning - Luggate (WS)</t>
  </si>
  <si>
    <t>CP0006650</t>
  </si>
  <si>
    <t>001084</t>
  </si>
  <si>
    <t>Demand Mgt - Queenstown (WS)</t>
  </si>
  <si>
    <t>CP0006651</t>
  </si>
  <si>
    <t>001085</t>
  </si>
  <si>
    <t>Demand Mgt - Wanaka (WS)</t>
  </si>
  <si>
    <t>CP0007030</t>
  </si>
  <si>
    <t>001120</t>
  </si>
  <si>
    <t>Water Meter Trial</t>
  </si>
  <si>
    <t>CP0007176</t>
  </si>
  <si>
    <t>001143</t>
  </si>
  <si>
    <t>Lakeview Ancil - Trunk Main Replacement</t>
  </si>
  <si>
    <t>CP0006537</t>
  </si>
  <si>
    <t>001166</t>
  </si>
  <si>
    <t>Fernhill Reservoir Access (WS)</t>
  </si>
  <si>
    <t>CP0007697</t>
  </si>
  <si>
    <t>001169</t>
  </si>
  <si>
    <t>Wanaka Airport Firewater</t>
  </si>
  <si>
    <t>CP0007156</t>
  </si>
  <si>
    <t>001187</t>
  </si>
  <si>
    <t>Telemetry - Glenorchy (WS)</t>
  </si>
  <si>
    <t>CP0007157</t>
  </si>
  <si>
    <t>001190</t>
  </si>
  <si>
    <t>Hawea Reservoir Capacity (WS)</t>
  </si>
  <si>
    <t>CP0007194</t>
  </si>
  <si>
    <t>001192</t>
  </si>
  <si>
    <t>Wanaka Water Treatment (WS)</t>
  </si>
  <si>
    <t>CP0006648</t>
  </si>
  <si>
    <t>001195</t>
  </si>
  <si>
    <t>Demand Mgt - Luggate (WS)</t>
  </si>
  <si>
    <t>CP0007168</t>
  </si>
  <si>
    <t>001200</t>
  </si>
  <si>
    <t>Hydr Model &amp; Sys Perf - Luggate (WS)</t>
  </si>
  <si>
    <t>CP0005938</t>
  </si>
  <si>
    <t>001205</t>
  </si>
  <si>
    <t>Arrowtown Reservoir Stabilisation Invest</t>
  </si>
  <si>
    <t>CP0007178</t>
  </si>
  <si>
    <t>001209</t>
  </si>
  <si>
    <t>SOC Bores Integration (WS)</t>
  </si>
  <si>
    <t>CP0007161</t>
  </si>
  <si>
    <t>001211</t>
  </si>
  <si>
    <t>Telemetry - Hawea (WS)</t>
  </si>
  <si>
    <t>CP0007154</t>
  </si>
  <si>
    <t>001217</t>
  </si>
  <si>
    <t>Hydr Model &amp; Sys Perf - Glenorchy (WS)</t>
  </si>
  <si>
    <t>CP0007171</t>
  </si>
  <si>
    <t>001220</t>
  </si>
  <si>
    <t>Telemetry - Luggate (WS)</t>
  </si>
  <si>
    <t>CP0007180</t>
  </si>
  <si>
    <t>001224</t>
  </si>
  <si>
    <t>Telemetry - Queenstown (WS)</t>
  </si>
  <si>
    <t>CP0007181</t>
  </si>
  <si>
    <t>001228</t>
  </si>
  <si>
    <t>Albert Town Retic Improvement (WS)</t>
  </si>
  <si>
    <t>CP0005895</t>
  </si>
  <si>
    <t>001233</t>
  </si>
  <si>
    <t>Demand Mgt - Hawea (WS)</t>
  </si>
  <si>
    <t>CP0007186</t>
  </si>
  <si>
    <t>001237</t>
  </si>
  <si>
    <t>Telemetry - Wanaka (WS)</t>
  </si>
  <si>
    <t>CP0007182</t>
  </si>
  <si>
    <t>001242</t>
  </si>
  <si>
    <t>Beacon Point Intake &amp; Rising Main (WS)</t>
  </si>
  <si>
    <t>CP0007175</t>
  </si>
  <si>
    <t>001246</t>
  </si>
  <si>
    <t>Hydr Model &amp; Sys Perf - Queenstown (WS)</t>
  </si>
  <si>
    <t>CP0007145</t>
  </si>
  <si>
    <t>001251</t>
  </si>
  <si>
    <t>Demand Mgt - Arthurs Point (WS)</t>
  </si>
  <si>
    <t>CP0007143</t>
  </si>
  <si>
    <t>001254</t>
  </si>
  <si>
    <t>Telemetry - Arrowtown (WS)</t>
  </si>
  <si>
    <t>CP0007146</t>
  </si>
  <si>
    <t>001255</t>
  </si>
  <si>
    <t>Hydr Model &amp; Sys Perf - Arthurs Pt (WS)</t>
  </si>
  <si>
    <t>CP0007158</t>
  </si>
  <si>
    <t>001256</t>
  </si>
  <si>
    <t>Hydr Model &amp; Sys Perf - Hawea (WS)</t>
  </si>
  <si>
    <t>CP0007169</t>
  </si>
  <si>
    <t>001259</t>
  </si>
  <si>
    <t>Luggate Reservoir Capacity (WS)</t>
  </si>
  <si>
    <t>CP0007183</t>
  </si>
  <si>
    <t>001262</t>
  </si>
  <si>
    <t>Hydr Model &amp; Sys Perf - Wanaka (WS)</t>
  </si>
  <si>
    <t>CP0007164</t>
  </si>
  <si>
    <t>001265</t>
  </si>
  <si>
    <t>Hydr Model &amp; Sys Perf - Lake Hayes (WS)</t>
  </si>
  <si>
    <t>CP0007148</t>
  </si>
  <si>
    <t>001267</t>
  </si>
  <si>
    <t>Telemetry - Arthurs Pt (WS)</t>
  </si>
  <si>
    <t>CP0007141</t>
  </si>
  <si>
    <t>001273</t>
  </si>
  <si>
    <t>Hydr Model &amp; Sys Perf - Arrowtown (WS)</t>
  </si>
  <si>
    <t>CP0007165</t>
  </si>
  <si>
    <t>001277</t>
  </si>
  <si>
    <t>Lake Hayes Source Investigation (WS)</t>
  </si>
  <si>
    <t>CP0007167</t>
  </si>
  <si>
    <t>001281</t>
  </si>
  <si>
    <t>Telemetry - Lake Hayes (WS)</t>
  </si>
  <si>
    <t>CP0007152</t>
  </si>
  <si>
    <t>001284</t>
  </si>
  <si>
    <t>Demand Mgt - Glenorchy (WS)</t>
  </si>
  <si>
    <t>CP0006601</t>
  </si>
  <si>
    <t>001320</t>
  </si>
  <si>
    <t>Wanaka Airport Water Supply Upgrade</t>
  </si>
  <si>
    <t>CP0007149</t>
  </si>
  <si>
    <t>001325</t>
  </si>
  <si>
    <t>Hydr Model &amp; Sys Perf - Cardrona (WS)</t>
  </si>
  <si>
    <t>Water Supply - Sub Total</t>
  </si>
  <si>
    <t>(All)</t>
  </si>
  <si>
    <t>Work System</t>
  </si>
  <si>
    <t>OP.WORKS</t>
  </si>
  <si>
    <t>Sum of Amount</t>
  </si>
  <si>
    <t>Management and Operations</t>
  </si>
  <si>
    <t>Scheduled (Routine) Maintenance</t>
  </si>
  <si>
    <t>Unscheduled &amp; Corrective Maintenance</t>
  </si>
  <si>
    <t>Wastewater</t>
  </si>
  <si>
    <t>Data confidence</t>
  </si>
  <si>
    <t>Pipeline condition grading approaches</t>
  </si>
  <si>
    <t>Above ground condition assessment</t>
  </si>
  <si>
    <t>Charge type</t>
  </si>
  <si>
    <t>Consent status</t>
  </si>
  <si>
    <t>Tradewaste approach</t>
  </si>
  <si>
    <t>Yes (include individual contaminants in comments)</t>
  </si>
  <si>
    <t>Never</t>
  </si>
  <si>
    <t>Source water zone identified for all water treatment plants</t>
  </si>
  <si>
    <t>Permitted activity under regional plan</t>
  </si>
  <si>
    <t>Containment standard in consent (specify level of service in comments field)</t>
  </si>
  <si>
    <t>Water permits - take, use, dam, and divert</t>
  </si>
  <si>
    <t>Bore</t>
  </si>
  <si>
    <t>RCP</t>
  </si>
  <si>
    <t>Highly reliable</t>
  </si>
  <si>
    <t>Informal</t>
  </si>
  <si>
    <t>General rate</t>
  </si>
  <si>
    <t>Tradewaste Bylaw</t>
  </si>
  <si>
    <t>Daily</t>
  </si>
  <si>
    <t>Source water zone identified for some water treatment plants</t>
  </si>
  <si>
    <t>Internal code of practice</t>
  </si>
  <si>
    <t>Treated as emergency discharge</t>
  </si>
  <si>
    <t>Internal technical level of service  (specify level of service in comments field)</t>
  </si>
  <si>
    <t>Discharge permits - to land, air, and water</t>
  </si>
  <si>
    <t>Roof</t>
  </si>
  <si>
    <t>Inhouse</t>
  </si>
  <si>
    <t>Uniform Annual general charge</t>
  </si>
  <si>
    <t>Lodged</t>
  </si>
  <si>
    <t>Individual tradewaste consent</t>
  </si>
  <si>
    <t>Weekly</t>
  </si>
  <si>
    <t>Source water zone of treatment plants unknown</t>
  </si>
  <si>
    <t>Other (specify in comments)</t>
  </si>
  <si>
    <t>Resource consent held for wet weather discharges</t>
  </si>
  <si>
    <t>Performance below design standards for new sewers considered unacceptable in existing network also</t>
  </si>
  <si>
    <t>Coastal permits - construction, deposit, disturb, and alter</t>
  </si>
  <si>
    <t>Spring</t>
  </si>
  <si>
    <t>New Zealand Infrastructure Asset Grading Guidelines</t>
  </si>
  <si>
    <t>Hearing</t>
  </si>
  <si>
    <t>None</t>
  </si>
  <si>
    <t>Monthly</t>
  </si>
  <si>
    <t>Multiple varying standards for different areas of the network (provide detail in comments)</t>
  </si>
  <si>
    <t>Land use consent - build, excavation, and damage to habitat</t>
  </si>
  <si>
    <t>Lake</t>
  </si>
  <si>
    <t>New Zealand Pipe Inspection Manual</t>
  </si>
  <si>
    <t>NAMS International Infrastructure Management Manual</t>
  </si>
  <si>
    <t>Other (include detail in comments field)</t>
  </si>
  <si>
    <t>Appeal</t>
  </si>
  <si>
    <t>Annually</t>
  </si>
  <si>
    <t>No specified sewage containment standards</t>
  </si>
  <si>
    <t>River/stream/creek</t>
  </si>
  <si>
    <t>Visual Assesment Manual for Utility Assets</t>
  </si>
  <si>
    <t>Event based</t>
  </si>
  <si>
    <t>Other</t>
  </si>
  <si>
    <t>IPWEA Practice Note 7: Water Supply and Sewerage</t>
  </si>
  <si>
    <t>IPWEA Condition Assessment and Asset Performance Guidelines</t>
  </si>
  <si>
    <t>Other (list in comments column)</t>
  </si>
  <si>
    <t>IPWEA Condition Assesment and Asset Performance Guidelines</t>
  </si>
  <si>
    <t>Other (please specify in comments field)</t>
  </si>
  <si>
    <t>Common</t>
  </si>
  <si>
    <t>Stats NZ</t>
  </si>
  <si>
    <t>Acronym</t>
  </si>
  <si>
    <t>[CB1]</t>
  </si>
  <si>
    <t>[WST1]</t>
  </si>
  <si>
    <t/>
  </si>
  <si>
    <t>[WWA5]</t>
  </si>
  <si>
    <t>[SWA1a]</t>
  </si>
  <si>
    <t>Total Area (km2)</t>
  </si>
  <si>
    <t>[CB2]</t>
  </si>
  <si>
    <t>[WSA4]</t>
  </si>
  <si>
    <t>[WWA1a]</t>
  </si>
  <si>
    <t>[SWA7]</t>
  </si>
  <si>
    <t>Population</t>
  </si>
  <si>
    <t>[CB3]</t>
  </si>
  <si>
    <t>[WSA6]</t>
  </si>
  <si>
    <t>[WWA8]</t>
  </si>
  <si>
    <t>[SWB2]</t>
  </si>
  <si>
    <t>Residential Properties</t>
  </si>
  <si>
    <t>[CB4]</t>
  </si>
  <si>
    <t>[WSA5]</t>
  </si>
  <si>
    <t>[WWA7]</t>
  </si>
  <si>
    <t>[SWB3]</t>
  </si>
  <si>
    <t>[CB5]</t>
  </si>
  <si>
    <t>[WSA1a]</t>
  </si>
  <si>
    <t>[WWA7a]</t>
  </si>
  <si>
    <t>[SWB1]</t>
  </si>
  <si>
    <t>[CB6]</t>
  </si>
  <si>
    <t>[WST1a]</t>
  </si>
  <si>
    <t>[WWA7d]</t>
  </si>
  <si>
    <t>[SWB4]</t>
  </si>
  <si>
    <t>[CB10]</t>
  </si>
  <si>
    <t>[WST2]</t>
  </si>
  <si>
    <t>[WWA7f]</t>
  </si>
  <si>
    <t>[SWA2f]</t>
  </si>
  <si>
    <t>Household Income</t>
  </si>
  <si>
    <t>[CB10a]</t>
  </si>
  <si>
    <t>[WST3]</t>
  </si>
  <si>
    <t>[WWB6]</t>
  </si>
  <si>
    <t>[SWA2d]</t>
  </si>
  <si>
    <t>[CB11]</t>
  </si>
  <si>
    <t>[WSB2]</t>
  </si>
  <si>
    <t>[WWB5]</t>
  </si>
  <si>
    <t>[SWA3]</t>
  </si>
  <si>
    <t>[CB12]</t>
  </si>
  <si>
    <t>[WSB3]</t>
  </si>
  <si>
    <t>[WWA7g]</t>
  </si>
  <si>
    <t>[SWA6]</t>
  </si>
  <si>
    <t>[CB13]</t>
  </si>
  <si>
    <t>[WSB1a]</t>
  </si>
  <si>
    <t>[WWA7h]</t>
  </si>
  <si>
    <t>[SWA5c]</t>
  </si>
  <si>
    <t>[CB14a]</t>
  </si>
  <si>
    <t>[WSB1b]</t>
  </si>
  <si>
    <t>[WWA7i]</t>
  </si>
  <si>
    <t>[SWA5d]</t>
  </si>
  <si>
    <t>[CB14b]</t>
  </si>
  <si>
    <t>[WSB4]</t>
  </si>
  <si>
    <t>[WWE4g]</t>
  </si>
  <si>
    <t>[SWE1a]</t>
  </si>
  <si>
    <t>[CB15a]</t>
  </si>
  <si>
    <t>[WSB5]</t>
  </si>
  <si>
    <t>[WWA7j-1]</t>
  </si>
  <si>
    <t>[SWE1b]</t>
  </si>
  <si>
    <t>[CB15c]</t>
  </si>
  <si>
    <t>[WSB7]</t>
  </si>
  <si>
    <t>[WWA7j-2]</t>
  </si>
  <si>
    <t>[SWE2a]</t>
  </si>
  <si>
    <t>[CB15b]</t>
  </si>
  <si>
    <t>[WSB5a]</t>
  </si>
  <si>
    <t>[WWA7k-1]</t>
  </si>
  <si>
    <t>[SWE2b]</t>
  </si>
  <si>
    <t>[CB15d]</t>
  </si>
  <si>
    <t>[WSB5b]</t>
  </si>
  <si>
    <t>[WWA7k-2]</t>
  </si>
  <si>
    <t>[SWE2c]</t>
  </si>
  <si>
    <t>[CB16]</t>
  </si>
  <si>
    <t>[WST4]</t>
  </si>
  <si>
    <t>[WWA7k-3]</t>
  </si>
  <si>
    <t>[SWE2d]</t>
  </si>
  <si>
    <t>[CB19a]</t>
  </si>
  <si>
    <t>[WST5]</t>
  </si>
  <si>
    <t>[WWA7k-4]</t>
  </si>
  <si>
    <t>[SWE2e]</t>
  </si>
  <si>
    <t>[CB19b]</t>
  </si>
  <si>
    <t>[WST6]</t>
  </si>
  <si>
    <t>[WWA7k-5]</t>
  </si>
  <si>
    <t>[SWE2f]</t>
  </si>
  <si>
    <t>[CB19c]</t>
  </si>
  <si>
    <t>[WST7]</t>
  </si>
  <si>
    <t>[WWA7m]</t>
  </si>
  <si>
    <t>[SWE2g]</t>
  </si>
  <si>
    <t>[CB19d]</t>
  </si>
  <si>
    <t>[WSS10a]</t>
  </si>
  <si>
    <t>[WWA7n]</t>
  </si>
  <si>
    <t>[SWE3]</t>
  </si>
  <si>
    <t>[WSS10b]</t>
  </si>
  <si>
    <t>[WWA7o]</t>
  </si>
  <si>
    <t>[SWE4]</t>
  </si>
  <si>
    <t>[WSS10c]</t>
  </si>
  <si>
    <t>[WWA7p]</t>
  </si>
  <si>
    <t>[SWE5]</t>
  </si>
  <si>
    <t>[WSS10d]</t>
  </si>
  <si>
    <t>[WWA7q]</t>
  </si>
  <si>
    <t>[SWT1]</t>
  </si>
  <si>
    <t>[WSS3]</t>
  </si>
  <si>
    <t>[WWA7r]</t>
  </si>
  <si>
    <t>[SWE6]</t>
  </si>
  <si>
    <t>[WSS4]</t>
  </si>
  <si>
    <t>[WWB2]</t>
  </si>
  <si>
    <t>[SWE7]</t>
  </si>
  <si>
    <t>[WSS1]</t>
  </si>
  <si>
    <t>[WWB3]</t>
  </si>
  <si>
    <t>[SWE8]</t>
  </si>
  <si>
    <t>[WSS2]</t>
  </si>
  <si>
    <t>[WWB1a]</t>
  </si>
  <si>
    <t>[SWE9]</t>
  </si>
  <si>
    <t>[WSA2f]</t>
  </si>
  <si>
    <t>[WWB1b ]</t>
  </si>
  <si>
    <t>[SWE10]</t>
  </si>
  <si>
    <t>[WSA2d]</t>
  </si>
  <si>
    <t>[WWB4]</t>
  </si>
  <si>
    <t>[SWE11]</t>
  </si>
  <si>
    <t>[WSA3]</t>
  </si>
  <si>
    <t>[WWS6a]</t>
  </si>
  <si>
    <t>[SWS1]</t>
  </si>
  <si>
    <t>[WSA13c]</t>
  </si>
  <si>
    <t>[WWS6b]</t>
  </si>
  <si>
    <t>[SWS2]</t>
  </si>
  <si>
    <t>[WSA2d+WSA2g]</t>
  </si>
  <si>
    <t>[WWS7a]</t>
  </si>
  <si>
    <t>[SWS3]</t>
  </si>
  <si>
    <t>[WSE2]</t>
  </si>
  <si>
    <t>[WWS7b]</t>
  </si>
  <si>
    <t>[SWS3a]</t>
  </si>
  <si>
    <t>[WST8]</t>
  </si>
  <si>
    <t>[WWS7c]</t>
  </si>
  <si>
    <t>[SWS3b]</t>
  </si>
  <si>
    <t>[WSS11]</t>
  </si>
  <si>
    <t>[WWA2f]</t>
  </si>
  <si>
    <t>[SWS4]</t>
  </si>
  <si>
    <t>[WST9]</t>
  </si>
  <si>
    <t>[WWA2d]</t>
  </si>
  <si>
    <t>[SWS5]</t>
  </si>
  <si>
    <t>[WST10]</t>
  </si>
  <si>
    <t>[WWA3]</t>
  </si>
  <si>
    <t>[SWS5a]</t>
  </si>
  <si>
    <t>[WSS12a]</t>
  </si>
  <si>
    <t>[WWA4]</t>
  </si>
  <si>
    <t>[SWS5b]</t>
  </si>
  <si>
    <t>[WSE1a]</t>
  </si>
  <si>
    <t>[WWA6]</t>
  </si>
  <si>
    <t>[SWS5c]</t>
  </si>
  <si>
    <t>[WSE1d]</t>
  </si>
  <si>
    <t>[WWT1]</t>
  </si>
  <si>
    <t>[SWS5d]</t>
  </si>
  <si>
    <t>[WSE1e]</t>
  </si>
  <si>
    <t>[WWE1]</t>
  </si>
  <si>
    <t>[SWS6]</t>
  </si>
  <si>
    <t>[WSE1h]</t>
  </si>
  <si>
    <t>[WWE1a]</t>
  </si>
  <si>
    <t>[SWS7a]</t>
  </si>
  <si>
    <t>[WSB8]</t>
  </si>
  <si>
    <t>[WWE1b]</t>
  </si>
  <si>
    <t>[SWS7b]</t>
  </si>
  <si>
    <t>[WWE2a]</t>
  </si>
  <si>
    <t>[SWF1]</t>
  </si>
  <si>
    <t>[WSA9a]</t>
  </si>
  <si>
    <t>[WWE2b]</t>
  </si>
  <si>
    <t>[SWF2]</t>
  </si>
  <si>
    <t>[WSA9b]</t>
  </si>
  <si>
    <t>[WWE3]</t>
  </si>
  <si>
    <t>[SWF3]</t>
  </si>
  <si>
    <t>[WSE3]</t>
  </si>
  <si>
    <t>[WWE3a]</t>
  </si>
  <si>
    <t>[SWF4]</t>
  </si>
  <si>
    <t>[WSE3a]</t>
  </si>
  <si>
    <t>[WWE7]</t>
  </si>
  <si>
    <t>[SWF5]</t>
  </si>
  <si>
    <t>[WSE4]</t>
  </si>
  <si>
    <t>[WWE8]</t>
  </si>
  <si>
    <t>[SWF22]</t>
  </si>
  <si>
    <t>[WST11]</t>
  </si>
  <si>
    <t>[WWE9a]</t>
  </si>
  <si>
    <t>[SWF6a]</t>
  </si>
  <si>
    <t>[WSCC1]</t>
  </si>
  <si>
    <t>[WWE9b]</t>
  </si>
  <si>
    <t>[SWF6b]</t>
  </si>
  <si>
    <t>[WSCC2]</t>
  </si>
  <si>
    <t>[WWE9c]</t>
  </si>
  <si>
    <t>[SWF7]</t>
  </si>
  <si>
    <t>[WSCC3]</t>
  </si>
  <si>
    <t>[WWE9d]</t>
  </si>
  <si>
    <t>[SWF8]</t>
  </si>
  <si>
    <t>[WSS5a]</t>
  </si>
  <si>
    <t>[WWE4a]</t>
  </si>
  <si>
    <t>[SWF9]</t>
  </si>
  <si>
    <t>[WSS5b]</t>
  </si>
  <si>
    <t>[WWE4b]</t>
  </si>
  <si>
    <t>[SWF10]</t>
  </si>
  <si>
    <t>[WSS5c]</t>
  </si>
  <si>
    <t>[WWE4c]</t>
  </si>
  <si>
    <t>[SWF11]</t>
  </si>
  <si>
    <t>[WSS5d]</t>
  </si>
  <si>
    <t>[WWE4d]</t>
  </si>
  <si>
    <t>[SWF12a]</t>
  </si>
  <si>
    <t>[WSS5e]</t>
  </si>
  <si>
    <t>[WWE4e]</t>
  </si>
  <si>
    <t>[SWF12b]</t>
  </si>
  <si>
    <t>[WSS5f]</t>
  </si>
  <si>
    <t>[WWE4f]</t>
  </si>
  <si>
    <t>[SWF13]</t>
  </si>
  <si>
    <t>[WSS5]</t>
  </si>
  <si>
    <t>[WWE4h]</t>
  </si>
  <si>
    <t>[SWF14]</t>
  </si>
  <si>
    <t>[WSS6]</t>
  </si>
  <si>
    <t>[WWE4i]</t>
  </si>
  <si>
    <t>[SWF15]</t>
  </si>
  <si>
    <t>[WSS7a]</t>
  </si>
  <si>
    <t>[WWT2]</t>
  </si>
  <si>
    <t>[SWF16]</t>
  </si>
  <si>
    <t>[WSS7b]</t>
  </si>
  <si>
    <t>[WWT3]</t>
  </si>
  <si>
    <t>[SWF16a]</t>
  </si>
  <si>
    <t>[WSS7c]</t>
  </si>
  <si>
    <t>[WWE5c]</t>
  </si>
  <si>
    <t>[SWF16b]</t>
  </si>
  <si>
    <t>[WSS8a]</t>
  </si>
  <si>
    <t>[WWCC1]</t>
  </si>
  <si>
    <t>[SWF16c]</t>
  </si>
  <si>
    <t>[WSS8b]</t>
  </si>
  <si>
    <t>[WWCC2]</t>
  </si>
  <si>
    <t>[SWF17]</t>
  </si>
  <si>
    <t>[WSS8c]</t>
  </si>
  <si>
    <t>[WWCC3]</t>
  </si>
  <si>
    <t>[SWF17a]</t>
  </si>
  <si>
    <t>[WSS9]</t>
  </si>
  <si>
    <t>[WWT4]</t>
  </si>
  <si>
    <t>[SWF17b]</t>
  </si>
  <si>
    <t>[WSF1]</t>
  </si>
  <si>
    <t>[WWE6a]</t>
  </si>
  <si>
    <t>[SWF17c]</t>
  </si>
  <si>
    <t>[WSF2]</t>
  </si>
  <si>
    <t>[WWE6b]</t>
  </si>
  <si>
    <t>[SWF18]</t>
  </si>
  <si>
    <t>[WSF3]</t>
  </si>
  <si>
    <t>[WWE6c]</t>
  </si>
  <si>
    <t>[SWF19]</t>
  </si>
  <si>
    <t>[WSF4]</t>
  </si>
  <si>
    <t>[WWE6d]</t>
  </si>
  <si>
    <t>[SWF20]</t>
  </si>
  <si>
    <t>[WSF5]</t>
  </si>
  <si>
    <t>[WWS1a]</t>
  </si>
  <si>
    <t>[SWF21]</t>
  </si>
  <si>
    <t>[WSF6]</t>
  </si>
  <si>
    <t>[WWS1b]</t>
  </si>
  <si>
    <t>[]</t>
  </si>
  <si>
    <t>[WSF25]</t>
  </si>
  <si>
    <t>[WWS1c]</t>
  </si>
  <si>
    <t>[WSF7]</t>
  </si>
  <si>
    <t>[WWS1d]</t>
  </si>
  <si>
    <t>[WSF8]</t>
  </si>
  <si>
    <t>[WWS2a]</t>
  </si>
  <si>
    <t>[WSF9a]</t>
  </si>
  <si>
    <t>[WWS2b]</t>
  </si>
  <si>
    <t>[WSF9b]</t>
  </si>
  <si>
    <t>[WWS2c]</t>
  </si>
  <si>
    <t>[WSF10]</t>
  </si>
  <si>
    <t>[WWS3]</t>
  </si>
  <si>
    <t>[WSF11]</t>
  </si>
  <si>
    <t>[WWS4]</t>
  </si>
  <si>
    <t>[WSF12]</t>
  </si>
  <si>
    <t>[WWS4a]</t>
  </si>
  <si>
    <t>[WSF13]</t>
  </si>
  <si>
    <t>[WWS4b]</t>
  </si>
  <si>
    <t>[WSF14]</t>
  </si>
  <si>
    <t>[WWS4c]</t>
  </si>
  <si>
    <t>[WSF15a]</t>
  </si>
  <si>
    <t>[WWS4d]</t>
  </si>
  <si>
    <t>[WSF15b]</t>
  </si>
  <si>
    <t>[WWS5]</t>
  </si>
  <si>
    <t>[WSF16]</t>
  </si>
  <si>
    <t>[WWF1]</t>
  </si>
  <si>
    <t>[WSF17]</t>
  </si>
  <si>
    <t>[WWF2]</t>
  </si>
  <si>
    <t>[WSF18]</t>
  </si>
  <si>
    <t>[WWF3]</t>
  </si>
  <si>
    <t>[WSF19]</t>
  </si>
  <si>
    <t>[WWF4]</t>
  </si>
  <si>
    <t>[WSF19a]</t>
  </si>
  <si>
    <t>[WWF5]</t>
  </si>
  <si>
    <t>[WSF19b]</t>
  </si>
  <si>
    <t>[WWF6]</t>
  </si>
  <si>
    <t>[WSF19c]</t>
  </si>
  <si>
    <t>[WWF26]</t>
  </si>
  <si>
    <t>[WSF20]</t>
  </si>
  <si>
    <t>[WWF7]</t>
  </si>
  <si>
    <t>[WSF20a]</t>
  </si>
  <si>
    <t>[WWF8]</t>
  </si>
  <si>
    <t>[WSF20b]</t>
  </si>
  <si>
    <t>[WWF9]</t>
  </si>
  <si>
    <t>[WSF20c]</t>
  </si>
  <si>
    <t>[WWF10]</t>
  </si>
  <si>
    <t>[WSF21]</t>
  </si>
  <si>
    <t>[WWF11]</t>
  </si>
  <si>
    <t>[WSF22]</t>
  </si>
  <si>
    <t>[WWF12]</t>
  </si>
  <si>
    <t>[WSF23a]</t>
  </si>
  <si>
    <t>[WWF13]</t>
  </si>
  <si>
    <t>[WSF23b]</t>
  </si>
  <si>
    <t>[WWF14]</t>
  </si>
  <si>
    <t>[WSF24]</t>
  </si>
  <si>
    <t>[WWF15]</t>
  </si>
  <si>
    <t>[WWF16a]</t>
  </si>
  <si>
    <t>[WWF16b]</t>
  </si>
  <si>
    <t>[WWF17]</t>
  </si>
  <si>
    <t>[WWF18]</t>
  </si>
  <si>
    <t>[WWF19]</t>
  </si>
  <si>
    <t>[WWF20]</t>
  </si>
  <si>
    <t>[WWF20a]</t>
  </si>
  <si>
    <t>[WWF20b]</t>
  </si>
  <si>
    <t>[WWF20c]</t>
  </si>
  <si>
    <t>[WWF21]</t>
  </si>
  <si>
    <t>[WWF21a]</t>
  </si>
  <si>
    <t>[WWF21b]</t>
  </si>
  <si>
    <t>[WWF21c]</t>
  </si>
  <si>
    <t>[WWF22]</t>
  </si>
  <si>
    <t>[WWF23]</t>
  </si>
  <si>
    <t>[WWF24a]</t>
  </si>
  <si>
    <t>[WWF24b]</t>
  </si>
  <si>
    <t>[WWF25]</t>
  </si>
  <si>
    <t>Total Area [CB1]</t>
  </si>
  <si>
    <t>Total Population [CB2]</t>
  </si>
  <si>
    <t>Residential properties [CB3]</t>
  </si>
  <si>
    <t>Non-residential properties [CB4]</t>
  </si>
  <si>
    <t>Total  Properties [CB5]</t>
  </si>
  <si>
    <t>Household Occupancy  [CB6]</t>
  </si>
  <si>
    <t>Internal staff [CB10]</t>
  </si>
  <si>
    <t>Staff vacancies [CB10a]</t>
  </si>
  <si>
    <t>Contracted staff [CB11]</t>
  </si>
  <si>
    <t>Near miss reports [CB12]</t>
  </si>
  <si>
    <t>Lost time injuries [CB13]</t>
  </si>
  <si>
    <t>Staff training hours [CB14a]</t>
  </si>
  <si>
    <t>Staff training enrolments [CB14b]</t>
  </si>
  <si>
    <t>Staff with a relevant Bachelors degree [CB15a]</t>
  </si>
  <si>
    <t>Staff with a NZ Diploma [CB15c]</t>
  </si>
  <si>
    <t>Staff with a NZ Certificate [CB15b]</t>
  </si>
  <si>
    <t>Staff with completed apprenticeships [CB15d]</t>
  </si>
  <si>
    <t>Continuing professional development enrolments [CB16]</t>
  </si>
  <si>
    <t>Analogue SCADA/telemetry [CB19a]</t>
  </si>
  <si>
    <t>Digital SCADA/telemetry [CB19b]</t>
  </si>
  <si>
    <t>SCADA/telemetry controls [CB19c]</t>
  </si>
  <si>
    <t>SCADA/telemetry monitoring [CB19d]</t>
  </si>
  <si>
    <t>Water Serviced Population [WSB1a]</t>
  </si>
  <si>
    <t>Water Supply Service Coverage [WSB1b]</t>
  </si>
  <si>
    <t>Water Serviced Properties: Residential [WSB2]</t>
  </si>
  <si>
    <t>Water Serviced Properties: Non-Residential [WSB3]</t>
  </si>
  <si>
    <t>Total Water Serviced Properties [WSB4]</t>
  </si>
  <si>
    <t>Water Supplied to Own System [WSB5]</t>
  </si>
  <si>
    <t>Water imported from other authorities [WSB5a]</t>
  </si>
  <si>
    <t>Water exported to other authorities [WSB5b]</t>
  </si>
  <si>
    <t>Authorised Consumption [WSB6]</t>
  </si>
  <si>
    <t>Non-residential Water Consumption [WSB7]</t>
  </si>
  <si>
    <t>Average Daily Residential Water Consumption [WSB8]</t>
  </si>
  <si>
    <t>Water Demand Forecasting [WSB9]</t>
  </si>
  <si>
    <t>Length of Water Supply Network [WSA1a]</t>
  </si>
  <si>
    <t>Length of water mains renewed using internal CAPEX [WSA1b]</t>
  </si>
  <si>
    <t>Length of new water mains constructed using internal CAPEX [WSA1c]</t>
  </si>
  <si>
    <t>Condition grade 1: Water pipelines [WSA2a]</t>
  </si>
  <si>
    <t>Condition grade 2: Water pipelines [WSA2b]</t>
  </si>
  <si>
    <t>Condition grade 3: Water pipelines [WSA2c]</t>
  </si>
  <si>
    <t>Condition grade 4: Water pipelines [WSA2d]</t>
  </si>
  <si>
    <t>Condition grade 5: Water pipelines [WSA2e]</t>
  </si>
  <si>
    <t>Not assessed: Water pipelines [WSA2f]</t>
  </si>
  <si>
    <t>Pipeline Condition Assessment Approach [WSA2g]</t>
  </si>
  <si>
    <t>Average Age of Water Pipelines [WSA3]</t>
  </si>
  <si>
    <t>Water Treatment Plants [WSA4]</t>
  </si>
  <si>
    <t>Water Treatment Plant Standby Generators [WSA4a]</t>
  </si>
  <si>
    <t>Water Pump Stations [WSA5]</t>
  </si>
  <si>
    <t>Water Pump Stations Standby Generators [WSA5a]</t>
  </si>
  <si>
    <t>Water Supply Reservoirs [WSA6]</t>
  </si>
  <si>
    <t>Water Stored in Reservoirs [WSA7]</t>
  </si>
  <si>
    <t>Capacity of Water Storage Reservoirs [WSA8]</t>
  </si>
  <si>
    <t>Properties with Water Meters - Residential [WSA9a]</t>
  </si>
  <si>
    <t>Properties with Water Meters - Non-Residential  [WSA9b]</t>
  </si>
  <si>
    <t>Properties with Water Restrictors [WSA10]</t>
  </si>
  <si>
    <t>Water Treatment Sludge Production [WSA11]</t>
  </si>
  <si>
    <t>Above ground asset condition assessment programme [WSA13a]</t>
  </si>
  <si>
    <t>Protocol used for above ground condition assessments [WSA13b]</t>
  </si>
  <si>
    <t>Percent of above ground assets assessed within 3 years [WSA13c]</t>
  </si>
  <si>
    <t>Estimated total network water loss [WSE1a]</t>
  </si>
  <si>
    <t>Percentage Estimated Total Network Water Loss [WSE1b]</t>
  </si>
  <si>
    <t>CARL (current annual real loss) [WSE1c]</t>
  </si>
  <si>
    <t>CARL (current annual real loss) [WSE1d]</t>
  </si>
  <si>
    <t>CARL (current annual real loss) [WSE1e]</t>
  </si>
  <si>
    <t>UARL (unavoidable annual real loss) [WSE1f]</t>
  </si>
  <si>
    <t>UARL (unavoidable annual real loss) [WSE1g]</t>
  </si>
  <si>
    <t>ILI ( infrastructure leakage index (=CARL/UARL) [WSE1h]</t>
  </si>
  <si>
    <t>Average system pressure [WSE2]</t>
  </si>
  <si>
    <t>Energy Consumption: Water Supply [WSE3]</t>
  </si>
  <si>
    <t>Energy Intensity: Water Supply [WSE3a]</t>
  </si>
  <si>
    <t>Energy Generation: Water Supply [WSE4]</t>
  </si>
  <si>
    <t>Unplanned Total Interruptions: Water Supply [WSS1]</t>
  </si>
  <si>
    <t>Unplanned Interruption Frequency: Water Supply [WSS2]</t>
  </si>
  <si>
    <t>Planned Interruptions: Water Supply [WSS3]</t>
  </si>
  <si>
    <t>Third Party Incidents: Water Supply [WSS4]</t>
  </si>
  <si>
    <t>Water Supply Complaints [WSS5]</t>
  </si>
  <si>
    <t>Drinking water clarity complaints [WSS5a]</t>
  </si>
  <si>
    <t>Drinking water taste complaints [WSS5b]</t>
  </si>
  <si>
    <t>Drinking water odour complaints [WSS5c]</t>
  </si>
  <si>
    <t>Drinking water pressure or flow complaints [WSS5d]</t>
  </si>
  <si>
    <t>Continuity of water supply complaints [WSS5e]</t>
  </si>
  <si>
    <t>The authorities response to any of these issues [WSS5f]</t>
  </si>
  <si>
    <t>Water Supply Complaints Frequency [WSS6]</t>
  </si>
  <si>
    <t>Number of different water charging regimes [WSS7]</t>
  </si>
  <si>
    <t>Fixed Charge: Non-residential water [WSS7a]</t>
  </si>
  <si>
    <t>Fixed Charge Type: Non-residential water [WSS7b]</t>
  </si>
  <si>
    <t>Volumetric Charge: Non-residential water [WSS7c]</t>
  </si>
  <si>
    <t>Fixed Charge: Residential water [WSS8a]</t>
  </si>
  <si>
    <t>Fixed Charge Type: Residential water [WSS8b]</t>
  </si>
  <si>
    <t>Volumetric Charge: Residential water [WSS8c]</t>
  </si>
  <si>
    <t>Average Residential Water Charge Based on 200 m3/yr  [WSS9]</t>
  </si>
  <si>
    <t>Attendance for urgent water supply fault call-outs [WSS10a]</t>
  </si>
  <si>
    <t>Resolution for urgent water supply fault call-outs [WSS10b]</t>
  </si>
  <si>
    <t>Attendance for non-urgent water supply fault call-outs [WSS10c]</t>
  </si>
  <si>
    <t>Resolution for non-urgent water supply fault call-outs [WSS10d]</t>
  </si>
  <si>
    <t>Water restriction days [WSS11]</t>
  </si>
  <si>
    <t>Fire hydrants tested in the previous five years [WSS12a]</t>
  </si>
  <si>
    <t>Non-compliant fire hydrants [WSS12b]</t>
  </si>
  <si>
    <t>Boiled water notices [WSS12]</t>
  </si>
  <si>
    <t>Source water zone management [WSS14]</t>
  </si>
  <si>
    <t>Source water monitoring [WSS15]</t>
  </si>
  <si>
    <t>Revenue from Supply of Water to Other Local Authorities [WSF1]</t>
  </si>
  <si>
    <t>Operating Revenue: Water Supply [WSF2]</t>
  </si>
  <si>
    <t>Development Contribution Revenue: Water Supply [WSF3]</t>
  </si>
  <si>
    <t>Total Revenue: Water Supply [WSF4]</t>
  </si>
  <si>
    <t>Revenue per Property: Water Supply [WSF5]</t>
  </si>
  <si>
    <t>Debt funding: Water Supply [WSF6]</t>
  </si>
  <si>
    <t>Energy Costs: Water Supply [WSF7]</t>
  </si>
  <si>
    <t>Chemicals and Consumables: Water Supply [WSF8]</t>
  </si>
  <si>
    <t>Routine maintenance: Water Supply [WSF9a]</t>
  </si>
  <si>
    <t>Reactive maintenance: Water Supply [WSF9b]</t>
  </si>
  <si>
    <t>Management Costs: Water Supply [WSF10]</t>
  </si>
  <si>
    <t>Council Contract Management Costs : Water Supply [WSF11]</t>
  </si>
  <si>
    <t>Operating Cost: Water Supply [WSF12]</t>
  </si>
  <si>
    <t>Operating Cost per Property: Water Supply [WSF13]</t>
  </si>
  <si>
    <t>Annual Depreciation: Water Supply [WSF14]</t>
  </si>
  <si>
    <t>Interest: Water Supply [WSF15a]</t>
  </si>
  <si>
    <t>Debt affordability: Water Supply [WSF15b]</t>
  </si>
  <si>
    <t>Operational Cost Coverage: Water Supply [WSF16]</t>
  </si>
  <si>
    <t>Total Cost: Water Supply [WSF17]</t>
  </si>
  <si>
    <t>Total Cost per Property: Water Supply [WSF18]</t>
  </si>
  <si>
    <t>Budgeted Capital Expenditure: Water Supply [WSF19]</t>
  </si>
  <si>
    <t>Budgeted capital to meet additional demand [WSF19a]</t>
  </si>
  <si>
    <t>Budgeted capital to improve the level of service [WSF19b]</t>
  </si>
  <si>
    <t>Budgeted capital to replace existing assets [WSF19c]</t>
  </si>
  <si>
    <t>Actual Capital Expenditure: Water Supply [WSF20]</t>
  </si>
  <si>
    <t>Actual capital to meet additional demand [WSF20a]</t>
  </si>
  <si>
    <t>Actual capital to improve the level of service [WSF20b]</t>
  </si>
  <si>
    <t>Actual capital to replace existing assets [WSF20c]</t>
  </si>
  <si>
    <t>Actual Capital Expenditure per Property: Water Supply [WSF21]</t>
  </si>
  <si>
    <t>Development Contributions: Water Supply assets [WSF22]</t>
  </si>
  <si>
    <t>Water treatment facility value at end of reporting year [WSF23a]</t>
  </si>
  <si>
    <t>Other water supply asset value [WSF23b]</t>
  </si>
  <si>
    <t>Decline in Service Potential: Water Supply [WSF24]</t>
  </si>
  <si>
    <t>External Grants: Water Supply [WSF25]</t>
  </si>
  <si>
    <t>Wastewater Serviced Population [WWB1a]</t>
  </si>
  <si>
    <t>Wastewater Service Coverage [WWB1b ]</t>
  </si>
  <si>
    <t>Wastewater Serviced Properties: Residential [WWB2]</t>
  </si>
  <si>
    <t>Wastewater Serviced Properties: Non-residential [WWB3]</t>
  </si>
  <si>
    <t>Total Wastewater Serviced Properties [WWB4]</t>
  </si>
  <si>
    <t>Wastewater Exported for Treatment [WWB5]</t>
  </si>
  <si>
    <t>Wastewater Imported for Treatment [WWB6]</t>
  </si>
  <si>
    <t>Total Wastewater Produced [WWB7]</t>
  </si>
  <si>
    <t>Total Length of Public Wastewater Network [WWA1a]</t>
  </si>
  <si>
    <t>Length of wastewater mains renewed using internal CAPEX [WWA1b]</t>
  </si>
  <si>
    <t>Length of new wastewater mains constructed using internal CAPEX [WWA1c]</t>
  </si>
  <si>
    <t>Condition Grade 1: Wastewater pipelines [WWA2a]</t>
  </si>
  <si>
    <t>Condition Grade 2: Wastewater pipelines [WWA2b]</t>
  </si>
  <si>
    <t>Condition Grade 3: Wastewater pipelines [WWA2c]</t>
  </si>
  <si>
    <t>Condition Grade 4: Wastewater pipelines [WWA2d]</t>
  </si>
  <si>
    <t>Condition Grade 5: Wastewater pipelines [WWA2e]</t>
  </si>
  <si>
    <t>Not assessed: Wastewater pipelines [WWA2f]</t>
  </si>
  <si>
    <t>Pipeline Condition Assessment Approach [WWA2g]</t>
  </si>
  <si>
    <t>Average Age of Wastewater Pipelines [WWA3]</t>
  </si>
  <si>
    <t>Wastewater CCTV inspection [WWA4]</t>
  </si>
  <si>
    <t>Wastewater Pump Stations [WWA5]</t>
  </si>
  <si>
    <t>Wastewater Pump Stations Standby Generators [WWA5a]</t>
  </si>
  <si>
    <t>Above ground asset condition assessment programme [WWA6]</t>
  </si>
  <si>
    <t>Protocol used for above ground condition assessments [WWA6a]</t>
  </si>
  <si>
    <t>Percent of above ground assets assessed within 3 years [WWA6b]</t>
  </si>
  <si>
    <t>Number of wastewater treatment plants [WWA7]</t>
  </si>
  <si>
    <t>Wastewater treatment plant name [WWA7a]</t>
  </si>
  <si>
    <t>Volume of wastewater treated at treatment plant [WWA7d]</t>
  </si>
  <si>
    <t>Proportion of trade waste at treatment plant [WWA7f]</t>
  </si>
  <si>
    <t>Number of consents at each treatment plant [WWA7g]</t>
  </si>
  <si>
    <t>Treatment Plant effluent resource consent expiry date [WWA7h]</t>
  </si>
  <si>
    <t>Treatment plant effluent consent status [WWA7i]</t>
  </si>
  <si>
    <t>Treatment Plant sludge production of wet sludge/biosolids [WWA7j-1]</t>
  </si>
  <si>
    <t>Percentage of dry solids in wastewater sludge/biosolids [WWA7j-2]</t>
  </si>
  <si>
    <t>Disposal of wastewater sludge in year to on site stockpile [WWA7k-1]</t>
  </si>
  <si>
    <t>Disposal of wastewater sludge in year to landfill [WWA7k-2]</t>
  </si>
  <si>
    <t>Disposal of wastewater sludge in year to composting and reuse [WWA7k-3]</t>
  </si>
  <si>
    <t>Disposal of wastewater sludge in year to other routes [WWA7k-4]</t>
  </si>
  <si>
    <t>Last year desludged [WWA7k-5]</t>
  </si>
  <si>
    <t>Treatment Plant backup generators [WWA7l]</t>
  </si>
  <si>
    <t>Treatment plant peak wet to average dry weather flow ratio [WWA7m]</t>
  </si>
  <si>
    <t>Total Length of Combined Wastewater and Stormwater Pipelines [WWA8]</t>
  </si>
  <si>
    <t>Dry Weather Wastewater Overflows [WWE1]</t>
  </si>
  <si>
    <t>Overflows caused by blockages [WWE1a]</t>
  </si>
  <si>
    <t>Overflows caused by plant failures [WWE1b]</t>
  </si>
  <si>
    <t>Wet weather overflows from the wastewater network [WWE2a]</t>
  </si>
  <si>
    <t>Wet weather overflows from combined stormwater and wastewater networks [WWE2b]</t>
  </si>
  <si>
    <t>Total Wastewater Overflows  [WWE3]</t>
  </si>
  <si>
    <t>Wastewater overflows on private properties [WWE3a]</t>
  </si>
  <si>
    <t>Sewage design standards for network capacity [WWE7]</t>
  </si>
  <si>
    <t>Sewage containment of the existing network [WWE8]</t>
  </si>
  <si>
    <t>Overflows recorded through verbal reports [WWE9a]</t>
  </si>
  <si>
    <t>Overflows recorded through SCADA monitoring [WWE9b]</t>
  </si>
  <si>
    <t>Overflows calculated through hydraulic models [WWE9c]</t>
  </si>
  <si>
    <t>Overflows calculated through calibrated hydraulic models [WWE9d]</t>
  </si>
  <si>
    <t>Wastewater consent abatement notices [WWE4a]</t>
  </si>
  <si>
    <t>Wastewater consent infringement notices [WWE4b]</t>
  </si>
  <si>
    <t>Wastewater consent enforcement orders [WWE4c]</t>
  </si>
  <si>
    <t>Wastewater consent successful prosecutions [WWE4d]</t>
  </si>
  <si>
    <t>Wastewater treatment plant consent non-conformance [WWE4e]</t>
  </si>
  <si>
    <t>Wastewater network discharge non-conformance [WWE4f]</t>
  </si>
  <si>
    <t>Wet weather overflow regulation approach [WWE4g]</t>
  </si>
  <si>
    <t>Wastewater consent letter of direction [WWE4h]</t>
  </si>
  <si>
    <t>Wastewater consent formal warming [WWE4i]</t>
  </si>
  <si>
    <t>Energy Consumption: Wastewater [WWE5a]</t>
  </si>
  <si>
    <t>Energy Intensity: Wastewater [WWE5b]</t>
  </si>
  <si>
    <t>Energy Generation: Wastewater [WWE5c]</t>
  </si>
  <si>
    <t>Wastewater treatment plant process emissions assessment [WWE5d]</t>
  </si>
  <si>
    <t>Wastewater treatment plant effluent environmental discharge emissions assessment [WWE5e]</t>
  </si>
  <si>
    <t>Trade Waste Management [WWE6]</t>
  </si>
  <si>
    <t>Fixed Charge: Non residential wastewater [WWS1a]</t>
  </si>
  <si>
    <t>Fixed  Charge Type: Non residential wastewater [WWS1b]</t>
  </si>
  <si>
    <t>Volumetric Charge: Non residential wastewater [WWS1c]</t>
  </si>
  <si>
    <t>Contaminant Based Charging [WWS1d]</t>
  </si>
  <si>
    <t>Fixed Charge: Residential wastewater [WWS2a]</t>
  </si>
  <si>
    <t>Fixed Charge Type: Residential wastewater [WWS2b]</t>
  </si>
  <si>
    <t>Volumetric Charge: Residential wastewater [WWS2c]</t>
  </si>
  <si>
    <t>Average Annual Residential Wastewater Charge Based on 200 m3/yr  [WWS3]</t>
  </si>
  <si>
    <t>Wastewater complaints [WWS4]</t>
  </si>
  <si>
    <t>Sewage odour complaints [WWS4a]</t>
  </si>
  <si>
    <t>Sewerage system fault complaints [WWS4b]</t>
  </si>
  <si>
    <t>Sewerage system blockage complaints [WWS4c]</t>
  </si>
  <si>
    <t>The authority’s response to issues with its sewerage system [WWS4d]</t>
  </si>
  <si>
    <t>Wastewater complaints frequency [WWS5]</t>
  </si>
  <si>
    <t>Wastewater fault attendance time [WWS6a]</t>
  </si>
  <si>
    <t>Wastewater fault resolution time [WWS6b]</t>
  </si>
  <si>
    <t>Unplanned Total Interruptions: Wastewater [WWS7a]</t>
  </si>
  <si>
    <t>Third party Incidents: Wastewater [WWS7b]</t>
  </si>
  <si>
    <t>Unplanned Interruption Frequency: Wastewater [WWS7c]</t>
  </si>
  <si>
    <t>Revenue from the Provision of Wastewater Treatment Services to Another Local Authority [WWF1]</t>
  </si>
  <si>
    <t>Operating Revenue: Wastewater [WWF2]</t>
  </si>
  <si>
    <t>Development Contribution Revenue: Wastewater [WWF3]</t>
  </si>
  <si>
    <t>Total Revenue: Wastewater [WWF4]</t>
  </si>
  <si>
    <t>Revenue per Property: Wastewater [WWF5]</t>
  </si>
  <si>
    <t>Debt funding: Wastewater [WWF6]</t>
  </si>
  <si>
    <t>Energy Costs: Wastewater [WWF7]</t>
  </si>
  <si>
    <t>Sludge Disposal Costs: Wastewater [WWF8]</t>
  </si>
  <si>
    <t>Routine Maintenance: Wastewater [WWF9]</t>
  </si>
  <si>
    <t>Reactive Maintenance: Wastewater [WWF10]</t>
  </si>
  <si>
    <t>Management Costs: Wastewater [WWF11]</t>
  </si>
  <si>
    <t>Councils Contract Management Costs: Wastewater  [WWF12]</t>
  </si>
  <si>
    <t>Operating Cost: Wastewater [WWF13]</t>
  </si>
  <si>
    <t>Operating Cost per Property: Wastewater [WWF14]</t>
  </si>
  <si>
    <t>Annual Depreciation: Wastewater [WWF15]</t>
  </si>
  <si>
    <t>Interest: Wastewater [WWF16a]</t>
  </si>
  <si>
    <t>Debt affordability: Wastewater [WWF16b]</t>
  </si>
  <si>
    <t>Operational Cost Coverage: Wastewater [WWF17]</t>
  </si>
  <si>
    <t>Total Cost: Wastewater [WWF18]</t>
  </si>
  <si>
    <t>Total Cost per Property: Wastewater [WWF19]</t>
  </si>
  <si>
    <t>Budgeted Capital Expenditure: Wastewater [WWF20]</t>
  </si>
  <si>
    <t>Budgeted capital to meet additional demand [WWF20a]</t>
  </si>
  <si>
    <t>Budgeted capital to improve the level of service [WWF20b]</t>
  </si>
  <si>
    <t>Budgeted capital to replace existing assets [WWF20c]</t>
  </si>
  <si>
    <t>Actual Capital Expenditure: Wastewater [WWF21]</t>
  </si>
  <si>
    <t>Actual capital to meet additional demand [WWF21a]</t>
  </si>
  <si>
    <t>Actual capital to improve the level of service [WWF21b]</t>
  </si>
  <si>
    <t>Actual capital to replace existing assets [WWF21c]</t>
  </si>
  <si>
    <t>Actual Capital Expenditure per Property: Wastewater [WWF22]</t>
  </si>
  <si>
    <t>Development Contributions: Wastewater assets [WWF23]</t>
  </si>
  <si>
    <t>Wastewater facility value at end of reporting year [WWF24a]</t>
  </si>
  <si>
    <t>Other wastewater asset value [WWF24b]</t>
  </si>
  <si>
    <t>Decline in Service Potential: Wastewater [WWF25]</t>
  </si>
  <si>
    <t>External Grants: Wastewater [WWF26]</t>
  </si>
  <si>
    <t>Stormwater Serviced Population [SWB1]</t>
  </si>
  <si>
    <t>Stormwater Serviced Properties - Residential [SWB2]</t>
  </si>
  <si>
    <t>Stormwater Serviced Properties - Non-residential [SWB3]</t>
  </si>
  <si>
    <t>Total Stormwater Serviced Properties [SWB4]</t>
  </si>
  <si>
    <t>Total Length of Public Stormwater Network [SWA1a]</t>
  </si>
  <si>
    <t>Length of stormwater mains renewed using internal CAPEX [SWA1b]</t>
  </si>
  <si>
    <t>Length of new stormwater mains constructed using internal CAPEX [SWA1c]</t>
  </si>
  <si>
    <t>Condition Grade 1: Stormwater pipelines [SWA2a]</t>
  </si>
  <si>
    <t>Condition Grade 2: Stormwater pipelines [SWA2b]</t>
  </si>
  <si>
    <t>Condition Grade 3: Stormwater pipelines [SWA2c]</t>
  </si>
  <si>
    <t>Condition Grade 4: Stormwater pipelines [SWA2d]</t>
  </si>
  <si>
    <t>Condition Grade 5: Stormwater pipelines [SWA2e]</t>
  </si>
  <si>
    <t>Not assessed: Stormwater pipelines [SWA2f]</t>
  </si>
  <si>
    <t>Stormwater Pipeline Condition Assessment Approach [SWA2g]</t>
  </si>
  <si>
    <t>Average Age of Stormwater Pipelines [SWA3]</t>
  </si>
  <si>
    <t>Above ground stormwater asset assessment program [SWA5a]</t>
  </si>
  <si>
    <t>Protocol used for above ground stormwater asset assessments [SWA5b]</t>
  </si>
  <si>
    <t>Percentage of above ground stormwater assets assessed in 3 years [SWA5c]</t>
  </si>
  <si>
    <t>Stormwater network CCTV inspection [SWA6]</t>
  </si>
  <si>
    <t>Stormwater Pump Stations [SWA7]</t>
  </si>
  <si>
    <t>Number of stormwater discharges from the piped network [SWE1a]</t>
  </si>
  <si>
    <t>Number of stormwater discharges with resource consents [SWE1b]</t>
  </si>
  <si>
    <t>Stormwater consent abatement notices [SWE2a]</t>
  </si>
  <si>
    <t>Stormwater consent infringement notices [SWE2b]</t>
  </si>
  <si>
    <t>Stormwater consent enforcement orders [SWE2c]</t>
  </si>
  <si>
    <t>Stormwater successful prosecutions [SWE2d]</t>
  </si>
  <si>
    <t>Stormwater consent non-conformance [SWE2e]</t>
  </si>
  <si>
    <t>Stormwater consent letters of direction [SWE2f]</t>
  </si>
  <si>
    <t>Stormwater consent formal warning [SWE2g]</t>
  </si>
  <si>
    <t>Stormwater quality monitoring [SWE3]</t>
  </si>
  <si>
    <t>Stormwater catchment management plans [SWE4]</t>
  </si>
  <si>
    <t>Energy consumption: Stormwater [SWE5]</t>
  </si>
  <si>
    <t>Stormwater Charge [SWS1]</t>
  </si>
  <si>
    <t>Stormwater Charge type [SWS2]</t>
  </si>
  <si>
    <t>Stormwater Complaints [SWS3]</t>
  </si>
  <si>
    <t>Stormwater blockage complaints [SWS3a]</t>
  </si>
  <si>
    <t>Stormwater fault complaints [SWS3b]</t>
  </si>
  <si>
    <t>Stormwater Complaints Frequency [SWS4]</t>
  </si>
  <si>
    <t>Flooding events resulting from storms exceeding stormwater capacity [SWS5]</t>
  </si>
  <si>
    <t>Number of habitable floors affected by storms exceeding stormwater capacity [SWS5a]</t>
  </si>
  <si>
    <t>Number of habitable floors affected per 1000 stormwater serviced properties [SWS5b]</t>
  </si>
  <si>
    <t>Flooding events resulting from other causes [SWS5c]</t>
  </si>
  <si>
    <t>Number of habitable floors affected by flooding from other causes [SWS5d]</t>
  </si>
  <si>
    <t>Flooding Response Time [SWS6]</t>
  </si>
  <si>
    <t>Primary stormwater network capacity [SWS7a]</t>
  </si>
  <si>
    <t>Secondary stormwater network capacity [SWS7b]</t>
  </si>
  <si>
    <t>Operating Revenue: Stormwater [SWF1]</t>
  </si>
  <si>
    <t>Development Contribution Revenue: Stormwater [SWF2]</t>
  </si>
  <si>
    <t>Total Revenue: Stormwater [SWF3]</t>
  </si>
  <si>
    <t>Total Revenue per Property: Stormwater [SWF4]</t>
  </si>
  <si>
    <t>Debt funding: Stormwater [SWF5]</t>
  </si>
  <si>
    <t>Routine maintenance: Stormwater  [SWF6a]</t>
  </si>
  <si>
    <t>Reactive maintenance: Stormwater  [SWF6b]</t>
  </si>
  <si>
    <t>Management Costs: Stormwater [SWF7]</t>
  </si>
  <si>
    <t>Council Contract Management Costs: Stormwater [SWF8]</t>
  </si>
  <si>
    <t>Operating Cost: Stormwater [SWF9]</t>
  </si>
  <si>
    <t>Operating Cost per Property: Stormwater [SWF10]</t>
  </si>
  <si>
    <t>Annual Depreciation: Stormwater [SWF11]</t>
  </si>
  <si>
    <t>Interest: Stormwater [SWF12a]</t>
  </si>
  <si>
    <t>Debt Affordability: Stormwater [SWF12b]</t>
  </si>
  <si>
    <t>Operational Cost Coverage: Stormwater [SWF13]</t>
  </si>
  <si>
    <t>Total Cost: Stormwater [SWF14]</t>
  </si>
  <si>
    <t>Total Cost per Property: Stormwater [SWF15]</t>
  </si>
  <si>
    <t>Budgeted Capital Expenditure: Stormwater [SWF16]</t>
  </si>
  <si>
    <t>Budgeted capital to meet additional demand [SWF16a]</t>
  </si>
  <si>
    <t>Budgeted capital to improve the level of service [SWF16b]</t>
  </si>
  <si>
    <t>Budgeted capital to replace existing assets [SWF16c]</t>
  </si>
  <si>
    <t>Actual Capital Expenditure: Stormwater [SWF17]</t>
  </si>
  <si>
    <t>Actual capital to meet additional demand [SWF17a]</t>
  </si>
  <si>
    <t>Actual capital to improve the level of service [SWF17b]</t>
  </si>
  <si>
    <t>Actual capital to replace existing assets [SWF17c]</t>
  </si>
  <si>
    <t>Actual Capital Expenditure per Property: Stormwater [SWF18]</t>
  </si>
  <si>
    <t>Development Contributions: Stormwater assets [SWF19]</t>
  </si>
  <si>
    <t>Stormwater asset value at end of reporting year [SWF20]</t>
  </si>
  <si>
    <t>Decline in Service Potential: Stormwater [SWF21]</t>
  </si>
  <si>
    <t>External Grants: Stormwater [SWF22]</t>
  </si>
  <si>
    <t>Actual Versus Budgeted Expenditure [(WSF20+WWF21+SWF17)/WSF19+WWF20+SWF16)]</t>
  </si>
  <si>
    <t>Balanced Budget [(WSF1+WSF2)/(WSF12+WSF15a)]</t>
  </si>
  <si>
    <t>Balanced Budget [(WWF1+WWF2)/(WWF13+WWF16a)]</t>
  </si>
  <si>
    <t>Balanced Budget [SWF1/(SWF9+SWF12a)]</t>
  </si>
  <si>
    <t>Contracted staff per 1000 serviced properties [CB11/(WSB4+WWB4)]</t>
  </si>
  <si>
    <t>Days of treated water stored in resevoirs on average [WSA7/(WSB5/365)]</t>
  </si>
  <si>
    <t>Debt servicing [SWF12a/SWF1]</t>
  </si>
  <si>
    <t>Debt servicing [WSF15a/(WSF1 + WSF2)]</t>
  </si>
  <si>
    <t>Debt servicing [WWF16a/(WWF1 + WWF2)]</t>
  </si>
  <si>
    <t>Dry Weather Wastewater Overflows per 1000 connections [WWE1/WWB4]</t>
  </si>
  <si>
    <t>Internal staff per 1000 serviced properties [CB10/(WSB4+WWB4)]</t>
  </si>
  <si>
    <t>Lost time injuries per staff member (internal and contracted) [CB13/(CB10+CB11)]</t>
  </si>
  <si>
    <t>Near miss reports per staff member (internal and contracted) [CB12/(CB10+CB11)]</t>
  </si>
  <si>
    <t>Percentage of nonresidential connections with meters [WSA9b/WSB3]</t>
  </si>
  <si>
    <t>Percentage of residential connections with meters [WSA9a/WSB2]</t>
  </si>
  <si>
    <t>Resevoir average level [WSA7/WSA8]</t>
  </si>
  <si>
    <t>Total Revenue [WSF4+WWF4+SWF3]</t>
  </si>
  <si>
    <t>Vacancies per 1000 serviced properties [CB10a/(WSB4+WWB4)]</t>
  </si>
  <si>
    <t xml:space="preserve">Volumetric Charge for 200m3 </t>
  </si>
  <si>
    <t>Wastewater connection density [WWB4/WWA1a]</t>
  </si>
  <si>
    <t>Wastewater Pump Stations without backup generators [WWA5-WWA5a]</t>
  </si>
  <si>
    <t>Wastewater Treatment Plants  without backup generators [WWA7a -WWA7l]</t>
  </si>
  <si>
    <t>Water Pump Stations without backup generators [WSA5-WSA5a]</t>
  </si>
  <si>
    <t>Water Supply Connection Density [WSB4/WSA1a]</t>
  </si>
  <si>
    <t>Water Treatment Plants without backup generators [WSA4-WSA4a]</t>
  </si>
  <si>
    <t>Wet Weather Wastewater Overflows per 1000 connections [WWE2a/WWB4]</t>
  </si>
  <si>
    <t>Water capital expenditure versus depreciation [WSF20/WSF14]</t>
  </si>
  <si>
    <t>Wastewater capital expenditure versus depreciation [WWF21/WWF15]</t>
  </si>
  <si>
    <t>Stormwater capital expenditure versus depreciation [SWF17/SWF11]</t>
  </si>
  <si>
    <t>Water and wastewater properties serviced [WSB4+WWB4]</t>
  </si>
  <si>
    <t>Fixed Charge: Residential water [WSS8a;MAX]</t>
  </si>
  <si>
    <t>Fixed Charge: Residential water [WSS8a;MIN]</t>
  </si>
  <si>
    <t>Average Residential Water Charge Based on 200 m3/yr [WSS9;MAX]</t>
  </si>
  <si>
    <t>Average Residential Water Charge Based on 200 m3/yr [WSS9a;MIN]</t>
  </si>
  <si>
    <t>Peak wet to average dry weather ratio [WWA7m;MAX]</t>
  </si>
  <si>
    <t>Peak wet to average dry weather ratio [WWA7m;MIN]</t>
  </si>
  <si>
    <t>Wastewater maintenance [WWF9+WWF10]</t>
  </si>
  <si>
    <t>Total CAPEX [SWF17, WWF21, WSF20]</t>
  </si>
  <si>
    <t>Total asset value (WWF24b, WSF23b, SWF20, WWF24a, WSF23a)</t>
  </si>
  <si>
    <t>Developer Contributions (WSS22,WWF23,SWF19)</t>
  </si>
  <si>
    <t>Reactive vs Routine Water Supply OPEX (WSF9b/WSF9a)</t>
  </si>
  <si>
    <t>Reactive vs Routine Wastewater OPEX (WWF10/WWF9)</t>
  </si>
  <si>
    <t>Reactive vs Routine Stormwater OPEX (WWF10/WWF9)</t>
  </si>
  <si>
    <t>Weighted inflow infiltration</t>
  </si>
  <si>
    <t>Drinking water networks [WST1]</t>
  </si>
  <si>
    <t>Network name [WST1a]</t>
  </si>
  <si>
    <t>Drinking water abstraction points [WST2]</t>
  </si>
  <si>
    <t>Drinking water network source type [WST3]</t>
  </si>
  <si>
    <t>Number of resource consents that are held [WST4]</t>
  </si>
  <si>
    <t>Type of resources consent  [WST5]</t>
  </si>
  <si>
    <t>Resource consent reference numbers [WST6]</t>
  </si>
  <si>
    <t>Expiry dates for resource consents [WST7]</t>
  </si>
  <si>
    <t>Percentage of above ground assets that have received a condition grading [WSA13c]</t>
  </si>
  <si>
    <t>Percentage of above ground assets in poor or very poor condition [WSA2d+WSA2g]</t>
  </si>
  <si>
    <t>Has a reference level for water pressure been set [WST8]</t>
  </si>
  <si>
    <t>Number of connections affected by restrictions [WST9]</t>
  </si>
  <si>
    <t>Has the FENZ Code of Practice (SNZ PAS 4509:2008) been adopted [WST10]</t>
  </si>
  <si>
    <t>Is there a water conservation education programme in place [WST10]</t>
  </si>
  <si>
    <t>Water supply grid electricity use [WSE3]</t>
  </si>
  <si>
    <t>Water supply energy use from other fuels [WSE3a]</t>
  </si>
  <si>
    <t>Has an assessment been undertaken to identify critical water supply assets [WST11]</t>
  </si>
  <si>
    <t>Has a climate change risk assesment been undertaken for water supply networks [WSCC1]</t>
  </si>
  <si>
    <t>Is there a climate change adapataion plan in place for water supply networks [WSCC2]</t>
  </si>
  <si>
    <t>Has an emissions baseline been set for forecast water supply investments [WSCC3]</t>
  </si>
  <si>
    <t>Percentage of above ground assets that have received a condition grading [WWA6]</t>
  </si>
  <si>
    <t>Percentage of above ground assets in poor or very poor condition [WWT1]</t>
  </si>
  <si>
    <t>Wastewater grid electricity use [WWT2]</t>
  </si>
  <si>
    <t>Wastewater energy use from other fuels [WWT3]</t>
  </si>
  <si>
    <t>Has a climate change risk assesment been undertaken for wastewater networks [WWCC1]</t>
  </si>
  <si>
    <t>Is there a climate change adapataion plan in place for wastewater networks [WWCC2]</t>
  </si>
  <si>
    <t>Has an emissions baseline been set for forecast wastewater investments [WWCC3]</t>
  </si>
  <si>
    <t>Has an assessment been undertaken to identify critical wastewater assets [WWT4]</t>
  </si>
  <si>
    <t>Percentage of above ground stormwater assets that have received a condition grading [SWA5c]</t>
  </si>
  <si>
    <t>Percentage of above ground assets in poor of very poor condition [SWA5d]</t>
  </si>
  <si>
    <t>Stormwater grid electricity use [SWE5]</t>
  </si>
  <si>
    <t>Stormwater energy use from other fuels [SWT1]</t>
  </si>
  <si>
    <t>Has a climate change risk assesment been undertaken for your stormwater network [SWE6]</t>
  </si>
  <si>
    <t>Is there a climate change adapataion plan in placed for your stormwater network [SWE7]</t>
  </si>
  <si>
    <t>Have you developed an emissions baseline (including operational and capital carbon) for forecast stormwater investments [SWE8]</t>
  </si>
  <si>
    <t>Attenuation storage requirements for new developments [SWE9]</t>
  </si>
  <si>
    <t>RCP scenario (s) new stormwater systems are designed to [SWE10]</t>
  </si>
  <si>
    <t>Time horizon (s) new stormwater systems are designed to [SWE11]</t>
  </si>
  <si>
    <t>Average system pressure [WSE2:MAX]</t>
  </si>
  <si>
    <t>Average system pressure [WSE2:MIN]</t>
  </si>
  <si>
    <t>Current annual real loss [WSE1d:MAX]</t>
  </si>
  <si>
    <t>Current annual real loss [WSE1d:MIN]</t>
  </si>
  <si>
    <t>Current annual real loss [WSE1e:MAX]</t>
  </si>
  <si>
    <t>Current annual real loss [WSE1e:MIN]</t>
  </si>
  <si>
    <t>ILI ( infrastructure leakage index (=CARL/UARL)) [WSE1h:MAX]</t>
  </si>
  <si>
    <t>ILI ( infrastructure leakage index (=CARL/UARL)) [WSE1h:MIN]</t>
  </si>
  <si>
    <t>Median residential water consumption (L/day/connection) [WSB8:MAX]</t>
  </si>
  <si>
    <t>Median residential water consumption (L/day/connection) [WSB8:MIN]</t>
  </si>
  <si>
    <t>WSB6</t>
  </si>
  <si>
    <t>WSB9</t>
  </si>
  <si>
    <t>WSA1b</t>
  </si>
  <si>
    <t>WSA1c</t>
  </si>
  <si>
    <t>WSA2a</t>
  </si>
  <si>
    <t>WSA2b</t>
  </si>
  <si>
    <t>WSA2c</t>
  </si>
  <si>
    <t>WSA2e</t>
  </si>
  <si>
    <t>WSA2g</t>
  </si>
  <si>
    <t>WSA4a</t>
  </si>
  <si>
    <t>WSA5a</t>
  </si>
  <si>
    <t>WSA7</t>
  </si>
  <si>
    <t>WSA8</t>
  </si>
  <si>
    <t>WSA10</t>
  </si>
  <si>
    <t>WSA11</t>
  </si>
  <si>
    <t>WSA13a</t>
  </si>
  <si>
    <t>WSA13b</t>
  </si>
  <si>
    <t>WSE1b</t>
  </si>
  <si>
    <t>WSE1c</t>
  </si>
  <si>
    <t>WSE1f</t>
  </si>
  <si>
    <t>WSE1g</t>
  </si>
  <si>
    <t>WSS7</t>
  </si>
  <si>
    <t>WSS12b</t>
  </si>
  <si>
    <t>WSS12</t>
  </si>
  <si>
    <t>WSS14</t>
  </si>
  <si>
    <t>WSS15</t>
  </si>
  <si>
    <t>WWB7</t>
  </si>
  <si>
    <t>WWA1b</t>
  </si>
  <si>
    <t>WWA1c</t>
  </si>
  <si>
    <t>WWA2a</t>
  </si>
  <si>
    <t>WWA2b</t>
  </si>
  <si>
    <t>WWA2c</t>
  </si>
  <si>
    <t>WWA2e</t>
  </si>
  <si>
    <t>WWA2g</t>
  </si>
  <si>
    <t>WWA5a</t>
  </si>
  <si>
    <t>WWA6a</t>
  </si>
  <si>
    <t>WWA6b</t>
  </si>
  <si>
    <t>WWA7l</t>
  </si>
  <si>
    <t>WWE5a</t>
  </si>
  <si>
    <t>WWE5b</t>
  </si>
  <si>
    <t>WWE5d</t>
  </si>
  <si>
    <t>WWE5e</t>
  </si>
  <si>
    <t>WWE6</t>
  </si>
  <si>
    <t>SWA1b</t>
  </si>
  <si>
    <t>SWA1c</t>
  </si>
  <si>
    <t>SWA2a</t>
  </si>
  <si>
    <t>SWA2b</t>
  </si>
  <si>
    <t>SWA2c</t>
  </si>
  <si>
    <t>SWA2e</t>
  </si>
  <si>
    <t>SWA2g</t>
  </si>
  <si>
    <t>SWA5a</t>
  </si>
  <si>
    <t>SWA5b</t>
  </si>
  <si>
    <t>(WSF20+WWF21+SWF17)/WSF19+WWF20+SWF16)</t>
  </si>
  <si>
    <t>(WSF1+WSF2)/(WSF12+WSF15a)</t>
  </si>
  <si>
    <t>(WWF1+WWF2)/(WWF13+WWF16a)</t>
  </si>
  <si>
    <t>SWF1/(SWF9+SWF12a)</t>
  </si>
  <si>
    <t>CB11/(WSB4+WWB4)</t>
  </si>
  <si>
    <t>WSA7/(WSB5/365)</t>
  </si>
  <si>
    <t>SWF12a/SWF1</t>
  </si>
  <si>
    <t>WSF15a/(WSF1 + WSF2)</t>
  </si>
  <si>
    <t>WWF16a/(WWF1 + WWF2)</t>
  </si>
  <si>
    <t>WWE1/WWB4</t>
  </si>
  <si>
    <t>CB10/(WSB4+WWB4)</t>
  </si>
  <si>
    <t>CB13/(CB10+CB11)</t>
  </si>
  <si>
    <t>CB12/(CB10+CB11)</t>
  </si>
  <si>
    <t>WSA9b/WSB3</t>
  </si>
  <si>
    <t>WSA9a/WSB2</t>
  </si>
  <si>
    <t>WSA7/WSA8</t>
  </si>
  <si>
    <t>WSF4+WWF4+SWF3</t>
  </si>
  <si>
    <t>CB10a/(WSB4+WWB4)</t>
  </si>
  <si>
    <t>WWB4/WWA1a</t>
  </si>
  <si>
    <t>WWA5-WWA5a</t>
  </si>
  <si>
    <t>WWA7a -WWA7l</t>
  </si>
  <si>
    <t>WSA5-WSA5a</t>
  </si>
  <si>
    <t>WSB4/WSA1a</t>
  </si>
  <si>
    <t>WSA4-WSA4a</t>
  </si>
  <si>
    <t>WWE2a/WWB4</t>
  </si>
  <si>
    <t>WSF20/WSF14</t>
  </si>
  <si>
    <t>WWF21/WWF15</t>
  </si>
  <si>
    <t>SWF17/SWF11</t>
  </si>
  <si>
    <t>WSB4+WWB4</t>
  </si>
  <si>
    <t>WSS8a;MAX</t>
  </si>
  <si>
    <t>WSS8a;MIN</t>
  </si>
  <si>
    <t>WSS9;MAX</t>
  </si>
  <si>
    <t>WSS9a;MIN</t>
  </si>
  <si>
    <t>WWA7m;MAX</t>
  </si>
  <si>
    <t>WWA7m;MIN</t>
  </si>
  <si>
    <t>WWF9+WWF10</t>
  </si>
  <si>
    <t>SWF17, WWF21, WSF20</t>
  </si>
  <si>
    <t>Taumata Arowai Measure</t>
  </si>
  <si>
    <t>NPR Code</t>
  </si>
  <si>
    <t>NPR Measure</t>
  </si>
  <si>
    <t>Taumata Arowai Code</t>
  </si>
  <si>
    <t>Network/district</t>
  </si>
  <si>
    <t>Data points</t>
  </si>
  <si>
    <t xml:space="preserve">Associated Taumata Arowai Code: </t>
  </si>
  <si>
    <t>Network (N) or district (D) level</t>
  </si>
  <si>
    <t>Drinking water network information</t>
  </si>
  <si>
    <t>Number of drinking water networks</t>
  </si>
  <si>
    <t>Water Serviced Population</t>
  </si>
  <si>
    <t>Number of treatment plants</t>
  </si>
  <si>
    <t>Calc field</t>
  </si>
  <si>
    <t>Number of reservoirs</t>
  </si>
  <si>
    <t>Water Serviced Properties: Residential</t>
  </si>
  <si>
    <t>Number of residential connections in the drinking water network</t>
  </si>
  <si>
    <t>Number of pump stations</t>
  </si>
  <si>
    <t>Water Serviced Properties: Non-Residential</t>
  </si>
  <si>
    <t>Number of non-residential connections in the drinking water network</t>
  </si>
  <si>
    <t>Kilometres of pipe</t>
  </si>
  <si>
    <t>Total Water Serviced Properties</t>
  </si>
  <si>
    <t>Number of drinking water abstraction points</t>
  </si>
  <si>
    <t>Water Supplied to Own System</t>
  </si>
  <si>
    <t>Water Supplied to the drinking water network (m3/year)</t>
  </si>
  <si>
    <t>Water imported from other authorities</t>
  </si>
  <si>
    <t>Water imported from other suppliers (m3/year)</t>
  </si>
  <si>
    <t xml:space="preserve">Drinking water network connections </t>
  </si>
  <si>
    <t>Water exported to other authorities</t>
  </si>
  <si>
    <t>Water exported to other suppliers (m3/year)</t>
  </si>
  <si>
    <t>DROP</t>
  </si>
  <si>
    <t>Authorised Consumption</t>
  </si>
  <si>
    <t>Non-residential Water Consumption</t>
  </si>
  <si>
    <t>Non-residential water use (m3/year)</t>
  </si>
  <si>
    <t>Average Daily Residential Water Consumption</t>
  </si>
  <si>
    <t>Water Demand Forecasting</t>
  </si>
  <si>
    <t>Volume of water abstracted (m3/year)</t>
  </si>
  <si>
    <t>NEW</t>
  </si>
  <si>
    <t>Do you have a water conservation education programme in place?</t>
  </si>
  <si>
    <t>Resource consent compliance</t>
  </si>
  <si>
    <t>Type of resources consent (e.g., water take consent, discharge consents, etc)</t>
  </si>
  <si>
    <t>Fault attendance and resolution</t>
  </si>
  <si>
    <t>Length of Water Supply Network</t>
  </si>
  <si>
    <t>Length of water mains renewed using internal CAPEX</t>
  </si>
  <si>
    <t>Length of new water mains constructed using internal CAPEX</t>
  </si>
  <si>
    <t>Condition grade 1: Water pipelines</t>
  </si>
  <si>
    <t>Systems interruption</t>
  </si>
  <si>
    <t>Planned interruptions (Number)</t>
  </si>
  <si>
    <t>Condition grade 2: Water pipelines</t>
  </si>
  <si>
    <t>Third party incidents (Number)</t>
  </si>
  <si>
    <t>Condition grade 3: Water pipelines</t>
  </si>
  <si>
    <t>Unplanned Total Interruptions: Water Supply</t>
  </si>
  <si>
    <t>Condition grade 4: Water pipelines</t>
  </si>
  <si>
    <t>% of pipelines in poor or very poor condition</t>
  </si>
  <si>
    <t>Unplanned Interruption Frequency: Water Supply</t>
  </si>
  <si>
    <t>Condition grade 5: Water pipelines</t>
  </si>
  <si>
    <t>% of pipelines that have received a condition grading</t>
  </si>
  <si>
    <t>Not assessed: Water pipelines</t>
  </si>
  <si>
    <t>Include in R7 Comments</t>
  </si>
  <si>
    <t>Pipeline Condition Assessment Approach</t>
  </si>
  <si>
    <t>Average Age of Water Pipelines</t>
  </si>
  <si>
    <t>% of above ground assets that have received a condition grading</t>
  </si>
  <si>
    <t>Water Treatment Plants</t>
  </si>
  <si>
    <t>% of above ground assets in poor or very poor condition</t>
  </si>
  <si>
    <t>Water Treatment Plant Standby Generators</t>
  </si>
  <si>
    <t>Water Pump Stations</t>
  </si>
  <si>
    <t>Has a reference level for water pressure been set?</t>
  </si>
  <si>
    <t>Water Pump Stations Standby Generators</t>
  </si>
  <si>
    <t>Water Supply Reservoirs</t>
  </si>
  <si>
    <t>Number of affected connections</t>
  </si>
  <si>
    <t>Water Stored in Reservoirs</t>
  </si>
  <si>
    <t>Sufficient fire-fighting water available</t>
  </si>
  <si>
    <t>Have you adopted the FENZ Code of Practice (SNZ PAS 4509:2008)?</t>
  </si>
  <si>
    <t>Capacity of Water Storage Reservoirs</t>
  </si>
  <si>
    <t>Fire hydrants tested in the previous five years (%)</t>
  </si>
  <si>
    <t>Properties with Water Meters - Residential</t>
  </si>
  <si>
    <t>Number of residential connections with water meters</t>
  </si>
  <si>
    <t>Drinking water network water losses</t>
  </si>
  <si>
    <t>Estimated total drinking water network water loss (m3/year)</t>
  </si>
  <si>
    <t xml:space="preserve">Properties with Water Meters - Non-Residential </t>
  </si>
  <si>
    <t>Number of non-residential connections with water meters</t>
  </si>
  <si>
    <t>Current annual real loss (CARL) (litres/service connection/day or m3/km of mains/day)</t>
  </si>
  <si>
    <t>Properties with Water Restrictors</t>
  </si>
  <si>
    <t>Infrastructure Leakage Index (CARL/UARL)</t>
  </si>
  <si>
    <t>Water Treatment Sludge Production</t>
  </si>
  <si>
    <t>Above ground asset condition assessment programme</t>
  </si>
  <si>
    <t>Include in WSA13c comments</t>
  </si>
  <si>
    <t>Protocol used for above ground condition assessments</t>
  </si>
  <si>
    <t>Percent of above ground assets assessed within 3 years</t>
  </si>
  <si>
    <t>Energy efficiency</t>
  </si>
  <si>
    <t>Electricity use (kWh)</t>
  </si>
  <si>
    <t>Estimated total network water loss</t>
  </si>
  <si>
    <t>Energy use from other fuels (GJ)</t>
  </si>
  <si>
    <t>Percentage Estimated Total Network Water Loss</t>
  </si>
  <si>
    <t>Energy generation (GJ)</t>
  </si>
  <si>
    <t>CARL (current annual real loss)</t>
  </si>
  <si>
    <t>Have you undertaken an assessment to identify critical assets?</t>
  </si>
  <si>
    <t>Has a climate change risk assesment been undertaken for your water networks , top 3 risks in the comments field</t>
  </si>
  <si>
    <t>RE2 depending on field</t>
  </si>
  <si>
    <t>Is there an adapataion plan in placed for the water supply network</t>
  </si>
  <si>
    <t>UARL (unavoidable annual real loss)</t>
  </si>
  <si>
    <t>Have you developed an emissions baseline (including operational and capital carbon) for forecast water investments</t>
  </si>
  <si>
    <t>DRIO</t>
  </si>
  <si>
    <t>Water Supply Complaints</t>
  </si>
  <si>
    <t>ILI ( infrastructure leakage index (=CARL/UARL)</t>
  </si>
  <si>
    <t>different</t>
  </si>
  <si>
    <t>Energy Consumption: Water Supply</t>
  </si>
  <si>
    <t>Energy Intensity: Water Supply</t>
  </si>
  <si>
    <t>Energy Generation: Water Supply</t>
  </si>
  <si>
    <t>DROP?</t>
  </si>
  <si>
    <t>Water Supply Complaints Frequency</t>
  </si>
  <si>
    <t>Number of different water charging regimes</t>
  </si>
  <si>
    <t>Planned Interruptions: Water Supply</t>
  </si>
  <si>
    <t>Fixed Charge: Non-residential water</t>
  </si>
  <si>
    <t>Third Party Incidents: Water Supply</t>
  </si>
  <si>
    <t>Fixed Charge Type: Non-residential water</t>
  </si>
  <si>
    <t>RETAIN</t>
  </si>
  <si>
    <t>Volumetric Charge: Non-residential water</t>
  </si>
  <si>
    <t>Fixed Charge: Residential water</t>
  </si>
  <si>
    <t>Fixed Charge Type: Residential water</t>
  </si>
  <si>
    <t>Volumetric Charge: Residential water</t>
  </si>
  <si>
    <t xml:space="preserve">Average Residential Water Charge Based on 200 m3/yr </t>
  </si>
  <si>
    <t>Revenue from Supply of Water to Other Local Authorities</t>
  </si>
  <si>
    <t>Operating Revenue: Water Supply</t>
  </si>
  <si>
    <t>Development Contribution Revenue: Water Supply</t>
  </si>
  <si>
    <t>Total Revenue: Water Supply</t>
  </si>
  <si>
    <t>Revenue per Property: Water Supply</t>
  </si>
  <si>
    <t>Debt funding: Water Supply</t>
  </si>
  <si>
    <t>External Grants: Water Supply</t>
  </si>
  <si>
    <t>Energy Costs: Water Supply</t>
  </si>
  <si>
    <t>Chemicals and Consumables: Water Supply</t>
  </si>
  <si>
    <t>Routine maintenance: Water Supply</t>
  </si>
  <si>
    <t>Reactive maintenance: Water Supply</t>
  </si>
  <si>
    <t>Attendance for urgent water supply fault call-outs</t>
  </si>
  <si>
    <t>Management Costs: Water Supply</t>
  </si>
  <si>
    <t>Resolution for urgent water supply fault call-outs</t>
  </si>
  <si>
    <t>Council Contract Management Costs : Water Supply</t>
  </si>
  <si>
    <t>Attendance for non-urgent water supply fault call-outs</t>
  </si>
  <si>
    <t>Operating Cost: Water Supply</t>
  </si>
  <si>
    <t>Resolution for non-urgent water supply fault call-outs</t>
  </si>
  <si>
    <t>Operating Cost per Property: Water Supply</t>
  </si>
  <si>
    <t>DIFFERENT</t>
  </si>
  <si>
    <t>Water restriction days</t>
  </si>
  <si>
    <t>Annual Depreciation: Water Supply</t>
  </si>
  <si>
    <t>Interest: Water Supply</t>
  </si>
  <si>
    <t>Debt affordability: Water Supply</t>
  </si>
  <si>
    <t>Operational Cost Coverage: Water Supply</t>
  </si>
  <si>
    <t>Non-compliant fire hydrants</t>
  </si>
  <si>
    <t>Total Cost: Water Supply</t>
  </si>
  <si>
    <t>Boiled water notices</t>
  </si>
  <si>
    <t>Total Cost per Property: Water Supply</t>
  </si>
  <si>
    <t>Source water zone management</t>
  </si>
  <si>
    <t>Budgeted Capital Expenditure: Water Supply</t>
  </si>
  <si>
    <t>Source water monitoring</t>
  </si>
  <si>
    <t>Actual Capital Expenditure: Water Supply</t>
  </si>
  <si>
    <t>Actual Capital Expenditure per Property: Water Supply</t>
  </si>
  <si>
    <t>Development Contributions: Water Supply assets</t>
  </si>
  <si>
    <t>Decline in Service Potential: Water Supply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</si>
</sst>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4" formatCode="_(&quot;$&quot;* #,##0.00_);_(&quot;$&quot;* \(#,##0.00\);_(&quot;$&quot;* &quot;-&quot;??_);_(@_)"/>
    <numFmt numFmtId="43" formatCode="_(* #,##0.00_);_(* \(#,##0.00\);_(* &quot;-&quot;??_);_(@_)"/>
    <numFmt numFmtId="164" formatCode="&quot;$&quot;#,##0.00;\-&quot;$&quot;#,##0.00"/>
    <numFmt numFmtId="165" formatCode="&quot;$&quot;#,##0.00;[Red]\-&quot;$&quot;#,##0.00"/>
    <numFmt numFmtId="166" formatCode="_-* #,##0_-;\-* #,##0_-;_-* &quot;-&quot;_-;_-@_-"/>
    <numFmt numFmtId="167" formatCode="_-&quot;$&quot;* #,##0.00_-;\-&quot;$&quot;* #,##0.00_-;_-&quot;$&quot;* &quot;-&quot;??_-;_-@_-"/>
    <numFmt numFmtId="168" formatCode="_-* #,##0.00_-;\-* #,##0.00_-;_-* &quot;-&quot;??_-;_-@_-"/>
    <numFmt numFmtId="169" formatCode="#,###;[Red]\(#,###\)"/>
    <numFmt numFmtId="170" formatCode="_-\ &quot;$&quot;#,##0_-&quot;/day&quot;_-;_-\ \-&quot;$&quot;#,##0_-&quot;/day&quot;_-;_-\ &quot;$&quot;0_-&quot;/day&quot;_-;_-@_-"/>
    <numFmt numFmtId="171" formatCode="_-\ &quot;$&quot;#,##0_-&quot;/h&quot;_-;_-\ \-&quot;$&quot;#,##0_-&quot;/h&quot;_-;_-\ &quot;$&quot;0_-&quot;/h&quot;_-;_-@_-"/>
    <numFmt numFmtId="172" formatCode="_-\ &quot;$&quot;#,##0_-&quot;/m&quot;_-;_-\ \-&quot;$&quot;#,##0_-&quot;/m&quot;_-;_-\ &quot;$&quot;0_-&quot;/m&quot;_-;_-@_-"/>
    <numFmt numFmtId="173" formatCode="dd/mm/yyyy\ hh:mm:ss.000"/>
    <numFmt numFmtId="174" formatCode="_-\ #,##0_-&quot;day(s)&quot;_-;_-\ \-#,##0_-&quot;day(s)&quot;_-;_-\ 0_-&quot;day(s)&quot;_-;_-@_-"/>
    <numFmt numFmtId="175" formatCode="_-\ #,##0_-&quot;GL&quot;_-;_-\ \-#,##0_-&quot;GL&quot;_-;_-\ 0_-&quot;GL&quot;_-;_-@_-"/>
    <numFmt numFmtId="176" formatCode="_-\ #,##0_-&quot;GL/y&quot;_-;_-\ \-#,##0_-&quot;GL/y&quot;_-;_-\ 0_-&quot;GL/y&quot;_-;_-@_-"/>
    <numFmt numFmtId="177" formatCode="_-\ #,##0_-&quot;hrs&quot;_-;_-\ \-#,##0_-&quot;hrs&quot;_-;_-\ 0_-&quot;hrs&quot;_-;_-@_-"/>
    <numFmt numFmtId="178" formatCode="_-\ #,##0_-&quot;kg&quot;_-;_-\ \-#,##0_-&quot;kg&quot;_-;_-\ 0_-&quot;kg&quot;_-;_-@_-"/>
    <numFmt numFmtId="179" formatCode="_-\ #,##0_-&quot;kL&quot;_-;_-\ \-#,##0_-&quot;kL&quot;_-;_-\ 0_-&quot;kL&quot;_-;_-@_-"/>
    <numFmt numFmtId="180" formatCode="_-\ #,##0_-&quot;kL/h&quot;_-;_-\ \-#,##0_-&quot;kL/h&quot;_-;_-\ 0_-&quot;kL/h&quot;_-;_-@_-"/>
    <numFmt numFmtId="181" formatCode="_-\ #,##0_-&quot;kL/ser/d&quot;_-;_-\ \-#,##0_-&quot;kL/ser/d&quot;_-;_-\ 0_-&quot;kL/ser/d&quot;_-;_-@_-"/>
    <numFmt numFmtId="182" formatCode="_-\ #,##0_-&quot;km&quot;_-;_-\ \-#,##0_-&quot;km&quot;_-;_-\ 0_-&quot;km&quot;_-;_-@_-"/>
    <numFmt numFmtId="183" formatCode="_-\ #,##0_-&quot;kPa&quot;_-;_-\ \-#,##0_-&quot;kPa&quot;_-;_-\ 0_-&quot;kPa&quot;_-;_-@_-"/>
    <numFmt numFmtId="184" formatCode="_-\ #,##0_-&quot;kW&quot;_-;_-\ \-#,##0_-&quot;kW&quot;_-;_-\ 0_-&quot;kW&quot;_-;_-@_-"/>
    <numFmt numFmtId="185" formatCode="_-\ #,##0_-&quot;kWh&quot;_-;_-\ \-#,##0_-&quot;kWh&quot;_-;_-\ 0_-&quot;kWh&quot;_-;_-@_-"/>
    <numFmt numFmtId="186" formatCode="_-\ #,##0_-&quot;L&quot;_-;_-\ \-#,##0_-&quot;L&quot;_-;_-\ 0_-&quot;L&quot;_-;_-@_-"/>
    <numFmt numFmtId="187" formatCode="_-\ #,##0_-&quot;L/min&quot;_-;_-\ \-#,##0_-&quot;L/min&quot;_-;_-\ 0_-&quot;L/min&quot;_-;_-@_-"/>
    <numFmt numFmtId="188" formatCode="_-\ #,##0_-&quot;L/s&quot;_-;_-\ \-#,##0_-&quot;L/s&quot;_-;_-\ 0_-&quot;L/s&quot;_-;_-@_-"/>
    <numFmt numFmtId="189" formatCode="_-\ #,##0_-&quot;m&quot;_-;_-\ \-#,##0_-&quot;m&quot;_-;_-\ 0_-&quot;m&quot;_-;_-@_-"/>
    <numFmt numFmtId="190" formatCode="_-\ #,##0_-&quot;m/km&quot;_-;_-\ \-#,##0_-&quot;m/km&quot;_-;_-\ 0_-&quot;m/km&quot;_-;_-@_-"/>
    <numFmt numFmtId="191" formatCode="_-\ #,##0_-&quot;m/s&quot;_-;_-\ \-#,##0_-&quot;m/s&quot;_-;_-\ 0_-&quot;m/s&quot;_-;_-@_-"/>
    <numFmt numFmtId="192" formatCode="_-\ #,##0_-&quot;mAHD&quot;_-;_-\ \-#,##0_-&quot;mAHD&quot;_-;_-\ 0_-&quot;mAHD&quot;_-;_-@_-"/>
    <numFmt numFmtId="193" formatCode="_-\ #,##0_-&quot;MJ&quot;_-;_-\ \-#,##0_-&quot;MJ&quot;_-;_-\ 0_-&quot;MJ&quot;_-;_-@_-"/>
    <numFmt numFmtId="194" formatCode="_-\ #,##0_-&quot;ML&quot;_-;_-\ \-#,##0_-&quot;ML&quot;_-;_-\ 0_-&quot;ML&quot;_-;_-@_-"/>
    <numFmt numFmtId="195" formatCode="_-\ #,##0_-&quot;ML/d&quot;_-;_-\ \-#,##0_-&quot;ML/d&quot;_-;_-\ 0_-&quot;ML/d&quot;_-;_-@_-"/>
    <numFmt numFmtId="196" formatCode="_-\ #,##0_-&quot;mm&quot;_-;_-\ \-#,##0_-&quot;mm&quot;_-;_-\ 0_-&quot;mm&quot;_-;_-@_-"/>
    <numFmt numFmtId="197" formatCode="_-\ #,##0_-&quot;mNCD&quot;_-;_-\ \-#,##0_-&quot;mNCD&quot;_-;_-\ 0_-&quot;mNCD&quot;_-;_-@_-"/>
    <numFmt numFmtId="198" formatCode="_-\ ###0_-&quot;rpm&quot;_-;_-\ \-###0_-&quot;rpm&quot;_-;_-\ 0_-&quot;rpm&quot;_-;_-@_-"/>
    <numFmt numFmtId="199" formatCode="0.000"/>
    <numFmt numFmtId="200" formatCode="0.0"/>
    <numFmt numFmtId="201" formatCode="0.0000"/>
    <numFmt numFmtId="202" formatCode="&quot;$&quot;#,##0"/>
    <numFmt numFmtId="203" formatCode="#,##0.000"/>
    <numFmt numFmtId="204" formatCode="&quot;$&quot;#,##0.00"/>
    <numFmt numFmtId="205" formatCode="0.0%"/>
    <numFmt numFmtId="206" formatCode="_-* #,##0_-;\-* #,##0_-;_-* &quot;-&quot;??_-;_-@_-"/>
    <numFmt numFmtId="207" formatCode="#,##0.0"/>
  </numFmts>
  <fonts count="1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8"/>
      <color theme="3"/>
      <name val="Calibri"/>
      <family val="2"/>
      <scheme val="minor"/>
    </font>
    <font>
      <sz val="10"/>
      <color indexed="8"/>
      <name val="Arial"/>
      <family val="2"/>
    </font>
    <font>
      <sz val="10"/>
      <name val="Arial"/>
      <family val="2"/>
    </font>
    <font>
      <sz val="11"/>
      <color indexed="8"/>
      <name val="Calibri"/>
      <family val="2"/>
    </font>
    <font>
      <u/>
      <sz val="11"/>
      <color theme="10"/>
      <name val="Calibri"/>
      <family val="2"/>
      <scheme val="minor"/>
    </font>
    <font>
      <sz val="10"/>
      <name val="Times New Roman"/>
      <family val="1"/>
    </font>
    <font>
      <sz val="8"/>
      <name val="Arial"/>
      <family val="2"/>
    </font>
    <font>
      <sz val="10"/>
      <name val="MS Sans Serif"/>
      <family val="2"/>
    </font>
    <font>
      <sz val="10"/>
      <name val="Tms Rmn"/>
    </font>
    <font>
      <u/>
      <sz val="10"/>
      <color indexed="12"/>
      <name val="Arial"/>
      <family val="2"/>
    </font>
    <font>
      <u/>
      <sz val="10"/>
      <color theme="10"/>
      <name val="Arial"/>
      <family val="2"/>
    </font>
    <font>
      <sz val="10"/>
      <color theme="1"/>
      <name val="Arial Mäori"/>
      <family val="2"/>
    </font>
    <font>
      <sz val="9"/>
      <color theme="0"/>
      <name val="Arial"/>
      <family val="2"/>
    </font>
    <font>
      <u/>
      <sz val="11"/>
      <color theme="10"/>
      <name val="Calibri"/>
      <family val="2"/>
    </font>
    <font>
      <u/>
      <sz val="11"/>
      <color indexed="12"/>
      <name val="Calibri"/>
      <family val="2"/>
    </font>
    <font>
      <sz val="10"/>
      <color theme="1"/>
      <name val="Arial"/>
      <family val="2"/>
    </font>
    <font>
      <sz val="12"/>
      <color theme="1"/>
      <name val="Arial"/>
      <family val="2"/>
    </font>
    <font>
      <sz val="11"/>
      <color rgb="FF000000"/>
      <name val="Calibri"/>
      <family val="2"/>
    </font>
    <font>
      <b/>
      <sz val="12"/>
      <name val="Tahoma"/>
      <family val="2"/>
    </font>
    <font>
      <b/>
      <sz val="9"/>
      <name val="Tahoma"/>
      <family val="2"/>
    </font>
    <font>
      <b/>
      <vertAlign val="superscript"/>
      <sz val="14"/>
      <name val="Tahoma"/>
      <family val="2"/>
    </font>
    <font>
      <sz val="9"/>
      <name val="Tahoma"/>
      <family val="2"/>
    </font>
    <font>
      <sz val="10"/>
      <color theme="1"/>
      <name val="Arial Narrow"/>
      <family val="2"/>
    </font>
    <font>
      <b/>
      <u/>
      <sz val="10"/>
      <name val="Arial"/>
      <family val="2"/>
    </font>
    <font>
      <sz val="12"/>
      <name val="Arial Narrow"/>
      <family val="2"/>
    </font>
    <font>
      <b/>
      <sz val="10"/>
      <color indexed="12"/>
      <name val="Arial"/>
      <family val="2"/>
    </font>
    <font>
      <b/>
      <u/>
      <sz val="12"/>
      <name val="Arial"/>
      <family val="2"/>
    </font>
    <font>
      <b/>
      <i/>
      <sz val="10"/>
      <name val="Arial"/>
      <family val="2"/>
    </font>
    <font>
      <b/>
      <u/>
      <sz val="10"/>
      <color indexed="12"/>
      <name val="Arial"/>
      <family val="2"/>
    </font>
    <font>
      <i/>
      <u/>
      <sz val="10"/>
      <name val="Arial"/>
      <family val="2"/>
    </font>
    <font>
      <b/>
      <sz val="10"/>
      <color indexed="60"/>
      <name val="Arial"/>
      <family val="2"/>
    </font>
    <font>
      <i/>
      <sz val="10"/>
      <name val="Comic Sans MS"/>
      <family val="4"/>
    </font>
    <font>
      <i/>
      <sz val="8"/>
      <name val="Arial"/>
      <family val="2"/>
    </font>
    <font>
      <b/>
      <sz val="10"/>
      <name val="Comic Sans MS"/>
      <family val="4"/>
    </font>
    <font>
      <b/>
      <u val="doubleAccounting"/>
      <sz val="10"/>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theme="1"/>
      <name val="Calibri"/>
      <family val="2"/>
      <scheme val="minor"/>
    </font>
    <font>
      <b/>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i/>
      <u/>
      <sz val="10"/>
      <name val="Tms Rmn"/>
    </font>
    <font>
      <sz val="10"/>
      <color rgb="FF3F3F76"/>
      <name val="Arial"/>
      <family val="2"/>
    </font>
    <font>
      <sz val="10"/>
      <color rgb="FFFA7D00"/>
      <name val="Arial"/>
      <family val="2"/>
    </font>
    <font>
      <sz val="10"/>
      <color rgb="FF9C6500"/>
      <name val="Arial"/>
      <family val="2"/>
    </font>
    <font>
      <b/>
      <sz val="10"/>
      <color rgb="FF3F3F3F"/>
      <name val="Arial"/>
      <family val="2"/>
    </font>
    <font>
      <sz val="10"/>
      <color rgb="FFFF0000"/>
      <name val="Arial"/>
      <family val="2"/>
    </font>
    <font>
      <b/>
      <sz val="15"/>
      <color theme="3"/>
      <name val="Arial"/>
      <family val="2"/>
    </font>
    <font>
      <b/>
      <sz val="13"/>
      <color theme="3"/>
      <name val="Arial"/>
      <family val="2"/>
    </font>
    <font>
      <b/>
      <sz val="11"/>
      <color theme="3"/>
      <name val="Arial"/>
      <family val="2"/>
    </font>
    <font>
      <sz val="11"/>
      <color theme="1"/>
      <name val="Arial"/>
      <family val="2"/>
    </font>
    <font>
      <sz val="10"/>
      <name val="Century Schoolbook"/>
      <family val="1"/>
    </font>
    <font>
      <b/>
      <sz val="16"/>
      <name val="Arial"/>
      <family val="2"/>
    </font>
    <font>
      <b/>
      <sz val="12"/>
      <name val="Arial"/>
      <family val="2"/>
    </font>
    <font>
      <sz val="11"/>
      <color theme="4" tint="0.39997558519241921"/>
      <name val="Calibri"/>
      <family val="2"/>
      <scheme val="minor"/>
    </font>
    <font>
      <sz val="11"/>
      <color theme="5" tint="0.39997558519241921"/>
      <name val="Calibri"/>
      <family val="2"/>
      <scheme val="minor"/>
    </font>
    <font>
      <sz val="11"/>
      <color theme="6" tint="0.39997558519241921"/>
      <name val="Calibri"/>
      <family val="2"/>
      <scheme val="minor"/>
    </font>
    <font>
      <sz val="11"/>
      <name val="Calibri"/>
      <family val="2"/>
      <scheme val="minor"/>
    </font>
    <font>
      <sz val="11"/>
      <color theme="5"/>
      <name val="Calibri"/>
      <family val="2"/>
      <scheme val="minor"/>
    </font>
    <font>
      <b/>
      <sz val="11"/>
      <color theme="4"/>
      <name val="Calibri"/>
      <family val="2"/>
      <scheme val="minor"/>
    </font>
    <font>
      <sz val="11"/>
      <color theme="6"/>
      <name val="Calibri"/>
      <family val="2"/>
      <scheme val="minor"/>
    </font>
    <font>
      <vertAlign val="superscript"/>
      <sz val="11"/>
      <color theme="1"/>
      <name val="Calibri"/>
      <family val="2"/>
      <scheme val="minor"/>
    </font>
    <font>
      <u/>
      <sz val="12"/>
      <color theme="10"/>
      <name val="Arial"/>
      <family val="2"/>
    </font>
    <font>
      <sz val="12"/>
      <name val="Arial"/>
      <family val="2"/>
    </font>
    <font>
      <sz val="11"/>
      <color rgb="FF9C0006"/>
      <name val="Arial"/>
      <family val="2"/>
    </font>
    <font>
      <sz val="10"/>
      <color theme="3" tint="-0.24994659260841701"/>
      <name val="Trebuchet MS"/>
      <family val="2"/>
    </font>
    <font>
      <sz val="12"/>
      <color theme="1"/>
      <name val="Calibri"/>
      <family val="2"/>
    </font>
    <font>
      <sz val="8"/>
      <color theme="1"/>
      <name val="Calibri"/>
      <family val="2"/>
      <scheme val="minor"/>
    </font>
    <font>
      <sz val="9"/>
      <color theme="1"/>
      <name val="Calibri"/>
      <family val="2"/>
    </font>
    <font>
      <sz val="11"/>
      <color theme="1"/>
      <name val="Calibri"/>
      <family val="2"/>
    </font>
    <font>
      <i/>
      <sz val="11"/>
      <color theme="1"/>
      <name val="Calibri"/>
      <family val="2"/>
      <scheme val="minor"/>
    </font>
    <font>
      <b/>
      <sz val="11"/>
      <name val="Calibri"/>
      <family val="2"/>
      <scheme val="minor"/>
    </font>
    <font>
      <u/>
      <sz val="11"/>
      <color theme="3"/>
      <name val="Calibri"/>
      <family val="2"/>
    </font>
    <font>
      <u/>
      <sz val="11"/>
      <color theme="3"/>
      <name val="Calibri"/>
      <family val="2"/>
      <scheme val="minor"/>
    </font>
    <font>
      <b/>
      <sz val="11"/>
      <color theme="1"/>
      <name val="Calibri"/>
      <family val="2"/>
    </font>
    <font>
      <u/>
      <sz val="11"/>
      <color theme="4" tint="-0.499984740745262"/>
      <name val="Calibri"/>
      <family val="2"/>
      <scheme val="minor"/>
    </font>
    <font>
      <sz val="10"/>
      <color rgb="FF000000"/>
      <name val="Calibri"/>
      <family val="2"/>
      <scheme val="minor"/>
    </font>
    <font>
      <sz val="8"/>
      <name val="Calibri"/>
      <family val="2"/>
      <scheme val="minor"/>
    </font>
    <font>
      <b/>
      <sz val="20"/>
      <color rgb="FFFF0000"/>
      <name val="Calibri"/>
      <family val="2"/>
      <scheme val="minor"/>
    </font>
    <font>
      <b/>
      <sz val="16"/>
      <color theme="3" tint="-0.24994659260841701"/>
      <name val="Calibri"/>
      <family val="2"/>
      <scheme val="minor"/>
    </font>
    <font>
      <b/>
      <sz val="11"/>
      <color theme="4" tint="-0.24994659260841701"/>
      <name val="Calibri"/>
      <family val="2"/>
      <scheme val="minor"/>
    </font>
    <font>
      <b/>
      <sz val="14"/>
      <color theme="3" tint="-0.24994659260841701"/>
      <name val="Calibri"/>
      <family val="2"/>
      <scheme val="minor"/>
    </font>
    <font>
      <sz val="16"/>
      <color theme="3" tint="-0.24994659260841701"/>
      <name val="Calibri"/>
      <family val="2"/>
      <scheme val="minor"/>
    </font>
    <font>
      <b/>
      <sz val="10"/>
      <color theme="1"/>
      <name val="Calibri"/>
      <family val="2"/>
      <scheme val="minor"/>
    </font>
    <font>
      <b/>
      <sz val="14"/>
      <name val="Arial"/>
      <family val="2"/>
    </font>
    <font>
      <b/>
      <sz val="10"/>
      <name val="Arial"/>
      <family val="2"/>
    </font>
    <font>
      <sz val="11"/>
      <name val="Arial"/>
      <family val="2"/>
    </font>
    <font>
      <b/>
      <u val="singleAccounting"/>
      <sz val="10"/>
      <name val="Arial"/>
      <family val="2"/>
    </font>
    <font>
      <u/>
      <sz val="10"/>
      <name val="Arial"/>
      <family val="2"/>
    </font>
    <font>
      <b/>
      <sz val="20"/>
      <color theme="3"/>
      <name val="Calibri"/>
      <family val="2"/>
      <scheme val="minor"/>
    </font>
    <font>
      <b/>
      <sz val="14"/>
      <color theme="3"/>
      <name val="Calibri"/>
      <family val="2"/>
      <scheme val="minor"/>
    </font>
    <font>
      <sz val="11"/>
      <color theme="3"/>
      <name val="Calibri"/>
      <family val="2"/>
      <scheme val="minor"/>
    </font>
    <font>
      <sz val="11"/>
      <color theme="3" tint="0.39997558519241921"/>
      <name val="Calibri"/>
      <family val="2"/>
      <scheme val="minor"/>
    </font>
    <font>
      <b/>
      <i/>
      <sz val="11"/>
      <color theme="0"/>
      <name val="Calibri"/>
      <family val="2"/>
      <scheme val="minor"/>
    </font>
  </fonts>
  <fills count="7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3"/>
        <bgColor indexed="64"/>
      </patternFill>
    </fill>
    <fill>
      <patternFill patternType="solid">
        <fgColor indexed="2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0"/>
        <bgColor indexed="64"/>
      </patternFill>
    </fill>
    <fill>
      <patternFill patternType="solid">
        <fgColor theme="8" tint="0.599963377788628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4" tint="0.39994506668294322"/>
        <bgColor indexed="64"/>
      </patternFill>
    </fill>
    <fill>
      <patternFill patternType="solid">
        <fgColor theme="0" tint="-0.14996795556505021"/>
        <bgColor indexed="64"/>
      </patternFill>
    </fill>
    <fill>
      <patternFill patternType="solid">
        <fgColor rgb="FFC0C0C0"/>
        <bgColor indexed="64"/>
      </patternFill>
    </fill>
    <fill>
      <patternFill patternType="solid">
        <fgColor rgb="FFFFFFCC"/>
        <bgColor indexed="64"/>
      </patternFill>
    </fill>
    <fill>
      <patternFill patternType="solid">
        <fgColor theme="3" tint="-0.24994659260841701"/>
        <bgColor indexed="64"/>
      </patternFill>
    </fill>
    <fill>
      <patternFill patternType="solid">
        <fgColor rgb="FFFFFF00"/>
        <bgColor indexed="64"/>
      </patternFill>
    </fill>
    <fill>
      <patternFill patternType="solid">
        <fgColor theme="3"/>
        <bgColor indexed="64"/>
      </patternFill>
    </fill>
    <fill>
      <patternFill patternType="solid">
        <fgColor rgb="FFFF0000"/>
        <bgColor indexed="64"/>
      </patternFill>
    </fill>
    <fill>
      <patternFill patternType="solid">
        <fgColor theme="6" tint="-0.24991607409894101"/>
        <bgColor indexed="64"/>
      </patternFill>
    </fill>
    <fill>
      <patternFill patternType="solid">
        <fgColor theme="2" tint="-0.24991607409894101"/>
        <bgColor indexed="64"/>
      </patternFill>
    </fill>
    <fill>
      <patternFill patternType="solid">
        <fgColor theme="9"/>
        <bgColor indexed="64"/>
      </patternFill>
    </fill>
  </fills>
  <borders count="2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499984740745262"/>
      </left>
      <right style="dashed">
        <color theme="0" tint="-0.499984740745262"/>
      </right>
      <top/>
      <bottom style="dashed">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dashed">
        <color theme="0" tint="-0.499984740745262"/>
      </right>
      <top/>
      <bottom style="dashed">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hair">
        <color theme="0" tint="-0.499984740745262"/>
      </right>
      <top/>
      <bottom/>
      <diagonal/>
    </border>
    <border>
      <left/>
      <right style="hair">
        <color theme="0" tint="-0.499984740745262"/>
      </right>
      <top style="hair">
        <color theme="0" tint="-0.499984740745262"/>
      </top>
      <bottom style="medium">
        <color theme="4" tint="-0.249977111117893"/>
      </bottom>
      <diagonal/>
    </border>
    <border>
      <left style="hair">
        <color theme="0" tint="-0.499984740745262"/>
      </left>
      <right style="hair">
        <color theme="0" tint="-0.499984740745262"/>
      </right>
      <top style="hair">
        <color theme="0" tint="-0.499984740745262"/>
      </top>
      <bottom style="medium">
        <color theme="4" tint="-0.249977111117893"/>
      </bottom>
      <diagonal/>
    </border>
    <border>
      <left/>
      <right style="dashed">
        <color theme="0" tint="-0.499984740745262"/>
      </right>
      <top style="dashed">
        <color theme="0" tint="-0.499984740745262"/>
      </top>
      <bottom style="medium">
        <color theme="4" tint="-0.249977111117893"/>
      </bottom>
      <diagonal/>
    </border>
    <border>
      <left/>
      <right style="hair">
        <color theme="0" tint="-0.499984740745262"/>
      </right>
      <top/>
      <bottom style="medium">
        <color theme="4" tint="-0.249977111117893"/>
      </bottom>
      <diagonal/>
    </border>
    <border>
      <left/>
      <right style="dashed">
        <color theme="0" tint="-0.499984740745262"/>
      </right>
      <top style="medium">
        <color theme="4" tint="-0.249977111117893"/>
      </top>
      <bottom style="medium">
        <color theme="4" tint="-0.249977111117893"/>
      </bottom>
      <diagonal/>
    </border>
    <border>
      <left/>
      <right style="hair">
        <color theme="0" tint="-0.499984740745262"/>
      </right>
      <top style="medium">
        <color theme="4" tint="-0.249977111117893"/>
      </top>
      <bottom style="medium">
        <color theme="4" tint="-0.249977111117893"/>
      </bottom>
      <diagonal/>
    </border>
    <border>
      <left style="hair">
        <color theme="0" tint="-0.499984740745262"/>
      </left>
      <right style="hair">
        <color theme="0" tint="-0.499984740745262"/>
      </right>
      <top style="medium">
        <color theme="4" tint="-0.249977111117893"/>
      </top>
      <bottom style="medium">
        <color theme="4" tint="-0.249977111117893"/>
      </bottom>
      <diagonal/>
    </border>
    <border>
      <left/>
      <right style="hair">
        <color theme="0" tint="-0.499984740745262"/>
      </right>
      <top style="medium">
        <color theme="4" tint="-0.249977111117893"/>
      </top>
      <bottom/>
      <diagonal/>
    </border>
    <border>
      <left style="hair">
        <color theme="0" tint="-0.499984740745262"/>
      </left>
      <right style="hair">
        <color theme="0" tint="-0.499984740745262"/>
      </right>
      <top style="medium">
        <color theme="4" tint="-0.249977111117893"/>
      </top>
      <bottom style="hair">
        <color theme="0" tint="-0.499984740745262"/>
      </bottom>
      <diagonal/>
    </border>
    <border>
      <left/>
      <right style="dashed">
        <color theme="0" tint="-0.499984740745262"/>
      </right>
      <top style="medium">
        <color theme="4" tint="-0.249977111117893"/>
      </top>
      <bottom style="dashed">
        <color theme="0" tint="-0.499984740745262"/>
      </bottom>
      <diagonal/>
    </border>
    <border>
      <left style="hair">
        <color theme="0" tint="-0.499984740745262"/>
      </left>
      <right style="hair">
        <color theme="0" tint="-0.499984740745262"/>
      </right>
      <top style="hair">
        <color theme="0" tint="-0.499984740745262"/>
      </top>
      <bottom style="medium">
        <color theme="5" tint="-0.249977111117893"/>
      </bottom>
      <diagonal/>
    </border>
    <border>
      <left style="dashed">
        <color theme="0" tint="-0.499984740745262"/>
      </left>
      <right style="dashed">
        <color theme="0" tint="-0.499984740745262"/>
      </right>
      <top style="dashed">
        <color theme="0" tint="-0.499984740745262"/>
      </top>
      <bottom style="medium">
        <color theme="5" tint="-0.249977111117893"/>
      </bottom>
      <diagonal/>
    </border>
    <border>
      <left/>
      <right style="dashed">
        <color theme="0" tint="-0.499984740745262"/>
      </right>
      <top style="dashed">
        <color theme="0" tint="-0.499984740745262"/>
      </top>
      <bottom style="medium">
        <color theme="5" tint="-0.249977111117893"/>
      </bottom>
      <diagonal/>
    </border>
    <border>
      <left/>
      <right/>
      <top/>
      <bottom style="medium">
        <color theme="9"/>
      </bottom>
      <diagonal/>
    </border>
    <border>
      <left style="dashed">
        <color theme="0" tint="-0.499984740745262"/>
      </left>
      <right style="dashed">
        <color theme="0" tint="-0.499984740745262"/>
      </right>
      <top style="dashed">
        <color theme="0" tint="-0.499984740745262"/>
      </top>
      <bottom style="medium">
        <color theme="9"/>
      </bottom>
      <diagonal/>
    </border>
    <border>
      <left style="dashed">
        <color theme="0" tint="-0.499984740745262"/>
      </left>
      <right style="dashed">
        <color theme="0" tint="-0.499984740745262"/>
      </right>
      <top/>
      <bottom style="medium">
        <color theme="9"/>
      </bottom>
      <diagonal/>
    </border>
    <border>
      <left/>
      <right style="dashed">
        <color theme="0" tint="-0.499984740745262"/>
      </right>
      <top style="medium">
        <color theme="9"/>
      </top>
      <bottom style="medium">
        <color theme="9"/>
      </bottom>
      <diagonal/>
    </border>
    <border>
      <left/>
      <right/>
      <top style="medium">
        <color theme="9"/>
      </top>
      <bottom style="medium">
        <color theme="9"/>
      </bottom>
      <diagonal/>
    </border>
    <border>
      <left style="dashed">
        <color theme="0" tint="-0.499984740745262"/>
      </left>
      <right style="dashed">
        <color theme="0" tint="-0.499984740745262"/>
      </right>
      <top style="medium">
        <color theme="9"/>
      </top>
      <bottom style="medium">
        <color theme="9"/>
      </bottom>
      <diagonal/>
    </border>
    <border>
      <left style="dashed">
        <color theme="0" tint="-0.499984740745262"/>
      </left>
      <right style="dashed">
        <color theme="0" tint="-0.499984740745262"/>
      </right>
      <top style="medium">
        <color theme="9"/>
      </top>
      <bottom style="dashed">
        <color theme="0" tint="-0.499984740745262"/>
      </bottom>
      <diagonal/>
    </border>
    <border>
      <left/>
      <right/>
      <top/>
      <bottom style="medium">
        <color theme="6"/>
      </bottom>
      <diagonal/>
    </border>
    <border>
      <left/>
      <right style="dashed">
        <color theme="0" tint="-0.499984740745262"/>
      </right>
      <top style="dashed">
        <color theme="0" tint="-0.499984740745262"/>
      </top>
      <bottom style="medium">
        <color theme="6"/>
      </bottom>
      <diagonal/>
    </border>
    <border>
      <left style="dashed">
        <color theme="0" tint="-0.499984740745262"/>
      </left>
      <right style="dashed">
        <color theme="0" tint="-0.499984740745262"/>
      </right>
      <top style="dashed">
        <color theme="0" tint="-0.499984740745262"/>
      </top>
      <bottom style="medium">
        <color theme="6"/>
      </bottom>
      <diagonal/>
    </border>
    <border>
      <left style="dashed">
        <color theme="0" tint="-0.499984740745262"/>
      </left>
      <right style="dashed">
        <color theme="0" tint="-0.499984740745262"/>
      </right>
      <top/>
      <bottom style="medium">
        <color theme="6"/>
      </bottom>
      <diagonal/>
    </border>
    <border>
      <left/>
      <right style="dashed">
        <color theme="0" tint="-0.499984740745262"/>
      </right>
      <top style="medium">
        <color theme="6"/>
      </top>
      <bottom style="medium">
        <color theme="6"/>
      </bottom>
      <diagonal/>
    </border>
    <border>
      <left/>
      <right/>
      <top style="medium">
        <color theme="6"/>
      </top>
      <bottom style="medium">
        <color theme="6"/>
      </bottom>
      <diagonal/>
    </border>
    <border>
      <left style="dashed">
        <color theme="0" tint="-0.499984740745262"/>
      </left>
      <right style="dashed">
        <color theme="0" tint="-0.499984740745262"/>
      </right>
      <top style="medium">
        <color theme="6"/>
      </top>
      <bottom style="medium">
        <color theme="6"/>
      </bottom>
      <diagonal/>
    </border>
    <border>
      <left style="hair">
        <color theme="0" tint="-0.499984740745262"/>
      </left>
      <right style="hair">
        <color theme="0" tint="-0.499984740745262"/>
      </right>
      <top style="hair">
        <color theme="0" tint="-0.499984740745262"/>
      </top>
      <bottom style="medium">
        <color theme="5"/>
      </bottom>
      <diagonal/>
    </border>
    <border>
      <left style="dashed">
        <color theme="0" tint="-0.499984740745262"/>
      </left>
      <right style="dashed">
        <color theme="0" tint="-0.499984740745262"/>
      </right>
      <top style="dashed">
        <color theme="0" tint="-0.499984740745262"/>
      </top>
      <bottom style="medium">
        <color theme="5"/>
      </bottom>
      <diagonal/>
    </border>
    <border>
      <left/>
      <right style="dashed">
        <color theme="0" tint="-0.499984740745262"/>
      </right>
      <top style="dashed">
        <color theme="0" tint="-0.499984740745262"/>
      </top>
      <bottom style="medium">
        <color theme="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diagonal/>
    </border>
    <border>
      <left style="dashed">
        <color theme="0" tint="-0.499984740745262"/>
      </left>
      <right style="dashed">
        <color theme="0" tint="-0.499984740745262"/>
      </right>
      <top style="dashed">
        <color theme="0" tint="-0.499984740745262"/>
      </top>
      <bottom/>
      <diagonal/>
    </border>
    <border>
      <left/>
      <right style="dashed">
        <color theme="0" tint="-0.499984740745262"/>
      </right>
      <top style="dashed">
        <color theme="0" tint="-0.499984740745262"/>
      </top>
      <bottom/>
      <diagonal/>
    </border>
    <border>
      <left style="dashed">
        <color theme="0" tint="-0.499984740745262"/>
      </left>
      <right style="dashed">
        <color theme="0" tint="-0.499984740745262"/>
      </right>
      <top/>
      <bottom/>
      <diagonal/>
    </border>
    <border>
      <left style="hair">
        <color theme="0" tint="-0.499984740745262"/>
      </left>
      <right style="hair">
        <color theme="0" tint="-0.499984740745262"/>
      </right>
      <top style="hair">
        <color theme="0" tint="-0.499984740745262"/>
      </top>
      <bottom style="medium">
        <color rgb="FFC00000"/>
      </bottom>
      <diagonal/>
    </border>
    <border>
      <left style="dashed">
        <color theme="0" tint="-0.499984740745262"/>
      </left>
      <right style="dashed">
        <color theme="0" tint="-0.499984740745262"/>
      </right>
      <top style="dashed">
        <color theme="0" tint="-0.499984740745262"/>
      </top>
      <bottom style="medium">
        <color rgb="FFC00000"/>
      </bottom>
      <diagonal/>
    </border>
    <border>
      <left/>
      <right style="dashed">
        <color theme="0" tint="-0.499984740745262"/>
      </right>
      <top style="dashed">
        <color theme="0" tint="-0.499984740745262"/>
      </top>
      <bottom style="medium">
        <color rgb="FFC00000"/>
      </bottom>
      <diagonal/>
    </border>
    <border>
      <left style="hair">
        <color theme="0" tint="-0.499984740745262"/>
      </left>
      <right style="hair">
        <color theme="0" tint="-0.499984740745262"/>
      </right>
      <top/>
      <bottom/>
      <diagonal/>
    </border>
    <border>
      <left/>
      <right style="dashed">
        <color theme="0" tint="-0.499984740745262"/>
      </right>
      <top/>
      <bottom/>
      <diagonal/>
    </border>
    <border>
      <left style="hair">
        <color theme="0" tint="-0.499984740745262"/>
      </left>
      <right style="hair">
        <color theme="0" tint="-0.499984740745262"/>
      </right>
      <top/>
      <bottom style="medium">
        <color theme="4" tint="-0.249977111117893"/>
      </bottom>
      <diagonal/>
    </border>
    <border>
      <left/>
      <right style="dashed">
        <color theme="0" tint="-0.499984740745262"/>
      </right>
      <top/>
      <bottom style="medium">
        <color theme="4" tint="-0.249977111117893"/>
      </bottom>
      <diagonal/>
    </border>
    <border>
      <left/>
      <right/>
      <top/>
      <bottom style="medium">
        <color theme="4" tint="-0.249977111117893"/>
      </bottom>
      <diagonal/>
    </border>
    <border>
      <left style="hair">
        <color theme="0" tint="-0.499984740745262"/>
      </left>
      <right/>
      <top style="hair">
        <color theme="0" tint="-0.499984740745262"/>
      </top>
      <bottom style="medium">
        <color theme="4" tint="-0.249977111117893"/>
      </bottom>
      <diagonal/>
    </border>
    <border>
      <left style="hair">
        <color theme="0" tint="-0.499984740745262"/>
      </left>
      <right/>
      <top/>
      <bottom/>
      <diagonal/>
    </border>
    <border>
      <left/>
      <right style="medium">
        <color theme="4" tint="-0.249977111117893"/>
      </right>
      <top/>
      <bottom/>
      <diagonal/>
    </border>
    <border>
      <left style="dashed">
        <color theme="0" tint="-0.499984740745262"/>
      </left>
      <right style="medium">
        <color theme="4" tint="-0.249977111117893"/>
      </right>
      <top/>
      <bottom style="dashed">
        <color theme="0" tint="-0.499984740745262"/>
      </bottom>
      <diagonal/>
    </border>
    <border>
      <left style="dashed">
        <color theme="0" tint="-0.499984740745262"/>
      </left>
      <right style="medium">
        <color theme="4" tint="-0.249977111117893"/>
      </right>
      <top style="dashed">
        <color theme="0" tint="-0.499984740745262"/>
      </top>
      <bottom style="dashed">
        <color theme="0" tint="-0.499984740745262"/>
      </bottom>
      <diagonal/>
    </border>
    <border>
      <left style="dashed">
        <color theme="0" tint="-0.499984740745262"/>
      </left>
      <right style="medium">
        <color theme="4" tint="-0.249977111117893"/>
      </right>
      <top/>
      <bottom style="medium">
        <color theme="4" tint="-0.249977111117893"/>
      </bottom>
      <diagonal/>
    </border>
    <border>
      <left style="dashed">
        <color theme="0" tint="-0.499984740745262"/>
      </left>
      <right style="medium">
        <color theme="4" tint="-0.249977111117893"/>
      </right>
      <top style="dashed">
        <color theme="0" tint="-0.499984740745262"/>
      </top>
      <bottom style="medium">
        <color theme="4" tint="-0.249977111117893"/>
      </bottom>
      <diagonal/>
    </border>
    <border>
      <left style="dashed">
        <color theme="0" tint="-0.499984740745262"/>
      </left>
      <right style="medium">
        <color theme="4" tint="-0.249977111117893"/>
      </right>
      <top style="medium">
        <color theme="4" tint="-0.249977111117893"/>
      </top>
      <bottom style="medium">
        <color theme="4" tint="-0.249977111117893"/>
      </bottom>
      <diagonal/>
    </border>
    <border>
      <left style="dashed">
        <color theme="0" tint="-0.499984740745262"/>
      </left>
      <right style="medium">
        <color theme="4" tint="-0.249977111117893"/>
      </right>
      <top style="medium">
        <color theme="4" tint="-0.249977111117893"/>
      </top>
      <bottom style="dashed">
        <color theme="0" tint="-0.499984740745262"/>
      </bottom>
      <diagonal/>
    </border>
    <border>
      <left style="dashed">
        <color theme="0" tint="-0.499984740745262"/>
      </left>
      <right style="medium">
        <color theme="5"/>
      </right>
      <top/>
      <bottom style="dashed">
        <color theme="0" tint="-0.499984740745262"/>
      </bottom>
      <diagonal/>
    </border>
    <border>
      <left style="dashed">
        <color theme="0" tint="-0.499984740745262"/>
      </left>
      <right style="medium">
        <color theme="5"/>
      </right>
      <top style="dashed">
        <color theme="0" tint="-0.499984740745262"/>
      </top>
      <bottom style="dashed">
        <color theme="0" tint="-0.499984740745262"/>
      </bottom>
      <diagonal/>
    </border>
    <border>
      <left style="dashed">
        <color theme="0" tint="-0.499984740745262"/>
      </left>
      <right style="medium">
        <color theme="5"/>
      </right>
      <top style="dashed">
        <color theme="0" tint="-0.499984740745262"/>
      </top>
      <bottom style="medium">
        <color rgb="FFC00000"/>
      </bottom>
      <diagonal/>
    </border>
    <border>
      <left style="dashed">
        <color theme="0" tint="-0.499984740745262"/>
      </left>
      <right style="medium">
        <color theme="5"/>
      </right>
      <top style="dashed">
        <color theme="0" tint="-0.499984740745262"/>
      </top>
      <bottom/>
      <diagonal/>
    </border>
    <border>
      <left style="dashed">
        <color theme="0" tint="-0.499984740745262"/>
      </left>
      <right style="medium">
        <color theme="5"/>
      </right>
      <top style="dashed">
        <color theme="0" tint="-0.499984740745262"/>
      </top>
      <bottom style="medium">
        <color theme="5" tint="-0.249977111117893"/>
      </bottom>
      <diagonal/>
    </border>
    <border>
      <left style="dashed">
        <color theme="0" tint="-0.499984740745262"/>
      </left>
      <right style="medium">
        <color theme="5"/>
      </right>
      <top style="dashed">
        <color theme="0" tint="-0.499984740745262"/>
      </top>
      <bottom style="medium">
        <color theme="5"/>
      </bottom>
      <diagonal/>
    </border>
    <border>
      <left/>
      <right style="medium">
        <color theme="5"/>
      </right>
      <top/>
      <bottom/>
      <diagonal/>
    </border>
    <border>
      <left style="medium">
        <color theme="5"/>
      </left>
      <right/>
      <top/>
      <bottom/>
      <diagonal/>
    </border>
    <border>
      <left style="medium">
        <color theme="5"/>
      </left>
      <right style="hair">
        <color theme="0" tint="-0.499984740745262"/>
      </right>
      <top/>
      <bottom/>
      <diagonal/>
    </border>
    <border>
      <left style="medium">
        <color theme="5"/>
      </left>
      <right style="hair">
        <color theme="0" tint="-0.499984740745262"/>
      </right>
      <top/>
      <bottom style="medium">
        <color rgb="FFC00000"/>
      </bottom>
      <diagonal/>
    </border>
    <border>
      <left style="medium">
        <color theme="5"/>
      </left>
      <right style="hair">
        <color theme="0" tint="-0.499984740745262"/>
      </right>
      <top/>
      <bottom style="medium">
        <color theme="5" tint="-0.249977111117893"/>
      </bottom>
      <diagonal/>
    </border>
    <border>
      <left style="medium">
        <color theme="5"/>
      </left>
      <right style="hair">
        <color theme="0" tint="-0.499984740745262"/>
      </right>
      <top/>
      <bottom style="medium">
        <color theme="5"/>
      </bottom>
      <diagonal/>
    </border>
    <border>
      <left/>
      <right style="dashed">
        <color theme="0" tint="-0.499984740745262"/>
      </right>
      <top style="dashed">
        <color theme="0" tint="-0.499984740745262"/>
      </top>
      <bottom style="medium">
        <color theme="9"/>
      </bottom>
      <diagonal/>
    </border>
    <border>
      <left/>
      <right style="medium">
        <color theme="9"/>
      </right>
      <top/>
      <bottom/>
      <diagonal/>
    </border>
    <border>
      <left style="dashed">
        <color theme="0" tint="-0.499984740745262"/>
      </left>
      <right style="medium">
        <color theme="9"/>
      </right>
      <top/>
      <bottom style="dashed">
        <color theme="0" tint="-0.499984740745262"/>
      </bottom>
      <diagonal/>
    </border>
    <border>
      <left style="dashed">
        <color theme="0" tint="-0.499984740745262"/>
      </left>
      <right style="medium">
        <color theme="9"/>
      </right>
      <top/>
      <bottom style="medium">
        <color theme="9"/>
      </bottom>
      <diagonal/>
    </border>
    <border>
      <left style="dashed">
        <color theme="0" tint="-0.499984740745262"/>
      </left>
      <right style="medium">
        <color theme="9"/>
      </right>
      <top style="medium">
        <color theme="9"/>
      </top>
      <bottom style="medium">
        <color theme="9"/>
      </bottom>
      <diagonal/>
    </border>
    <border>
      <left/>
      <right style="dashed">
        <color theme="0" tint="-0.499984740745262"/>
      </right>
      <top/>
      <bottom style="medium">
        <color theme="9"/>
      </bottom>
      <diagonal/>
    </border>
    <border>
      <left/>
      <right style="dashed">
        <color theme="0" tint="-0.499984740745262"/>
      </right>
      <top style="medium">
        <color theme="9"/>
      </top>
      <bottom style="dashed">
        <color theme="0" tint="-0.499984740745262"/>
      </bottom>
      <diagonal/>
    </border>
    <border>
      <left style="dashed">
        <color theme="0" tint="-0.499984740745262"/>
      </left>
      <right style="medium">
        <color theme="9"/>
      </right>
      <top style="medium">
        <color theme="9"/>
      </top>
      <bottom style="dashed">
        <color theme="0" tint="-0.499984740745262"/>
      </bottom>
      <diagonal/>
    </border>
    <border>
      <left style="dashed">
        <color theme="0" tint="-0.499984740745262"/>
      </left>
      <right style="medium">
        <color theme="9"/>
      </right>
      <top style="dashed">
        <color theme="0" tint="-0.499984740745262"/>
      </top>
      <bottom/>
      <diagonal/>
    </border>
    <border>
      <left style="dashed">
        <color theme="0" tint="-0.499984740745262"/>
      </left>
      <right style="medium">
        <color theme="9"/>
      </right>
      <top style="dashed">
        <color theme="0" tint="-0.499984740745262"/>
      </top>
      <bottom style="dashed">
        <color theme="0" tint="-0.499984740745262"/>
      </bottom>
      <diagonal/>
    </border>
    <border>
      <left style="dashed">
        <color theme="0" tint="-0.499984740745262"/>
      </left>
      <right style="medium">
        <color theme="9"/>
      </right>
      <top style="dashed">
        <color theme="0" tint="-0.499984740745262"/>
      </top>
      <bottom style="medium">
        <color theme="9"/>
      </bottom>
      <diagonal/>
    </border>
    <border>
      <left style="dashed">
        <color theme="0" tint="-0.499984740745262"/>
      </left>
      <right style="medium">
        <color theme="9"/>
      </right>
      <top/>
      <bottom/>
      <diagonal/>
    </border>
    <border>
      <left/>
      <right style="medium">
        <color theme="9"/>
      </right>
      <top/>
      <bottom style="dashed">
        <color theme="0" tint="-0.499984740745262"/>
      </bottom>
      <diagonal/>
    </border>
    <border>
      <left/>
      <right style="medium">
        <color theme="9"/>
      </right>
      <top style="dashed">
        <color theme="0" tint="-0.499984740745262"/>
      </top>
      <bottom style="dashed">
        <color theme="0" tint="-0.499984740745262"/>
      </bottom>
      <diagonal/>
    </border>
    <border>
      <left style="medium">
        <color theme="4" tint="-0.249977111117893"/>
      </left>
      <right style="medium">
        <color theme="4" tint="-0.249977111117893"/>
      </right>
      <top/>
      <bottom/>
      <diagonal/>
    </border>
    <border>
      <left style="medium">
        <color theme="4" tint="-0.249977111117893"/>
      </left>
      <right style="dotted">
        <color theme="4" tint="-0.249977111117893"/>
      </right>
      <top/>
      <bottom style="dashed">
        <color theme="0" tint="-0.499984740745262"/>
      </bottom>
      <diagonal/>
    </border>
    <border>
      <left/>
      <right style="medium">
        <color theme="4" tint="-0.249977111117893"/>
      </right>
      <top style="dashed">
        <color theme="0" tint="-0.499984740745262"/>
      </top>
      <bottom style="dashed">
        <color theme="0" tint="-0.499984740745262"/>
      </bottom>
      <diagonal/>
    </border>
    <border>
      <left style="medium">
        <color theme="4" tint="-0.249977111117893"/>
      </left>
      <right style="dotted">
        <color theme="4" tint="-0.249977111117893"/>
      </right>
      <top style="dashed">
        <color theme="0" tint="-0.499984740745262"/>
      </top>
      <bottom style="dashed">
        <color theme="0" tint="-0.499984740745262"/>
      </bottom>
      <diagonal/>
    </border>
    <border>
      <left style="medium">
        <color theme="4" tint="-0.249977111117893"/>
      </left>
      <right style="dotted">
        <color theme="4" tint="-0.249977111117893"/>
      </right>
      <top style="dashed">
        <color theme="0" tint="-0.499984740745262"/>
      </top>
      <bottom style="medium">
        <color theme="4" tint="-0.249977111117893"/>
      </bottom>
      <diagonal/>
    </border>
    <border>
      <left/>
      <right style="medium">
        <color theme="4" tint="-0.249977111117893"/>
      </right>
      <top/>
      <bottom style="dashed">
        <color theme="0" tint="-0.499984740745262"/>
      </bottom>
      <diagonal/>
    </border>
    <border>
      <left/>
      <right style="medium">
        <color theme="4" tint="-0.249977111117893"/>
      </right>
      <top/>
      <bottom style="medium">
        <color theme="4" tint="-0.249977111117893"/>
      </bottom>
      <diagonal/>
    </border>
    <border>
      <left/>
      <right style="medium">
        <color theme="4" tint="-0.249977111117893"/>
      </right>
      <top style="dashed">
        <color theme="0" tint="-0.499984740745262"/>
      </top>
      <bottom style="medium">
        <color theme="4" tint="-0.249977111117893"/>
      </bottom>
      <diagonal/>
    </border>
    <border>
      <left style="medium">
        <color theme="4" tint="-0.249977111117893"/>
      </left>
      <right style="dotted">
        <color theme="4" tint="-0.249977111117893"/>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style="medium">
        <color theme="4" tint="-0.249977111117893"/>
      </right>
      <top style="medium">
        <color theme="4" tint="-0.249977111117893"/>
      </top>
      <bottom style="dashed">
        <color theme="0" tint="-0.499984740745262"/>
      </bottom>
      <diagonal/>
    </border>
    <border>
      <left style="medium">
        <color theme="4" tint="-0.249977111117893"/>
      </left>
      <right style="dotted">
        <color theme="4" tint="-0.249977111117893"/>
      </right>
      <top style="medium">
        <color theme="4" tint="-0.249977111117893"/>
      </top>
      <bottom style="dashed">
        <color theme="0" tint="-0.499984740745262"/>
      </bottom>
      <diagonal/>
    </border>
    <border>
      <left style="dashed">
        <color theme="0" tint="-0.499984740745262"/>
      </left>
      <right style="medium">
        <color theme="4" tint="-0.249977111117893"/>
      </right>
      <top style="dotted">
        <color theme="4" tint="-0.249977111117893"/>
      </top>
      <bottom style="dotted">
        <color theme="4" tint="-0.249977111117893"/>
      </bottom>
      <diagonal/>
    </border>
    <border>
      <left/>
      <right style="medium">
        <color theme="5"/>
      </right>
      <top/>
      <bottom style="dashed">
        <color theme="0" tint="-0.499984740745262"/>
      </bottom>
      <diagonal/>
    </border>
    <border>
      <left/>
      <right style="medium">
        <color theme="5"/>
      </right>
      <top style="dashed">
        <color theme="0" tint="-0.499984740745262"/>
      </top>
      <bottom style="dashed">
        <color theme="0" tint="-0.499984740745262"/>
      </bottom>
      <diagonal/>
    </border>
    <border>
      <left/>
      <right style="medium">
        <color theme="5"/>
      </right>
      <top style="dashed">
        <color theme="0" tint="-0.499984740745262"/>
      </top>
      <bottom style="medium">
        <color rgb="FFC00000"/>
      </bottom>
      <diagonal/>
    </border>
    <border>
      <left/>
      <right style="medium">
        <color theme="5"/>
      </right>
      <top style="dashed">
        <color theme="0" tint="-0.499984740745262"/>
      </top>
      <bottom/>
      <diagonal/>
    </border>
    <border>
      <left/>
      <right style="medium">
        <color theme="5"/>
      </right>
      <top style="dashed">
        <color theme="0" tint="-0.499984740745262"/>
      </top>
      <bottom style="medium">
        <color theme="5" tint="-0.249977111117893"/>
      </bottom>
      <diagonal/>
    </border>
    <border>
      <left style="dashed">
        <color theme="0" tint="-0.499984740745262"/>
      </left>
      <right style="dotted">
        <color theme="4" tint="-0.249977111117893"/>
      </right>
      <top/>
      <bottom style="dashed">
        <color theme="0" tint="-0.499984740745262"/>
      </bottom>
      <diagonal/>
    </border>
    <border>
      <left style="dashed">
        <color theme="0" tint="-0.499984740745262"/>
      </left>
      <right style="dotted">
        <color theme="4" tint="-0.249977111117893"/>
      </right>
      <top style="dashed">
        <color theme="0" tint="-0.499984740745262"/>
      </top>
      <bottom style="dashed">
        <color theme="0" tint="-0.499984740745262"/>
      </bottom>
      <diagonal/>
    </border>
    <border>
      <left style="dashed">
        <color theme="0" tint="-0.499984740745262"/>
      </left>
      <right style="dotted">
        <color theme="4" tint="-0.249977111117893"/>
      </right>
      <top style="dashed">
        <color theme="0" tint="-0.499984740745262"/>
      </top>
      <bottom style="medium">
        <color rgb="FFC00000"/>
      </bottom>
      <diagonal/>
    </border>
    <border>
      <left style="dashed">
        <color theme="0" tint="-0.499984740745262"/>
      </left>
      <right style="dotted">
        <color theme="4" tint="-0.249977111117893"/>
      </right>
      <top style="dashed">
        <color theme="0" tint="-0.499984740745262"/>
      </top>
      <bottom/>
      <diagonal/>
    </border>
    <border>
      <left style="dashed">
        <color theme="0" tint="-0.499984740745262"/>
      </left>
      <right style="dotted">
        <color theme="4" tint="-0.249977111117893"/>
      </right>
      <top style="dashed">
        <color theme="0" tint="-0.499984740745262"/>
      </top>
      <bottom style="medium">
        <color theme="5" tint="-0.249977111117893"/>
      </bottom>
      <diagonal/>
    </border>
    <border>
      <left style="medium">
        <color theme="9"/>
      </left>
      <right style="dotted">
        <color theme="4" tint="-0.249977111117893"/>
      </right>
      <top style="dashed">
        <color theme="0" tint="-0.499984740745262"/>
      </top>
      <bottom style="medium">
        <color theme="9"/>
      </bottom>
      <diagonal/>
    </border>
    <border>
      <left style="medium">
        <color theme="9"/>
      </left>
      <right style="dotted">
        <color theme="4" tint="-0.249977111117893"/>
      </right>
      <top style="dashed">
        <color theme="0" tint="-0.499984740745262"/>
      </top>
      <bottom style="dashed">
        <color theme="0" tint="-0.499984740745262"/>
      </bottom>
      <diagonal/>
    </border>
    <border>
      <left style="medium">
        <color theme="9"/>
      </left>
      <right style="dotted">
        <color theme="4" tint="-0.249977111117893"/>
      </right>
      <top/>
      <bottom/>
      <diagonal/>
    </border>
    <border>
      <left style="medium">
        <color theme="9"/>
      </left>
      <right style="dotted">
        <color theme="4" tint="-0.249977111117893"/>
      </right>
      <top/>
      <bottom style="dashed">
        <color theme="0" tint="-0.499984740745262"/>
      </bottom>
      <diagonal/>
    </border>
    <border>
      <left style="medium">
        <color theme="9"/>
      </left>
      <right style="dotted">
        <color theme="4" tint="-0.249977111117893"/>
      </right>
      <top style="medium">
        <color theme="9"/>
      </top>
      <bottom style="medium">
        <color theme="9"/>
      </bottom>
      <diagonal/>
    </border>
    <border>
      <left style="medium">
        <color theme="9"/>
      </left>
      <right style="dotted">
        <color theme="4" tint="-0.249977111117893"/>
      </right>
      <top/>
      <bottom style="medium">
        <color theme="9"/>
      </bottom>
      <diagonal/>
    </border>
    <border>
      <left style="medium">
        <color theme="9"/>
      </left>
      <right style="dotted">
        <color theme="4" tint="-0.249977111117893"/>
      </right>
      <top style="dashed">
        <color theme="0" tint="-0.499984740745262"/>
      </top>
      <bottom/>
      <diagonal/>
    </border>
    <border>
      <left/>
      <right style="medium">
        <color theme="9"/>
      </right>
      <top style="dashed">
        <color theme="0" tint="-0.499984740745262"/>
      </top>
      <bottom/>
      <diagonal/>
    </border>
    <border>
      <left style="dotted">
        <color theme="4" tint="-0.249977111117893"/>
      </left>
      <right style="medium">
        <color theme="9"/>
      </right>
      <top style="dashed">
        <color theme="0" tint="-0.499984740745262"/>
      </top>
      <bottom/>
      <diagonal/>
    </border>
    <border>
      <left style="dotted">
        <color theme="4" tint="-0.249977111117893"/>
      </left>
      <right style="medium">
        <color theme="9"/>
      </right>
      <top/>
      <bottom style="dashed">
        <color theme="0" tint="-0.499984740745262"/>
      </bottom>
      <diagonal/>
    </border>
    <border>
      <left style="dotted">
        <color theme="4" tint="-0.249977111117893"/>
      </left>
      <right style="medium">
        <color theme="9"/>
      </right>
      <top/>
      <bottom style="medium">
        <color theme="9"/>
      </bottom>
      <diagonal/>
    </border>
    <border>
      <left style="dotted">
        <color theme="4" tint="-0.249977111117893"/>
      </left>
      <right style="medium">
        <color theme="9"/>
      </right>
      <top style="dashed">
        <color theme="0" tint="-0.499984740745262"/>
      </top>
      <bottom style="medium">
        <color theme="9"/>
      </bottom>
      <diagonal/>
    </border>
    <border>
      <left style="dotted">
        <color theme="4" tint="-0.249977111117893"/>
      </left>
      <right style="medium">
        <color theme="9"/>
      </right>
      <top style="dashed">
        <color theme="0" tint="-0.499984740745262"/>
      </top>
      <bottom style="dashed">
        <color theme="0" tint="-0.499984740745262"/>
      </bottom>
      <diagonal/>
    </border>
    <border>
      <left style="dotted">
        <color theme="4" tint="-0.249977111117893"/>
      </left>
      <right style="medium">
        <color theme="9"/>
      </right>
      <top style="medium">
        <color theme="9"/>
      </top>
      <bottom style="medium">
        <color theme="9"/>
      </bottom>
      <diagonal/>
    </border>
    <border>
      <left style="dotted">
        <color theme="4" tint="-0.249977111117893"/>
      </left>
      <right style="medium">
        <color theme="9"/>
      </right>
      <top/>
      <bottom/>
      <diagonal/>
    </border>
    <border>
      <left style="dotted">
        <color theme="4" tint="-0.249977111117893"/>
      </left>
      <right style="medium">
        <color theme="9"/>
      </right>
      <top style="medium">
        <color theme="9"/>
      </top>
      <bottom style="dashed">
        <color theme="0" tint="-0.499984740745262"/>
      </bottom>
      <diagonal/>
    </border>
    <border>
      <left style="dashed">
        <color theme="0" tint="-0.499984740745262"/>
      </left>
      <right style="medium">
        <color theme="6"/>
      </right>
      <top/>
      <bottom style="dashed">
        <color theme="0" tint="-0.499984740745262"/>
      </bottom>
      <diagonal/>
    </border>
    <border>
      <left style="dashed">
        <color theme="0" tint="-0.499984740745262"/>
      </left>
      <right style="medium">
        <color theme="6"/>
      </right>
      <top style="dashed">
        <color theme="0" tint="-0.499984740745262"/>
      </top>
      <bottom style="medium">
        <color theme="6"/>
      </bottom>
      <diagonal/>
    </border>
    <border>
      <left/>
      <right style="dashed">
        <color theme="0" tint="-0.499984740745262"/>
      </right>
      <top/>
      <bottom style="medium">
        <color theme="6"/>
      </bottom>
      <diagonal/>
    </border>
    <border>
      <left style="dashed">
        <color theme="0" tint="-0.499984740745262"/>
      </left>
      <right style="medium">
        <color theme="6"/>
      </right>
      <top style="dashed">
        <color theme="0" tint="-0.499984740745262"/>
      </top>
      <bottom style="dashed">
        <color theme="0" tint="-0.499984740745262"/>
      </bottom>
      <diagonal/>
    </border>
    <border>
      <left style="dashed">
        <color theme="0" tint="-0.499984740745262"/>
      </left>
      <right style="medium">
        <color theme="6"/>
      </right>
      <top style="dashed">
        <color theme="0" tint="-0.499984740745262"/>
      </top>
      <bottom/>
      <diagonal/>
    </border>
    <border>
      <left style="dashed">
        <color theme="0" tint="-0.499984740745262"/>
      </left>
      <right style="medium">
        <color theme="6"/>
      </right>
      <top style="medium">
        <color theme="6"/>
      </top>
      <bottom style="medium">
        <color theme="6"/>
      </bottom>
      <diagonal/>
    </border>
    <border>
      <left style="medium">
        <color theme="6"/>
      </left>
      <right style="dashed">
        <color theme="0" tint="-0.499984740745262"/>
      </right>
      <top style="dashed">
        <color theme="0" tint="-0.499984740745262"/>
      </top>
      <bottom style="medium">
        <color theme="6"/>
      </bottom>
      <diagonal/>
    </border>
    <border>
      <left/>
      <right style="medium">
        <color theme="6"/>
      </right>
      <top/>
      <bottom/>
      <diagonal/>
    </border>
    <border>
      <left/>
      <right style="medium">
        <color theme="6"/>
      </right>
      <top style="dashed">
        <color theme="0" tint="-0.499984740745262"/>
      </top>
      <bottom style="medium">
        <color theme="6"/>
      </bottom>
      <diagonal/>
    </border>
    <border>
      <left/>
      <right style="medium">
        <color theme="6"/>
      </right>
      <top style="dashed">
        <color theme="0" tint="-0.499984740745262"/>
      </top>
      <bottom style="dashed">
        <color theme="0" tint="-0.499984740745262"/>
      </bottom>
      <diagonal/>
    </border>
    <border>
      <left/>
      <right style="medium">
        <color theme="6"/>
      </right>
      <top/>
      <bottom style="dashed">
        <color theme="0" tint="-0.499984740745262"/>
      </bottom>
      <diagonal/>
    </border>
    <border>
      <left style="dashed">
        <color theme="0" tint="-0.499984740745262"/>
      </left>
      <right style="medium">
        <color theme="6"/>
      </right>
      <top/>
      <bottom style="medium">
        <color theme="6"/>
      </bottom>
      <diagonal/>
    </border>
    <border>
      <left style="medium">
        <color theme="9"/>
      </left>
      <right style="dotted">
        <color theme="4" tint="-0.249977111117893"/>
      </right>
      <top style="dashed">
        <color theme="0" tint="-0.499984740745262"/>
      </top>
      <bottom style="dotted">
        <color theme="0" tint="-0.499984740745262"/>
      </bottom>
      <diagonal/>
    </border>
    <border>
      <left style="dotted">
        <color theme="4" tint="-0.249977111117893"/>
      </left>
      <right style="medium">
        <color theme="9"/>
      </right>
      <top style="dashed">
        <color theme="0" tint="-0.499984740745262"/>
      </top>
      <bottom style="dotted">
        <color theme="0" tint="-0.499984740745262"/>
      </bottom>
      <diagonal/>
    </border>
    <border>
      <left style="medium">
        <color theme="9"/>
      </left>
      <right style="dashed">
        <color theme="0" tint="-0.499984740745262"/>
      </right>
      <top style="dashed">
        <color theme="0" tint="-0.499984740745262"/>
      </top>
      <bottom style="dotted">
        <color theme="0" tint="-0.499984740745262"/>
      </bottom>
      <diagonal/>
    </border>
    <border>
      <left style="dashed">
        <color theme="0" tint="-0.499984740745262"/>
      </left>
      <right style="dashed">
        <color theme="0" tint="-0.499984740745262"/>
      </right>
      <top style="dashed">
        <color theme="0" tint="-0.499984740745262"/>
      </top>
      <bottom style="dotted">
        <color theme="0" tint="-0.499984740745262"/>
      </bottom>
      <diagonal/>
    </border>
    <border>
      <left style="dashed">
        <color theme="0" tint="-0.499984740745262"/>
      </left>
      <right style="medium">
        <color theme="9"/>
      </right>
      <top style="dashed">
        <color theme="0" tint="-0.499984740745262"/>
      </top>
      <bottom style="dotted">
        <color theme="0" tint="-0.499984740745262"/>
      </bottom>
      <diagonal/>
    </border>
    <border>
      <left style="medium">
        <color theme="4" tint="-0.249977111117893"/>
      </left>
      <right style="dashed">
        <color theme="0" tint="-0.499984740745262"/>
      </right>
      <top style="dashed">
        <color theme="0" tint="-0.499984740745262"/>
      </top>
      <bottom style="medium">
        <color theme="4" tint="-0.249977111117893"/>
      </bottom>
      <diagonal/>
    </border>
    <border>
      <left style="medium">
        <color theme="4" tint="-0.249977111117893"/>
      </left>
      <right style="dotted">
        <color theme="0" tint="-0.499984740745262"/>
      </right>
      <top style="medium">
        <color theme="4" tint="-0.249977111117893"/>
      </top>
      <bottom style="dashed">
        <color theme="0" tint="-0.499984740745262"/>
      </bottom>
      <diagonal/>
    </border>
    <border>
      <left style="medium">
        <color theme="4" tint="-0.249977111117893"/>
      </left>
      <right style="dotted">
        <color theme="0" tint="-0.499984740745262"/>
      </right>
      <top style="dashed">
        <color theme="0" tint="-0.499984740745262"/>
      </top>
      <bottom style="dashed">
        <color theme="0" tint="-0.499984740745262"/>
      </bottom>
      <diagonal/>
    </border>
    <border>
      <left style="medium">
        <color theme="4" tint="-0.249977111117893"/>
      </left>
      <right style="dotted">
        <color theme="0" tint="-0.499984740745262"/>
      </right>
      <top/>
      <bottom style="medium">
        <color theme="4" tint="-0.249977111117893"/>
      </bottom>
      <diagonal/>
    </border>
    <border>
      <left style="medium">
        <color theme="4" tint="-0.249977111117893"/>
      </left>
      <right style="dotted">
        <color theme="0" tint="-0.499984740745262"/>
      </right>
      <top/>
      <bottom style="dashed">
        <color theme="0" tint="-0.499984740745262"/>
      </bottom>
      <diagonal/>
    </border>
    <border>
      <left style="medium">
        <color theme="4" tint="-0.249977111117893"/>
      </left>
      <right style="dotted">
        <color theme="0" tint="-0.499984740745262"/>
      </right>
      <top style="dashed">
        <color theme="0" tint="-0.499984740745262"/>
      </top>
      <bottom style="medium">
        <color theme="4" tint="-0.249977111117893"/>
      </bottom>
      <diagonal/>
    </border>
    <border>
      <left style="dotted">
        <color theme="0" tint="-0.499984740745262"/>
      </left>
      <right style="medium">
        <color theme="4" tint="-0.249977111117893"/>
      </right>
      <top style="medium">
        <color theme="4" tint="-0.249977111117893"/>
      </top>
      <bottom style="dashed">
        <color theme="0" tint="-0.499984740745262"/>
      </bottom>
      <diagonal/>
    </border>
    <border>
      <left style="medium">
        <color theme="4" tint="-0.249977111117893"/>
      </left>
      <right style="dashed">
        <color theme="0" tint="-0.499984740745262"/>
      </right>
      <top style="medium">
        <color theme="4" tint="-0.249977111117893"/>
      </top>
      <bottom style="dashed">
        <color theme="0" tint="-0.499984740745262"/>
      </bottom>
      <diagonal/>
    </border>
    <border>
      <left style="medium">
        <color theme="4" tint="-0.249977111117893"/>
      </left>
      <right style="dashed">
        <color theme="0" tint="-0.34998626667073579"/>
      </right>
      <top style="medium">
        <color theme="4" tint="-0.249977111117893"/>
      </top>
      <bottom style="dashed">
        <color theme="0" tint="-0.499984740745262"/>
      </bottom>
      <diagonal/>
    </border>
    <border>
      <left/>
      <right/>
      <top/>
      <bottom style="dotted">
        <color theme="4" tint="-0.249977111117893"/>
      </bottom>
      <diagonal/>
    </border>
    <border>
      <left style="medium">
        <color theme="4" tint="-0.249977111117893"/>
      </left>
      <right/>
      <top/>
      <bottom/>
      <diagonal/>
    </border>
    <border>
      <left style="medium">
        <color theme="9"/>
      </left>
      <right/>
      <top style="dashed">
        <color theme="0" tint="-0.499984740745262"/>
      </top>
      <bottom style="medium">
        <color theme="9"/>
      </bottom>
      <diagonal/>
    </border>
    <border>
      <left/>
      <right/>
      <top style="dashed">
        <color theme="0" tint="-0.499984740745262"/>
      </top>
      <bottom style="medium">
        <color theme="9"/>
      </bottom>
      <diagonal/>
    </border>
    <border>
      <left style="medium">
        <color theme="4" tint="-0.249977111117893"/>
      </left>
      <right style="dotted">
        <color theme="0" tint="-0.499984740745262"/>
      </right>
      <top style="medium">
        <color theme="4" tint="-0.249977111117893"/>
      </top>
      <bottom style="medium">
        <color theme="4" tint="-0.249977111117893"/>
      </bottom>
      <diagonal/>
    </border>
    <border>
      <left style="dotted">
        <color theme="0" tint="-0.499984740745262"/>
      </left>
      <right style="medium">
        <color theme="4" tint="-0.249977111117893"/>
      </right>
      <top style="medium">
        <color theme="4" tint="-0.249977111117893"/>
      </top>
      <bottom style="medium">
        <color theme="4" tint="-0.249977111117893"/>
      </bottom>
      <diagonal/>
    </border>
    <border>
      <left style="medium">
        <color theme="4" tint="-0.249977111117893"/>
      </left>
      <right style="dashed">
        <color theme="0" tint="-0.499984740745262"/>
      </right>
      <top style="medium">
        <color theme="4" tint="-0.249977111117893"/>
      </top>
      <bottom style="medium">
        <color theme="4" tint="-0.249977111117893"/>
      </bottom>
      <diagonal/>
    </border>
    <border>
      <left style="dashed">
        <color theme="0" tint="-0.499984740745262"/>
      </left>
      <right style="dashed">
        <color theme="0" tint="-0.499984740745262"/>
      </right>
      <top style="medium">
        <color theme="4" tint="-0.249977111117893"/>
      </top>
      <bottom style="medium">
        <color theme="4" tint="-0.249977111117893"/>
      </bottom>
      <diagonal/>
    </border>
    <border>
      <left style="hair">
        <color theme="0" tint="-0.499984740745262"/>
      </left>
      <right style="hair">
        <color theme="0" tint="-0.499984740745262"/>
      </right>
      <top style="medium">
        <color theme="4" tint="-0.249977111117893"/>
      </top>
      <bottom style="hair">
        <color theme="0" tint="-0.34998626667073579"/>
      </bottom>
      <diagonal/>
    </border>
    <border>
      <left style="hair">
        <color theme="0" tint="-0.499984740745262"/>
      </left>
      <right style="medium">
        <color theme="4" tint="-0.249977111117893"/>
      </right>
      <top style="medium">
        <color theme="4" tint="-0.249977111117893"/>
      </top>
      <bottom style="hair">
        <color theme="0" tint="-0.34998626667073579"/>
      </bottom>
      <diagonal/>
    </border>
    <border>
      <left style="medium">
        <color theme="4" tint="-0.249977111117893"/>
      </left>
      <right style="dashed">
        <color theme="0" tint="-0.34998626667073579"/>
      </right>
      <top/>
      <bottom style="dashed">
        <color theme="0" tint="-0.499984740745262"/>
      </bottom>
      <diagonal/>
    </border>
    <border>
      <left style="medium">
        <color theme="9"/>
      </left>
      <right style="dashed">
        <color theme="0" tint="-0.499984740745262"/>
      </right>
      <top style="medium">
        <color theme="9"/>
      </top>
      <bottom style="dashed">
        <color theme="0" tint="-0.499984740745262"/>
      </bottom>
      <diagonal/>
    </border>
    <border>
      <left/>
      <right/>
      <top style="thin">
        <color auto="1"/>
      </top>
      <bottom style="thin">
        <color auto="1"/>
      </bottom>
      <diagonal/>
    </border>
    <border>
      <left style="medium">
        <color auto="1"/>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thin">
        <color auto="1"/>
      </right>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auto="1"/>
      </right>
      <top style="hair">
        <color auto="1"/>
      </top>
      <bottom style="medium">
        <color auto="1"/>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ck">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bottom style="thin">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thin">
        <color auto="1"/>
      </bottom>
      <diagonal/>
    </border>
  </borders>
  <cellStyleXfs count="215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1" fillId="0" borderId="0"/>
    <xf numFmtId="168" fontId="22" fillId="0" borderId="0" applyFont="0" applyFill="0" applyBorder="0" applyAlignment="0" applyProtection="0"/>
    <xf numFmtId="0" fontId="21" fillId="0" borderId="0"/>
    <xf numFmtId="168" fontId="21"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4" fillId="0" borderId="0"/>
    <xf numFmtId="0" fontId="27" fillId="0" borderId="0"/>
    <xf numFmtId="0" fontId="24" fillId="0" borderId="0"/>
    <xf numFmtId="0" fontId="24" fillId="0" borderId="0"/>
    <xf numFmtId="0" fontId="30" fillId="0" borderId="0"/>
    <xf numFmtId="0" fontId="24" fillId="0" borderId="0"/>
    <xf numFmtId="0" fontId="30" fillId="0" borderId="0"/>
    <xf numFmtId="0" fontId="24" fillId="0" borderId="0"/>
    <xf numFmtId="0" fontId="30" fillId="0" borderId="0"/>
    <xf numFmtId="0" fontId="30" fillId="0" borderId="0"/>
    <xf numFmtId="0" fontId="30" fillId="0" borderId="0"/>
    <xf numFmtId="0" fontId="24" fillId="0" borderId="0"/>
    <xf numFmtId="0" fontId="24"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4" fillId="0" borderId="0"/>
    <xf numFmtId="0" fontId="30" fillId="0" borderId="0"/>
    <xf numFmtId="0" fontId="24" fillId="0" borderId="0"/>
    <xf numFmtId="0" fontId="24" fillId="0" borderId="0"/>
    <xf numFmtId="0" fontId="24" fillId="0" borderId="0"/>
    <xf numFmtId="0" fontId="30" fillId="0" borderId="0"/>
    <xf numFmtId="0" fontId="30" fillId="0" borderId="0"/>
    <xf numFmtId="0" fontId="24" fillId="0" borderId="0"/>
    <xf numFmtId="0" fontId="24"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5" fillId="0" borderId="0"/>
    <xf numFmtId="0" fontId="25" fillId="0" borderId="0"/>
    <xf numFmtId="0" fontId="24"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applyNumberFormat="0" applyFill="0" applyBorder="0" applyAlignment="0" applyProtection="0"/>
    <xf numFmtId="0" fontId="1" fillId="0" borderId="0"/>
    <xf numFmtId="168" fontId="21" fillId="0" borderId="0" applyFont="0" applyFill="0" applyBorder="0" applyAlignment="0" applyProtection="0"/>
    <xf numFmtId="167" fontId="21" fillId="0" borderId="0" applyFont="0" applyFill="0" applyBorder="0" applyAlignment="0" applyProtection="0"/>
    <xf numFmtId="9" fontId="21" fillId="0" borderId="0" applyFont="0" applyFill="0" applyBorder="0" applyAlignment="0" applyProtection="0"/>
    <xf numFmtId="0" fontId="31" fillId="17" borderId="0" applyNumberFormat="0" applyBorder="0" applyAlignment="0" applyProtection="0"/>
    <xf numFmtId="0" fontId="31" fillId="29" borderId="0" applyNumberFormat="0" applyBorder="0" applyAlignment="0" applyProtection="0"/>
    <xf numFmtId="0" fontId="18" fillId="0" borderId="0"/>
    <xf numFmtId="168" fontId="21" fillId="0" borderId="0" applyFont="0" applyFill="0" applyBorder="0" applyAlignment="0" applyProtection="0"/>
    <xf numFmtId="167" fontId="21" fillId="0" borderId="0" applyFont="0" applyFill="0" applyBorder="0" applyAlignment="0" applyProtection="0"/>
    <xf numFmtId="9" fontId="21" fillId="0" borderId="0" applyFont="0" applyFill="0" applyBorder="0" applyAlignment="0" applyProtection="0"/>
    <xf numFmtId="0" fontId="31" fillId="17" borderId="0" applyNumberFormat="0" applyBorder="0" applyAlignment="0" applyProtection="0"/>
    <xf numFmtId="0" fontId="31" fillId="29" borderId="0" applyNumberFormat="0" applyBorder="0" applyAlignment="0" applyProtection="0"/>
    <xf numFmtId="0" fontId="32"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168" fontId="22" fillId="0" borderId="0" applyFont="0" applyFill="0" applyBorder="0" applyAlignment="0" applyProtection="0"/>
    <xf numFmtId="43" fontId="1" fillId="0" borderId="0" applyFont="0" applyFill="0" applyBorder="0" applyAlignment="0" applyProtection="0"/>
    <xf numFmtId="9" fontId="22" fillId="0" borderId="0" applyFont="0" applyFill="0" applyBorder="0" applyAlignment="0" applyProtection="0"/>
    <xf numFmtId="9" fontId="34" fillId="0" borderId="0" applyFont="0" applyFill="0" applyBorder="0" applyAlignment="0" applyProtection="0"/>
    <xf numFmtId="44" fontId="24" fillId="0" borderId="0" applyFont="0" applyFill="0" applyBorder="0" applyAlignment="0" applyProtection="0"/>
    <xf numFmtId="9" fontId="21" fillId="0" borderId="0" applyFont="0" applyFill="0" applyBorder="0" applyAlignment="0" applyProtection="0"/>
    <xf numFmtId="44" fontId="24" fillId="0" borderId="0" applyFont="0" applyFill="0" applyBorder="0" applyAlignment="0" applyProtection="0"/>
    <xf numFmtId="168" fontId="21" fillId="0" borderId="0" applyFont="0" applyFill="0" applyBorder="0" applyAlignment="0" applyProtection="0"/>
    <xf numFmtId="43" fontId="24" fillId="0" borderId="0" applyFont="0" applyFill="0" applyBorder="0" applyAlignment="0" applyProtection="0"/>
    <xf numFmtId="168" fontId="21" fillId="0" borderId="0" applyFont="0" applyFill="0" applyBorder="0" applyAlignment="0" applyProtection="0"/>
    <xf numFmtId="168" fontId="21" fillId="0" borderId="0" applyFont="0" applyFill="0" applyBorder="0" applyAlignment="0" applyProtection="0"/>
    <xf numFmtId="168" fontId="21" fillId="0" borderId="0" applyFont="0" applyFill="0" applyBorder="0" applyAlignment="0" applyProtection="0"/>
    <xf numFmtId="168" fontId="21" fillId="0" borderId="0" applyFont="0" applyFill="0" applyBorder="0" applyAlignment="0" applyProtection="0"/>
    <xf numFmtId="168" fontId="21" fillId="0" borderId="0" applyFont="0" applyFill="0" applyBorder="0" applyAlignment="0" applyProtection="0"/>
    <xf numFmtId="0" fontId="21" fillId="0" borderId="0"/>
    <xf numFmtId="0" fontId="21" fillId="0" borderId="0"/>
    <xf numFmtId="0" fontId="21" fillId="0" borderId="0"/>
    <xf numFmtId="44" fontId="21" fillId="0" borderId="0" applyFont="0" applyFill="0" applyBorder="0" applyAlignment="0" applyProtection="0"/>
    <xf numFmtId="9" fontId="34" fillId="0" borderId="0" applyFont="0" applyFill="0" applyBorder="0" applyAlignment="0" applyProtection="0"/>
    <xf numFmtId="0" fontId="34" fillId="0" borderId="0"/>
    <xf numFmtId="0" fontId="24" fillId="0" borderId="0"/>
    <xf numFmtId="0" fontId="24" fillId="0" borderId="0"/>
    <xf numFmtId="168" fontId="34" fillId="0" borderId="0" applyFont="0" applyFill="0" applyBorder="0" applyAlignment="0" applyProtection="0"/>
    <xf numFmtId="0" fontId="34" fillId="0" borderId="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43" fontId="24" fillId="0" borderId="0" applyFont="0" applyFill="0" applyBorder="0" applyAlignment="0" applyProtection="0"/>
    <xf numFmtId="0" fontId="26" fillId="0" borderId="0"/>
    <xf numFmtId="0" fontId="21" fillId="0" borderId="0"/>
    <xf numFmtId="0" fontId="21" fillId="0" borderId="0"/>
    <xf numFmtId="0" fontId="21" fillId="0" borderId="0"/>
    <xf numFmtId="0" fontId="26" fillId="0" borderId="0"/>
    <xf numFmtId="0" fontId="21" fillId="0" borderId="0"/>
    <xf numFmtId="0" fontId="27" fillId="0" borderId="0"/>
    <xf numFmtId="0" fontId="30" fillId="0" borderId="0"/>
    <xf numFmtId="0" fontId="30" fillId="0" borderId="0"/>
    <xf numFmtId="0" fontId="30" fillId="0" borderId="0"/>
    <xf numFmtId="0" fontId="11" fillId="6" borderId="4" applyNumberFormat="0" applyAlignment="0" applyProtection="0"/>
    <xf numFmtId="168" fontId="35" fillId="0" borderId="0" applyFont="0" applyFill="0" applyBorder="0" applyAlignment="0" applyProtection="0"/>
    <xf numFmtId="168" fontId="21" fillId="0" borderId="0" applyFont="0" applyFill="0" applyBorder="0" applyAlignment="0" applyProtection="0"/>
    <xf numFmtId="168" fontId="22" fillId="0" borderId="0" applyFon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36" fillId="0" borderId="0"/>
    <xf numFmtId="0" fontId="35" fillId="0" borderId="0"/>
    <xf numFmtId="0" fontId="35" fillId="0" borderId="0"/>
    <xf numFmtId="0" fontId="36" fillId="0" borderId="0"/>
    <xf numFmtId="0" fontId="1" fillId="0" borderId="0"/>
    <xf numFmtId="0" fontId="18" fillId="0" borderId="0"/>
    <xf numFmtId="0" fontId="1" fillId="0" borderId="0"/>
    <xf numFmtId="0" fontId="21" fillId="0" borderId="0"/>
    <xf numFmtId="0" fontId="36" fillId="0" borderId="0"/>
    <xf numFmtId="0" fontId="1" fillId="0" borderId="0"/>
    <xf numFmtId="0" fontId="36" fillId="0" borderId="0"/>
    <xf numFmtId="0" fontId="1" fillId="0" borderId="0"/>
    <xf numFmtId="0" fontId="36" fillId="0" borderId="0"/>
    <xf numFmtId="0" fontId="21" fillId="0" borderId="0"/>
    <xf numFmtId="0" fontId="37" fillId="0" borderId="0"/>
    <xf numFmtId="169" fontId="38" fillId="0" borderId="0">
      <alignment horizontal="right" vertical="top"/>
    </xf>
    <xf numFmtId="0" fontId="39" fillId="0" borderId="0">
      <alignment horizontal="left" indent="1"/>
    </xf>
    <xf numFmtId="38" fontId="40" fillId="0" borderId="0"/>
    <xf numFmtId="43" fontId="21" fillId="0" borderId="0" applyFont="0" applyFill="0" applyBorder="0" applyAlignment="0" applyProtection="0">
      <alignment wrapText="1"/>
    </xf>
    <xf numFmtId="0" fontId="41" fillId="0" borderId="0"/>
    <xf numFmtId="0" fontId="22" fillId="35" borderId="0" applyNumberFormat="0" applyBorder="0" applyAlignment="0" applyProtection="0"/>
    <xf numFmtId="0" fontId="53" fillId="34" borderId="0" applyBorder="0" applyProtection="0"/>
    <xf numFmtId="0" fontId="21" fillId="0" borderId="0" applyFill="0" applyBorder="0" applyProtection="0">
      <alignment horizontal="left" vertical="top"/>
    </xf>
    <xf numFmtId="167" fontId="34" fillId="0" borderId="0" applyFont="0" applyFill="0" applyBorder="0" applyAlignment="0" applyProtection="0"/>
    <xf numFmtId="0" fontId="50" fillId="0" borderId="0">
      <alignment horizontal="left" vertical="top"/>
    </xf>
    <xf numFmtId="0" fontId="42" fillId="0" borderId="0" applyFill="0" applyBorder="0" applyProtection="0">
      <alignment horizontal="left" vertical="top"/>
    </xf>
    <xf numFmtId="0" fontId="21" fillId="0" borderId="0" applyFill="0" applyBorder="0" applyProtection="0">
      <alignment horizontal="left" vertical="top"/>
    </xf>
    <xf numFmtId="43" fontId="21" fillId="0" borderId="0" applyFont="0" applyFill="0" applyBorder="0" applyAlignment="0" applyProtection="0">
      <alignment wrapText="1"/>
    </xf>
    <xf numFmtId="0" fontId="21" fillId="0" borderId="0">
      <alignment wrapText="1"/>
    </xf>
    <xf numFmtId="0" fontId="21" fillId="0" borderId="0">
      <alignment wrapText="1"/>
    </xf>
    <xf numFmtId="167" fontId="21" fillId="0" borderId="0" applyFont="0" applyFill="0" applyBorder="0" applyAlignment="0" applyProtection="0"/>
    <xf numFmtId="167" fontId="21" fillId="0" borderId="0" applyFont="0" applyFill="0" applyBorder="0" applyAlignment="0" applyProtection="0"/>
    <xf numFmtId="0" fontId="51" fillId="34" borderId="0" applyFill="0" applyBorder="0" applyProtection="0">
      <alignment horizontal="left" vertical="top"/>
    </xf>
    <xf numFmtId="0" fontId="52" fillId="0" borderId="0" applyFill="0" applyBorder="0" applyProtection="0">
      <alignment horizontal="left" vertical="top"/>
    </xf>
    <xf numFmtId="0" fontId="45" fillId="0" borderId="0" applyFill="0" applyBorder="0" applyProtection="0">
      <alignment horizontal="left" vertical="top"/>
    </xf>
    <xf numFmtId="0" fontId="46" fillId="34" borderId="0" applyBorder="0" applyProtection="0">
      <alignment horizontal="left" vertical="top"/>
    </xf>
    <xf numFmtId="168" fontId="21" fillId="0" borderId="0" applyFont="0" applyFill="0" applyBorder="0" applyAlignment="0" applyProtection="0"/>
    <xf numFmtId="168"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0" fontId="47" fillId="0" borderId="0" applyFill="0" applyBorder="0" applyProtection="0">
      <alignment horizontal="left" vertical="top"/>
    </xf>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49" fillId="0" borderId="0">
      <alignment horizontal="left" vertical="top"/>
    </xf>
    <xf numFmtId="0" fontId="48" fillId="34" borderId="0" applyFill="0" applyBorder="0" applyProtection="0">
      <alignment horizontal="left" vertical="top"/>
    </xf>
    <xf numFmtId="0" fontId="42" fillId="0" borderId="0">
      <alignment horizontal="left" vertical="top"/>
    </xf>
    <xf numFmtId="0" fontId="44" fillId="0" borderId="0">
      <alignment horizontal="left" vertical="top"/>
    </xf>
    <xf numFmtId="0" fontId="43" fillId="0" borderId="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54" fillId="45" borderId="0" applyNumberFormat="0" applyBorder="0" applyAlignment="0" applyProtection="0"/>
    <xf numFmtId="0" fontId="54" fillId="45" borderId="0" applyNumberFormat="0" applyBorder="0" applyAlignment="0" applyProtection="0"/>
    <xf numFmtId="0" fontId="54" fillId="45" borderId="0" applyNumberFormat="0" applyBorder="0" applyAlignment="0" applyProtection="0"/>
    <xf numFmtId="0" fontId="54" fillId="42" borderId="0" applyNumberFormat="0" applyBorder="0" applyAlignment="0" applyProtection="0"/>
    <xf numFmtId="0" fontId="54" fillId="42" borderId="0" applyNumberFormat="0" applyBorder="0" applyAlignment="0" applyProtection="0"/>
    <xf numFmtId="0" fontId="54" fillId="42" borderId="0" applyNumberFormat="0" applyBorder="0" applyAlignment="0" applyProtection="0"/>
    <xf numFmtId="0" fontId="54" fillId="43" borderId="0" applyNumberFormat="0" applyBorder="0" applyAlignment="0" applyProtection="0"/>
    <xf numFmtId="0" fontId="54" fillId="43" borderId="0" applyNumberFormat="0" applyBorder="0" applyAlignment="0" applyProtection="0"/>
    <xf numFmtId="0" fontId="54" fillId="43"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8" borderId="0" applyNumberFormat="0" applyBorder="0" applyAlignment="0" applyProtection="0"/>
    <xf numFmtId="0" fontId="54" fillId="48" borderId="0" applyNumberFormat="0" applyBorder="0" applyAlignment="0" applyProtection="0"/>
    <xf numFmtId="0" fontId="54" fillId="48"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50" borderId="0" applyNumberFormat="0" applyBorder="0" applyAlignment="0" applyProtection="0"/>
    <xf numFmtId="0" fontId="54" fillId="50" borderId="0" applyNumberFormat="0" applyBorder="0" applyAlignment="0" applyProtection="0"/>
    <xf numFmtId="0" fontId="54" fillId="50" borderId="0" applyNumberFormat="0" applyBorder="0" applyAlignment="0" applyProtection="0"/>
    <xf numFmtId="0" fontId="54" fillId="51" borderId="0" applyNumberFormat="0" applyBorder="0" applyAlignment="0" applyProtection="0"/>
    <xf numFmtId="0" fontId="54" fillId="51" borderId="0" applyNumberFormat="0" applyBorder="0" applyAlignment="0" applyProtection="0"/>
    <xf numFmtId="0" fontId="54" fillId="51"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52" borderId="0" applyNumberFormat="0" applyBorder="0" applyAlignment="0" applyProtection="0"/>
    <xf numFmtId="0" fontId="54" fillId="52" borderId="0" applyNumberFormat="0" applyBorder="0" applyAlignment="0" applyProtection="0"/>
    <xf numFmtId="0" fontId="54" fillId="52" borderId="0" applyNumberFormat="0" applyBorder="0" applyAlignment="0" applyProtection="0"/>
    <xf numFmtId="0" fontId="55" fillId="36" borderId="0" applyNumberFormat="0" applyBorder="0" applyAlignment="0" applyProtection="0"/>
    <xf numFmtId="0" fontId="55" fillId="36" borderId="0" applyNumberFormat="0" applyBorder="0" applyAlignment="0" applyProtection="0"/>
    <xf numFmtId="0" fontId="55" fillId="36" borderId="0" applyNumberFormat="0" applyBorder="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7" fillId="54" borderId="17" applyNumberFormat="0" applyAlignment="0" applyProtection="0"/>
    <xf numFmtId="0" fontId="57" fillId="54" borderId="17" applyNumberFormat="0" applyAlignment="0" applyProtection="0"/>
    <xf numFmtId="0" fontId="57" fillId="54" borderId="17" applyNumberFormat="0" applyAlignment="0" applyProtection="0"/>
    <xf numFmtId="168" fontId="22" fillId="0" borderId="0" applyFont="0" applyFill="0" applyBorder="0" applyAlignment="0" applyProtection="0"/>
    <xf numFmtId="168" fontId="1" fillId="0" borderId="0" applyFont="0" applyFill="0" applyBorder="0" applyAlignment="0" applyProtection="0"/>
    <xf numFmtId="43" fontId="21" fillId="0" borderId="0" applyFont="0" applyFill="0" applyBorder="0" applyAlignment="0" applyProtection="0">
      <alignment wrapText="1"/>
    </xf>
    <xf numFmtId="168" fontId="1" fillId="0" borderId="0" applyFont="0" applyFill="0" applyBorder="0" applyAlignment="0" applyProtection="0"/>
    <xf numFmtId="43" fontId="21" fillId="0" borderId="0" applyFont="0" applyFill="0" applyBorder="0" applyAlignment="0" applyProtection="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167" fontId="1" fillId="0" borderId="0" applyFon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60" fillId="0" borderId="18"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61" fillId="0" borderId="19" applyNumberFormat="0" applyFill="0" applyAlignment="0" applyProtection="0"/>
    <xf numFmtId="0" fontId="61" fillId="0" borderId="19" applyNumberFormat="0" applyFill="0" applyAlignment="0" applyProtection="0"/>
    <xf numFmtId="0" fontId="61" fillId="0" borderId="19" applyNumberFormat="0" applyFill="0" applyAlignment="0" applyProtection="0"/>
    <xf numFmtId="0" fontId="62" fillId="0" borderId="20" applyNumberFormat="0" applyFill="0" applyAlignment="0" applyProtection="0"/>
    <xf numFmtId="0" fontId="62" fillId="0" borderId="20" applyNumberFormat="0" applyFill="0" applyAlignment="0" applyProtection="0"/>
    <xf numFmtId="0" fontId="62" fillId="0" borderId="20" applyNumberFormat="0" applyFill="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4" fillId="0" borderId="21" applyNumberFormat="0" applyFill="0" applyAlignment="0" applyProtection="0"/>
    <xf numFmtId="0" fontId="64" fillId="0" borderId="21" applyNumberFormat="0" applyFill="0" applyAlignment="0" applyProtection="0"/>
    <xf numFmtId="0" fontId="64" fillId="0" borderId="21" applyNumberFormat="0" applyFill="0" applyAlignment="0" applyProtection="0"/>
    <xf numFmtId="0" fontId="65" fillId="55" borderId="0" applyNumberFormat="0" applyBorder="0" applyAlignment="0" applyProtection="0"/>
    <xf numFmtId="0" fontId="65" fillId="55" borderId="0" applyNumberFormat="0" applyBorder="0" applyAlignment="0" applyProtection="0"/>
    <xf numFmtId="0" fontId="65" fillId="55"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alignment wrapText="1"/>
    </xf>
    <xf numFmtId="0" fontId="43" fillId="0" borderId="0"/>
    <xf numFmtId="0" fontId="43" fillId="0" borderId="0"/>
    <xf numFmtId="0" fontId="21" fillId="0" borderId="0">
      <alignment wrapText="1"/>
    </xf>
    <xf numFmtId="0" fontId="21" fillId="0" borderId="0"/>
    <xf numFmtId="0" fontId="21" fillId="0" borderId="0"/>
    <xf numFmtId="0" fontId="21" fillId="0" borderId="0">
      <alignment wrapText="1"/>
    </xf>
    <xf numFmtId="0" fontId="43" fillId="0" borderId="0"/>
    <xf numFmtId="0" fontId="22" fillId="0" borderId="0"/>
    <xf numFmtId="0" fontId="22" fillId="0" borderId="0"/>
    <xf numFmtId="0" fontId="22" fillId="0" borderId="0"/>
    <xf numFmtId="0" fontId="22" fillId="0" borderId="0"/>
    <xf numFmtId="0" fontId="43" fillId="0" borderId="0"/>
    <xf numFmtId="0" fontId="22" fillId="0" borderId="0"/>
    <xf numFmtId="0" fontId="22" fillId="0" borderId="0"/>
    <xf numFmtId="0" fontId="22" fillId="0" borderId="0"/>
    <xf numFmtId="0" fontId="2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43"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43"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xf numFmtId="0" fontId="21" fillId="56" borderId="22" applyNumberFormat="0" applyFont="0" applyAlignment="0" applyProtection="0"/>
    <xf numFmtId="0" fontId="21" fillId="0" borderId="0" applyFill="0" applyBorder="0" applyProtection="0">
      <alignment horizontal="left" vertical="top"/>
    </xf>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9" fontId="1"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1" fillId="0" borderId="0"/>
    <xf numFmtId="168" fontId="21" fillId="0" borderId="0" applyFont="0" applyFill="0" applyBorder="0" applyAlignment="0" applyProtection="0"/>
    <xf numFmtId="168" fontId="2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8" fillId="0" borderId="0"/>
    <xf numFmtId="168" fontId="18"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0"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21" fillId="0" borderId="0"/>
    <xf numFmtId="0" fontId="21" fillId="0" borderId="0"/>
    <xf numFmtId="0" fontId="21" fillId="0" borderId="0">
      <alignment wrapText="1"/>
    </xf>
    <xf numFmtId="0" fontId="1" fillId="0" borderId="0"/>
    <xf numFmtId="0" fontId="1" fillId="0" borderId="0"/>
    <xf numFmtId="0" fontId="1" fillId="0" borderId="0"/>
    <xf numFmtId="0" fontId="1" fillId="0" borderId="0"/>
    <xf numFmtId="0" fontId="21" fillId="0" borderId="0"/>
    <xf numFmtId="0" fontId="1" fillId="0" borderId="0"/>
    <xf numFmtId="0" fontId="70" fillId="0" borderId="0"/>
    <xf numFmtId="0" fontId="21" fillId="0" borderId="0">
      <alignment wrapText="1"/>
    </xf>
    <xf numFmtId="0" fontId="21" fillId="0" borderId="0"/>
    <xf numFmtId="0" fontId="1" fillId="0" borderId="0"/>
    <xf numFmtId="0" fontId="43" fillId="0" borderId="0"/>
    <xf numFmtId="0" fontId="1" fillId="0" borderId="0"/>
    <xf numFmtId="0" fontId="21" fillId="0" borderId="0"/>
    <xf numFmtId="0" fontId="21" fillId="0" borderId="0"/>
    <xf numFmtId="0" fontId="1" fillId="0" borderId="0"/>
    <xf numFmtId="0" fontId="1" fillId="0" borderId="0"/>
    <xf numFmtId="0" fontId="21" fillId="0" borderId="0"/>
    <xf numFmtId="0" fontId="2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21" fillId="0" borderId="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1" fillId="0" borderId="0"/>
    <xf numFmtId="0" fontId="21" fillId="0" borderId="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21" fillId="0" borderId="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1" fillId="0" borderId="0"/>
    <xf numFmtId="0" fontId="66" fillId="53" borderId="23" applyNumberFormat="0" applyAlignment="0" applyProtection="0"/>
    <xf numFmtId="0" fontId="66" fillId="53" borderId="23"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6" fillId="53" borderId="23" applyNumberFormat="0" applyAlignment="0" applyProtection="0"/>
    <xf numFmtId="0" fontId="63" fillId="40" borderId="16" applyNumberFormat="0" applyAlignment="0" applyProtection="0"/>
    <xf numFmtId="0" fontId="21" fillId="0" borderId="0"/>
    <xf numFmtId="0" fontId="21" fillId="0" borderId="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21" fillId="0" borderId="0"/>
    <xf numFmtId="0" fontId="63" fillId="40" borderId="16" applyNumberFormat="0" applyAlignment="0" applyProtection="0"/>
    <xf numFmtId="0" fontId="66" fillId="53" borderId="23" applyNumberFormat="0" applyAlignment="0" applyProtection="0"/>
    <xf numFmtId="0" fontId="21" fillId="0" borderId="0"/>
    <xf numFmtId="0" fontId="66" fillId="53" borderId="23" applyNumberFormat="0" applyAlignment="0" applyProtection="0"/>
    <xf numFmtId="0" fontId="56" fillId="53" borderId="16"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0" borderId="0"/>
    <xf numFmtId="0" fontId="66" fillId="53" borderId="23" applyNumberFormat="0" applyAlignment="0" applyProtection="0"/>
    <xf numFmtId="0" fontId="68" fillId="0" borderId="24" applyNumberFormat="0" applyFill="0" applyAlignment="0" applyProtection="0"/>
    <xf numFmtId="0" fontId="63" fillId="40" borderId="16" applyNumberFormat="0" applyAlignment="0" applyProtection="0"/>
    <xf numFmtId="0" fontId="21" fillId="0" borderId="0"/>
    <xf numFmtId="0" fontId="56" fillId="53" borderId="16" applyNumberFormat="0" applyAlignment="0" applyProtection="0"/>
    <xf numFmtId="0" fontId="68" fillId="0" borderId="24" applyNumberFormat="0" applyFill="0" applyAlignment="0" applyProtection="0"/>
    <xf numFmtId="0" fontId="63" fillId="40" borderId="16"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21" fillId="0" borderId="0"/>
    <xf numFmtId="0" fontId="68" fillId="0" borderId="24" applyNumberFormat="0" applyFill="0" applyAlignment="0" applyProtection="0"/>
    <xf numFmtId="0" fontId="56" fillId="53" borderId="16" applyNumberFormat="0" applyAlignment="0" applyProtection="0"/>
    <xf numFmtId="0" fontId="68" fillId="0" borderId="24" applyNumberFormat="0" applyFill="0" applyAlignment="0" applyProtection="0"/>
    <xf numFmtId="0" fontId="21" fillId="56" borderId="22" applyNumberFormat="0" applyFont="0" applyAlignment="0" applyProtection="0"/>
    <xf numFmtId="0" fontId="68" fillId="0" borderId="24" applyNumberFormat="0" applyFill="0" applyAlignment="0" applyProtection="0"/>
    <xf numFmtId="0" fontId="56" fillId="53" borderId="16"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21" fillId="0" borderId="0"/>
    <xf numFmtId="0" fontId="21" fillId="0" borderId="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21" fillId="56" borderId="22" applyNumberFormat="0" applyFont="0" applyAlignment="0" applyProtection="0"/>
    <xf numFmtId="0" fontId="63" fillId="40" borderId="16" applyNumberFormat="0" applyAlignment="0" applyProtection="0"/>
    <xf numFmtId="0" fontId="63" fillId="40" borderId="16" applyNumberFormat="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56" fillId="53" borderId="16" applyNumberFormat="0" applyAlignment="0" applyProtection="0"/>
    <xf numFmtId="0" fontId="56" fillId="53" borderId="16" applyNumberFormat="0" applyAlignment="0" applyProtection="0"/>
    <xf numFmtId="0" fontId="68" fillId="0" borderId="24" applyNumberFormat="0" applyFill="0" applyAlignment="0" applyProtection="0"/>
    <xf numFmtId="0" fontId="56" fillId="53" borderId="16" applyNumberFormat="0" applyAlignment="0" applyProtection="0"/>
    <xf numFmtId="0" fontId="68" fillId="0" borderId="24" applyNumberFormat="0" applyFill="0" applyAlignment="0" applyProtection="0"/>
    <xf numFmtId="0" fontId="21" fillId="0" borderId="0"/>
    <xf numFmtId="0" fontId="21" fillId="0" borderId="0"/>
    <xf numFmtId="0" fontId="21" fillId="0" borderId="0"/>
    <xf numFmtId="0" fontId="21" fillId="0" borderId="0"/>
    <xf numFmtId="0" fontId="1" fillId="0" borderId="0"/>
    <xf numFmtId="168"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applyFont="0" applyFill="0" applyBorder="0" applyAlignment="0" applyProtection="0"/>
    <xf numFmtId="0" fontId="1" fillId="0" borderId="0"/>
    <xf numFmtId="168" fontId="1" fillId="0" borderId="0" applyFont="0" applyFill="0" applyBorder="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66" fillId="53" borderId="23"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21" fillId="56" borderId="22" applyNumberFormat="0" applyFon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44" fontId="21" fillId="0" borderId="0" applyFont="0" applyFill="0" applyBorder="0" applyAlignment="0" applyProtection="0"/>
    <xf numFmtId="0" fontId="34" fillId="0" borderId="0"/>
    <xf numFmtId="0" fontId="1" fillId="0" borderId="0"/>
    <xf numFmtId="168" fontId="1" fillId="0" borderId="0" applyFont="0" applyFill="0" applyBorder="0" applyAlignment="0" applyProtection="0"/>
    <xf numFmtId="0" fontId="34" fillId="0" borderId="0"/>
    <xf numFmtId="168" fontId="34" fillId="0" borderId="0" applyFont="0" applyFill="0" applyBorder="0" applyAlignment="0" applyProtection="0"/>
    <xf numFmtId="167" fontId="1" fillId="0" borderId="0" applyFont="0" applyFill="0" applyBorder="0" applyAlignment="0" applyProtection="0"/>
    <xf numFmtId="0" fontId="34" fillId="0" borderId="0"/>
    <xf numFmtId="168" fontId="22" fillId="0" borderId="0" applyFont="0" applyFill="0" applyBorder="0" applyAlignment="0" applyProtection="0"/>
    <xf numFmtId="0" fontId="1" fillId="8" borderId="8" applyNumberFormat="0" applyFont="0" applyAlignment="0" applyProtection="0"/>
    <xf numFmtId="0" fontId="34" fillId="0" borderId="0"/>
    <xf numFmtId="0" fontId="34" fillId="0" borderId="0"/>
    <xf numFmtId="0" fontId="34" fillId="0" borderId="0"/>
    <xf numFmtId="0" fontId="34" fillId="10" borderId="0" applyNumberFormat="0" applyBorder="0" applyAlignment="0" applyProtection="0"/>
    <xf numFmtId="0" fontId="34" fillId="10" borderId="0" applyNumberFormat="0" applyBorder="0" applyAlignment="0" applyProtection="0"/>
    <xf numFmtId="0" fontId="34" fillId="14" borderId="0" applyNumberFormat="0" applyBorder="0" applyAlignment="0" applyProtection="0"/>
    <xf numFmtId="0" fontId="34" fillId="14" borderId="0" applyNumberFormat="0" applyBorder="0" applyAlignment="0" applyProtection="0"/>
    <xf numFmtId="0" fontId="34" fillId="18" borderId="0" applyNumberFormat="0" applyBorder="0" applyAlignment="0" applyProtection="0"/>
    <xf numFmtId="0" fontId="34" fillId="18"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6" borderId="0" applyNumberFormat="0" applyBorder="0" applyAlignment="0" applyProtection="0"/>
    <xf numFmtId="0" fontId="34" fillId="26"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1"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9" borderId="0" applyNumberFormat="0" applyBorder="0" applyAlignment="0" applyProtection="0"/>
    <xf numFmtId="0" fontId="34" fillId="19"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7" borderId="0" applyNumberFormat="0" applyBorder="0" applyAlignment="0" applyProtection="0"/>
    <xf numFmtId="0" fontId="34" fillId="27" borderId="0" applyNumberFormat="0" applyBorder="0" applyAlignment="0" applyProtection="0"/>
    <xf numFmtId="0" fontId="34" fillId="31" borderId="0" applyNumberFormat="0" applyBorder="0" applyAlignment="0" applyProtection="0"/>
    <xf numFmtId="0" fontId="34" fillId="31" borderId="0" applyNumberFormat="0" applyBorder="0" applyAlignment="0" applyProtection="0"/>
    <xf numFmtId="0" fontId="72" fillId="12" borderId="0" applyNumberFormat="0" applyBorder="0" applyAlignment="0" applyProtection="0"/>
    <xf numFmtId="0" fontId="72" fillId="16" borderId="0" applyNumberFormat="0" applyBorder="0" applyAlignment="0" applyProtection="0"/>
    <xf numFmtId="0" fontId="72" fillId="20" borderId="0" applyNumberFormat="0" applyBorder="0" applyAlignment="0" applyProtection="0"/>
    <xf numFmtId="0" fontId="72" fillId="24" borderId="0" applyNumberFormat="0" applyBorder="0" applyAlignment="0" applyProtection="0"/>
    <xf numFmtId="0" fontId="72" fillId="28" borderId="0" applyNumberFormat="0" applyBorder="0" applyAlignment="0" applyProtection="0"/>
    <xf numFmtId="0" fontId="72" fillId="32" borderId="0" applyNumberFormat="0" applyBorder="0" applyAlignment="0" applyProtection="0"/>
    <xf numFmtId="0" fontId="72" fillId="9" borderId="0" applyNumberFormat="0" applyBorder="0" applyAlignment="0" applyProtection="0"/>
    <xf numFmtId="0" fontId="72" fillId="13" borderId="0" applyNumberFormat="0" applyBorder="0" applyAlignment="0" applyProtection="0"/>
    <xf numFmtId="0" fontId="72" fillId="17" borderId="0" applyNumberFormat="0" applyBorder="0" applyAlignment="0" applyProtection="0"/>
    <xf numFmtId="0" fontId="72" fillId="21"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 fillId="3" borderId="0" applyNumberFormat="0" applyBorder="0" applyAlignment="0" applyProtection="0"/>
    <xf numFmtId="0" fontId="73" fillId="3" borderId="0" applyNumberFormat="0" applyBorder="0" applyAlignment="0" applyProtection="0"/>
    <xf numFmtId="0" fontId="74" fillId="6" borderId="4" applyNumberFormat="0" applyAlignment="0" applyProtection="0"/>
    <xf numFmtId="0" fontId="75" fillId="7" borderId="7" applyNumberFormat="0" applyAlignment="0" applyProtection="0"/>
    <xf numFmtId="168" fontId="34" fillId="0" borderId="0" applyFont="0" applyFill="0" applyBorder="0" applyAlignment="0" applyProtection="0"/>
    <xf numFmtId="168" fontId="22" fillId="0" borderId="0" applyFont="0" applyFill="0" applyBorder="0" applyAlignment="0" applyProtection="0"/>
    <xf numFmtId="43" fontId="22" fillId="0" borderId="0" applyFont="0" applyFill="0" applyBorder="0" applyAlignment="0" applyProtection="0"/>
    <xf numFmtId="168" fontId="1" fillId="0" borderId="0" applyFont="0" applyFill="0" applyBorder="0" applyAlignment="0" applyProtection="0"/>
    <xf numFmtId="168" fontId="21" fillId="0" borderId="0" applyFont="0" applyFill="0" applyBorder="0" applyAlignment="0" applyProtection="0"/>
    <xf numFmtId="168" fontId="34"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167" fontId="21" fillId="0" borderId="0" applyFont="0" applyFill="0" applyBorder="0" applyAlignment="0" applyProtection="0"/>
    <xf numFmtId="167" fontId="34" fillId="0" borderId="0" applyFont="0" applyFill="0" applyBorder="0" applyAlignment="0" applyProtection="0"/>
    <xf numFmtId="167" fontId="1" fillId="0" borderId="0" applyFont="0" applyFill="0" applyBorder="0" applyAlignment="0" applyProtection="0"/>
    <xf numFmtId="44" fontId="1" fillId="0" borderId="0" applyFont="0" applyFill="0" applyBorder="0" applyAlignment="0" applyProtection="0"/>
    <xf numFmtId="0" fontId="76" fillId="0" borderId="0" applyNumberFormat="0" applyFill="0" applyBorder="0" applyAlignment="0" applyProtection="0"/>
    <xf numFmtId="0" fontId="77" fillId="2" borderId="0" applyNumberFormat="0" applyBorder="0" applyAlignment="0" applyProtection="0"/>
    <xf numFmtId="0" fontId="78" fillId="0" borderId="0"/>
    <xf numFmtId="0" fontId="5" fillId="0" borderId="3" applyNumberFormat="0" applyFill="0" applyAlignment="0" applyProtection="0"/>
    <xf numFmtId="0" fontId="79" fillId="5" borderId="4" applyNumberFormat="0" applyAlignment="0" applyProtection="0"/>
    <xf numFmtId="0" fontId="80" fillId="0" borderId="6" applyNumberFormat="0" applyFill="0" applyAlignment="0" applyProtection="0"/>
    <xf numFmtId="0" fontId="81" fillId="4" borderId="0" applyNumberFormat="0" applyBorder="0" applyAlignment="0" applyProtection="0"/>
    <xf numFmtId="0" fontId="34" fillId="0" borderId="0"/>
    <xf numFmtId="0" fontId="34" fillId="0" borderId="0"/>
    <xf numFmtId="0" fontId="24" fillId="0" borderId="0"/>
    <xf numFmtId="0" fontId="34" fillId="0" borderId="0"/>
    <xf numFmtId="0" fontId="34" fillId="0" borderId="0"/>
    <xf numFmtId="0" fontId="34" fillId="0" borderId="0"/>
    <xf numFmtId="0" fontId="1" fillId="0" borderId="0"/>
    <xf numFmtId="0" fontId="21" fillId="0" borderId="0"/>
    <xf numFmtId="0" fontId="21" fillId="0" borderId="0"/>
    <xf numFmtId="0" fontId="34" fillId="8" borderId="8" applyNumberFormat="0" applyFont="0" applyAlignment="0" applyProtection="0"/>
    <xf numFmtId="0" fontId="34" fillId="8" borderId="8" applyNumberFormat="0" applyFont="0" applyAlignment="0" applyProtection="0"/>
    <xf numFmtId="0" fontId="82" fillId="6" borderId="5" applyNumberFormat="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38" fontId="40" fillId="0" borderId="0"/>
    <xf numFmtId="0" fontId="71" fillId="0" borderId="9" applyNumberFormat="0" applyFill="0" applyAlignment="0" applyProtection="0"/>
    <xf numFmtId="0" fontId="83" fillId="0" borderId="0" applyNumberFormat="0" applyFill="0" applyBorder="0" applyAlignment="0" applyProtection="0"/>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7" fillId="0" borderId="0"/>
    <xf numFmtId="0" fontId="24" fillId="0" borderId="0"/>
    <xf numFmtId="0" fontId="30" fillId="0" borderId="0"/>
    <xf numFmtId="0" fontId="30" fillId="0" borderId="0"/>
    <xf numFmtId="0" fontId="30" fillId="0" borderId="0"/>
    <xf numFmtId="0" fontId="30" fillId="0" borderId="0"/>
    <xf numFmtId="0" fontId="23" fillId="0" borderId="0" applyNumberForma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1" fillId="0" borderId="0"/>
    <xf numFmtId="0" fontId="21" fillId="0" borderId="0"/>
    <xf numFmtId="0" fontId="21" fillId="0" borderId="0"/>
    <xf numFmtId="168" fontId="21" fillId="0" borderId="0" applyFont="0" applyFill="0" applyBorder="0" applyAlignment="0" applyProtection="0"/>
    <xf numFmtId="0" fontId="18" fillId="0" borderId="0"/>
    <xf numFmtId="43" fontId="21" fillId="0" borderId="0" applyFont="0" applyFill="0" applyBorder="0" applyAlignment="0" applyProtection="0">
      <alignment wrapText="1"/>
    </xf>
    <xf numFmtId="0" fontId="21" fillId="0" borderId="0">
      <alignment wrapText="1"/>
    </xf>
    <xf numFmtId="0" fontId="43" fillId="0" borderId="0"/>
    <xf numFmtId="0" fontId="21" fillId="0" borderId="0"/>
    <xf numFmtId="0" fontId="21" fillId="0" borderId="0">
      <alignment wrapText="1"/>
    </xf>
    <xf numFmtId="0" fontId="70" fillId="0" borderId="0"/>
    <xf numFmtId="0" fontId="1" fillId="0" borderId="0"/>
    <xf numFmtId="0" fontId="1" fillId="0" borderId="0"/>
    <xf numFmtId="0" fontId="34" fillId="0" borderId="0"/>
    <xf numFmtId="0" fontId="34" fillId="0" borderId="0"/>
    <xf numFmtId="0" fontId="34" fillId="0" borderId="0"/>
    <xf numFmtId="0" fontId="86" fillId="0" borderId="3" applyNumberFormat="0" applyFill="0" applyAlignment="0" applyProtection="0"/>
    <xf numFmtId="0" fontId="86" fillId="0" borderId="0" applyNumberFormat="0" applyFill="0" applyBorder="0" applyAlignment="0" applyProtection="0"/>
    <xf numFmtId="0" fontId="85" fillId="0" borderId="2" applyNumberFormat="0" applyFill="0" applyAlignment="0" applyProtection="0"/>
    <xf numFmtId="0" fontId="84" fillId="0" borderId="1" applyNumberFormat="0" applyFill="0" applyAlignment="0" applyProtection="0"/>
    <xf numFmtId="0" fontId="87" fillId="0" borderId="0"/>
    <xf numFmtId="0" fontId="21" fillId="0" borderId="0"/>
    <xf numFmtId="168" fontId="24" fillId="0" borderId="0" applyFont="0" applyFill="0" applyBorder="0" applyAlignment="0" applyProtection="0"/>
    <xf numFmtId="168" fontId="24" fillId="0" borderId="0" applyFont="0" applyFill="0" applyBorder="0" applyAlignment="0" applyProtection="0"/>
    <xf numFmtId="0" fontId="26" fillId="0" borderId="0"/>
    <xf numFmtId="0" fontId="21" fillId="0" borderId="0"/>
    <xf numFmtId="0" fontId="21" fillId="0" borderId="0"/>
    <xf numFmtId="0" fontId="21" fillId="0" borderId="0"/>
    <xf numFmtId="0" fontId="26" fillId="0" borderId="0"/>
    <xf numFmtId="0" fontId="21" fillId="0" borderId="0"/>
    <xf numFmtId="0" fontId="21" fillId="0" borderId="0"/>
    <xf numFmtId="0" fontId="24" fillId="0" borderId="0"/>
    <xf numFmtId="0" fontId="30" fillId="0" borderId="0"/>
    <xf numFmtId="0" fontId="24" fillId="0" borderId="0"/>
    <xf numFmtId="0" fontId="21" fillId="0" borderId="0"/>
    <xf numFmtId="0" fontId="24" fillId="0" borderId="0"/>
    <xf numFmtId="0" fontId="24" fillId="0" borderId="0"/>
    <xf numFmtId="170" fontId="88" fillId="0" borderId="0" applyFont="0" applyFill="0" applyBorder="0" applyAlignment="0" applyProtection="0"/>
    <xf numFmtId="171" fontId="88" fillId="0" borderId="0" applyFont="0" applyFill="0" applyBorder="0" applyAlignment="0" applyProtection="0"/>
    <xf numFmtId="172" fontId="88" fillId="0" borderId="0" applyFont="0" applyFill="0" applyBorder="0" applyAlignment="0" applyProtection="0"/>
    <xf numFmtId="22" fontId="21" fillId="0" borderId="0" applyFont="0" applyFill="0" applyBorder="0" applyAlignment="0" applyProtection="0">
      <alignment horizontal="left"/>
    </xf>
    <xf numFmtId="173" fontId="21" fillId="0" borderId="0" applyFont="0" applyFill="0" applyBorder="0" applyAlignment="0" applyProtection="0">
      <alignment horizontal="left"/>
    </xf>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0" fontId="89" fillId="0" borderId="0"/>
    <xf numFmtId="0" fontId="90" fillId="0" borderId="0"/>
    <xf numFmtId="0" fontId="46" fillId="0" borderId="0"/>
    <xf numFmtId="177" fontId="88" fillId="0" borderId="0" applyFont="0" applyFill="0" applyBorder="0" applyAlignment="0" applyProtection="0"/>
    <xf numFmtId="178" fontId="88" fillId="0" borderId="0" applyFont="0" applyFill="0" applyBorder="0" applyAlignment="0" applyProtection="0"/>
    <xf numFmtId="179" fontId="88" fillId="0" borderId="0" applyFont="0" applyFill="0" applyBorder="0" applyAlignment="0" applyProtection="0"/>
    <xf numFmtId="180" fontId="21"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88" fillId="0" borderId="0" applyFont="0" applyFill="0" applyBorder="0" applyAlignment="0" applyProtection="0"/>
    <xf numFmtId="186" fontId="88" fillId="0" borderId="0" applyFont="0" applyFill="0" applyBorder="0" applyAlignment="0" applyProtection="0"/>
    <xf numFmtId="187" fontId="21"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88" fillId="0" borderId="0" applyFont="0" applyFill="0" applyBorder="0" applyAlignment="0" applyProtection="0"/>
    <xf numFmtId="196" fontId="88" fillId="0" borderId="0" applyFont="0" applyFill="0" applyBorder="0" applyAlignment="0" applyProtection="0"/>
    <xf numFmtId="197" fontId="21" fillId="0" borderId="0" applyFont="0" applyFill="0" applyBorder="0" applyAlignment="0" applyProtection="0"/>
    <xf numFmtId="9" fontId="21" fillId="0" borderId="0" applyFont="0" applyFill="0" applyBorder="0" applyAlignment="0" applyProtection="0"/>
    <xf numFmtId="0" fontId="88" fillId="33" borderId="0" applyNumberFormat="0" applyFont="0" applyBorder="0" applyAlignment="0" applyProtection="0"/>
    <xf numFmtId="198" fontId="88" fillId="0" borderId="0" applyFont="0" applyFill="0" applyBorder="0" applyAlignment="0" applyProtection="0"/>
    <xf numFmtId="170" fontId="88" fillId="0" borderId="0" applyFont="0" applyFill="0" applyBorder="0" applyAlignment="0" applyProtection="0"/>
    <xf numFmtId="171" fontId="88" fillId="0" borderId="0" applyFont="0" applyFill="0" applyBorder="0" applyAlignment="0" applyProtection="0"/>
    <xf numFmtId="172" fontId="88" fillId="0" borderId="0" applyFont="0" applyFill="0" applyBorder="0" applyAlignment="0" applyProtection="0"/>
    <xf numFmtId="22" fontId="21" fillId="0" borderId="0" applyFont="0" applyFill="0" applyBorder="0" applyAlignment="0" applyProtection="0">
      <alignment horizontal="left"/>
    </xf>
    <xf numFmtId="173" fontId="21" fillId="0" borderId="0" applyFont="0" applyFill="0" applyBorder="0" applyAlignment="0" applyProtection="0">
      <alignment horizontal="left"/>
    </xf>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88" fillId="0" borderId="0" applyFont="0" applyFill="0" applyBorder="0" applyAlignment="0" applyProtection="0"/>
    <xf numFmtId="179" fontId="88" fillId="0" borderId="0" applyFont="0" applyFill="0" applyBorder="0" applyAlignment="0" applyProtection="0"/>
    <xf numFmtId="180" fontId="21"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88" fillId="0" borderId="0" applyFont="0" applyFill="0" applyBorder="0" applyAlignment="0" applyProtection="0"/>
    <xf numFmtId="186" fontId="88" fillId="0" borderId="0" applyFont="0" applyFill="0" applyBorder="0" applyAlignment="0" applyProtection="0"/>
    <xf numFmtId="187" fontId="21"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88" fillId="0" borderId="0" applyFont="0" applyFill="0" applyBorder="0" applyAlignment="0" applyProtection="0"/>
    <xf numFmtId="196" fontId="88" fillId="0" borderId="0" applyFont="0" applyFill="0" applyBorder="0" applyAlignment="0" applyProtection="0"/>
    <xf numFmtId="197" fontId="21" fillId="0" borderId="0" applyFont="0" applyFill="0" applyBorder="0" applyAlignment="0" applyProtection="0"/>
    <xf numFmtId="0" fontId="88" fillId="33" borderId="0" applyNumberFormat="0" applyFont="0" applyBorder="0" applyAlignment="0" applyProtection="0"/>
    <xf numFmtId="198" fontId="88" fillId="0" borderId="0" applyFont="0" applyFill="0" applyBorder="0" applyAlignment="0" applyProtection="0"/>
    <xf numFmtId="170" fontId="88" fillId="0" borderId="0" applyFont="0" applyFill="0" applyBorder="0" applyAlignment="0" applyProtection="0"/>
    <xf numFmtId="171" fontId="88" fillId="0" borderId="0" applyFont="0" applyFill="0" applyBorder="0" applyAlignment="0" applyProtection="0"/>
    <xf numFmtId="172" fontId="88" fillId="0" borderId="0" applyFont="0" applyFill="0" applyBorder="0" applyAlignment="0" applyProtection="0"/>
    <xf numFmtId="22" fontId="21" fillId="0" borderId="0" applyFont="0" applyFill="0" applyBorder="0" applyAlignment="0" applyProtection="0">
      <alignment horizontal="left"/>
    </xf>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88" fillId="0" borderId="0" applyFont="0" applyFill="0" applyBorder="0" applyAlignment="0" applyProtection="0"/>
    <xf numFmtId="179"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88" fillId="0" borderId="0" applyFont="0" applyFill="0" applyBorder="0" applyAlignment="0" applyProtection="0"/>
    <xf numFmtId="186"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88" fillId="0" borderId="0" applyFont="0" applyFill="0" applyBorder="0" applyAlignment="0" applyProtection="0"/>
    <xf numFmtId="196" fontId="88" fillId="0" borderId="0" applyFont="0" applyFill="0" applyBorder="0" applyAlignment="0" applyProtection="0"/>
    <xf numFmtId="0" fontId="88" fillId="33" borderId="0" applyNumberFormat="0" applyFont="0" applyBorder="0" applyAlignment="0" applyProtection="0"/>
    <xf numFmtId="198" fontId="88" fillId="0" borderId="0" applyFont="0" applyFill="0" applyBorder="0" applyAlignment="0" applyProtection="0"/>
    <xf numFmtId="170" fontId="88" fillId="0" borderId="0" applyFont="0" applyFill="0" applyBorder="0" applyAlignment="0" applyProtection="0"/>
    <xf numFmtId="171" fontId="88" fillId="0" borderId="0" applyFont="0" applyFill="0" applyBorder="0" applyAlignment="0" applyProtection="0"/>
    <xf numFmtId="172" fontId="88" fillId="0" borderId="0" applyFont="0" applyFill="0" applyBorder="0" applyAlignment="0" applyProtection="0"/>
    <xf numFmtId="22" fontId="21" fillId="0" borderId="0" applyFont="0" applyFill="0" applyBorder="0" applyAlignment="0" applyProtection="0">
      <alignment horizontal="left"/>
    </xf>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88" fillId="0" borderId="0" applyFont="0" applyFill="0" applyBorder="0" applyAlignment="0" applyProtection="0"/>
    <xf numFmtId="179"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88" fillId="0" borderId="0" applyFont="0" applyFill="0" applyBorder="0" applyAlignment="0" applyProtection="0"/>
    <xf numFmtId="186"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88" fillId="0" borderId="0" applyFont="0" applyFill="0" applyBorder="0" applyAlignment="0" applyProtection="0"/>
    <xf numFmtId="196" fontId="88" fillId="0" borderId="0" applyFont="0" applyFill="0" applyBorder="0" applyAlignment="0" applyProtection="0"/>
    <xf numFmtId="0" fontId="88" fillId="33" borderId="0" applyNumberFormat="0" applyFont="0" applyBorder="0" applyAlignment="0" applyProtection="0"/>
    <xf numFmtId="198" fontId="88" fillId="0" borderId="0" applyFont="0" applyFill="0" applyBorder="0" applyAlignment="0" applyProtection="0"/>
    <xf numFmtId="170" fontId="88" fillId="0" borderId="0" applyFont="0" applyFill="0" applyBorder="0" applyAlignment="0" applyProtection="0"/>
    <xf numFmtId="171" fontId="88" fillId="0" borderId="0" applyFont="0" applyFill="0" applyBorder="0" applyAlignment="0" applyProtection="0"/>
    <xf numFmtId="172" fontId="88" fillId="0" borderId="0" applyFont="0" applyFill="0" applyBorder="0" applyAlignment="0" applyProtection="0"/>
    <xf numFmtId="22" fontId="21" fillId="0" borderId="0" applyFont="0" applyFill="0" applyBorder="0" applyAlignment="0" applyProtection="0">
      <alignment horizontal="left"/>
    </xf>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88" fillId="0" borderId="0" applyFont="0" applyFill="0" applyBorder="0" applyAlignment="0" applyProtection="0"/>
    <xf numFmtId="179"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88" fillId="0" borderId="0" applyFont="0" applyFill="0" applyBorder="0" applyAlignment="0" applyProtection="0"/>
    <xf numFmtId="186"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88" fillId="0" borderId="0" applyFont="0" applyFill="0" applyBorder="0" applyAlignment="0" applyProtection="0"/>
    <xf numFmtId="196" fontId="88" fillId="0" borderId="0" applyFont="0" applyFill="0" applyBorder="0" applyAlignment="0" applyProtection="0"/>
    <xf numFmtId="0" fontId="88" fillId="33" borderId="0" applyNumberFormat="0" applyFont="0" applyBorder="0" applyAlignment="0" applyProtection="0"/>
    <xf numFmtId="198" fontId="88" fillId="0" borderId="0" applyFont="0" applyFill="0" applyBorder="0" applyAlignment="0" applyProtection="0"/>
    <xf numFmtId="0" fontId="1" fillId="0" borderId="0"/>
    <xf numFmtId="0" fontId="87" fillId="0" borderId="0"/>
    <xf numFmtId="0" fontId="20" fillId="0" borderId="0">
      <alignment vertical="top"/>
    </xf>
    <xf numFmtId="9" fontId="20" fillId="0" borderId="0" applyFont="0" applyFill="0" applyBorder="0" applyAlignment="0" applyProtection="0"/>
    <xf numFmtId="0" fontId="20" fillId="0" borderId="0">
      <alignment vertical="top"/>
    </xf>
    <xf numFmtId="0" fontId="1" fillId="0" borderId="0"/>
    <xf numFmtId="0" fontId="87" fillId="0" borderId="0"/>
    <xf numFmtId="9" fontId="21" fillId="0" borderId="0" applyFont="0" applyFill="0" applyBorder="0" applyAlignment="0" applyProtection="0"/>
    <xf numFmtId="0" fontId="20" fillId="0" borderId="0">
      <alignment vertical="top"/>
    </xf>
    <xf numFmtId="168" fontId="20" fillId="0" borderId="0" applyFont="0" applyFill="0" applyBorder="0" applyAlignment="0" applyProtection="0"/>
    <xf numFmtId="0" fontId="87" fillId="0" borderId="0"/>
    <xf numFmtId="0" fontId="34" fillId="0" borderId="0"/>
    <xf numFmtId="0" fontId="34" fillId="8" borderId="8" applyNumberFormat="0" applyFont="0" applyAlignment="0" applyProtection="0"/>
    <xf numFmtId="0" fontId="34" fillId="0" borderId="0"/>
    <xf numFmtId="0" fontId="34" fillId="0" borderId="0"/>
    <xf numFmtId="168"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168" fontId="34" fillId="0" borderId="0" applyFont="0" applyFill="0" applyBorder="0" applyAlignment="0" applyProtection="0"/>
    <xf numFmtId="167" fontId="34" fillId="0" borderId="0" applyFont="0" applyFill="0" applyBorder="0" applyAlignment="0" applyProtection="0"/>
    <xf numFmtId="9" fontId="34" fillId="0" borderId="0" applyFont="0" applyFill="0" applyBorder="0" applyAlignment="0" applyProtection="0"/>
    <xf numFmtId="0" fontId="34" fillId="8" borderId="8" applyNumberFormat="0" applyFont="0" applyAlignment="0" applyProtection="0"/>
    <xf numFmtId="0" fontId="34" fillId="10" borderId="0" applyNumberFormat="0" applyBorder="0" applyAlignment="0" applyProtection="0"/>
    <xf numFmtId="0" fontId="34" fillId="11"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22"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30" borderId="0" applyNumberFormat="0" applyBorder="0" applyAlignment="0" applyProtection="0"/>
    <xf numFmtId="0" fontId="34" fillId="31" borderId="0" applyNumberFormat="0" applyBorder="0" applyAlignment="0" applyProtection="0"/>
    <xf numFmtId="0" fontId="34" fillId="0" borderId="0"/>
    <xf numFmtId="0" fontId="34" fillId="0" borderId="0"/>
    <xf numFmtId="168"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9" fontId="34" fillId="0" borderId="0" applyFont="0" applyFill="0" applyBorder="0" applyAlignment="0" applyProtection="0"/>
    <xf numFmtId="168" fontId="22" fillId="0" borderId="0" applyFont="0" applyFill="0" applyBorder="0" applyAlignment="0" applyProtection="0"/>
    <xf numFmtId="168" fontId="1" fillId="0" borderId="0" applyFont="0" applyFill="0" applyBorder="0" applyAlignment="0" applyProtection="0"/>
    <xf numFmtId="168" fontId="22" fillId="0" borderId="0" applyFont="0" applyFill="0" applyBorder="0" applyAlignment="0" applyProtection="0"/>
    <xf numFmtId="168" fontId="1" fillId="0" borderId="0" applyFont="0" applyFill="0" applyBorder="0" applyAlignment="0" applyProtection="0"/>
    <xf numFmtId="0" fontId="22" fillId="0" borderId="0"/>
    <xf numFmtId="43" fontId="21" fillId="0" borderId="0" applyFont="0" applyFill="0" applyBorder="0" applyAlignment="0" applyProtection="0">
      <alignment wrapText="1"/>
    </xf>
    <xf numFmtId="0" fontId="43" fillId="0" borderId="0"/>
    <xf numFmtId="168" fontId="21" fillId="0" borderId="0" applyFont="0" applyFill="0" applyBorder="0" applyAlignment="0" applyProtection="0"/>
    <xf numFmtId="0" fontId="22" fillId="0" borderId="0"/>
    <xf numFmtId="0" fontId="34" fillId="10" borderId="0" applyNumberFormat="0" applyBorder="0" applyAlignment="0" applyProtection="0"/>
    <xf numFmtId="0" fontId="22" fillId="37" borderId="0" applyNumberFormat="0" applyBorder="0" applyAlignment="0" applyProtection="0"/>
    <xf numFmtId="0" fontId="22" fillId="44" borderId="0" applyNumberFormat="0" applyBorder="0" applyAlignment="0" applyProtection="0"/>
    <xf numFmtId="0" fontId="54" fillId="47" borderId="0" applyNumberFormat="0" applyBorder="0" applyAlignment="0" applyProtection="0"/>
    <xf numFmtId="43" fontId="24" fillId="0" borderId="0" applyFont="0" applyFill="0" applyBorder="0" applyAlignment="0" applyProtection="0"/>
    <xf numFmtId="0" fontId="54" fillId="50" borderId="0" applyNumberFormat="0" applyBorder="0" applyAlignment="0" applyProtection="0"/>
    <xf numFmtId="168" fontId="21" fillId="0" borderId="0" applyFont="0" applyFill="0" applyBorder="0" applyAlignment="0" applyProtection="0"/>
    <xf numFmtId="0" fontId="18" fillId="0" borderId="0"/>
    <xf numFmtId="0" fontId="22" fillId="42" borderId="0" applyNumberFormat="0" applyBorder="0" applyAlignment="0" applyProtection="0"/>
    <xf numFmtId="0" fontId="34" fillId="0" borderId="0"/>
    <xf numFmtId="0" fontId="24" fillId="0" borderId="0"/>
    <xf numFmtId="0" fontId="62" fillId="0" borderId="20" applyNumberFormat="0" applyFill="0" applyAlignment="0" applyProtection="0"/>
    <xf numFmtId="0" fontId="66" fillId="53" borderId="23" applyNumberFormat="0" applyAlignment="0" applyProtection="0"/>
    <xf numFmtId="0" fontId="54" fillId="47" borderId="0" applyNumberFormat="0" applyBorder="0" applyAlignment="0" applyProtection="0"/>
    <xf numFmtId="0" fontId="21" fillId="0" borderId="0">
      <alignment wrapText="1"/>
    </xf>
    <xf numFmtId="0" fontId="69" fillId="0" borderId="0" applyNumberFormat="0" applyFill="0" applyBorder="0" applyAlignment="0" applyProtection="0"/>
    <xf numFmtId="43" fontId="24" fillId="0" borderId="0" applyFont="0" applyFill="0" applyBorder="0" applyAlignment="0" applyProtection="0"/>
    <xf numFmtId="0" fontId="54" fillId="49" borderId="0" applyNumberFormat="0" applyBorder="0" applyAlignment="0" applyProtection="0"/>
    <xf numFmtId="167" fontId="34" fillId="0" borderId="0" applyFont="0" applyFill="0" applyBorder="0" applyAlignment="0" applyProtection="0"/>
    <xf numFmtId="0" fontId="26" fillId="0" borderId="0"/>
    <xf numFmtId="0" fontId="31" fillId="29" borderId="0" applyNumberFormat="0" applyBorder="0" applyAlignment="0" applyProtection="0"/>
    <xf numFmtId="9" fontId="21" fillId="0" borderId="0" applyFont="0" applyFill="0" applyBorder="0" applyAlignment="0" applyProtection="0"/>
    <xf numFmtId="168" fontId="21" fillId="0" borderId="0" applyFont="0" applyFill="0" applyBorder="0" applyAlignment="0" applyProtection="0"/>
    <xf numFmtId="9" fontId="21" fillId="0" borderId="0" applyFont="0" applyFill="0" applyBorder="0" applyAlignment="0" applyProtection="0"/>
    <xf numFmtId="167" fontId="21" fillId="0" borderId="0" applyFont="0" applyFill="0" applyBorder="0" applyAlignment="0" applyProtection="0"/>
    <xf numFmtId="0" fontId="22" fillId="44" borderId="0" applyNumberFormat="0" applyBorder="0" applyAlignment="0" applyProtection="0"/>
    <xf numFmtId="0" fontId="22" fillId="40" borderId="0" applyNumberFormat="0" applyBorder="0" applyAlignment="0" applyProtection="0"/>
    <xf numFmtId="9" fontId="22" fillId="0" borderId="0" applyFont="0" applyFill="0" applyBorder="0" applyAlignment="0" applyProtection="0"/>
    <xf numFmtId="0" fontId="22" fillId="38" borderId="0" applyNumberFormat="0" applyBorder="0" applyAlignment="0" applyProtection="0"/>
    <xf numFmtId="0" fontId="34" fillId="22" borderId="0" applyNumberFormat="0" applyBorder="0" applyAlignment="0" applyProtection="0"/>
    <xf numFmtId="0" fontId="1" fillId="8" borderId="8" applyNumberFormat="0" applyFont="0" applyAlignment="0" applyProtection="0"/>
    <xf numFmtId="0" fontId="54" fillId="42" borderId="0" applyNumberFormat="0" applyBorder="0" applyAlignment="0" applyProtection="0"/>
    <xf numFmtId="0" fontId="22" fillId="38" borderId="0" applyNumberFormat="0" applyBorder="0" applyAlignment="0" applyProtection="0"/>
    <xf numFmtId="0" fontId="22" fillId="0" borderId="0"/>
    <xf numFmtId="0" fontId="21" fillId="0" borderId="0">
      <alignment wrapText="1"/>
    </xf>
    <xf numFmtId="168" fontId="22" fillId="0" borderId="0" applyFont="0" applyFill="0" applyBorder="0" applyAlignment="0" applyProtection="0"/>
    <xf numFmtId="0" fontId="22" fillId="36" borderId="0" applyNumberFormat="0" applyBorder="0" applyAlignment="0" applyProtection="0"/>
    <xf numFmtId="0" fontId="22" fillId="39" borderId="0" applyNumberFormat="0" applyBorder="0" applyAlignment="0" applyProtection="0"/>
    <xf numFmtId="0" fontId="30" fillId="0" borderId="0"/>
    <xf numFmtId="167" fontId="21" fillId="0" borderId="0" applyFont="0" applyFill="0" applyBorder="0" applyAlignment="0" applyProtection="0"/>
    <xf numFmtId="0" fontId="21" fillId="0" borderId="0"/>
    <xf numFmtId="0" fontId="63" fillId="40" borderId="16" applyNumberFormat="0" applyAlignment="0" applyProtection="0"/>
    <xf numFmtId="0" fontId="34" fillId="14" borderId="0" applyNumberFormat="0" applyBorder="0" applyAlignment="0" applyProtection="0"/>
    <xf numFmtId="0" fontId="54" fillId="45" borderId="0" applyNumberFormat="0" applyBorder="0" applyAlignment="0" applyProtection="0"/>
    <xf numFmtId="9" fontId="1" fillId="0" borderId="0" applyFont="0" applyFill="0" applyBorder="0" applyAlignment="0" applyProtection="0"/>
    <xf numFmtId="0" fontId="34" fillId="22" borderId="0" applyNumberFormat="0" applyBorder="0" applyAlignment="0" applyProtection="0"/>
    <xf numFmtId="0" fontId="43" fillId="0" borderId="0"/>
    <xf numFmtId="0" fontId="55" fillId="36" borderId="0" applyNumberFormat="0" applyBorder="0" applyAlignment="0" applyProtection="0"/>
    <xf numFmtId="43" fontId="21" fillId="0" borderId="0" applyFont="0" applyFill="0" applyBorder="0" applyAlignment="0" applyProtection="0">
      <alignment wrapText="1"/>
    </xf>
    <xf numFmtId="0" fontId="1" fillId="0" borderId="0"/>
    <xf numFmtId="0" fontId="22" fillId="39" borderId="0" applyNumberFormat="0" applyBorder="0" applyAlignment="0" applyProtection="0"/>
    <xf numFmtId="167" fontId="21" fillId="0" borderId="0" applyFont="0" applyFill="0" applyBorder="0" applyAlignment="0" applyProtection="0"/>
    <xf numFmtId="0" fontId="1" fillId="0" borderId="0"/>
    <xf numFmtId="167" fontId="21" fillId="0" borderId="0" applyFont="0" applyFill="0" applyBorder="0" applyAlignment="0" applyProtection="0"/>
    <xf numFmtId="0" fontId="21" fillId="0" borderId="0">
      <alignment wrapText="1"/>
    </xf>
    <xf numFmtId="0" fontId="21" fillId="0" borderId="0"/>
    <xf numFmtId="0" fontId="31" fillId="17" borderId="0" applyNumberFormat="0" applyBorder="0" applyAlignment="0" applyProtection="0"/>
    <xf numFmtId="168" fontId="21" fillId="0" borderId="0" applyFont="0" applyFill="0" applyBorder="0" applyAlignment="0" applyProtection="0"/>
    <xf numFmtId="0" fontId="21" fillId="0" borderId="0"/>
    <xf numFmtId="0" fontId="22" fillId="0" borderId="0"/>
    <xf numFmtId="0" fontId="31" fillId="29" borderId="0" applyNumberFormat="0" applyBorder="0" applyAlignment="0" applyProtection="0"/>
    <xf numFmtId="0" fontId="36" fillId="0" borderId="0"/>
    <xf numFmtId="0" fontId="34" fillId="0" borderId="0"/>
    <xf numFmtId="0" fontId="34" fillId="18" borderId="0" applyNumberFormat="0" applyBorder="0" applyAlignment="0" applyProtection="0"/>
    <xf numFmtId="43" fontId="24" fillId="0" borderId="0" applyFont="0" applyFill="0" applyBorder="0" applyAlignment="0" applyProtection="0"/>
    <xf numFmtId="0" fontId="54" fillId="46" borderId="0" applyNumberFormat="0" applyBorder="0" applyAlignment="0" applyProtection="0"/>
    <xf numFmtId="0" fontId="58" fillId="0" borderId="0" applyNumberFormat="0" applyFill="0" applyBorder="0" applyAlignment="0" applyProtection="0"/>
    <xf numFmtId="0" fontId="22" fillId="0" borderId="0"/>
    <xf numFmtId="167" fontId="21" fillId="0" borderId="0" applyFont="0" applyFill="0" applyBorder="0" applyAlignment="0" applyProtection="0"/>
    <xf numFmtId="0" fontId="30" fillId="0" borderId="0"/>
    <xf numFmtId="0" fontId="59" fillId="37" borderId="0" applyNumberFormat="0" applyBorder="0" applyAlignment="0" applyProtection="0"/>
    <xf numFmtId="0" fontId="27" fillId="0" borderId="0"/>
    <xf numFmtId="0" fontId="1" fillId="0" borderId="0"/>
    <xf numFmtId="0" fontId="70" fillId="0" borderId="0"/>
    <xf numFmtId="0" fontId="21" fillId="0" borderId="0">
      <alignment wrapText="1"/>
    </xf>
    <xf numFmtId="0" fontId="1" fillId="8" borderId="8" applyNumberFormat="0" applyFont="0" applyAlignment="0" applyProtection="0"/>
    <xf numFmtId="0" fontId="22" fillId="43" borderId="0" applyNumberFormat="0" applyBorder="0" applyAlignment="0" applyProtection="0"/>
    <xf numFmtId="0" fontId="54" fillId="46" borderId="0" applyNumberFormat="0" applyBorder="0" applyAlignment="0" applyProtection="0"/>
    <xf numFmtId="0" fontId="60" fillId="0" borderId="18" applyNumberFormat="0" applyFill="0" applyAlignment="0" applyProtection="0"/>
    <xf numFmtId="0" fontId="30" fillId="0" borderId="0"/>
    <xf numFmtId="0" fontId="34" fillId="14" borderId="0" applyNumberFormat="0" applyBorder="0" applyAlignment="0" applyProtection="0"/>
    <xf numFmtId="0" fontId="36" fillId="0" borderId="0"/>
    <xf numFmtId="0" fontId="61" fillId="0" borderId="19" applyNumberFormat="0" applyFill="0" applyAlignment="0" applyProtection="0"/>
    <xf numFmtId="0" fontId="34" fillId="18" borderId="0" applyNumberFormat="0" applyBorder="0" applyAlignment="0" applyProtection="0"/>
    <xf numFmtId="168" fontId="35" fillId="0" borderId="0" applyFont="0" applyFill="0" applyBorder="0" applyAlignment="0" applyProtection="0"/>
    <xf numFmtId="0" fontId="54" fillId="48" borderId="0" applyNumberFormat="0" applyBorder="0" applyAlignment="0" applyProtection="0"/>
    <xf numFmtId="0" fontId="26" fillId="0" borderId="0"/>
    <xf numFmtId="0" fontId="22" fillId="38" borderId="0" applyNumberFormat="0" applyBorder="0" applyAlignment="0" applyProtection="0"/>
    <xf numFmtId="0" fontId="55" fillId="36" borderId="0" applyNumberFormat="0" applyBorder="0" applyAlignment="0" applyProtection="0"/>
    <xf numFmtId="167" fontId="21" fillId="0" borderId="0" applyFont="0" applyFill="0" applyBorder="0" applyAlignment="0" applyProtection="0"/>
    <xf numFmtId="43" fontId="21" fillId="0" borderId="0" applyFont="0" applyFill="0" applyBorder="0" applyAlignment="0" applyProtection="0">
      <alignment wrapText="1"/>
    </xf>
    <xf numFmtId="0" fontId="22" fillId="41" borderId="0" applyNumberFormat="0" applyBorder="0" applyAlignment="0" applyProtection="0"/>
    <xf numFmtId="0" fontId="1" fillId="0" borderId="0"/>
    <xf numFmtId="0" fontId="56" fillId="53" borderId="16" applyNumberFormat="0" applyAlignment="0" applyProtection="0"/>
    <xf numFmtId="9" fontId="21" fillId="0" borderId="0" applyFont="0" applyFill="0" applyBorder="0" applyAlignment="0" applyProtection="0"/>
    <xf numFmtId="0" fontId="1" fillId="0" borderId="0"/>
    <xf numFmtId="0" fontId="68" fillId="0" borderId="24" applyNumberFormat="0" applyFill="0" applyAlignment="0" applyProtection="0"/>
    <xf numFmtId="0" fontId="31" fillId="17" borderId="0" applyNumberFormat="0" applyBorder="0" applyAlignment="0" applyProtection="0"/>
    <xf numFmtId="0" fontId="22" fillId="36" borderId="0" applyNumberFormat="0" applyBorder="0" applyAlignment="0" applyProtection="0"/>
    <xf numFmtId="0" fontId="64" fillId="0" borderId="21" applyNumberFormat="0" applyFill="0" applyAlignment="0" applyProtection="0"/>
    <xf numFmtId="168" fontId="21" fillId="0" borderId="0" applyFont="0" applyFill="0" applyBorder="0" applyAlignment="0" applyProtection="0"/>
    <xf numFmtId="0" fontId="22" fillId="41" borderId="0" applyNumberFormat="0" applyBorder="0" applyAlignment="0" applyProtection="0"/>
    <xf numFmtId="0" fontId="21" fillId="0" borderId="0"/>
    <xf numFmtId="0" fontId="22" fillId="38" borderId="0" applyNumberFormat="0" applyBorder="0" applyAlignment="0" applyProtection="0"/>
    <xf numFmtId="0" fontId="22" fillId="35" borderId="0" applyNumberFormat="0" applyBorder="0" applyAlignment="0" applyProtection="0"/>
    <xf numFmtId="43" fontId="1" fillId="0" borderId="0" applyFont="0" applyFill="0" applyBorder="0" applyAlignment="0" applyProtection="0"/>
    <xf numFmtId="0" fontId="41" fillId="0" borderId="0"/>
    <xf numFmtId="0" fontId="21" fillId="0" borderId="0"/>
    <xf numFmtId="0" fontId="26" fillId="0" borderId="0"/>
    <xf numFmtId="0" fontId="21" fillId="56" borderId="22" applyNumberFormat="0" applyFont="0" applyAlignment="0" applyProtection="0"/>
    <xf numFmtId="0" fontId="22" fillId="0" borderId="0"/>
    <xf numFmtId="0" fontId="62" fillId="0" borderId="20" applyNumberFormat="0" applyFill="0" applyAlignment="0" applyProtection="0"/>
    <xf numFmtId="168" fontId="21" fillId="0" borderId="0" applyFont="0" applyFill="0" applyBorder="0" applyAlignment="0" applyProtection="0"/>
    <xf numFmtId="0" fontId="35" fillId="0" borderId="0"/>
    <xf numFmtId="0" fontId="22" fillId="43" borderId="0" applyNumberFormat="0" applyBorder="0" applyAlignment="0" applyProtection="0"/>
    <xf numFmtId="0" fontId="34" fillId="10" borderId="0" applyNumberFormat="0" applyBorder="0" applyAlignment="0" applyProtection="0"/>
    <xf numFmtId="168" fontId="21" fillId="0" borderId="0" applyFont="0" applyFill="0" applyBorder="0" applyAlignment="0" applyProtection="0"/>
    <xf numFmtId="0" fontId="22" fillId="42" borderId="0" applyNumberFormat="0" applyBorder="0" applyAlignment="0" applyProtection="0"/>
    <xf numFmtId="9" fontId="1" fillId="0" borderId="0" applyFont="0" applyFill="0" applyBorder="0" applyAlignment="0" applyProtection="0"/>
    <xf numFmtId="168" fontId="21" fillId="0" borderId="0" applyFont="0" applyFill="0" applyBorder="0" applyAlignment="0" applyProtection="0"/>
    <xf numFmtId="168" fontId="22" fillId="0" borderId="0" applyFont="0" applyFill="0" applyBorder="0" applyAlignment="0" applyProtection="0"/>
    <xf numFmtId="0" fontId="1" fillId="0" borderId="0"/>
    <xf numFmtId="0" fontId="35" fillId="0" borderId="0"/>
    <xf numFmtId="0" fontId="22" fillId="41" borderId="0" applyNumberFormat="0" applyBorder="0" applyAlignment="0" applyProtection="0"/>
    <xf numFmtId="9" fontId="21" fillId="0" borderId="0" applyFont="0" applyFill="0" applyBorder="0" applyAlignment="0" applyProtection="0"/>
    <xf numFmtId="0" fontId="87" fillId="0" borderId="0"/>
    <xf numFmtId="0" fontId="87" fillId="0" borderId="0"/>
    <xf numFmtId="0" fontId="87" fillId="0" borderId="0"/>
    <xf numFmtId="0" fontId="87" fillId="0" borderId="0"/>
    <xf numFmtId="0" fontId="21" fillId="0" borderId="0"/>
    <xf numFmtId="0" fontId="87" fillId="0" borderId="0"/>
    <xf numFmtId="0" fontId="1" fillId="0" borderId="0"/>
    <xf numFmtId="0" fontId="29" fillId="0" borderId="0" applyNumberFormat="0" applyFill="0" applyBorder="0" applyAlignment="0" applyProtection="0"/>
    <xf numFmtId="22" fontId="21" fillId="0" borderId="0" applyFont="0" applyFill="0" applyBorder="0" applyAlignment="0" applyProtection="0">
      <alignment horizontal="left"/>
    </xf>
    <xf numFmtId="22" fontId="21" fillId="0" borderId="0" applyFont="0" applyFill="0" applyBorder="0" applyAlignment="0" applyProtection="0">
      <alignment horizontal="left"/>
    </xf>
    <xf numFmtId="22" fontId="21" fillId="0" borderId="0" applyFont="0" applyFill="0" applyBorder="0" applyAlignment="0" applyProtection="0">
      <alignment horizontal="left"/>
    </xf>
    <xf numFmtId="170" fontId="88" fillId="0" borderId="0" applyFont="0" applyFill="0" applyBorder="0" applyAlignment="0" applyProtection="0"/>
    <xf numFmtId="171" fontId="88" fillId="0" borderId="0" applyFont="0" applyFill="0" applyBorder="0" applyAlignment="0" applyProtection="0"/>
    <xf numFmtId="172" fontId="88" fillId="0" borderId="0" applyFont="0" applyFill="0" applyBorder="0" applyAlignment="0" applyProtection="0"/>
    <xf numFmtId="22" fontId="21" fillId="0" borderId="0" applyFont="0" applyFill="0" applyBorder="0" applyAlignment="0" applyProtection="0">
      <alignment horizontal="left"/>
    </xf>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88" fillId="0" borderId="0" applyFont="0" applyFill="0" applyBorder="0" applyAlignment="0" applyProtection="0"/>
    <xf numFmtId="179"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88" fillId="0" borderId="0" applyFont="0" applyFill="0" applyBorder="0" applyAlignment="0" applyProtection="0"/>
    <xf numFmtId="186"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88" fillId="0" borderId="0" applyFont="0" applyFill="0" applyBorder="0" applyAlignment="0" applyProtection="0"/>
    <xf numFmtId="196" fontId="88" fillId="0" borderId="0" applyFont="0" applyFill="0" applyBorder="0" applyAlignment="0" applyProtection="0"/>
    <xf numFmtId="0" fontId="88" fillId="33" borderId="0" applyNumberFormat="0" applyFont="0" applyBorder="0" applyAlignment="0" applyProtection="0"/>
    <xf numFmtId="198" fontId="88" fillId="0" borderId="0" applyFont="0" applyFill="0" applyBorder="0" applyAlignment="0" applyProtection="0"/>
    <xf numFmtId="0" fontId="20" fillId="0" borderId="0">
      <alignment vertical="top"/>
    </xf>
    <xf numFmtId="0" fontId="87" fillId="0" borderId="0"/>
    <xf numFmtId="0" fontId="87" fillId="0" borderId="0"/>
    <xf numFmtId="0" fontId="87" fillId="0" borderId="0"/>
    <xf numFmtId="0" fontId="20" fillId="0" borderId="0">
      <alignment vertical="top"/>
    </xf>
    <xf numFmtId="0" fontId="87" fillId="0" borderId="0"/>
    <xf numFmtId="0" fontId="21" fillId="0" borderId="0"/>
    <xf numFmtId="170" fontId="88" fillId="0" borderId="0" applyFont="0" applyFill="0" applyBorder="0" applyAlignment="0" applyProtection="0"/>
    <xf numFmtId="171" fontId="88" fillId="0" borderId="0" applyFont="0" applyFill="0" applyBorder="0" applyAlignment="0" applyProtection="0"/>
    <xf numFmtId="172"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88" fillId="0" borderId="0" applyFont="0" applyFill="0" applyBorder="0" applyAlignment="0" applyProtection="0"/>
    <xf numFmtId="179"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88" fillId="0" borderId="0" applyFont="0" applyFill="0" applyBorder="0" applyAlignment="0" applyProtection="0"/>
    <xf numFmtId="186"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88" fillId="0" borderId="0" applyFont="0" applyFill="0" applyBorder="0" applyAlignment="0" applyProtection="0"/>
    <xf numFmtId="196" fontId="88" fillId="0" borderId="0" applyFont="0" applyFill="0" applyBorder="0" applyAlignment="0" applyProtection="0"/>
    <xf numFmtId="0" fontId="88" fillId="33" borderId="0" applyNumberFormat="0" applyFont="0" applyBorder="0" applyAlignment="0" applyProtection="0"/>
    <xf numFmtId="198" fontId="88" fillId="0" borderId="0" applyFont="0" applyFill="0" applyBorder="0" applyAlignment="0" applyProtection="0"/>
    <xf numFmtId="0" fontId="20" fillId="0" borderId="0">
      <alignment vertical="top"/>
    </xf>
    <xf numFmtId="168" fontId="2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34" fillId="0" borderId="0"/>
    <xf numFmtId="0" fontId="34" fillId="0" borderId="0"/>
    <xf numFmtId="0" fontId="36" fillId="0" borderId="0"/>
    <xf numFmtId="0" fontId="24" fillId="0" borderId="0"/>
    <xf numFmtId="0" fontId="35" fillId="0" borderId="0"/>
    <xf numFmtId="0" fontId="34" fillId="0" borderId="0"/>
    <xf numFmtId="0" fontId="34" fillId="0" borderId="0"/>
    <xf numFmtId="0" fontId="34" fillId="0" borderId="0"/>
    <xf numFmtId="0" fontId="34" fillId="0" borderId="0"/>
    <xf numFmtId="0" fontId="34" fillId="0" borderId="0"/>
    <xf numFmtId="0" fontId="36" fillId="0" borderId="0"/>
    <xf numFmtId="0" fontId="21" fillId="0" borderId="0"/>
    <xf numFmtId="0" fontId="24" fillId="0" borderId="0"/>
    <xf numFmtId="0" fontId="1" fillId="0" borderId="0"/>
    <xf numFmtId="0" fontId="21" fillId="0" borderId="0"/>
    <xf numFmtId="0" fontId="21" fillId="0" borderId="0"/>
    <xf numFmtId="0" fontId="34" fillId="0" borderId="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87" fillId="0" borderId="0"/>
    <xf numFmtId="0" fontId="87" fillId="0" borderId="0"/>
    <xf numFmtId="0" fontId="87" fillId="0" borderId="0"/>
    <xf numFmtId="0" fontId="87" fillId="0" borderId="0"/>
    <xf numFmtId="38" fontId="40" fillId="0" borderId="0"/>
    <xf numFmtId="0" fontId="36" fillId="0" borderId="0"/>
    <xf numFmtId="0" fontId="1" fillId="0" borderId="0"/>
    <xf numFmtId="0" fontId="1" fillId="0" borderId="0"/>
    <xf numFmtId="168" fontId="21" fillId="0" borderId="0" applyFont="0" applyFill="0" applyBorder="0" applyAlignment="0" applyProtection="0"/>
    <xf numFmtId="0" fontId="22" fillId="40" borderId="0" applyNumberFormat="0" applyBorder="0" applyAlignment="0" applyProtection="0"/>
    <xf numFmtId="167" fontId="21" fillId="0" borderId="0" applyFont="0" applyFill="0" applyBorder="0" applyAlignment="0" applyProtection="0"/>
    <xf numFmtId="0" fontId="54" fillId="43" borderId="0" applyNumberFormat="0" applyBorder="0" applyAlignment="0" applyProtection="0"/>
    <xf numFmtId="0" fontId="65" fillId="55" borderId="0" applyNumberFormat="0" applyBorder="0" applyAlignment="0" applyProtection="0"/>
    <xf numFmtId="9" fontId="21" fillId="0" borderId="0" applyFont="0" applyFill="0" applyBorder="0" applyAlignment="0" applyProtection="0"/>
    <xf numFmtId="0" fontId="22" fillId="35" borderId="0" applyNumberFormat="0" applyBorder="0" applyAlignment="0" applyProtection="0"/>
    <xf numFmtId="0" fontId="22" fillId="37" borderId="0" applyNumberFormat="0" applyBorder="0" applyAlignment="0" applyProtection="0"/>
    <xf numFmtId="0" fontId="57" fillId="54" borderId="17" applyNumberFormat="0" applyAlignment="0" applyProtection="0"/>
    <xf numFmtId="0" fontId="34" fillId="0" borderId="0"/>
    <xf numFmtId="0" fontId="43" fillId="0" borderId="0"/>
    <xf numFmtId="0" fontId="22" fillId="41" borderId="0" applyNumberFormat="0" applyBorder="0" applyAlignment="0" applyProtection="0"/>
    <xf numFmtId="0" fontId="34" fillId="26" borderId="0" applyNumberFormat="0" applyBorder="0" applyAlignment="0" applyProtection="0"/>
    <xf numFmtId="0" fontId="34" fillId="26"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1"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9" borderId="0" applyNumberFormat="0" applyBorder="0" applyAlignment="0" applyProtection="0"/>
    <xf numFmtId="0" fontId="34" fillId="19"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7" borderId="0" applyNumberFormat="0" applyBorder="0" applyAlignment="0" applyProtection="0"/>
    <xf numFmtId="0" fontId="34" fillId="27" borderId="0" applyNumberFormat="0" applyBorder="0" applyAlignment="0" applyProtection="0"/>
    <xf numFmtId="0" fontId="34" fillId="31" borderId="0" applyNumberFormat="0" applyBorder="0" applyAlignment="0" applyProtection="0"/>
    <xf numFmtId="0" fontId="34" fillId="31" borderId="0" applyNumberFormat="0" applyBorder="0" applyAlignment="0" applyProtection="0"/>
    <xf numFmtId="0" fontId="72" fillId="12" borderId="0" applyNumberFormat="0" applyBorder="0" applyAlignment="0" applyProtection="0"/>
    <xf numFmtId="0" fontId="72" fillId="16" borderId="0" applyNumberFormat="0" applyBorder="0" applyAlignment="0" applyProtection="0"/>
    <xf numFmtId="0" fontId="72" fillId="20" borderId="0" applyNumberFormat="0" applyBorder="0" applyAlignment="0" applyProtection="0"/>
    <xf numFmtId="0" fontId="72" fillId="24" borderId="0" applyNumberFormat="0" applyBorder="0" applyAlignment="0" applyProtection="0"/>
    <xf numFmtId="0" fontId="72" fillId="28" borderId="0" applyNumberFormat="0" applyBorder="0" applyAlignment="0" applyProtection="0"/>
    <xf numFmtId="0" fontId="72" fillId="32" borderId="0" applyNumberFormat="0" applyBorder="0" applyAlignment="0" applyProtection="0"/>
    <xf numFmtId="0" fontId="72" fillId="9" borderId="0" applyNumberFormat="0" applyBorder="0" applyAlignment="0" applyProtection="0"/>
    <xf numFmtId="0" fontId="72" fillId="13" borderId="0" applyNumberFormat="0" applyBorder="0" applyAlignment="0" applyProtection="0"/>
    <xf numFmtId="0" fontId="72" fillId="21" borderId="0" applyNumberFormat="0" applyBorder="0" applyAlignment="0" applyProtection="0"/>
    <xf numFmtId="0" fontId="72" fillId="25" borderId="0" applyNumberFormat="0" applyBorder="0" applyAlignment="0" applyProtection="0"/>
    <xf numFmtId="0" fontId="7" fillId="3" borderId="0" applyNumberFormat="0" applyBorder="0" applyAlignment="0" applyProtection="0"/>
    <xf numFmtId="0" fontId="73" fillId="3" borderId="0" applyNumberFormat="0" applyBorder="0" applyAlignment="0" applyProtection="0"/>
    <xf numFmtId="0" fontId="74" fillId="6" borderId="4" applyNumberFormat="0" applyAlignment="0" applyProtection="0"/>
    <xf numFmtId="0" fontId="75" fillId="7" borderId="7" applyNumberFormat="0" applyAlignment="0" applyProtection="0"/>
    <xf numFmtId="168" fontId="21" fillId="0" borderId="0" applyFont="0" applyFill="0" applyBorder="0" applyAlignment="0" applyProtection="0"/>
    <xf numFmtId="43" fontId="1" fillId="0" borderId="0" applyFont="0" applyFill="0" applyBorder="0" applyAlignment="0" applyProtection="0"/>
    <xf numFmtId="0" fontId="76" fillId="0" borderId="0" applyNumberFormat="0" applyFill="0" applyBorder="0" applyAlignment="0" applyProtection="0"/>
    <xf numFmtId="0" fontId="77" fillId="2" borderId="0" applyNumberFormat="0" applyBorder="0" applyAlignment="0" applyProtection="0"/>
    <xf numFmtId="0" fontId="5" fillId="0" borderId="3" applyNumberFormat="0" applyFill="0" applyAlignment="0" applyProtection="0"/>
    <xf numFmtId="0" fontId="79" fillId="5" borderId="4" applyNumberFormat="0" applyAlignment="0" applyProtection="0"/>
    <xf numFmtId="0" fontId="80" fillId="0" borderId="6" applyNumberFormat="0" applyFill="0" applyAlignment="0" applyProtection="0"/>
    <xf numFmtId="0" fontId="81" fillId="4" borderId="0" applyNumberFormat="0" applyBorder="0" applyAlignment="0" applyProtection="0"/>
    <xf numFmtId="0" fontId="34" fillId="0" borderId="0"/>
    <xf numFmtId="0" fontId="34" fillId="0" borderId="0"/>
    <xf numFmtId="0" fontId="24" fillId="0" borderId="0"/>
    <xf numFmtId="0" fontId="34" fillId="8" borderId="8" applyNumberFormat="0" applyFont="0" applyAlignment="0" applyProtection="0"/>
    <xf numFmtId="0" fontId="82" fillId="6" borderId="5" applyNumberFormat="0" applyAlignment="0" applyProtection="0"/>
    <xf numFmtId="9" fontId="34" fillId="0" borderId="0" applyFont="0" applyFill="0" applyBorder="0" applyAlignment="0" applyProtection="0"/>
    <xf numFmtId="0" fontId="71" fillId="0" borderId="9" applyNumberFormat="0" applyFill="0" applyAlignment="0" applyProtection="0"/>
    <xf numFmtId="0" fontId="83" fillId="0" borderId="0" applyNumberFormat="0" applyFill="0" applyBorder="0" applyAlignment="0" applyProtection="0"/>
    <xf numFmtId="0" fontId="30" fillId="0" borderId="0"/>
    <xf numFmtId="168" fontId="34" fillId="0" borderId="0" applyFont="0" applyFill="0" applyBorder="0" applyAlignment="0" applyProtection="0"/>
    <xf numFmtId="0" fontId="34" fillId="0" borderId="0"/>
    <xf numFmtId="168"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21" fillId="0" borderId="0"/>
    <xf numFmtId="43" fontId="21" fillId="0" borderId="0" applyFont="0" applyFill="0" applyBorder="0" applyAlignment="0" applyProtection="0"/>
    <xf numFmtId="0" fontId="99" fillId="0" borderId="0" applyNumberFormat="0" applyFill="0" applyBorder="0" applyAlignment="0" applyProtection="0"/>
    <xf numFmtId="43" fontId="1" fillId="0" borderId="0" applyFont="0" applyFill="0" applyBorder="0" applyAlignment="0" applyProtection="0"/>
    <xf numFmtId="0" fontId="36" fillId="0" borderId="0"/>
    <xf numFmtId="168" fontId="1" fillId="0" borderId="0" applyFont="0" applyFill="0" applyBorder="0" applyAlignment="0" applyProtection="0"/>
    <xf numFmtId="0" fontId="100" fillId="0" borderId="0"/>
    <xf numFmtId="43" fontId="22" fillId="0" borderId="0" applyFont="0" applyFill="0" applyBorder="0" applyAlignment="0" applyProtection="0"/>
    <xf numFmtId="0" fontId="20" fillId="0" borderId="0">
      <alignment vertical="top"/>
    </xf>
    <xf numFmtId="0" fontId="101" fillId="3" borderId="0" applyNumberFormat="0" applyBorder="0" applyAlignment="0" applyProtection="0"/>
    <xf numFmtId="43" fontId="21" fillId="0" borderId="0" applyFont="0" applyFill="0" applyBorder="0" applyAlignment="0" applyProtection="0"/>
    <xf numFmtId="168" fontId="24"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3" fontId="22"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34" fillId="0" borderId="0" applyFont="0" applyFill="0" applyBorder="0" applyAlignment="0" applyProtection="0"/>
    <xf numFmtId="43" fontId="35"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44" fontId="34"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168" fontId="3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3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2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4" fillId="0" borderId="0" applyFont="0" applyFill="0" applyBorder="0" applyAlignment="0" applyProtection="0"/>
    <xf numFmtId="44" fontId="1" fillId="0" borderId="0" applyFont="0" applyFill="0" applyBorder="0" applyAlignment="0" applyProtection="0"/>
    <xf numFmtId="43" fontId="22" fillId="0" borderId="0" applyFont="0" applyFill="0" applyBorder="0" applyAlignment="0" applyProtection="0"/>
    <xf numFmtId="43" fontId="34"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1" fillId="0" borderId="0" applyFont="0" applyFill="0" applyBorder="0" applyAlignment="0" applyProtection="0"/>
    <xf numFmtId="43" fontId="34" fillId="0" borderId="0" applyFont="0" applyFill="0" applyBorder="0" applyAlignment="0" applyProtection="0"/>
    <xf numFmtId="43" fontId="1" fillId="0" borderId="0" applyFont="0" applyFill="0" applyBorder="0" applyAlignment="0" applyProtection="0"/>
    <xf numFmtId="44" fontId="21" fillId="0" borderId="0" applyFont="0" applyFill="0" applyBorder="0" applyAlignment="0" applyProtection="0"/>
    <xf numFmtId="44" fontId="34" fillId="0" borderId="0" applyFont="0" applyFill="0" applyBorder="0" applyAlignment="0" applyProtection="0"/>
    <xf numFmtId="44" fontId="1" fillId="0" borderId="0" applyFont="0" applyFill="0" applyBorder="0" applyAlignment="0" applyProtection="0"/>
    <xf numFmtId="43" fontId="21" fillId="0" borderId="0" applyFont="0" applyFill="0" applyBorder="0" applyAlignment="0" applyProtection="0"/>
    <xf numFmtId="0" fontId="21" fillId="0" borderId="0"/>
    <xf numFmtId="43" fontId="24" fillId="0" borderId="0" applyFont="0" applyFill="0" applyBorder="0" applyAlignment="0" applyProtection="0"/>
    <xf numFmtId="43" fontId="24" fillId="0" borderId="0" applyFont="0" applyFill="0" applyBorder="0" applyAlignment="0" applyProtection="0"/>
    <xf numFmtId="0" fontId="26" fillId="0" borderId="0"/>
    <xf numFmtId="0" fontId="21" fillId="0" borderId="0"/>
    <xf numFmtId="0" fontId="21" fillId="0" borderId="0"/>
    <xf numFmtId="0" fontId="21" fillId="0" borderId="0"/>
    <xf numFmtId="0" fontId="21" fillId="0" borderId="0"/>
    <xf numFmtId="0" fontId="21" fillId="0" borderId="0"/>
    <xf numFmtId="0" fontId="24" fillId="0" borderId="0"/>
    <xf numFmtId="0" fontId="30" fillId="0" borderId="0"/>
    <xf numFmtId="0" fontId="24" fillId="0" borderId="0"/>
    <xf numFmtId="0" fontId="21" fillId="0" borderId="0"/>
    <xf numFmtId="0" fontId="24" fillId="0" borderId="0"/>
    <xf numFmtId="0" fontId="24" fillId="0" borderId="0"/>
    <xf numFmtId="0" fontId="89" fillId="0" borderId="0"/>
    <xf numFmtId="0" fontId="90" fillId="0" borderId="0"/>
    <xf numFmtId="0" fontId="46" fillId="0" borderId="0"/>
    <xf numFmtId="0" fontId="1" fillId="0" borderId="0"/>
    <xf numFmtId="0" fontId="20" fillId="0" borderId="0">
      <alignment vertical="top"/>
    </xf>
    <xf numFmtId="9" fontId="20" fillId="0" borderId="0" applyFont="0" applyFill="0" applyBorder="0" applyAlignment="0" applyProtection="0"/>
    <xf numFmtId="0" fontId="20" fillId="0" borderId="0">
      <alignment vertical="top"/>
    </xf>
    <xf numFmtId="0" fontId="1" fillId="0" borderId="0"/>
    <xf numFmtId="9" fontId="21" fillId="0" borderId="0" applyFont="0" applyFill="0" applyBorder="0" applyAlignment="0" applyProtection="0"/>
    <xf numFmtId="0" fontId="20" fillId="0" borderId="0">
      <alignment vertical="top"/>
    </xf>
    <xf numFmtId="43" fontId="20" fillId="0" borderId="0" applyFont="0" applyFill="0" applyBorder="0" applyAlignment="0" applyProtection="0"/>
    <xf numFmtId="0" fontId="87" fillId="0" borderId="0"/>
    <xf numFmtId="43" fontId="34" fillId="0" borderId="0" applyFont="0" applyFill="0" applyBorder="0" applyAlignment="0" applyProtection="0"/>
    <xf numFmtId="43" fontId="34" fillId="0" borderId="0" applyFont="0" applyFill="0" applyBorder="0" applyAlignment="0" applyProtection="0"/>
    <xf numFmtId="44" fontId="34" fillId="0" borderId="0" applyFont="0" applyFill="0" applyBorder="0" applyAlignment="0" applyProtection="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20" fillId="0" borderId="0">
      <alignment vertical="top"/>
    </xf>
    <xf numFmtId="0" fontId="20" fillId="0" borderId="0">
      <alignment vertical="top"/>
    </xf>
    <xf numFmtId="0" fontId="21" fillId="0" borderId="0"/>
    <xf numFmtId="9" fontId="87" fillId="0" borderId="0" applyFont="0" applyFill="0" applyBorder="0" applyAlignment="0" applyProtection="0"/>
    <xf numFmtId="0" fontId="21" fillId="0" borderId="0"/>
    <xf numFmtId="0" fontId="21" fillId="0" borderId="0"/>
    <xf numFmtId="43" fontId="1" fillId="0" borderId="0" applyFont="0" applyFill="0" applyBorder="0" applyAlignment="0" applyProtection="0"/>
    <xf numFmtId="43" fontId="22"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87" fillId="0" borderId="0"/>
    <xf numFmtId="168" fontId="2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0" fontId="34" fillId="0" borderId="0"/>
    <xf numFmtId="0" fontId="34" fillId="0" borderId="0"/>
    <xf numFmtId="0" fontId="36" fillId="0" borderId="0"/>
    <xf numFmtId="0" fontId="34" fillId="0" borderId="0"/>
    <xf numFmtId="0" fontId="34" fillId="0" borderId="0"/>
    <xf numFmtId="0" fontId="36" fillId="0" borderId="0"/>
    <xf numFmtId="0" fontId="24" fillId="0" borderId="0"/>
    <xf numFmtId="9" fontId="34" fillId="0" borderId="0" applyFont="0" applyFill="0" applyBorder="0" applyAlignment="0" applyProtection="0"/>
    <xf numFmtId="168" fontId="34" fillId="0" borderId="0" applyFont="0" applyFill="0" applyBorder="0" applyAlignment="0" applyProtection="0"/>
    <xf numFmtId="0" fontId="34" fillId="0" borderId="0"/>
    <xf numFmtId="0" fontId="34" fillId="0" borderId="0"/>
    <xf numFmtId="0" fontId="34" fillId="0" borderId="0"/>
    <xf numFmtId="168" fontId="34" fillId="0" borderId="0" applyFont="0" applyFill="0" applyBorder="0" applyAlignment="0" applyProtection="0"/>
    <xf numFmtId="0" fontId="34" fillId="0" borderId="0"/>
    <xf numFmtId="0" fontId="34" fillId="0" borderId="0"/>
    <xf numFmtId="0" fontId="34" fillId="0" borderId="0"/>
    <xf numFmtId="168" fontId="34" fillId="0" borderId="0" applyFont="0" applyFill="0" applyBorder="0" applyAlignment="0" applyProtection="0"/>
    <xf numFmtId="168" fontId="34" fillId="0" borderId="0" applyFont="0" applyFill="0" applyBorder="0" applyAlignment="0" applyProtection="0"/>
    <xf numFmtId="167" fontId="34" fillId="0" borderId="0" applyFont="0" applyFill="0" applyBorder="0" applyAlignment="0" applyProtection="0"/>
    <xf numFmtId="0" fontId="34" fillId="0" borderId="0"/>
    <xf numFmtId="0" fontId="34" fillId="0" borderId="0"/>
    <xf numFmtId="0" fontId="34" fillId="0" borderId="0"/>
    <xf numFmtId="0" fontId="34" fillId="0" borderId="0"/>
    <xf numFmtId="0" fontId="34" fillId="0" borderId="0"/>
    <xf numFmtId="0" fontId="34" fillId="8" borderId="8" applyNumberFormat="0" applyFont="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0" fontId="34" fillId="0" borderId="0"/>
    <xf numFmtId="0" fontId="34" fillId="8" borderId="8" applyNumberFormat="0" applyFont="0" applyAlignment="0" applyProtection="0"/>
    <xf numFmtId="0" fontId="34" fillId="0" borderId="0"/>
    <xf numFmtId="0" fontId="34" fillId="0" borderId="0"/>
    <xf numFmtId="168"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168" fontId="34" fillId="0" borderId="0" applyFont="0" applyFill="0" applyBorder="0" applyAlignment="0" applyProtection="0"/>
    <xf numFmtId="167" fontId="34" fillId="0" borderId="0" applyFont="0" applyFill="0" applyBorder="0" applyAlignment="0" applyProtection="0"/>
    <xf numFmtId="9" fontId="34" fillId="0" borderId="0" applyFont="0" applyFill="0" applyBorder="0" applyAlignment="0" applyProtection="0"/>
    <xf numFmtId="0" fontId="34" fillId="8" borderId="8" applyNumberFormat="0" applyFont="0" applyAlignment="0" applyProtection="0"/>
    <xf numFmtId="0" fontId="34" fillId="10" borderId="0" applyNumberFormat="0" applyBorder="0" applyAlignment="0" applyProtection="0"/>
    <xf numFmtId="0" fontId="34" fillId="11"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22"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30" borderId="0" applyNumberFormat="0" applyBorder="0" applyAlignment="0" applyProtection="0"/>
    <xf numFmtId="0" fontId="34" fillId="31" borderId="0" applyNumberFormat="0" applyBorder="0" applyAlignment="0" applyProtection="0"/>
    <xf numFmtId="0" fontId="34" fillId="0" borderId="0"/>
    <xf numFmtId="168"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0" fontId="87" fillId="0" borderId="0"/>
    <xf numFmtId="0" fontId="1" fillId="0" borderId="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87" fillId="0" borderId="0"/>
    <xf numFmtId="0" fontId="87" fillId="0" borderId="0"/>
    <xf numFmtId="0" fontId="87" fillId="0" borderId="0"/>
    <xf numFmtId="0" fontId="87" fillId="0" borderId="0"/>
    <xf numFmtId="0" fontId="87" fillId="0" borderId="0"/>
    <xf numFmtId="9" fontId="87" fillId="0" borderId="0" applyFont="0" applyFill="0" applyBorder="0" applyAlignment="0" applyProtection="0"/>
    <xf numFmtId="0" fontId="102" fillId="59" borderId="56">
      <alignment vertical="center" wrapText="1" shrinkToFit="1"/>
    </xf>
    <xf numFmtId="0" fontId="23" fillId="0" borderId="0" applyNumberFormat="0" applyFill="0" applyBorder="0" applyAlignment="0" applyProtection="0"/>
    <xf numFmtId="168" fontId="1" fillId="0" borderId="0" applyFont="0" applyFill="0" applyBorder="0" applyAlignment="0" applyProtection="0"/>
  </cellStyleXfs>
  <cellXfs count="787">
    <xf numFmtId="0" fontId="0" fillId="0" borderId="0" xfId="0"/>
    <xf numFmtId="0" fontId="0" fillId="0" borderId="0" xfId="0" applyAlignment="1">
      <alignment horizontal="center"/>
    </xf>
    <xf numFmtId="0" fontId="0" fillId="0" borderId="0" xfId="0" applyAlignment="1">
      <alignment horizontal="left"/>
    </xf>
    <xf numFmtId="0" fontId="0" fillId="0" borderId="0" xfId="0" applyAlignment="1">
      <alignment horizontal="left" vertical="center"/>
    </xf>
    <xf numFmtId="0" fontId="0" fillId="0" borderId="0" xfId="0" applyAlignment="1">
      <alignment vertical="top"/>
    </xf>
    <xf numFmtId="0" fontId="3" fillId="0" borderId="0" xfId="2" applyBorder="1" applyAlignment="1">
      <alignment vertical="top"/>
    </xf>
    <xf numFmtId="0" fontId="1" fillId="10" borderId="13" xfId="19" applyBorder="1" applyAlignment="1">
      <alignment horizontal="left" vertical="center"/>
    </xf>
    <xf numFmtId="0" fontId="1" fillId="10" borderId="14" xfId="19" applyBorder="1" applyAlignment="1">
      <alignment horizontal="left" vertical="center"/>
    </xf>
    <xf numFmtId="0" fontId="13" fillId="9" borderId="0" xfId="18" applyFont="1" applyBorder="1" applyAlignment="1">
      <alignment horizontal="left"/>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4" fillId="0" borderId="2" xfId="3" applyAlignment="1">
      <alignment horizontal="left" vertical="top"/>
    </xf>
    <xf numFmtId="0" fontId="19" fillId="0" borderId="2" xfId="3" applyFont="1" applyAlignment="1">
      <alignment horizontal="left" vertical="top"/>
    </xf>
    <xf numFmtId="0" fontId="17" fillId="13" borderId="0" xfId="22" applyBorder="1" applyAlignment="1">
      <alignment horizontal="left"/>
    </xf>
    <xf numFmtId="0" fontId="17" fillId="13" borderId="0" xfId="22" applyBorder="1" applyAlignment="1">
      <alignment horizontal="center"/>
    </xf>
    <xf numFmtId="0" fontId="17" fillId="17" borderId="0" xfId="26" applyBorder="1" applyAlignment="1">
      <alignment horizontal="center"/>
    </xf>
    <xf numFmtId="0" fontId="17" fillId="17" borderId="0" xfId="26" applyBorder="1" applyAlignment="1">
      <alignment horizontal="left"/>
    </xf>
    <xf numFmtId="0" fontId="17" fillId="29" borderId="0" xfId="38" applyBorder="1" applyAlignment="1">
      <alignment horizontal="left"/>
    </xf>
    <xf numFmtId="0" fontId="17" fillId="29" borderId="0" xfId="38" applyBorder="1" applyAlignment="1">
      <alignment horizontal="center"/>
    </xf>
    <xf numFmtId="0" fontId="1" fillId="14" borderId="14" xfId="23" applyBorder="1" applyAlignment="1">
      <alignment horizontal="left" vertical="center"/>
    </xf>
    <xf numFmtId="0" fontId="1" fillId="14" borderId="13" xfId="23" applyBorder="1" applyAlignment="1">
      <alignment horizontal="left" vertical="center"/>
    </xf>
    <xf numFmtId="0" fontId="0" fillId="57" borderId="12" xfId="0" applyFill="1" applyBorder="1" applyAlignment="1">
      <alignment horizontal="center" vertical="center"/>
    </xf>
    <xf numFmtId="0" fontId="0" fillId="57" borderId="10" xfId="0" applyFill="1" applyBorder="1" applyAlignment="1">
      <alignment horizontal="center" vertical="center"/>
    </xf>
    <xf numFmtId="0" fontId="0" fillId="57" borderId="11" xfId="0" applyFill="1" applyBorder="1" applyAlignment="1">
      <alignment horizontal="center" vertical="center"/>
    </xf>
    <xf numFmtId="0" fontId="17" fillId="12" borderId="25" xfId="21" applyBorder="1" applyAlignment="1">
      <alignment vertical="top" wrapText="1"/>
    </xf>
    <xf numFmtId="0" fontId="91" fillId="12" borderId="25" xfId="21" applyFont="1" applyBorder="1" applyAlignment="1">
      <alignment vertical="top" wrapText="1"/>
    </xf>
    <xf numFmtId="0" fontId="0" fillId="57" borderId="15" xfId="0" applyFill="1" applyBorder="1" applyAlignment="1">
      <alignment horizontal="center" vertical="center"/>
    </xf>
    <xf numFmtId="0" fontId="3" fillId="0" borderId="0" xfId="2" applyBorder="1" applyAlignment="1">
      <alignment horizontal="left" vertical="top"/>
    </xf>
    <xf numFmtId="0" fontId="19" fillId="0" borderId="2" xfId="3" applyFont="1" applyAlignment="1">
      <alignment vertical="top"/>
    </xf>
    <xf numFmtId="0" fontId="0" fillId="0" borderId="0" xfId="0" applyAlignment="1">
      <alignment horizontal="left" vertical="top"/>
    </xf>
    <xf numFmtId="0" fontId="17" fillId="20" borderId="0" xfId="29" applyBorder="1" applyAlignment="1">
      <alignment horizontal="left" vertical="center"/>
    </xf>
    <xf numFmtId="0" fontId="93" fillId="20" borderId="0" xfId="29" applyFont="1" applyBorder="1" applyAlignment="1">
      <alignment horizontal="left" vertical="center"/>
    </xf>
    <xf numFmtId="0" fontId="1" fillId="18" borderId="11" xfId="27" applyBorder="1" applyAlignment="1">
      <alignment horizontal="center" vertical="center"/>
    </xf>
    <xf numFmtId="0" fontId="1" fillId="18" borderId="10" xfId="27" applyBorder="1" applyAlignment="1">
      <alignment horizontal="center" vertical="center"/>
    </xf>
    <xf numFmtId="0" fontId="1" fillId="18" borderId="12" xfId="27" applyBorder="1" applyAlignment="1">
      <alignment horizontal="center" vertical="center"/>
    </xf>
    <xf numFmtId="0" fontId="17" fillId="17" borderId="0" xfId="26" applyBorder="1" applyAlignment="1"/>
    <xf numFmtId="0" fontId="1" fillId="18" borderId="10" xfId="27" applyBorder="1" applyAlignment="1">
      <alignment vertical="center"/>
    </xf>
    <xf numFmtId="0" fontId="1" fillId="18" borderId="12" xfId="27" applyBorder="1" applyAlignment="1">
      <alignment vertical="center"/>
    </xf>
    <xf numFmtId="0" fontId="1" fillId="18" borderId="11" xfId="27" applyBorder="1" applyAlignment="1">
      <alignment vertical="center"/>
    </xf>
    <xf numFmtId="0" fontId="0" fillId="10" borderId="13" xfId="19" applyFont="1" applyBorder="1" applyAlignment="1">
      <alignment horizontal="left" vertical="center"/>
    </xf>
    <xf numFmtId="0" fontId="17" fillId="9" borderId="0" xfId="18" applyBorder="1" applyAlignment="1">
      <alignment horizontal="center"/>
    </xf>
    <xf numFmtId="0" fontId="17" fillId="9" borderId="0" xfId="18" applyBorder="1" applyAlignment="1">
      <alignment horizontal="left"/>
    </xf>
    <xf numFmtId="0" fontId="0" fillId="18" borderId="10" xfId="27" applyFont="1" applyBorder="1" applyAlignment="1">
      <alignment vertical="center"/>
    </xf>
    <xf numFmtId="0" fontId="0" fillId="18" borderId="10" xfId="27" applyFont="1" applyBorder="1" applyAlignment="1">
      <alignment horizontal="center" vertical="center"/>
    </xf>
    <xf numFmtId="0" fontId="1" fillId="18" borderId="10" xfId="27" applyBorder="1" applyAlignment="1">
      <alignment horizontal="left" vertical="center"/>
    </xf>
    <xf numFmtId="0" fontId="0" fillId="18" borderId="12" xfId="27" applyFont="1" applyBorder="1" applyAlignment="1">
      <alignment vertical="center"/>
    </xf>
    <xf numFmtId="0" fontId="17" fillId="0" borderId="0" xfId="0" applyFont="1"/>
    <xf numFmtId="0" fontId="96" fillId="9" borderId="0" xfId="18" applyFont="1" applyBorder="1" applyAlignment="1">
      <alignment horizontal="left" vertical="top"/>
    </xf>
    <xf numFmtId="0" fontId="97" fillId="17" borderId="0" xfId="26" applyFont="1" applyBorder="1" applyAlignment="1">
      <alignment horizontal="left" vertical="top"/>
    </xf>
    <xf numFmtId="0" fontId="0" fillId="18" borderId="11" xfId="27" applyFont="1" applyBorder="1" applyAlignment="1">
      <alignment vertical="center"/>
    </xf>
    <xf numFmtId="0" fontId="0" fillId="14" borderId="13" xfId="23" applyFont="1" applyBorder="1" applyAlignment="1">
      <alignment horizontal="left" vertical="center"/>
    </xf>
    <xf numFmtId="0" fontId="1" fillId="18" borderId="15" xfId="27" applyBorder="1" applyAlignment="1">
      <alignment horizontal="center" vertical="center"/>
    </xf>
    <xf numFmtId="0" fontId="1" fillId="18" borderId="15" xfId="27" applyBorder="1" applyAlignment="1">
      <alignment vertical="center"/>
    </xf>
    <xf numFmtId="0" fontId="1" fillId="10" borderId="27" xfId="19" applyBorder="1" applyAlignment="1">
      <alignment horizontal="left" vertical="center"/>
    </xf>
    <xf numFmtId="0" fontId="0" fillId="10" borderId="14" xfId="19" applyFont="1" applyBorder="1" applyAlignment="1">
      <alignment horizontal="left" vertical="center"/>
    </xf>
    <xf numFmtId="0" fontId="91" fillId="12" borderId="29" xfId="21" applyFont="1" applyBorder="1" applyAlignment="1">
      <alignment vertical="top" wrapText="1"/>
    </xf>
    <xf numFmtId="0" fontId="0" fillId="10" borderId="27" xfId="19" applyFont="1" applyBorder="1" applyAlignment="1">
      <alignment horizontal="left" vertical="center"/>
    </xf>
    <xf numFmtId="0" fontId="0" fillId="57" borderId="28" xfId="0" applyFill="1" applyBorder="1" applyAlignment="1">
      <alignment horizontal="center" vertical="center"/>
    </xf>
    <xf numFmtId="0" fontId="17" fillId="12" borderId="31" xfId="21" applyBorder="1" applyAlignment="1">
      <alignment vertical="top" wrapText="1"/>
    </xf>
    <xf numFmtId="0" fontId="1" fillId="10" borderId="32" xfId="19" applyBorder="1" applyAlignment="1">
      <alignment horizontal="left" vertical="center"/>
    </xf>
    <xf numFmtId="0" fontId="17" fillId="12" borderId="33" xfId="21" applyBorder="1" applyAlignment="1">
      <alignment vertical="top" wrapText="1"/>
    </xf>
    <xf numFmtId="0" fontId="1" fillId="10" borderId="34" xfId="19" applyBorder="1" applyAlignment="1">
      <alignment horizontal="left" vertical="center"/>
    </xf>
    <xf numFmtId="0" fontId="0" fillId="10" borderId="34" xfId="19" applyFont="1" applyBorder="1" applyAlignment="1">
      <alignment horizontal="left" vertical="center"/>
    </xf>
    <xf numFmtId="0" fontId="1" fillId="14" borderId="36" xfId="23" applyBorder="1" applyAlignment="1">
      <alignment horizontal="left" vertical="center"/>
    </xf>
    <xf numFmtId="0" fontId="0" fillId="14" borderId="36" xfId="23" applyFont="1" applyBorder="1" applyAlignment="1">
      <alignment horizontal="left" vertical="center"/>
    </xf>
    <xf numFmtId="0" fontId="0" fillId="0" borderId="38" xfId="0" applyBorder="1" applyAlignment="1">
      <alignment horizontal="center" vertical="center"/>
    </xf>
    <xf numFmtId="0" fontId="0" fillId="0" borderId="37" xfId="0" applyBorder="1" applyAlignment="1">
      <alignment horizontal="center" vertical="center"/>
    </xf>
    <xf numFmtId="0" fontId="93" fillId="20" borderId="46" xfId="29" applyFont="1" applyBorder="1" applyAlignment="1">
      <alignment horizontal="left" vertical="center"/>
    </xf>
    <xf numFmtId="0" fontId="1" fillId="18" borderId="47" xfId="27" applyBorder="1" applyAlignment="1">
      <alignment horizontal="center" vertical="center"/>
    </xf>
    <xf numFmtId="0" fontId="1" fillId="18" borderId="48" xfId="27" applyBorder="1" applyAlignment="1">
      <alignment vertical="center"/>
    </xf>
    <xf numFmtId="0" fontId="0" fillId="57" borderId="48" xfId="0" applyFill="1" applyBorder="1" applyAlignment="1">
      <alignment horizontal="center" vertical="center"/>
    </xf>
    <xf numFmtId="0" fontId="0" fillId="57" borderId="47" xfId="0" applyFill="1" applyBorder="1" applyAlignment="1">
      <alignment horizontal="center" vertical="center"/>
    </xf>
    <xf numFmtId="0" fontId="1" fillId="18" borderId="48" xfId="27" applyBorder="1" applyAlignment="1">
      <alignment horizontal="center" vertical="center"/>
    </xf>
    <xf numFmtId="0" fontId="0" fillId="0" borderId="48" xfId="0" applyBorder="1" applyAlignment="1">
      <alignment horizontal="center" vertical="center"/>
    </xf>
    <xf numFmtId="0" fontId="0" fillId="18" borderId="48" xfId="27" applyFont="1" applyBorder="1" applyAlignment="1">
      <alignment vertical="center"/>
    </xf>
    <xf numFmtId="0" fontId="1" fillId="18" borderId="48" xfId="27" applyBorder="1" applyAlignment="1">
      <alignment horizontal="left" vertical="center"/>
    </xf>
    <xf numFmtId="0" fontId="0" fillId="0" borderId="49" xfId="0" applyBorder="1" applyAlignment="1">
      <alignment horizontal="center" vertical="center"/>
    </xf>
    <xf numFmtId="0" fontId="1" fillId="18" borderId="49" xfId="27" applyBorder="1" applyAlignment="1">
      <alignment vertical="center"/>
    </xf>
    <xf numFmtId="0" fontId="0" fillId="18" borderId="48" xfId="27" applyFont="1" applyBorder="1" applyAlignment="1">
      <alignment horizontal="center" vertical="center"/>
    </xf>
    <xf numFmtId="0" fontId="0" fillId="57" borderId="49" xfId="0" applyFill="1" applyBorder="1" applyAlignment="1">
      <alignment horizontal="center" vertical="center"/>
    </xf>
    <xf numFmtId="0" fontId="17" fillId="20" borderId="51" xfId="29" applyBorder="1" applyAlignment="1">
      <alignment horizontal="left" vertical="center"/>
    </xf>
    <xf numFmtId="0" fontId="1" fillId="18" borderId="50" xfId="27" applyBorder="1" applyAlignment="1">
      <alignment horizontal="center" vertical="center"/>
    </xf>
    <xf numFmtId="0" fontId="1" fillId="18" borderId="52" xfId="27" applyBorder="1" applyAlignment="1">
      <alignment vertical="center"/>
    </xf>
    <xf numFmtId="0" fontId="1" fillId="18" borderId="52" xfId="27" applyBorder="1" applyAlignment="1">
      <alignment horizontal="center" vertical="center"/>
    </xf>
    <xf numFmtId="0" fontId="0" fillId="0" borderId="52" xfId="0" applyBorder="1" applyAlignment="1">
      <alignment horizontal="center" vertical="center"/>
    </xf>
    <xf numFmtId="0" fontId="1" fillId="14" borderId="53" xfId="23" applyBorder="1" applyAlignment="1">
      <alignment horizontal="left" vertical="center"/>
    </xf>
    <xf numFmtId="0" fontId="0" fillId="0" borderId="54" xfId="0" applyBorder="1" applyAlignment="1">
      <alignment horizontal="center" vertical="center"/>
    </xf>
    <xf numFmtId="10" fontId="0" fillId="0" borderId="54" xfId="0" applyNumberFormat="1" applyBorder="1" applyAlignment="1">
      <alignment horizontal="center" vertical="center"/>
    </xf>
    <xf numFmtId="10" fontId="0" fillId="0" borderId="12" xfId="0" applyNumberFormat="1" applyBorder="1" applyAlignment="1">
      <alignment horizontal="center" vertical="center"/>
    </xf>
    <xf numFmtId="0" fontId="0" fillId="58" borderId="10" xfId="0" applyFill="1" applyBorder="1" applyAlignment="1">
      <alignment horizontal="center" vertical="center"/>
    </xf>
    <xf numFmtId="0" fontId="0" fillId="58" borderId="12" xfId="0" applyFill="1" applyBorder="1" applyAlignment="1">
      <alignment horizontal="center" vertical="center"/>
    </xf>
    <xf numFmtId="0" fontId="0" fillId="14" borderId="14" xfId="23" applyFont="1" applyBorder="1" applyAlignment="1">
      <alignment horizontal="left" vertical="center"/>
    </xf>
    <xf numFmtId="10" fontId="0" fillId="0" borderId="10" xfId="0" applyNumberFormat="1" applyBorder="1" applyAlignment="1">
      <alignment horizontal="center" vertical="center"/>
    </xf>
    <xf numFmtId="2" fontId="0" fillId="0" borderId="0" xfId="0" applyNumberFormat="1"/>
    <xf numFmtId="10" fontId="0" fillId="0" borderId="11" xfId="0" applyNumberFormat="1" applyBorder="1" applyAlignment="1">
      <alignment horizontal="center" vertical="center"/>
    </xf>
    <xf numFmtId="2" fontId="0" fillId="0" borderId="15" xfId="0" applyNumberFormat="1" applyBorder="1" applyAlignment="1">
      <alignment horizontal="center" vertical="center"/>
    </xf>
    <xf numFmtId="0" fontId="0" fillId="58" borderId="58" xfId="0" applyFill="1"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14" borderId="57" xfId="23" applyFont="1" applyBorder="1" applyAlignment="1">
      <alignment horizontal="left" vertical="center"/>
    </xf>
    <xf numFmtId="0" fontId="0" fillId="58" borderId="0" xfId="0" applyFill="1" applyAlignment="1">
      <alignment horizontal="center" vertical="center"/>
    </xf>
    <xf numFmtId="0" fontId="0" fillId="10" borderId="0" xfId="19" applyFont="1" applyBorder="1" applyAlignment="1">
      <alignment horizontal="left" vertical="center"/>
    </xf>
    <xf numFmtId="0" fontId="94" fillId="0" borderId="0" xfId="0" applyFont="1"/>
    <xf numFmtId="0" fontId="103" fillId="0" borderId="0" xfId="0" applyFont="1" applyAlignment="1">
      <alignment horizontal="justify" vertical="center"/>
    </xf>
    <xf numFmtId="0" fontId="103" fillId="0" borderId="0" xfId="0" applyFont="1" applyAlignment="1">
      <alignment horizontal="left" vertical="center" wrapText="1"/>
    </xf>
    <xf numFmtId="0" fontId="0" fillId="0" borderId="0" xfId="0" applyAlignment="1">
      <alignment horizontal="left" wrapText="1"/>
    </xf>
    <xf numFmtId="0" fontId="0" fillId="0" borderId="0" xfId="0" applyAlignment="1">
      <alignment horizontal="center" vertical="center"/>
    </xf>
    <xf numFmtId="0" fontId="105" fillId="0" borderId="0" xfId="0" applyFont="1" applyAlignment="1">
      <alignment horizontal="left" vertical="center" wrapText="1"/>
    </xf>
    <xf numFmtId="0" fontId="104" fillId="0" borderId="10" xfId="0" applyFont="1" applyBorder="1" applyAlignment="1">
      <alignment horizontal="center" vertical="center" wrapText="1"/>
    </xf>
    <xf numFmtId="0" fontId="17" fillId="9" borderId="0" xfId="18" applyBorder="1" applyAlignment="1">
      <alignment horizontal="center" wrapText="1"/>
    </xf>
    <xf numFmtId="0" fontId="1" fillId="14" borderId="13" xfId="23" applyBorder="1" applyAlignment="1">
      <alignment horizontal="left" vertical="center" wrapText="1"/>
    </xf>
    <xf numFmtId="0" fontId="94" fillId="12" borderId="0" xfId="21" applyFont="1" applyBorder="1" applyAlignment="1">
      <alignment vertical="center" wrapText="1"/>
    </xf>
    <xf numFmtId="0" fontId="0" fillId="0" borderId="10" xfId="0" applyBorder="1" applyAlignment="1">
      <alignment horizontal="left" vertical="center" wrapText="1"/>
    </xf>
    <xf numFmtId="0" fontId="1" fillId="14" borderId="61" xfId="23" applyBorder="1" applyAlignment="1">
      <alignment horizontal="left" vertical="center"/>
    </xf>
    <xf numFmtId="0" fontId="0" fillId="57" borderId="62" xfId="0" applyFill="1" applyBorder="1" applyAlignment="1">
      <alignment horizontal="center" vertical="center"/>
    </xf>
    <xf numFmtId="0" fontId="0" fillId="57" borderId="63" xfId="0" applyFill="1" applyBorder="1" applyAlignment="1">
      <alignment horizontal="center" vertical="center"/>
    </xf>
    <xf numFmtId="200" fontId="0" fillId="57" borderId="12" xfId="0" applyNumberFormat="1" applyFill="1" applyBorder="1" applyAlignment="1">
      <alignment horizontal="center" vertical="center"/>
    </xf>
    <xf numFmtId="199" fontId="0" fillId="57" borderId="62" xfId="0" applyNumberFormat="1" applyFill="1" applyBorder="1" applyAlignment="1">
      <alignment horizontal="center" vertical="center"/>
    </xf>
    <xf numFmtId="0" fontId="0" fillId="58" borderId="0" xfId="0" applyFill="1"/>
    <xf numFmtId="0" fontId="107" fillId="0" borderId="0" xfId="0" applyFont="1"/>
    <xf numFmtId="0" fontId="0" fillId="57" borderId="41" xfId="0" applyFill="1" applyBorder="1" applyAlignment="1">
      <alignment horizontal="center" vertical="center"/>
    </xf>
    <xf numFmtId="1" fontId="1" fillId="10" borderId="14" xfId="19" applyNumberFormat="1" applyBorder="1" applyAlignment="1">
      <alignment horizontal="center" vertical="center"/>
    </xf>
    <xf numFmtId="10" fontId="1" fillId="10" borderId="13" xfId="19" applyNumberFormat="1" applyBorder="1" applyAlignment="1">
      <alignment horizontal="center" vertical="center"/>
    </xf>
    <xf numFmtId="0" fontId="1" fillId="10" borderId="13" xfId="19" applyBorder="1" applyAlignment="1">
      <alignment horizontal="center" vertical="center"/>
    </xf>
    <xf numFmtId="0" fontId="0" fillId="10" borderId="13" xfId="19" applyFont="1" applyBorder="1" applyAlignment="1">
      <alignment horizontal="center" vertical="center"/>
    </xf>
    <xf numFmtId="0" fontId="0" fillId="10" borderId="27" xfId="19" applyFont="1" applyBorder="1" applyAlignment="1">
      <alignment horizontal="center" vertical="center"/>
    </xf>
    <xf numFmtId="0" fontId="1" fillId="10" borderId="14" xfId="19" applyBorder="1" applyAlignment="1">
      <alignment horizontal="center" vertical="center"/>
    </xf>
    <xf numFmtId="0" fontId="0" fillId="10" borderId="14" xfId="19" applyFont="1" applyBorder="1" applyAlignment="1">
      <alignment horizontal="center" vertical="center"/>
    </xf>
    <xf numFmtId="0" fontId="1" fillId="10" borderId="27" xfId="19" applyBorder="1" applyAlignment="1">
      <alignment horizontal="center" vertical="center"/>
    </xf>
    <xf numFmtId="0" fontId="1" fillId="10" borderId="32" xfId="19" applyBorder="1" applyAlignment="1">
      <alignment horizontal="center" vertical="center"/>
    </xf>
    <xf numFmtId="0" fontId="1" fillId="10" borderId="34" xfId="19" applyBorder="1" applyAlignment="1">
      <alignment horizontal="center" vertical="center"/>
    </xf>
    <xf numFmtId="2" fontId="0" fillId="0" borderId="11" xfId="0" applyNumberFormat="1" applyBorder="1" applyAlignment="1">
      <alignment horizontal="center" vertical="center"/>
    </xf>
    <xf numFmtId="2" fontId="1" fillId="10" borderId="14" xfId="19" applyNumberFormat="1" applyBorder="1" applyAlignment="1">
      <alignment horizontal="center" vertical="center"/>
    </xf>
    <xf numFmtId="200" fontId="0" fillId="14" borderId="14" xfId="23" applyNumberFormat="1" applyFont="1" applyBorder="1" applyAlignment="1">
      <alignment horizontal="center" vertical="center"/>
    </xf>
    <xf numFmtId="0" fontId="1" fillId="14" borderId="13" xfId="23" applyBorder="1" applyAlignment="1">
      <alignment horizontal="center" vertical="center"/>
    </xf>
    <xf numFmtId="199" fontId="1" fillId="14" borderId="61" xfId="23" applyNumberFormat="1" applyBorder="1" applyAlignment="1">
      <alignment horizontal="center" vertical="center"/>
    </xf>
    <xf numFmtId="0" fontId="1" fillId="14" borderId="14" xfId="23" applyBorder="1" applyAlignment="1">
      <alignment horizontal="center" vertical="center"/>
    </xf>
    <xf numFmtId="0" fontId="0" fillId="14" borderId="57" xfId="23" applyFont="1" applyBorder="1" applyAlignment="1">
      <alignment horizontal="center" vertical="center"/>
    </xf>
    <xf numFmtId="0" fontId="1" fillId="14" borderId="36" xfId="23" applyBorder="1" applyAlignment="1">
      <alignment horizontal="center" vertical="center"/>
    </xf>
    <xf numFmtId="10" fontId="1" fillId="14" borderId="14" xfId="23" applyNumberFormat="1" applyBorder="1" applyAlignment="1">
      <alignment horizontal="center" vertical="center"/>
    </xf>
    <xf numFmtId="10" fontId="1" fillId="14" borderId="13" xfId="23" applyNumberFormat="1" applyBorder="1" applyAlignment="1">
      <alignment horizontal="center" vertical="center"/>
    </xf>
    <xf numFmtId="10" fontId="1" fillId="14" borderId="53" xfId="23" applyNumberFormat="1" applyBorder="1" applyAlignment="1">
      <alignment horizontal="center" vertical="center"/>
    </xf>
    <xf numFmtId="0" fontId="94" fillId="0" borderId="10" xfId="0" applyFont="1" applyBorder="1" applyAlignment="1">
      <alignment horizontal="left" vertical="center" wrapText="1"/>
    </xf>
    <xf numFmtId="0" fontId="16" fillId="14" borderId="13" xfId="23" applyFont="1" applyBorder="1" applyAlignment="1">
      <alignment horizontal="left" vertical="center"/>
    </xf>
    <xf numFmtId="0" fontId="16" fillId="10" borderId="27" xfId="19" applyFont="1" applyBorder="1" applyAlignment="1">
      <alignment horizontal="left" vertical="center"/>
    </xf>
    <xf numFmtId="0" fontId="1" fillId="10" borderId="26" xfId="19" applyBorder="1" applyAlignment="1">
      <alignment horizontal="left" vertical="center"/>
    </xf>
    <xf numFmtId="0" fontId="16" fillId="18" borderId="11" xfId="27" applyFont="1" applyBorder="1" applyAlignment="1">
      <alignment horizontal="center" vertical="center"/>
    </xf>
    <xf numFmtId="0" fontId="16" fillId="10" borderId="13" xfId="19" applyFont="1" applyBorder="1" applyAlignment="1">
      <alignment horizontal="left" vertical="center"/>
    </xf>
    <xf numFmtId="0" fontId="0" fillId="10" borderId="13" xfId="19" applyFont="1" applyBorder="1" applyAlignment="1">
      <alignment horizontal="left" vertical="center" wrapText="1"/>
    </xf>
    <xf numFmtId="0" fontId="16" fillId="18" borderId="47" xfId="27" applyFont="1" applyBorder="1" applyAlignment="1">
      <alignment horizontal="center" vertical="center"/>
    </xf>
    <xf numFmtId="0" fontId="16" fillId="18" borderId="48" xfId="27" applyFont="1" applyBorder="1" applyAlignment="1">
      <alignment horizontal="center" vertical="center"/>
    </xf>
    <xf numFmtId="0" fontId="0" fillId="58" borderId="28" xfId="0" applyFill="1" applyBorder="1" applyAlignment="1">
      <alignment horizontal="center" vertical="center"/>
    </xf>
    <xf numFmtId="0" fontId="16" fillId="18" borderId="10" xfId="27" applyFont="1" applyBorder="1" applyAlignment="1">
      <alignment horizontal="center" vertical="center"/>
    </xf>
    <xf numFmtId="0" fontId="16" fillId="10" borderId="57" xfId="19" applyFont="1" applyBorder="1" applyAlignment="1">
      <alignment horizontal="left" vertical="center"/>
    </xf>
    <xf numFmtId="0" fontId="1" fillId="14" borderId="57" xfId="23" applyBorder="1" applyAlignment="1">
      <alignment horizontal="left" vertical="center"/>
    </xf>
    <xf numFmtId="202" fontId="1" fillId="10" borderId="14" xfId="19" applyNumberFormat="1" applyBorder="1" applyAlignment="1">
      <alignment horizontal="center" vertical="center"/>
    </xf>
    <xf numFmtId="202" fontId="1" fillId="10" borderId="13" xfId="19" applyNumberFormat="1" applyBorder="1" applyAlignment="1">
      <alignment horizontal="center" vertical="center"/>
    </xf>
    <xf numFmtId="202" fontId="1" fillId="10" borderId="27" xfId="19" applyNumberFormat="1" applyBorder="1" applyAlignment="1">
      <alignment horizontal="center" vertical="center"/>
    </xf>
    <xf numFmtId="202" fontId="1" fillId="10" borderId="34" xfId="19" applyNumberFormat="1" applyBorder="1" applyAlignment="1">
      <alignment horizontal="center" vertical="center"/>
    </xf>
    <xf numFmtId="202" fontId="1" fillId="10" borderId="32" xfId="19" applyNumberFormat="1" applyBorder="1" applyAlignment="1">
      <alignment horizontal="center" vertical="center"/>
    </xf>
    <xf numFmtId="0" fontId="1" fillId="10" borderId="25" xfId="19" applyBorder="1" applyAlignment="1">
      <alignment horizontal="left" vertical="center"/>
    </xf>
    <xf numFmtId="0" fontId="1" fillId="10" borderId="64" xfId="19" applyBorder="1" applyAlignment="1">
      <alignment horizontal="left" vertical="center"/>
    </xf>
    <xf numFmtId="0" fontId="113" fillId="0" borderId="0" xfId="0" applyFont="1"/>
    <xf numFmtId="0" fontId="0" fillId="10" borderId="64" xfId="19" applyFont="1" applyBorder="1" applyAlignment="1">
      <alignment horizontal="left" vertical="center"/>
    </xf>
    <xf numFmtId="0" fontId="0" fillId="0" borderId="0" xfId="0" applyAlignment="1">
      <alignment vertical="center"/>
    </xf>
    <xf numFmtId="0" fontId="17" fillId="12" borderId="0" xfId="21" applyBorder="1" applyAlignment="1">
      <alignment vertical="top" wrapText="1"/>
    </xf>
    <xf numFmtId="2" fontId="0" fillId="10" borderId="57" xfId="19" applyNumberFormat="1" applyFont="1" applyBorder="1" applyAlignment="1">
      <alignment horizontal="center" vertical="center"/>
    </xf>
    <xf numFmtId="0" fontId="17" fillId="32" borderId="0" xfId="41" applyBorder="1" applyAlignment="1">
      <alignment vertical="center"/>
    </xf>
    <xf numFmtId="0" fontId="17" fillId="0" borderId="0" xfId="0" applyFont="1" applyAlignment="1">
      <alignment vertical="top"/>
    </xf>
    <xf numFmtId="0" fontId="17" fillId="29" borderId="0" xfId="38" applyBorder="1" applyAlignment="1">
      <alignment vertical="top"/>
    </xf>
    <xf numFmtId="0" fontId="17" fillId="32" borderId="39" xfId="41" applyBorder="1" applyAlignment="1">
      <alignment vertical="center"/>
    </xf>
    <xf numFmtId="0" fontId="17" fillId="32" borderId="43" xfId="41" applyBorder="1" applyAlignment="1">
      <alignment vertical="center"/>
    </xf>
    <xf numFmtId="0" fontId="1" fillId="58" borderId="0" xfId="39" applyFill="1" applyBorder="1" applyAlignment="1">
      <alignment horizontal="center" vertical="center"/>
    </xf>
    <xf numFmtId="0" fontId="17" fillId="12" borderId="29" xfId="21" applyBorder="1" applyAlignment="1">
      <alignment vertical="top" wrapText="1"/>
    </xf>
    <xf numFmtId="0" fontId="1" fillId="10" borderId="66" xfId="19" applyBorder="1" applyAlignment="1">
      <alignment horizontal="center" vertical="center"/>
    </xf>
    <xf numFmtId="0" fontId="1" fillId="10" borderId="66" xfId="19" applyBorder="1" applyAlignment="1">
      <alignment horizontal="left" vertical="center"/>
    </xf>
    <xf numFmtId="0" fontId="0" fillId="0" borderId="67" xfId="0" applyBorder="1" applyAlignment="1">
      <alignment horizontal="center" vertical="center"/>
    </xf>
    <xf numFmtId="0" fontId="0" fillId="0" borderId="28" xfId="0" applyBorder="1" applyAlignment="1">
      <alignment horizontal="center" vertical="center"/>
    </xf>
    <xf numFmtId="0" fontId="91" fillId="12" borderId="68" xfId="21" applyFont="1" applyBorder="1" applyAlignment="1">
      <alignment vertical="top" wrapText="1"/>
    </xf>
    <xf numFmtId="0" fontId="1" fillId="10" borderId="69" xfId="19" applyBorder="1" applyAlignment="1">
      <alignment horizontal="center" vertical="center"/>
    </xf>
    <xf numFmtId="0" fontId="1" fillId="10" borderId="70" xfId="19" applyBorder="1" applyAlignment="1">
      <alignment horizontal="center" vertical="center"/>
    </xf>
    <xf numFmtId="2" fontId="0" fillId="10" borderId="14" xfId="19" applyNumberFormat="1" applyFont="1" applyBorder="1" applyAlignment="1">
      <alignment horizontal="center" vertical="center"/>
    </xf>
    <xf numFmtId="2" fontId="1" fillId="10" borderId="66" xfId="19" applyNumberFormat="1" applyBorder="1" applyAlignment="1">
      <alignment horizontal="center" vertical="center"/>
    </xf>
    <xf numFmtId="0" fontId="17" fillId="29" borderId="0" xfId="38" applyBorder="1" applyAlignment="1"/>
    <xf numFmtId="0" fontId="17" fillId="9" borderId="71" xfId="18" applyBorder="1" applyAlignment="1">
      <alignment horizontal="center"/>
    </xf>
    <xf numFmtId="0" fontId="0" fillId="0" borderId="30" xfId="0" applyBorder="1" applyAlignment="1">
      <alignment horizontal="center" vertical="center"/>
    </xf>
    <xf numFmtId="0" fontId="0" fillId="0" borderId="35" xfId="0" applyBorder="1" applyAlignment="1">
      <alignment horizontal="center" vertical="center"/>
    </xf>
    <xf numFmtId="0" fontId="0" fillId="0" borderId="72" xfId="0" applyBorder="1" applyAlignment="1">
      <alignment horizontal="center" vertical="center"/>
    </xf>
    <xf numFmtId="0" fontId="0" fillId="0" borderId="73" xfId="0" applyBorder="1" applyAlignment="1">
      <alignment horizontal="center" vertical="center"/>
    </xf>
    <xf numFmtId="0" fontId="0" fillId="0" borderId="74" xfId="0" applyBorder="1" applyAlignment="1">
      <alignment horizontal="center" vertical="center"/>
    </xf>
    <xf numFmtId="0" fontId="0" fillId="57" borderId="73" xfId="0" applyFill="1" applyBorder="1" applyAlignment="1">
      <alignment horizontal="center" vertical="center"/>
    </xf>
    <xf numFmtId="0" fontId="0" fillId="57" borderId="75" xfId="0" applyFill="1" applyBorder="1" applyAlignment="1">
      <alignment horizontal="center" vertical="center"/>
    </xf>
    <xf numFmtId="0" fontId="0" fillId="0" borderId="75" xfId="0" applyBorder="1" applyAlignment="1">
      <alignment horizontal="center" vertical="center"/>
    </xf>
    <xf numFmtId="0" fontId="0" fillId="57" borderId="72" xfId="0" applyFill="1" applyBorder="1" applyAlignment="1">
      <alignment horizontal="center" vertical="center"/>
    </xf>
    <xf numFmtId="0" fontId="0" fillId="58" borderId="75" xfId="0" applyFill="1"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1" fontId="1" fillId="10" borderId="14" xfId="19" applyNumberFormat="1" applyBorder="1" applyAlignment="1">
      <alignment horizontal="left" vertical="center"/>
    </xf>
    <xf numFmtId="10" fontId="1" fillId="10" borderId="13" xfId="19" applyNumberFormat="1" applyBorder="1" applyAlignment="1">
      <alignment horizontal="left" vertical="center"/>
    </xf>
    <xf numFmtId="2" fontId="0" fillId="10" borderId="14" xfId="19" applyNumberFormat="1" applyFont="1" applyBorder="1" applyAlignment="1">
      <alignment horizontal="left" vertical="center"/>
    </xf>
    <xf numFmtId="202" fontId="1" fillId="10" borderId="14" xfId="19" applyNumberFormat="1" applyBorder="1" applyAlignment="1">
      <alignment horizontal="left" vertical="center"/>
    </xf>
    <xf numFmtId="202" fontId="1" fillId="10" borderId="13" xfId="19" applyNumberFormat="1" applyBorder="1" applyAlignment="1">
      <alignment horizontal="left" vertical="center"/>
    </xf>
    <xf numFmtId="202" fontId="1" fillId="10" borderId="27" xfId="19" applyNumberFormat="1" applyBorder="1" applyAlignment="1">
      <alignment horizontal="left" vertical="center"/>
    </xf>
    <xf numFmtId="202" fontId="1" fillId="10" borderId="32" xfId="19" applyNumberFormat="1" applyBorder="1" applyAlignment="1">
      <alignment horizontal="left" vertical="center"/>
    </xf>
    <xf numFmtId="202" fontId="1" fillId="10" borderId="34" xfId="19" applyNumberFormat="1" applyBorder="1" applyAlignment="1">
      <alignment horizontal="left" vertical="center"/>
    </xf>
    <xf numFmtId="0" fontId="94" fillId="57" borderId="11" xfId="0" applyFont="1" applyFill="1" applyBorder="1" applyAlignment="1">
      <alignment horizontal="center" vertical="center"/>
    </xf>
    <xf numFmtId="14" fontId="0" fillId="0" borderId="67" xfId="0" applyNumberFormat="1" applyBorder="1" applyAlignment="1">
      <alignment horizontal="center" vertical="center"/>
    </xf>
    <xf numFmtId="0" fontId="0" fillId="58" borderId="11" xfId="0" applyFill="1" applyBorder="1" applyAlignment="1">
      <alignment horizontal="center" vertical="center"/>
    </xf>
    <xf numFmtId="0" fontId="0" fillId="58" borderId="73" xfId="0" applyFill="1" applyBorder="1" applyAlignment="1">
      <alignment horizontal="center" vertical="center"/>
    </xf>
    <xf numFmtId="0" fontId="0" fillId="58" borderId="15" xfId="0" applyFill="1" applyBorder="1" applyAlignment="1">
      <alignment horizontal="center" vertical="center"/>
    </xf>
    <xf numFmtId="0" fontId="0" fillId="58" borderId="72" xfId="0" applyFill="1" applyBorder="1" applyAlignment="1">
      <alignment horizontal="center" vertical="center"/>
    </xf>
    <xf numFmtId="0" fontId="16" fillId="18" borderId="59" xfId="27" applyFont="1" applyBorder="1" applyAlignment="1">
      <alignment horizontal="center" vertical="center"/>
    </xf>
    <xf numFmtId="0" fontId="1" fillId="60" borderId="12" xfId="39" applyFill="1" applyBorder="1" applyAlignment="1">
      <alignment horizontal="center" vertical="center"/>
    </xf>
    <xf numFmtId="0" fontId="1" fillId="60" borderId="12" xfId="39" applyFill="1" applyBorder="1" applyAlignment="1">
      <alignment vertical="center"/>
    </xf>
    <xf numFmtId="0" fontId="1" fillId="60" borderId="41" xfId="39" applyFill="1" applyBorder="1" applyAlignment="1">
      <alignment horizontal="center" vertical="center"/>
    </xf>
    <xf numFmtId="0" fontId="1" fillId="60" borderId="41" xfId="39" applyFill="1" applyBorder="1" applyAlignment="1">
      <alignment vertical="center"/>
    </xf>
    <xf numFmtId="0" fontId="1" fillId="60" borderId="44" xfId="39" applyFill="1" applyBorder="1" applyAlignment="1">
      <alignment horizontal="center" vertical="center"/>
    </xf>
    <xf numFmtId="0" fontId="1" fillId="60" borderId="44" xfId="39" applyFill="1" applyBorder="1" applyAlignment="1">
      <alignment vertical="center"/>
    </xf>
    <xf numFmtId="0" fontId="1" fillId="60" borderId="12" xfId="39" applyFill="1" applyBorder="1" applyAlignment="1">
      <alignment horizontal="left" vertical="center"/>
    </xf>
    <xf numFmtId="0" fontId="0" fillId="57" borderId="78" xfId="0" applyFill="1" applyBorder="1" applyAlignment="1">
      <alignment horizontal="center" vertical="center"/>
    </xf>
    <xf numFmtId="0" fontId="0" fillId="57" borderId="79" xfId="0" applyFill="1" applyBorder="1" applyAlignment="1">
      <alignment horizontal="center" vertical="center"/>
    </xf>
    <xf numFmtId="0" fontId="0" fillId="0" borderId="79" xfId="0" applyBorder="1" applyAlignment="1">
      <alignment horizontal="center" vertical="center"/>
    </xf>
    <xf numFmtId="0" fontId="0" fillId="57" borderId="80" xfId="0" applyFill="1" applyBorder="1" applyAlignment="1">
      <alignment horizontal="center" vertical="center"/>
    </xf>
    <xf numFmtId="0" fontId="0" fillId="0" borderId="78" xfId="0" applyBorder="1" applyAlignment="1">
      <alignment horizontal="center" vertical="center"/>
    </xf>
    <xf numFmtId="0" fontId="0" fillId="0" borderId="81" xfId="0" applyBorder="1" applyAlignment="1">
      <alignment horizontal="center" vertical="center"/>
    </xf>
    <xf numFmtId="0" fontId="0" fillId="0" borderId="82" xfId="0" applyBorder="1" applyAlignment="1">
      <alignment horizontal="center" vertical="center"/>
    </xf>
    <xf numFmtId="0" fontId="0" fillId="0" borderId="83" xfId="0" applyBorder="1" applyAlignment="1">
      <alignment horizontal="center" vertical="center"/>
    </xf>
    <xf numFmtId="200" fontId="0" fillId="57" borderId="15" xfId="0" applyNumberFormat="1" applyFill="1" applyBorder="1" applyAlignment="1">
      <alignment horizontal="center" vertical="center"/>
    </xf>
    <xf numFmtId="199" fontId="0" fillId="57" borderId="63" xfId="0" applyNumberFormat="1" applyFill="1" applyBorder="1" applyAlignment="1">
      <alignment horizontal="center" vertical="center"/>
    </xf>
    <xf numFmtId="0" fontId="0" fillId="58" borderId="59" xfId="0" applyFill="1" applyBorder="1" applyAlignment="1">
      <alignment horizontal="center" vertical="center"/>
    </xf>
    <xf numFmtId="10" fontId="0" fillId="0" borderId="15" xfId="0" applyNumberFormat="1" applyBorder="1" applyAlignment="1">
      <alignment horizontal="center" vertical="center"/>
    </xf>
    <xf numFmtId="10" fontId="0" fillId="0" borderId="55" xfId="0" applyNumberFormat="1" applyBorder="1" applyAlignment="1">
      <alignment horizontal="center" vertical="center"/>
    </xf>
    <xf numFmtId="0" fontId="17" fillId="13" borderId="84" xfId="22" applyBorder="1" applyAlignment="1">
      <alignment horizontal="center"/>
    </xf>
    <xf numFmtId="0" fontId="95" fillId="13" borderId="85" xfId="22" applyFont="1" applyBorder="1" applyAlignment="1">
      <alignment horizontal="left"/>
    </xf>
    <xf numFmtId="0" fontId="17" fillId="16" borderId="86" xfId="25" applyBorder="1" applyAlignment="1">
      <alignment vertical="top" wrapText="1"/>
    </xf>
    <xf numFmtId="0" fontId="92" fillId="16" borderId="86" xfId="25" applyFont="1" applyBorder="1" applyAlignment="1">
      <alignment vertical="top" wrapText="1"/>
    </xf>
    <xf numFmtId="0" fontId="92" fillId="16" borderId="87" xfId="25" applyFont="1" applyBorder="1" applyAlignment="1">
      <alignment vertical="top" wrapText="1"/>
    </xf>
    <xf numFmtId="0" fontId="92" fillId="16" borderId="88" xfId="25" applyFont="1" applyBorder="1" applyAlignment="1">
      <alignment vertical="top" wrapText="1"/>
    </xf>
    <xf numFmtId="0" fontId="92" fillId="16" borderId="89" xfId="25" applyFont="1" applyBorder="1" applyAlignment="1">
      <alignment vertical="top" wrapText="1"/>
    </xf>
    <xf numFmtId="0" fontId="0" fillId="58" borderId="60" xfId="0" applyFill="1" applyBorder="1" applyAlignment="1">
      <alignment horizontal="center" vertical="center"/>
    </xf>
    <xf numFmtId="0" fontId="0" fillId="58" borderId="40" xfId="0" applyFill="1" applyBorder="1" applyAlignment="1">
      <alignment horizontal="center" vertical="center"/>
    </xf>
    <xf numFmtId="0" fontId="0" fillId="58" borderId="44" xfId="0" applyFill="1" applyBorder="1" applyAlignment="1">
      <alignment horizontal="center" vertical="center"/>
    </xf>
    <xf numFmtId="0" fontId="0" fillId="58" borderId="41" xfId="0" applyFill="1" applyBorder="1" applyAlignment="1">
      <alignment horizontal="center" vertical="center"/>
    </xf>
    <xf numFmtId="0" fontId="1" fillId="58" borderId="41" xfId="39" applyFill="1" applyBorder="1" applyAlignment="1">
      <alignment horizontal="center" vertical="center"/>
    </xf>
    <xf numFmtId="0" fontId="0" fillId="58" borderId="45" xfId="0" applyFill="1" applyBorder="1" applyAlignment="1">
      <alignment horizontal="center" vertical="center"/>
    </xf>
    <xf numFmtId="0" fontId="0" fillId="60" borderId="12" xfId="39" applyFont="1" applyFill="1" applyBorder="1" applyAlignment="1">
      <alignment vertical="center"/>
    </xf>
    <xf numFmtId="0" fontId="17" fillId="20" borderId="46" xfId="29" applyBorder="1" applyAlignment="1">
      <alignment horizontal="left" vertical="center"/>
    </xf>
    <xf numFmtId="0" fontId="16" fillId="18" borderId="10" xfId="27" applyFont="1" applyBorder="1" applyAlignment="1">
      <alignment vertical="center"/>
    </xf>
    <xf numFmtId="0" fontId="16" fillId="18" borderId="48" xfId="27" applyFont="1" applyBorder="1" applyAlignment="1">
      <alignment vertical="center"/>
    </xf>
    <xf numFmtId="0" fontId="16" fillId="18" borderId="15" xfId="27" applyFont="1" applyBorder="1" applyAlignment="1">
      <alignment horizontal="center" vertical="center"/>
    </xf>
    <xf numFmtId="0" fontId="16" fillId="18" borderId="12" xfId="27" applyFont="1" applyBorder="1" applyAlignment="1">
      <alignment vertical="center"/>
    </xf>
    <xf numFmtId="0" fontId="16" fillId="18" borderId="12" xfId="27" applyFont="1" applyBorder="1" applyAlignment="1">
      <alignment horizontal="center" vertical="center"/>
    </xf>
    <xf numFmtId="0" fontId="0" fillId="58" borderId="74" xfId="0" applyFill="1" applyBorder="1" applyAlignment="1">
      <alignment horizontal="center" vertical="center"/>
    </xf>
    <xf numFmtId="0" fontId="0" fillId="58" borderId="76" xfId="0" applyFill="1" applyBorder="1" applyAlignment="1">
      <alignment horizontal="center" vertical="center"/>
    </xf>
    <xf numFmtId="0" fontId="0" fillId="58" borderId="77" xfId="0" applyFill="1" applyBorder="1" applyAlignment="1">
      <alignment horizontal="center" vertical="center"/>
    </xf>
    <xf numFmtId="0" fontId="0" fillId="0" borderId="60" xfId="0" applyBorder="1" applyAlignment="1">
      <alignment horizontal="center" vertical="center"/>
    </xf>
    <xf numFmtId="0" fontId="0" fillId="0" borderId="40" xfId="0" applyBorder="1" applyAlignment="1">
      <alignment horizontal="center" vertical="center"/>
    </xf>
    <xf numFmtId="0" fontId="0" fillId="0" borderId="44" xfId="0" applyBorder="1" applyAlignment="1">
      <alignment horizontal="center" vertical="center"/>
    </xf>
    <xf numFmtId="0" fontId="0" fillId="0" borderId="41" xfId="0" applyBorder="1" applyAlignment="1">
      <alignment horizontal="center" vertical="center"/>
    </xf>
    <xf numFmtId="0" fontId="0" fillId="57" borderId="40" xfId="0" applyFill="1" applyBorder="1" applyAlignment="1">
      <alignment horizontal="center" vertical="center"/>
    </xf>
    <xf numFmtId="2" fontId="17" fillId="29" borderId="0" xfId="38" applyNumberFormat="1" applyBorder="1" applyAlignment="1">
      <alignment horizontal="center"/>
    </xf>
    <xf numFmtId="2" fontId="0" fillId="0" borderId="90" xfId="0" applyNumberFormat="1" applyBorder="1" applyAlignment="1">
      <alignment horizontal="center" vertical="center"/>
    </xf>
    <xf numFmtId="2" fontId="0" fillId="0" borderId="10" xfId="0" applyNumberFormat="1" applyBorder="1" applyAlignment="1">
      <alignment horizontal="center" vertical="center"/>
    </xf>
    <xf numFmtId="0" fontId="0" fillId="0" borderId="90" xfId="0" applyBorder="1" applyAlignment="1">
      <alignment horizontal="center" vertical="center"/>
    </xf>
    <xf numFmtId="0" fontId="17" fillId="29" borderId="91" xfId="38" applyBorder="1" applyAlignment="1">
      <alignment horizontal="center"/>
    </xf>
    <xf numFmtId="0" fontId="0" fillId="0" borderId="42" xfId="0" applyBorder="1" applyAlignment="1">
      <alignment horizontal="center" vertical="center"/>
    </xf>
    <xf numFmtId="0" fontId="0" fillId="0" borderId="95" xfId="0" applyBorder="1" applyAlignment="1">
      <alignment horizontal="center" vertical="center"/>
    </xf>
    <xf numFmtId="0" fontId="0" fillId="57" borderId="90" xfId="0" applyFill="1" applyBorder="1" applyAlignment="1">
      <alignment horizontal="center" vertical="center"/>
    </xf>
    <xf numFmtId="0" fontId="0" fillId="0" borderId="65" xfId="0" applyBorder="1" applyAlignment="1">
      <alignment horizontal="center" vertical="center"/>
    </xf>
    <xf numFmtId="0" fontId="0" fillId="0" borderId="96" xfId="0" applyBorder="1" applyAlignment="1">
      <alignment horizontal="center" vertical="center"/>
    </xf>
    <xf numFmtId="0" fontId="0" fillId="57" borderId="99" xfId="0" applyFill="1" applyBorder="1" applyAlignment="1">
      <alignment horizontal="center" vertical="center"/>
    </xf>
    <xf numFmtId="0" fontId="0" fillId="0" borderId="99" xfId="0" applyBorder="1" applyAlignment="1">
      <alignment horizontal="center" vertical="center"/>
    </xf>
    <xf numFmtId="0" fontId="0" fillId="57" borderId="100" xfId="0" applyFill="1" applyBorder="1" applyAlignment="1">
      <alignment horizontal="center" vertical="center"/>
    </xf>
    <xf numFmtId="0" fontId="0" fillId="0" borderId="92" xfId="0" applyBorder="1" applyAlignment="1">
      <alignment horizontal="center" vertical="center"/>
    </xf>
    <xf numFmtId="0" fontId="0" fillId="0" borderId="101" xfId="0" applyBorder="1" applyAlignment="1">
      <alignment horizontal="center" vertical="center"/>
    </xf>
    <xf numFmtId="0" fontId="0" fillId="0" borderId="100" xfId="0" applyBorder="1" applyAlignment="1">
      <alignment horizontal="center" vertical="center"/>
    </xf>
    <xf numFmtId="0" fontId="0" fillId="0" borderId="102" xfId="0" applyBorder="1" applyAlignment="1">
      <alignment horizontal="center" vertical="center"/>
    </xf>
    <xf numFmtId="0" fontId="0" fillId="0" borderId="103" xfId="0" applyBorder="1" applyAlignment="1">
      <alignment horizontal="center" vertical="center"/>
    </xf>
    <xf numFmtId="0" fontId="0" fillId="0" borderId="94" xfId="0" applyBorder="1" applyAlignment="1">
      <alignment horizontal="center" vertical="center"/>
    </xf>
    <xf numFmtId="0" fontId="0" fillId="0" borderId="93" xfId="0" applyBorder="1" applyAlignment="1">
      <alignment horizontal="center" vertical="center"/>
    </xf>
    <xf numFmtId="0" fontId="0" fillId="0" borderId="98" xfId="0" applyBorder="1" applyAlignment="1">
      <alignment horizontal="center" vertical="center"/>
    </xf>
    <xf numFmtId="0" fontId="0" fillId="57" borderId="92" xfId="0" applyFill="1" applyBorder="1" applyAlignment="1">
      <alignment horizontal="center" vertical="center"/>
    </xf>
    <xf numFmtId="0" fontId="0" fillId="0" borderId="97" xfId="0" applyBorder="1" applyAlignment="1">
      <alignment horizontal="center" vertical="center"/>
    </xf>
    <xf numFmtId="0" fontId="0" fillId="60" borderId="44" xfId="39" applyFont="1" applyFill="1" applyBorder="1" applyAlignment="1">
      <alignment horizontal="center" vertical="center"/>
    </xf>
    <xf numFmtId="0" fontId="0" fillId="61" borderId="12" xfId="0" applyFill="1" applyBorder="1" applyAlignment="1">
      <alignment horizontal="center" vertical="center"/>
    </xf>
    <xf numFmtId="0" fontId="0" fillId="57" borderId="44" xfId="0" applyFill="1" applyBorder="1" applyAlignment="1">
      <alignment horizontal="center" vertical="center"/>
    </xf>
    <xf numFmtId="0" fontId="0" fillId="60" borderId="12" xfId="39" applyFont="1" applyFill="1" applyBorder="1" applyAlignment="1">
      <alignment horizontal="center" vertical="center"/>
    </xf>
    <xf numFmtId="0" fontId="17" fillId="9" borderId="104" xfId="18" applyBorder="1" applyAlignment="1">
      <alignment horizontal="center"/>
    </xf>
    <xf numFmtId="0" fontId="0" fillId="57" borderId="106" xfId="0" applyFill="1" applyBorder="1" applyAlignment="1">
      <alignment horizontal="center" vertical="center"/>
    </xf>
    <xf numFmtId="0" fontId="0" fillId="0" borderId="106" xfId="0" applyBorder="1" applyAlignment="1">
      <alignment horizontal="center" vertical="center"/>
    </xf>
    <xf numFmtId="0" fontId="0" fillId="0" borderId="109" xfId="0" applyBorder="1" applyAlignment="1">
      <alignment horizontal="center" vertical="center"/>
    </xf>
    <xf numFmtId="0" fontId="0" fillId="57" borderId="110" xfId="0" applyFill="1" applyBorder="1" applyAlignment="1">
      <alignment horizontal="center" vertical="center"/>
    </xf>
    <xf numFmtId="0" fontId="0" fillId="57" borderId="111" xfId="0" applyFill="1" applyBorder="1" applyAlignment="1">
      <alignment horizontal="center" vertical="center"/>
    </xf>
    <xf numFmtId="0" fontId="0" fillId="0" borderId="110" xfId="0" applyBorder="1" applyAlignment="1">
      <alignment horizontal="center" vertical="center"/>
    </xf>
    <xf numFmtId="9" fontId="0" fillId="57" borderId="107" xfId="0" applyNumberFormat="1" applyFill="1" applyBorder="1" applyAlignment="1">
      <alignment horizontal="center" vertical="center"/>
    </xf>
    <xf numFmtId="0" fontId="0" fillId="58" borderId="106" xfId="0" applyFill="1" applyBorder="1" applyAlignment="1">
      <alignment horizontal="center" vertical="center"/>
    </xf>
    <xf numFmtId="0" fontId="0" fillId="0" borderId="111" xfId="0" applyBorder="1" applyAlignment="1">
      <alignment horizontal="center" vertical="center"/>
    </xf>
    <xf numFmtId="0" fontId="0" fillId="57" borderId="109" xfId="0" applyFill="1" applyBorder="1" applyAlignment="1">
      <alignment horizontal="center" vertical="center"/>
    </xf>
    <xf numFmtId="0" fontId="0" fillId="0" borderId="113" xfId="0" applyBorder="1" applyAlignment="1">
      <alignment horizontal="center" vertical="center"/>
    </xf>
    <xf numFmtId="0" fontId="0" fillId="0" borderId="114" xfId="0" applyBorder="1" applyAlignment="1">
      <alignment horizontal="center" vertical="center"/>
    </xf>
    <xf numFmtId="203" fontId="0" fillId="57" borderId="108" xfId="0" applyNumberFormat="1" applyFill="1" applyBorder="1" applyAlignment="1">
      <alignment horizontal="center" vertical="center"/>
    </xf>
    <xf numFmtId="0" fontId="0" fillId="58" borderId="116" xfId="0" applyFill="1" applyBorder="1" applyAlignment="1">
      <alignment horizontal="center" vertical="center"/>
    </xf>
    <xf numFmtId="200" fontId="0" fillId="57" borderId="117" xfId="0" applyNumberFormat="1" applyFill="1" applyBorder="1" applyAlignment="1">
      <alignment horizontal="center" vertical="center"/>
    </xf>
    <xf numFmtId="0" fontId="0" fillId="57" borderId="118" xfId="0" applyFill="1" applyBorder="1" applyAlignment="1">
      <alignment horizontal="center" vertical="center"/>
    </xf>
    <xf numFmtId="199" fontId="0" fillId="57" borderId="119" xfId="0" applyNumberFormat="1" applyFill="1" applyBorder="1" applyAlignment="1">
      <alignment horizontal="center" vertical="center"/>
    </xf>
    <xf numFmtId="0" fontId="0" fillId="58" borderId="117" xfId="0" applyFill="1" applyBorder="1" applyAlignment="1">
      <alignment horizontal="center" vertical="center"/>
    </xf>
    <xf numFmtId="0" fontId="0" fillId="58" borderId="118" xfId="0" applyFill="1" applyBorder="1" applyAlignment="1">
      <alignment horizontal="center" vertical="center"/>
    </xf>
    <xf numFmtId="0" fontId="0" fillId="58" borderId="120" xfId="0" applyFill="1" applyBorder="1" applyAlignment="1">
      <alignment horizontal="center" vertical="center"/>
    </xf>
    <xf numFmtId="0" fontId="0" fillId="0" borderId="121" xfId="0" applyBorder="1" applyAlignment="1">
      <alignment horizontal="center" vertical="center"/>
    </xf>
    <xf numFmtId="10" fontId="0" fillId="0" borderId="117" xfId="0" applyNumberFormat="1" applyBorder="1" applyAlignment="1">
      <alignment horizontal="center" vertical="center"/>
    </xf>
    <xf numFmtId="200" fontId="0" fillId="57" borderId="122" xfId="0" applyNumberFormat="1" applyFill="1" applyBorder="1" applyAlignment="1">
      <alignment horizontal="center" vertical="center"/>
    </xf>
    <xf numFmtId="0" fontId="0" fillId="57" borderId="123" xfId="0" applyFill="1" applyBorder="1" applyAlignment="1">
      <alignment horizontal="center" vertical="center"/>
    </xf>
    <xf numFmtId="199" fontId="0" fillId="57" borderId="124" xfId="0" applyNumberFormat="1" applyFill="1" applyBorder="1" applyAlignment="1">
      <alignment horizontal="center" vertical="center"/>
    </xf>
    <xf numFmtId="0" fontId="0" fillId="58" borderId="122" xfId="0" applyFill="1" applyBorder="1" applyAlignment="1">
      <alignment horizontal="center" vertical="center"/>
    </xf>
    <xf numFmtId="0" fontId="0" fillId="58" borderId="123" xfId="0" applyFill="1" applyBorder="1" applyAlignment="1">
      <alignment horizontal="center" vertical="center"/>
    </xf>
    <xf numFmtId="0" fontId="0" fillId="58" borderId="125" xfId="0" applyFill="1" applyBorder="1" applyAlignment="1">
      <alignment horizontal="center" vertical="center"/>
    </xf>
    <xf numFmtId="0" fontId="0" fillId="0" borderId="126" xfId="0" applyBorder="1" applyAlignment="1">
      <alignment horizontal="center" vertical="center"/>
    </xf>
    <xf numFmtId="10" fontId="0" fillId="0" borderId="122" xfId="0" applyNumberFormat="1" applyBorder="1" applyAlignment="1">
      <alignment horizontal="center" vertical="center"/>
    </xf>
    <xf numFmtId="0" fontId="0" fillId="0" borderId="129" xfId="0" applyBorder="1" applyAlignment="1">
      <alignment horizontal="center" vertical="center"/>
    </xf>
    <xf numFmtId="1" fontId="0" fillId="0" borderId="128" xfId="0" applyNumberFormat="1" applyBorder="1" applyAlignment="1">
      <alignment horizontal="center" vertical="center"/>
    </xf>
    <xf numFmtId="0" fontId="0" fillId="0" borderId="128" xfId="0" applyBorder="1" applyAlignment="1">
      <alignment horizontal="center" vertical="center"/>
    </xf>
    <xf numFmtId="0" fontId="0" fillId="0" borderId="127" xfId="0" applyBorder="1" applyAlignment="1">
      <alignment vertical="center"/>
    </xf>
    <xf numFmtId="0" fontId="0" fillId="0" borderId="130" xfId="0" applyBorder="1" applyAlignment="1">
      <alignment horizontal="center" vertical="center"/>
    </xf>
    <xf numFmtId="0" fontId="0" fillId="0" borderId="127" xfId="0" applyBorder="1" applyAlignment="1">
      <alignment horizontal="center" vertical="center"/>
    </xf>
    <xf numFmtId="10" fontId="0" fillId="0" borderId="128" xfId="0" applyNumberFormat="1" applyBorder="1" applyAlignment="1">
      <alignment horizontal="center" vertical="center"/>
    </xf>
    <xf numFmtId="1" fontId="0" fillId="0" borderId="130" xfId="0" applyNumberFormat="1" applyBorder="1" applyAlignment="1">
      <alignment horizontal="center" vertical="center"/>
    </xf>
    <xf numFmtId="14" fontId="0" fillId="0" borderId="128" xfId="0" applyNumberFormat="1" applyBorder="1" applyAlignment="1">
      <alignment horizontal="center" vertical="center"/>
    </xf>
    <xf numFmtId="0" fontId="0" fillId="0" borderId="132" xfId="0" applyBorder="1" applyAlignment="1">
      <alignment horizontal="center" vertical="center"/>
    </xf>
    <xf numFmtId="0" fontId="0" fillId="57" borderId="127" xfId="0" applyFill="1" applyBorder="1" applyAlignment="1">
      <alignment horizontal="center" vertical="center"/>
    </xf>
    <xf numFmtId="0" fontId="0" fillId="0" borderId="133" xfId="0" applyBorder="1" applyAlignment="1">
      <alignment horizontal="center" vertical="center"/>
    </xf>
    <xf numFmtId="0" fontId="0" fillId="57" borderId="130" xfId="0" applyFill="1" applyBorder="1" applyAlignment="1">
      <alignment horizontal="center" vertical="center"/>
    </xf>
    <xf numFmtId="10" fontId="0" fillId="0" borderId="130" xfId="0" applyNumberFormat="1" applyBorder="1" applyAlignment="1">
      <alignment horizontal="center" vertical="center"/>
    </xf>
    <xf numFmtId="2" fontId="0" fillId="0" borderId="130" xfId="0" applyNumberFormat="1" applyBorder="1" applyAlignment="1">
      <alignment horizontal="left" vertical="center"/>
    </xf>
    <xf numFmtId="0" fontId="0" fillId="0" borderId="130" xfId="0" applyBorder="1" applyAlignment="1">
      <alignment horizontal="left" vertical="center"/>
    </xf>
    <xf numFmtId="0" fontId="0" fillId="0" borderId="131" xfId="0" applyBorder="1" applyAlignment="1">
      <alignment horizontal="left" vertical="center"/>
    </xf>
    <xf numFmtId="0" fontId="0" fillId="0" borderId="128" xfId="0" applyBorder="1" applyAlignment="1">
      <alignment horizontal="left" vertical="center"/>
    </xf>
    <xf numFmtId="202" fontId="0" fillId="57" borderId="128" xfId="0" applyNumberFormat="1" applyFill="1" applyBorder="1" applyAlignment="1">
      <alignment horizontal="center" vertical="center"/>
    </xf>
    <xf numFmtId="202" fontId="0" fillId="0" borderId="128" xfId="0" applyNumberFormat="1" applyBorder="1" applyAlignment="1">
      <alignment horizontal="center" vertical="center"/>
    </xf>
    <xf numFmtId="202" fontId="0" fillId="0" borderId="127" xfId="0" applyNumberFormat="1" applyBorder="1" applyAlignment="1">
      <alignment horizontal="center" vertical="center"/>
    </xf>
    <xf numFmtId="202" fontId="0" fillId="0" borderId="131" xfId="0" applyNumberFormat="1" applyBorder="1" applyAlignment="1">
      <alignment horizontal="center" vertical="center"/>
    </xf>
    <xf numFmtId="202" fontId="0" fillId="57" borderId="127" xfId="0" applyNumberFormat="1" applyFill="1" applyBorder="1" applyAlignment="1">
      <alignment horizontal="center" vertical="center"/>
    </xf>
    <xf numFmtId="202" fontId="0" fillId="0" borderId="130" xfId="0" applyNumberFormat="1" applyBorder="1" applyAlignment="1">
      <alignment horizontal="center" vertical="center"/>
    </xf>
    <xf numFmtId="0" fontId="0" fillId="0" borderId="134" xfId="0" applyBorder="1" applyAlignment="1">
      <alignment horizontal="center" vertical="center"/>
    </xf>
    <xf numFmtId="0" fontId="0" fillId="0" borderId="135" xfId="0" applyBorder="1" applyAlignment="1">
      <alignment horizontal="center" vertical="center"/>
    </xf>
    <xf numFmtId="0" fontId="0" fillId="57" borderId="136" xfId="0" applyFill="1" applyBorder="1" applyAlignment="1">
      <alignment horizontal="center" vertical="center"/>
    </xf>
    <xf numFmtId="0" fontId="0" fillId="57" borderId="137" xfId="0" applyFill="1" applyBorder="1" applyAlignment="1">
      <alignment horizontal="center" vertical="center"/>
    </xf>
    <xf numFmtId="0" fontId="0" fillId="0" borderId="136" xfId="0" applyBorder="1" applyAlignment="1">
      <alignment horizontal="center" vertical="center"/>
    </xf>
    <xf numFmtId="0" fontId="0" fillId="0" borderId="139" xfId="0" applyBorder="1" applyAlignment="1">
      <alignment horizontal="center" vertical="center"/>
    </xf>
    <xf numFmtId="0" fontId="0" fillId="0" borderId="138" xfId="0" applyBorder="1" applyAlignment="1">
      <alignment horizontal="center" vertical="center"/>
    </xf>
    <xf numFmtId="0" fontId="0" fillId="57" borderId="139" xfId="0" applyFill="1" applyBorder="1" applyAlignment="1">
      <alignment horizontal="center" vertical="center"/>
    </xf>
    <xf numFmtId="0" fontId="0" fillId="57" borderId="138" xfId="0" applyFill="1" applyBorder="1" applyAlignment="1">
      <alignment horizontal="center" vertical="center"/>
    </xf>
    <xf numFmtId="0" fontId="0" fillId="0" borderId="140" xfId="0" applyBorder="1" applyAlignment="1">
      <alignment horizontal="center" vertical="center"/>
    </xf>
    <xf numFmtId="0" fontId="0" fillId="0" borderId="137" xfId="0" applyBorder="1" applyAlignment="1">
      <alignment horizontal="center" vertical="center"/>
    </xf>
    <xf numFmtId="0" fontId="0" fillId="0" borderId="141" xfId="0" applyBorder="1" applyAlignment="1">
      <alignment horizontal="center" vertical="center"/>
    </xf>
    <xf numFmtId="0" fontId="0" fillId="57" borderId="140" xfId="0" applyFill="1" applyBorder="1" applyAlignment="1">
      <alignment horizontal="center" vertical="center"/>
    </xf>
    <xf numFmtId="0" fontId="0" fillId="0" borderId="142" xfId="0" applyBorder="1" applyAlignment="1">
      <alignment horizontal="center" vertical="center"/>
    </xf>
    <xf numFmtId="0" fontId="0" fillId="58" borderId="12" xfId="27" applyFont="1" applyFill="1" applyBorder="1" applyAlignment="1">
      <alignment vertical="center"/>
    </xf>
    <xf numFmtId="0" fontId="0" fillId="58" borderId="48" xfId="27" applyFont="1" applyFill="1" applyBorder="1" applyAlignment="1">
      <alignment vertical="center"/>
    </xf>
    <xf numFmtId="0" fontId="0" fillId="58" borderId="48" xfId="0" applyFill="1" applyBorder="1" applyAlignment="1">
      <alignment horizontal="center" vertical="center"/>
    </xf>
    <xf numFmtId="0" fontId="0" fillId="58" borderId="49" xfId="0" applyFill="1" applyBorder="1" applyAlignment="1">
      <alignment horizontal="center" vertical="center"/>
    </xf>
    <xf numFmtId="0" fontId="1" fillId="58" borderId="11" xfId="27" applyFill="1" applyBorder="1" applyAlignment="1">
      <alignment vertical="center"/>
    </xf>
    <xf numFmtId="0" fontId="0" fillId="0" borderId="47" xfId="0" applyBorder="1" applyAlignment="1">
      <alignment horizontal="center" vertical="center"/>
    </xf>
    <xf numFmtId="1" fontId="0" fillId="57" borderId="15" xfId="0" applyNumberFormat="1" applyFill="1" applyBorder="1" applyAlignment="1">
      <alignment horizontal="center" vertical="center"/>
    </xf>
    <xf numFmtId="0" fontId="0" fillId="0" borderId="145" xfId="0" applyBorder="1" applyAlignment="1">
      <alignment horizontal="left" vertical="center"/>
    </xf>
    <xf numFmtId="0" fontId="0" fillId="57" borderId="145" xfId="0" applyFill="1" applyBorder="1" applyAlignment="1">
      <alignment horizontal="center" vertical="center"/>
    </xf>
    <xf numFmtId="0" fontId="0" fillId="0" borderId="50" xfId="0" applyBorder="1" applyAlignment="1">
      <alignment horizontal="center" vertical="center"/>
    </xf>
    <xf numFmtId="0" fontId="17" fillId="17" borderId="150" xfId="26" applyBorder="1" applyAlignment="1">
      <alignment horizontal="center"/>
    </xf>
    <xf numFmtId="0" fontId="0" fillId="0" borderId="143" xfId="0" applyBorder="1" applyAlignment="1">
      <alignment horizontal="center" vertical="center"/>
    </xf>
    <xf numFmtId="0" fontId="0" fillId="0" borderId="144" xfId="0" applyBorder="1" applyAlignment="1">
      <alignment horizontal="center" vertical="center"/>
    </xf>
    <xf numFmtId="0" fontId="0" fillId="0" borderId="146" xfId="0" applyBorder="1" applyAlignment="1">
      <alignment horizontal="center" vertical="center"/>
    </xf>
    <xf numFmtId="0" fontId="0" fillId="57" borderId="143" xfId="0" applyFill="1" applyBorder="1" applyAlignment="1">
      <alignment horizontal="center" vertical="center"/>
    </xf>
    <xf numFmtId="0" fontId="0" fillId="57" borderId="151" xfId="0" applyFill="1" applyBorder="1" applyAlignment="1">
      <alignment horizontal="center" vertical="center"/>
    </xf>
    <xf numFmtId="0" fontId="0" fillId="0" borderId="152" xfId="0" applyBorder="1" applyAlignment="1">
      <alignment horizontal="center" vertical="center"/>
    </xf>
    <xf numFmtId="0" fontId="0" fillId="0" borderId="153" xfId="0" applyBorder="1" applyAlignment="1">
      <alignment horizontal="center" vertical="center"/>
    </xf>
    <xf numFmtId="0" fontId="0" fillId="0" borderId="147" xfId="0" applyBorder="1" applyAlignment="1">
      <alignment horizontal="center" vertical="center"/>
    </xf>
    <xf numFmtId="0" fontId="0" fillId="57" borderId="153" xfId="0" applyFill="1" applyBorder="1" applyAlignment="1">
      <alignment horizontal="center" vertical="center"/>
    </xf>
    <xf numFmtId="0" fontId="0" fillId="57" borderId="154" xfId="0" applyFill="1" applyBorder="1" applyAlignment="1">
      <alignment horizontal="center" vertical="center"/>
    </xf>
    <xf numFmtId="0" fontId="0" fillId="57" borderId="146" xfId="0" applyFill="1" applyBorder="1" applyAlignment="1">
      <alignment horizontal="center" vertical="center"/>
    </xf>
    <xf numFmtId="0" fontId="0" fillId="57" borderId="152" xfId="0" applyFill="1" applyBorder="1" applyAlignment="1">
      <alignment horizontal="center" vertical="center"/>
    </xf>
    <xf numFmtId="0" fontId="0" fillId="0" borderId="148" xfId="0" applyBorder="1" applyAlignment="1">
      <alignment horizontal="center" vertical="center"/>
    </xf>
    <xf numFmtId="0" fontId="0" fillId="57" borderId="144" xfId="0" applyFill="1" applyBorder="1" applyAlignment="1">
      <alignment horizontal="center" vertical="center"/>
    </xf>
    <xf numFmtId="0" fontId="0" fillId="57" borderId="147" xfId="0" applyFill="1" applyBorder="1" applyAlignment="1">
      <alignment horizontal="center" vertical="center"/>
    </xf>
    <xf numFmtId="9" fontId="0" fillId="0" borderId="130" xfId="0" applyNumberFormat="1" applyBorder="1" applyAlignment="1">
      <alignment horizontal="center" vertical="center"/>
    </xf>
    <xf numFmtId="9" fontId="0" fillId="0" borderId="128" xfId="0" applyNumberFormat="1" applyBorder="1" applyAlignment="1">
      <alignment horizontal="center" vertical="center"/>
    </xf>
    <xf numFmtId="9" fontId="0" fillId="57" borderId="128" xfId="0" applyNumberFormat="1" applyFill="1" applyBorder="1" applyAlignment="1">
      <alignment horizontal="center" vertical="center"/>
    </xf>
    <xf numFmtId="9" fontId="0" fillId="0" borderId="133" xfId="0" applyNumberFormat="1" applyBorder="1" applyAlignment="1">
      <alignment horizontal="center" vertical="center"/>
    </xf>
    <xf numFmtId="9" fontId="0" fillId="0" borderId="127" xfId="0" applyNumberFormat="1" applyBorder="1" applyAlignment="1">
      <alignment horizontal="center" vertical="center"/>
    </xf>
    <xf numFmtId="202" fontId="0" fillId="0" borderId="107" xfId="0" applyNumberFormat="1" applyBorder="1" applyAlignment="1">
      <alignment horizontal="center" vertical="center"/>
    </xf>
    <xf numFmtId="202" fontId="0" fillId="57" borderId="108" xfId="0" applyNumberFormat="1" applyFill="1" applyBorder="1" applyAlignment="1">
      <alignment horizontal="center" vertical="center"/>
    </xf>
    <xf numFmtId="202" fontId="0" fillId="0" borderId="105" xfId="0" applyNumberFormat="1" applyBorder="1" applyAlignment="1">
      <alignment horizontal="center" vertical="center"/>
    </xf>
    <xf numFmtId="202" fontId="0" fillId="57" borderId="107" xfId="0" applyNumberFormat="1" applyFill="1" applyBorder="1" applyAlignment="1">
      <alignment horizontal="center" vertical="center"/>
    </xf>
    <xf numFmtId="202" fontId="0" fillId="0" borderId="108" xfId="0" applyNumberFormat="1" applyBorder="1" applyAlignment="1">
      <alignment horizontal="center" vertical="center"/>
    </xf>
    <xf numFmtId="202" fontId="0" fillId="0" borderId="112" xfId="0" applyNumberFormat="1" applyBorder="1" applyAlignment="1">
      <alignment horizontal="center" vertical="center"/>
    </xf>
    <xf numFmtId="202" fontId="0" fillId="0" borderId="115" xfId="0" applyNumberFormat="1" applyBorder="1" applyAlignment="1">
      <alignment horizontal="center" vertical="center"/>
    </xf>
    <xf numFmtId="202" fontId="0" fillId="57" borderId="105" xfId="0" applyNumberFormat="1" applyFill="1" applyBorder="1" applyAlignment="1">
      <alignment horizontal="center" vertical="center"/>
    </xf>
    <xf numFmtId="0" fontId="0" fillId="58" borderId="52" xfId="0" applyFill="1" applyBorder="1" applyAlignment="1">
      <alignment horizontal="center" vertical="center"/>
    </xf>
    <xf numFmtId="9" fontId="0" fillId="0" borderId="11" xfId="0" applyNumberFormat="1" applyBorder="1" applyAlignment="1">
      <alignment horizontal="center" vertical="center"/>
    </xf>
    <xf numFmtId="9" fontId="0" fillId="0" borderId="47" xfId="0" applyNumberFormat="1" applyBorder="1" applyAlignment="1">
      <alignment horizontal="center" vertical="center"/>
    </xf>
    <xf numFmtId="0" fontId="16" fillId="18" borderId="58" xfId="27" applyFont="1" applyBorder="1" applyAlignment="1">
      <alignment vertical="center"/>
    </xf>
    <xf numFmtId="0" fontId="16" fillId="18" borderId="49" xfId="27" applyFont="1" applyBorder="1" applyAlignment="1">
      <alignment vertical="center"/>
    </xf>
    <xf numFmtId="0" fontId="0" fillId="58" borderId="130" xfId="0" applyFill="1" applyBorder="1" applyAlignment="1">
      <alignment horizontal="center" vertical="center"/>
    </xf>
    <xf numFmtId="0" fontId="0" fillId="58" borderId="102" xfId="0" applyFill="1" applyBorder="1" applyAlignment="1">
      <alignment horizontal="center" vertical="center"/>
    </xf>
    <xf numFmtId="0" fontId="0" fillId="0" borderId="155" xfId="0" applyBorder="1" applyAlignment="1">
      <alignment horizontal="center" vertical="center"/>
    </xf>
    <xf numFmtId="0" fontId="0" fillId="0" borderId="156" xfId="0" applyBorder="1" applyAlignment="1">
      <alignment horizontal="center" vertical="center"/>
    </xf>
    <xf numFmtId="0" fontId="0" fillId="0" borderId="157" xfId="0" applyBorder="1" applyAlignment="1">
      <alignment horizontal="center" vertical="center"/>
    </xf>
    <xf numFmtId="0" fontId="0" fillId="0" borderId="158" xfId="0" applyBorder="1" applyAlignment="1">
      <alignment horizontal="center" vertical="center"/>
    </xf>
    <xf numFmtId="0" fontId="0" fillId="0" borderId="159" xfId="0" applyBorder="1" applyAlignment="1">
      <alignment horizontal="center" vertical="center"/>
    </xf>
    <xf numFmtId="0" fontId="0" fillId="58" borderId="99" xfId="0" applyFill="1" applyBorder="1" applyAlignment="1">
      <alignment horizontal="center" vertical="center"/>
    </xf>
    <xf numFmtId="0" fontId="0" fillId="0" borderId="160" xfId="0" applyBorder="1" applyAlignment="1">
      <alignment horizontal="center" vertical="center"/>
    </xf>
    <xf numFmtId="0" fontId="0" fillId="0" borderId="162" xfId="0" applyBorder="1" applyAlignment="1">
      <alignment horizontal="center" vertical="center"/>
    </xf>
    <xf numFmtId="0" fontId="0" fillId="0" borderId="163" xfId="0" applyBorder="1" applyAlignment="1">
      <alignment horizontal="center" vertical="center"/>
    </xf>
    <xf numFmtId="0" fontId="0" fillId="0" borderId="164" xfId="0" applyBorder="1" applyAlignment="1">
      <alignment horizontal="center" vertical="center"/>
    </xf>
    <xf numFmtId="14" fontId="0" fillId="0" borderId="165" xfId="0" applyNumberFormat="1" applyBorder="1" applyAlignment="1">
      <alignment horizontal="center" vertical="center"/>
    </xf>
    <xf numFmtId="201" fontId="0" fillId="57" borderId="165" xfId="0" applyNumberFormat="1" applyFill="1" applyBorder="1" applyAlignment="1">
      <alignment horizontal="center" vertical="center"/>
    </xf>
    <xf numFmtId="9" fontId="0" fillId="0" borderId="164" xfId="0" applyNumberFormat="1" applyBorder="1" applyAlignment="1">
      <alignment horizontal="center" vertical="center"/>
    </xf>
    <xf numFmtId="9" fontId="0" fillId="0" borderId="163" xfId="0" applyNumberFormat="1" applyBorder="1" applyAlignment="1">
      <alignment horizontal="center" vertical="center"/>
    </xf>
    <xf numFmtId="9" fontId="0" fillId="0" borderId="165" xfId="0" applyNumberFormat="1" applyBorder="1" applyAlignment="1">
      <alignment horizontal="center" vertical="center"/>
    </xf>
    <xf numFmtId="2" fontId="0" fillId="0" borderId="161" xfId="0" applyNumberFormat="1" applyBorder="1" applyAlignment="1">
      <alignment horizontal="center" vertical="center"/>
    </xf>
    <xf numFmtId="201" fontId="0" fillId="58" borderId="162" xfId="0" applyNumberFormat="1" applyFill="1" applyBorder="1" applyAlignment="1">
      <alignment horizontal="center" vertical="center"/>
    </xf>
    <xf numFmtId="0" fontId="0" fillId="58" borderId="165" xfId="0" applyFill="1" applyBorder="1" applyAlignment="1">
      <alignment horizontal="center" vertical="center"/>
    </xf>
    <xf numFmtId="2" fontId="0" fillId="0" borderId="164" xfId="0" applyNumberFormat="1" applyBorder="1" applyAlignment="1">
      <alignment horizontal="center" vertical="center"/>
    </xf>
    <xf numFmtId="2" fontId="0" fillId="0" borderId="163" xfId="0" applyNumberFormat="1" applyBorder="1" applyAlignment="1">
      <alignment horizontal="center" vertical="center"/>
    </xf>
    <xf numFmtId="0" fontId="0" fillId="57" borderId="164" xfId="0" applyFill="1" applyBorder="1" applyAlignment="1">
      <alignment horizontal="center" vertical="center"/>
    </xf>
    <xf numFmtId="202" fontId="0" fillId="0" borderId="162" xfId="0" applyNumberFormat="1" applyBorder="1" applyAlignment="1">
      <alignment horizontal="center" vertical="center"/>
    </xf>
    <xf numFmtId="202" fontId="0" fillId="57" borderId="165" xfId="0" applyNumberFormat="1" applyFill="1" applyBorder="1" applyAlignment="1">
      <alignment horizontal="center" vertical="center"/>
    </xf>
    <xf numFmtId="9" fontId="0" fillId="57" borderId="162" xfId="0" applyNumberFormat="1" applyFill="1" applyBorder="1" applyAlignment="1">
      <alignment horizontal="center" vertical="center"/>
    </xf>
    <xf numFmtId="0" fontId="0" fillId="57" borderId="165" xfId="0" applyFill="1" applyBorder="1" applyAlignment="1">
      <alignment horizontal="center" vertical="center"/>
    </xf>
    <xf numFmtId="0" fontId="0" fillId="57" borderId="166" xfId="0" applyFill="1" applyBorder="1" applyAlignment="1">
      <alignment horizontal="center" vertical="center"/>
    </xf>
    <xf numFmtId="0" fontId="0" fillId="0" borderId="167" xfId="0" applyBorder="1" applyAlignment="1">
      <alignment horizontal="center" vertical="center"/>
    </xf>
    <xf numFmtId="0" fontId="0" fillId="0" borderId="165" xfId="0" applyBorder="1" applyAlignment="1">
      <alignment horizontal="center" vertical="center"/>
    </xf>
    <xf numFmtId="0" fontId="0" fillId="0" borderId="168" xfId="0" applyBorder="1" applyAlignment="1">
      <alignment horizontal="left" vertical="center"/>
    </xf>
    <xf numFmtId="0" fontId="0" fillId="58" borderId="71" xfId="0" applyFill="1" applyBorder="1" applyAlignment="1">
      <alignment horizontal="center" vertical="center"/>
    </xf>
    <xf numFmtId="0" fontId="0" fillId="0" borderId="169" xfId="0" applyBorder="1" applyAlignment="1">
      <alignment horizontal="left" vertical="center"/>
    </xf>
    <xf numFmtId="0" fontId="0" fillId="0" borderId="170" xfId="0" applyBorder="1" applyAlignment="1">
      <alignment horizontal="left" vertical="center"/>
    </xf>
    <xf numFmtId="2" fontId="0" fillId="57" borderId="171" xfId="0" applyNumberFormat="1" applyFill="1" applyBorder="1" applyAlignment="1">
      <alignment horizontal="center" vertical="center"/>
    </xf>
    <xf numFmtId="2" fontId="0" fillId="57" borderId="172" xfId="0" applyNumberFormat="1" applyFill="1" applyBorder="1" applyAlignment="1">
      <alignment horizontal="center" vertical="center"/>
    </xf>
    <xf numFmtId="2" fontId="1" fillId="10" borderId="32" xfId="19" applyNumberFormat="1" applyBorder="1" applyAlignment="1">
      <alignment horizontal="center" vertical="center"/>
    </xf>
    <xf numFmtId="2" fontId="0" fillId="0" borderId="173" xfId="0" applyNumberFormat="1" applyBorder="1" applyAlignment="1">
      <alignment horizontal="center" vertical="center"/>
    </xf>
    <xf numFmtId="0" fontId="0" fillId="0" borderId="174" xfId="0" applyBorder="1" applyAlignment="1">
      <alignment horizontal="center" vertical="center"/>
    </xf>
    <xf numFmtId="0" fontId="0" fillId="0" borderId="175" xfId="0" applyBorder="1" applyAlignment="1">
      <alignment horizontal="center" vertical="center"/>
    </xf>
    <xf numFmtId="0" fontId="0" fillId="0" borderId="176" xfId="0" applyBorder="1" applyAlignment="1">
      <alignment horizontal="center" vertical="center"/>
    </xf>
    <xf numFmtId="10" fontId="1" fillId="10" borderId="14" xfId="19" applyNumberFormat="1" applyBorder="1" applyAlignment="1">
      <alignment horizontal="center" vertical="center"/>
    </xf>
    <xf numFmtId="0" fontId="17" fillId="62" borderId="25" xfId="21" applyFill="1" applyBorder="1" applyAlignment="1">
      <alignment vertical="top" wrapText="1"/>
    </xf>
    <xf numFmtId="10" fontId="1" fillId="10" borderId="66" xfId="19" applyNumberFormat="1" applyBorder="1" applyAlignment="1">
      <alignment horizontal="center" vertical="center"/>
    </xf>
    <xf numFmtId="204" fontId="0" fillId="10" borderId="13" xfId="19" applyNumberFormat="1" applyFont="1" applyBorder="1" applyAlignment="1">
      <alignment horizontal="center" vertical="center"/>
    </xf>
    <xf numFmtId="204" fontId="1" fillId="10" borderId="13" xfId="19" applyNumberFormat="1" applyBorder="1" applyAlignment="1">
      <alignment horizontal="center" vertical="center"/>
    </xf>
    <xf numFmtId="204" fontId="0" fillId="10" borderId="27" xfId="19" applyNumberFormat="1" applyFont="1" applyBorder="1" applyAlignment="1">
      <alignment horizontal="center" vertical="center"/>
    </xf>
    <xf numFmtId="202" fontId="1" fillId="60" borderId="12" xfId="39" applyNumberFormat="1" applyFill="1" applyBorder="1" applyAlignment="1">
      <alignment horizontal="center" vertical="center"/>
    </xf>
    <xf numFmtId="202" fontId="1" fillId="60" borderId="41" xfId="39" applyNumberFormat="1" applyFill="1" applyBorder="1" applyAlignment="1">
      <alignment horizontal="center" vertical="center"/>
    </xf>
    <xf numFmtId="204" fontId="1" fillId="60" borderId="12" xfId="39" applyNumberFormat="1" applyFill="1" applyBorder="1" applyAlignment="1">
      <alignment horizontal="center" vertical="center"/>
    </xf>
    <xf numFmtId="204" fontId="1" fillId="60" borderId="41" xfId="39" applyNumberFormat="1" applyFill="1" applyBorder="1" applyAlignment="1">
      <alignment horizontal="center" vertical="center"/>
    </xf>
    <xf numFmtId="205" fontId="1" fillId="60" borderId="12" xfId="39" applyNumberFormat="1" applyFill="1" applyBorder="1" applyAlignment="1">
      <alignment horizontal="center" vertical="center"/>
    </xf>
    <xf numFmtId="205" fontId="1" fillId="60" borderId="41" xfId="39" applyNumberFormat="1" applyFill="1" applyBorder="1" applyAlignment="1">
      <alignment horizontal="center" vertical="center"/>
    </xf>
    <xf numFmtId="0" fontId="1" fillId="60" borderId="41" xfId="39" applyFill="1" applyBorder="1" applyAlignment="1">
      <alignment horizontal="left" vertical="center"/>
    </xf>
    <xf numFmtId="0" fontId="0" fillId="60" borderId="12" xfId="39" applyFont="1" applyFill="1" applyBorder="1" applyAlignment="1">
      <alignment horizontal="left" vertical="center"/>
    </xf>
    <xf numFmtId="205" fontId="16" fillId="18" borderId="10" xfId="27" applyNumberFormat="1" applyFont="1" applyBorder="1" applyAlignment="1">
      <alignment horizontal="center" vertical="center"/>
    </xf>
    <xf numFmtId="205" fontId="16" fillId="18" borderId="11" xfId="27" applyNumberFormat="1" applyFont="1" applyBorder="1" applyAlignment="1">
      <alignment horizontal="center" vertical="center"/>
    </xf>
    <xf numFmtId="205" fontId="16" fillId="18" borderId="47" xfId="27" applyNumberFormat="1" applyFont="1" applyBorder="1" applyAlignment="1">
      <alignment horizontal="center" vertical="center"/>
    </xf>
    <xf numFmtId="205" fontId="0" fillId="18" borderId="10" xfId="27" applyNumberFormat="1" applyFont="1" applyBorder="1" applyAlignment="1">
      <alignment horizontal="center" vertical="center"/>
    </xf>
    <xf numFmtId="205" fontId="0" fillId="18" borderId="48" xfId="27" applyNumberFormat="1" applyFont="1" applyBorder="1" applyAlignment="1">
      <alignment horizontal="center" vertical="center"/>
    </xf>
    <xf numFmtId="205" fontId="1" fillId="18" borderId="10" xfId="27" applyNumberFormat="1" applyBorder="1" applyAlignment="1">
      <alignment horizontal="center" vertical="center"/>
    </xf>
    <xf numFmtId="204" fontId="1" fillId="18" borderId="10" xfId="27" applyNumberFormat="1" applyBorder="1" applyAlignment="1">
      <alignment horizontal="center" vertical="center"/>
    </xf>
    <xf numFmtId="202" fontId="1" fillId="18" borderId="12" xfId="27" applyNumberFormat="1" applyBorder="1" applyAlignment="1">
      <alignment horizontal="center" vertical="center"/>
    </xf>
    <xf numFmtId="202" fontId="1" fillId="18" borderId="10" xfId="27" applyNumberFormat="1" applyBorder="1" applyAlignment="1">
      <alignment horizontal="center" vertical="center"/>
    </xf>
    <xf numFmtId="202" fontId="1" fillId="18" borderId="48" xfId="27" applyNumberFormat="1" applyBorder="1" applyAlignment="1">
      <alignment horizontal="center" vertical="center"/>
    </xf>
    <xf numFmtId="202" fontId="1" fillId="18" borderId="52" xfId="27" applyNumberFormat="1" applyBorder="1" applyAlignment="1">
      <alignment horizontal="center" vertical="center"/>
    </xf>
    <xf numFmtId="202" fontId="0" fillId="18" borderId="10" xfId="27" applyNumberFormat="1" applyFont="1" applyBorder="1" applyAlignment="1">
      <alignment horizontal="center" vertical="center"/>
    </xf>
    <xf numFmtId="2" fontId="1" fillId="60" borderId="44" xfId="39" applyNumberFormat="1" applyFill="1" applyBorder="1" applyAlignment="1">
      <alignment horizontal="center" vertical="center"/>
    </xf>
    <xf numFmtId="2" fontId="1" fillId="60" borderId="41" xfId="39" applyNumberFormat="1" applyFill="1" applyBorder="1" applyAlignment="1">
      <alignment horizontal="center" vertical="center"/>
    </xf>
    <xf numFmtId="2" fontId="0" fillId="57" borderId="127" xfId="0" applyNumberFormat="1" applyFill="1" applyBorder="1" applyAlignment="1">
      <alignment horizontal="center" vertical="center"/>
    </xf>
    <xf numFmtId="0" fontId="16" fillId="60" borderId="12" xfId="39" applyFont="1" applyFill="1" applyBorder="1" applyAlignment="1">
      <alignment horizontal="center" vertical="center"/>
    </xf>
    <xf numFmtId="0" fontId="16" fillId="60" borderId="12" xfId="39" applyFont="1" applyFill="1" applyBorder="1" applyAlignment="1">
      <alignment vertical="center"/>
    </xf>
    <xf numFmtId="0" fontId="16" fillId="60" borderId="41" xfId="39" applyFont="1" applyFill="1" applyBorder="1" applyAlignment="1">
      <alignment horizontal="center" vertical="center"/>
    </xf>
    <xf numFmtId="0" fontId="16" fillId="60" borderId="41" xfId="39" applyFont="1" applyFill="1" applyBorder="1" applyAlignment="1">
      <alignment vertical="center"/>
    </xf>
    <xf numFmtId="0" fontId="16" fillId="60" borderId="44" xfId="39" applyFont="1" applyFill="1" applyBorder="1" applyAlignment="1">
      <alignment horizontal="center" vertical="center"/>
    </xf>
    <xf numFmtId="0" fontId="16" fillId="60" borderId="44" xfId="39" applyFont="1" applyFill="1" applyBorder="1" applyAlignment="1">
      <alignment vertical="center"/>
    </xf>
    <xf numFmtId="10" fontId="0" fillId="0" borderId="163" xfId="0" applyNumberFormat="1" applyBorder="1" applyAlignment="1">
      <alignment horizontal="center" vertical="center"/>
    </xf>
    <xf numFmtId="0" fontId="1" fillId="10" borderId="178" xfId="19" applyBorder="1" applyAlignment="1">
      <alignment horizontal="center" vertical="center"/>
    </xf>
    <xf numFmtId="0" fontId="94" fillId="63" borderId="164" xfId="0" applyFont="1" applyFill="1" applyBorder="1" applyAlignment="1">
      <alignment horizontal="center" vertical="center"/>
    </xf>
    <xf numFmtId="0" fontId="1" fillId="60" borderId="99" xfId="39" applyFill="1" applyBorder="1" applyAlignment="1">
      <alignment horizontal="center" vertical="center"/>
    </xf>
    <xf numFmtId="0" fontId="1" fillId="60" borderId="97" xfId="39" applyFill="1" applyBorder="1" applyAlignment="1">
      <alignment horizontal="center" vertical="center"/>
    </xf>
    <xf numFmtId="0" fontId="1" fillId="60" borderId="100" xfId="39" applyFill="1" applyBorder="1" applyAlignment="1">
      <alignment horizontal="center" vertical="center"/>
    </xf>
    <xf numFmtId="0" fontId="1" fillId="60" borderId="92" xfId="39" applyFill="1" applyBorder="1" applyAlignment="1">
      <alignment horizontal="center" vertical="center"/>
    </xf>
    <xf numFmtId="0" fontId="1" fillId="60" borderId="93" xfId="39" applyFill="1" applyBorder="1" applyAlignment="1">
      <alignment horizontal="center" vertical="center"/>
    </xf>
    <xf numFmtId="0" fontId="0" fillId="0" borderId="179" xfId="0" applyBorder="1" applyAlignment="1">
      <alignment horizontal="left" vertical="center"/>
    </xf>
    <xf numFmtId="14" fontId="0" fillId="0" borderId="11" xfId="0" applyNumberFormat="1" applyBorder="1" applyAlignment="1">
      <alignment horizontal="center" vertical="center"/>
    </xf>
    <xf numFmtId="205" fontId="0" fillId="0" borderId="11" xfId="0" applyNumberFormat="1" applyBorder="1" applyAlignment="1">
      <alignment horizontal="center" vertical="center"/>
    </xf>
    <xf numFmtId="1" fontId="0" fillId="0" borderId="90" xfId="0" applyNumberFormat="1" applyBorder="1" applyAlignment="1">
      <alignment horizontal="center" vertical="center"/>
    </xf>
    <xf numFmtId="0" fontId="0" fillId="57" borderId="0" xfId="0" applyFill="1" applyAlignment="1">
      <alignment horizontal="center"/>
    </xf>
    <xf numFmtId="2" fontId="0" fillId="0" borderId="128" xfId="0" applyNumberFormat="1" applyBorder="1" applyAlignment="1">
      <alignment horizontal="center" vertical="center"/>
    </xf>
    <xf numFmtId="3" fontId="0" fillId="58" borderId="128" xfId="0" applyNumberFormat="1" applyFill="1" applyBorder="1" applyAlignment="1">
      <alignment horizontal="center" vertical="center"/>
    </xf>
    <xf numFmtId="204" fontId="0" fillId="0" borderId="11" xfId="0" applyNumberFormat="1" applyBorder="1" applyAlignment="1">
      <alignment horizontal="center" vertical="center"/>
    </xf>
    <xf numFmtId="4" fontId="0" fillId="57" borderId="149" xfId="0" applyNumberFormat="1" applyFill="1" applyBorder="1" applyAlignment="1">
      <alignment horizontal="center" vertical="center"/>
    </xf>
    <xf numFmtId="1" fontId="16" fillId="10" borderId="14" xfId="19" applyNumberFormat="1" applyFont="1" applyBorder="1" applyAlignment="1">
      <alignment horizontal="center" vertical="center"/>
    </xf>
    <xf numFmtId="1" fontId="16" fillId="10" borderId="14" xfId="19" applyNumberFormat="1" applyFont="1" applyBorder="1" applyAlignment="1">
      <alignment horizontal="left" vertical="center"/>
    </xf>
    <xf numFmtId="0" fontId="16" fillId="10" borderId="14" xfId="19" applyFont="1" applyBorder="1" applyAlignment="1">
      <alignment horizontal="center" vertical="center"/>
    </xf>
    <xf numFmtId="0" fontId="16" fillId="10" borderId="14" xfId="19" applyFont="1" applyBorder="1" applyAlignment="1">
      <alignment horizontal="left" vertical="center"/>
    </xf>
    <xf numFmtId="0" fontId="16" fillId="10" borderId="66" xfId="19" applyFont="1" applyBorder="1" applyAlignment="1">
      <alignment horizontal="center" vertical="center"/>
    </xf>
    <xf numFmtId="0" fontId="16" fillId="10" borderId="66" xfId="19" applyFont="1" applyBorder="1" applyAlignment="1">
      <alignment horizontal="left" vertical="center"/>
    </xf>
    <xf numFmtId="0" fontId="16" fillId="10" borderId="13" xfId="19" applyFont="1" applyBorder="1" applyAlignment="1">
      <alignment horizontal="center" vertical="center"/>
    </xf>
    <xf numFmtId="0" fontId="16" fillId="10" borderId="27" xfId="19" applyFont="1" applyBorder="1" applyAlignment="1">
      <alignment horizontal="center" vertical="center"/>
    </xf>
    <xf numFmtId="0" fontId="16" fillId="10" borderId="69" xfId="19" applyFont="1" applyBorder="1" applyAlignment="1">
      <alignment horizontal="center" vertical="center"/>
    </xf>
    <xf numFmtId="0" fontId="16" fillId="10" borderId="69" xfId="19" applyFont="1" applyBorder="1" applyAlignment="1">
      <alignment horizontal="left" vertical="center"/>
    </xf>
    <xf numFmtId="0" fontId="16" fillId="10" borderId="177" xfId="19" applyFont="1" applyBorder="1" applyAlignment="1">
      <alignment horizontal="center" vertical="center"/>
    </xf>
    <xf numFmtId="0" fontId="16" fillId="10" borderId="70" xfId="19" applyFont="1" applyBorder="1" applyAlignment="1">
      <alignment horizontal="center" vertical="center"/>
    </xf>
    <xf numFmtId="0" fontId="16" fillId="10" borderId="177" xfId="19" applyFont="1" applyBorder="1" applyAlignment="1">
      <alignment horizontal="left" vertical="center"/>
    </xf>
    <xf numFmtId="2" fontId="16" fillId="10" borderId="57" xfId="19" applyNumberFormat="1" applyFont="1" applyBorder="1" applyAlignment="1">
      <alignment horizontal="center" vertical="center"/>
    </xf>
    <xf numFmtId="2" fontId="16" fillId="10" borderId="57" xfId="19" applyNumberFormat="1" applyFont="1" applyBorder="1" applyAlignment="1">
      <alignment horizontal="left" vertical="center"/>
    </xf>
    <xf numFmtId="0" fontId="16" fillId="10" borderId="57" xfId="19" applyFont="1" applyBorder="1" applyAlignment="1">
      <alignment horizontal="center" vertical="center"/>
    </xf>
    <xf numFmtId="2" fontId="16" fillId="10" borderId="14" xfId="19" applyNumberFormat="1" applyFont="1" applyBorder="1" applyAlignment="1">
      <alignment horizontal="center" vertical="center"/>
    </xf>
    <xf numFmtId="2" fontId="16" fillId="10" borderId="14" xfId="19" applyNumberFormat="1" applyFont="1" applyBorder="1" applyAlignment="1">
      <alignment horizontal="left" vertical="center"/>
    </xf>
    <xf numFmtId="2" fontId="16" fillId="10" borderId="32" xfId="19" applyNumberFormat="1" applyFont="1" applyBorder="1" applyAlignment="1">
      <alignment horizontal="center" vertical="center"/>
    </xf>
    <xf numFmtId="2" fontId="16" fillId="10" borderId="32" xfId="19" applyNumberFormat="1" applyFont="1" applyBorder="1" applyAlignment="1">
      <alignment horizontal="left" vertical="center"/>
    </xf>
    <xf numFmtId="0" fontId="16" fillId="10" borderId="32" xfId="19" applyFont="1" applyBorder="1" applyAlignment="1">
      <alignment horizontal="center" vertical="center"/>
    </xf>
    <xf numFmtId="2" fontId="16" fillId="10" borderId="66" xfId="19" applyNumberFormat="1" applyFont="1" applyBorder="1" applyAlignment="1">
      <alignment horizontal="center" vertical="center"/>
    </xf>
    <xf numFmtId="2" fontId="16" fillId="10" borderId="66" xfId="19" applyNumberFormat="1" applyFont="1" applyBorder="1" applyAlignment="1">
      <alignment horizontal="left" vertical="center"/>
    </xf>
    <xf numFmtId="1" fontId="1" fillId="58" borderId="0" xfId="19" applyNumberFormat="1" applyFill="1" applyBorder="1" applyAlignment="1">
      <alignment horizontal="center" vertical="center"/>
    </xf>
    <xf numFmtId="0" fontId="1" fillId="58" borderId="0" xfId="19" applyFill="1" applyBorder="1" applyAlignment="1">
      <alignment horizontal="center" vertical="center"/>
    </xf>
    <xf numFmtId="2" fontId="1" fillId="58" borderId="0" xfId="19" applyNumberFormat="1" applyFill="1" applyBorder="1" applyAlignment="1">
      <alignment horizontal="center" vertical="center"/>
    </xf>
    <xf numFmtId="0" fontId="1" fillId="58" borderId="0" xfId="27" applyFill="1" applyBorder="1" applyAlignment="1">
      <alignment horizontal="center" vertical="center"/>
    </xf>
    <xf numFmtId="9" fontId="0" fillId="0" borderId="15" xfId="0" applyNumberFormat="1" applyBorder="1" applyAlignment="1">
      <alignment horizontal="center" vertical="center"/>
    </xf>
    <xf numFmtId="2" fontId="0" fillId="0" borderId="180" xfId="0" applyNumberFormat="1" applyBorder="1" applyAlignment="1">
      <alignment horizontal="center"/>
    </xf>
    <xf numFmtId="2" fontId="0" fillId="0" borderId="45" xfId="0" applyNumberFormat="1" applyBorder="1" applyAlignment="1">
      <alignment horizontal="center"/>
    </xf>
    <xf numFmtId="205" fontId="0" fillId="57" borderId="128" xfId="0" applyNumberFormat="1" applyFill="1" applyBorder="1" applyAlignment="1">
      <alignment horizontal="center" vertical="center"/>
    </xf>
    <xf numFmtId="202" fontId="0" fillId="0" borderId="15" xfId="0" applyNumberFormat="1" applyBorder="1" applyAlignment="1">
      <alignment horizontal="center" vertical="center"/>
    </xf>
    <xf numFmtId="202" fontId="0" fillId="57" borderId="11" xfId="0" applyNumberFormat="1" applyFill="1" applyBorder="1" applyAlignment="1">
      <alignment horizontal="center" vertical="center"/>
    </xf>
    <xf numFmtId="202" fontId="0" fillId="0" borderId="47" xfId="0" applyNumberFormat="1" applyBorder="1" applyAlignment="1">
      <alignment horizontal="center" vertical="center"/>
    </xf>
    <xf numFmtId="202" fontId="0" fillId="0" borderId="50" xfId="0" applyNumberFormat="1" applyBorder="1" applyAlignment="1">
      <alignment horizontal="center" vertical="center"/>
    </xf>
    <xf numFmtId="202" fontId="0" fillId="0" borderId="11" xfId="0" applyNumberFormat="1" applyBorder="1" applyAlignment="1">
      <alignment horizontal="center" vertical="center"/>
    </xf>
    <xf numFmtId="205" fontId="0" fillId="57" borderId="11" xfId="0" applyNumberFormat="1" applyFill="1" applyBorder="1" applyAlignment="1">
      <alignment horizontal="center" vertical="center"/>
    </xf>
    <xf numFmtId="202" fontId="0" fillId="57" borderId="47" xfId="0" applyNumberFormat="1" applyFill="1" applyBorder="1" applyAlignment="1">
      <alignment horizontal="center" vertical="center"/>
    </xf>
    <xf numFmtId="0" fontId="0" fillId="64" borderId="181" xfId="0" applyFill="1" applyBorder="1"/>
    <xf numFmtId="0" fontId="0" fillId="65" borderId="0" xfId="0" applyFill="1"/>
    <xf numFmtId="0" fontId="0" fillId="0" borderId="0" xfId="0" applyAlignment="1">
      <alignment horizontal="right"/>
    </xf>
    <xf numFmtId="3" fontId="0" fillId="0" borderId="0" xfId="0" applyNumberFormat="1"/>
    <xf numFmtId="9" fontId="0" fillId="0" borderId="0" xfId="0" applyNumberFormat="1"/>
    <xf numFmtId="0" fontId="115" fillId="0" borderId="0" xfId="0" applyFont="1" applyAlignment="1">
      <alignment horizontal="left"/>
    </xf>
    <xf numFmtId="0" fontId="116" fillId="0" borderId="0" xfId="0" applyFont="1" applyAlignment="1">
      <alignment horizontal="left"/>
    </xf>
    <xf numFmtId="0" fontId="117" fillId="0" borderId="0" xfId="0" applyFont="1"/>
    <xf numFmtId="0" fontId="118" fillId="0" borderId="0" xfId="0" applyFont="1" applyAlignment="1">
      <alignment horizontal="left"/>
    </xf>
    <xf numFmtId="0" fontId="119" fillId="0" borderId="0" xfId="0" applyFont="1" applyAlignment="1">
      <alignment horizontal="left"/>
    </xf>
    <xf numFmtId="0" fontId="13" fillId="66" borderId="182" xfId="0" applyFont="1" applyFill="1" applyBorder="1" applyAlignment="1">
      <alignment horizontal="left"/>
    </xf>
    <xf numFmtId="0" fontId="13" fillId="66" borderId="183" xfId="0" applyFont="1" applyFill="1" applyBorder="1" applyAlignment="1">
      <alignment horizontal="center"/>
    </xf>
    <xf numFmtId="3" fontId="13" fillId="66" borderId="183" xfId="0" applyNumberFormat="1" applyFont="1" applyFill="1" applyBorder="1" applyAlignment="1">
      <alignment horizontal="center"/>
    </xf>
    <xf numFmtId="3" fontId="13" fillId="66" borderId="184" xfId="0" applyNumberFormat="1" applyFont="1" applyFill="1" applyBorder="1" applyAlignment="1">
      <alignment horizontal="center"/>
    </xf>
    <xf numFmtId="3" fontId="0" fillId="0" borderId="0" xfId="0" applyNumberFormat="1" applyAlignment="1">
      <alignment horizontal="center"/>
    </xf>
    <xf numFmtId="3" fontId="13" fillId="66" borderId="182" xfId="0" applyNumberFormat="1" applyFont="1" applyFill="1" applyBorder="1" applyAlignment="1">
      <alignment horizontal="center"/>
    </xf>
    <xf numFmtId="9" fontId="13" fillId="66" borderId="183" xfId="0" quotePrefix="1" applyNumberFormat="1" applyFont="1" applyFill="1" applyBorder="1" applyAlignment="1">
      <alignment horizontal="center"/>
    </xf>
    <xf numFmtId="9" fontId="13" fillId="66" borderId="184" xfId="0" applyNumberFormat="1" applyFont="1" applyFill="1" applyBorder="1" applyAlignment="1">
      <alignment horizontal="left"/>
    </xf>
    <xf numFmtId="0" fontId="13" fillId="66" borderId="185" xfId="0" applyFont="1" applyFill="1" applyBorder="1" applyAlignment="1">
      <alignment horizontal="left"/>
    </xf>
    <xf numFmtId="0" fontId="13" fillId="66" borderId="186" xfId="0" applyFont="1" applyFill="1" applyBorder="1" applyAlignment="1">
      <alignment horizontal="center"/>
    </xf>
    <xf numFmtId="3" fontId="13" fillId="66" borderId="186" xfId="0" applyNumberFormat="1" applyFont="1" applyFill="1" applyBorder="1" applyAlignment="1">
      <alignment horizontal="center"/>
    </xf>
    <xf numFmtId="3" fontId="13" fillId="66" borderId="187" xfId="0" applyNumberFormat="1" applyFont="1" applyFill="1" applyBorder="1" applyAlignment="1">
      <alignment horizontal="center"/>
    </xf>
    <xf numFmtId="3" fontId="13" fillId="66" borderId="185" xfId="0" applyNumberFormat="1" applyFont="1" applyFill="1" applyBorder="1" applyAlignment="1">
      <alignment horizontal="center"/>
    </xf>
    <xf numFmtId="9" fontId="13" fillId="66" borderId="186" xfId="0" applyNumberFormat="1" applyFont="1" applyFill="1" applyBorder="1" applyAlignment="1">
      <alignment horizontal="center"/>
    </xf>
    <xf numFmtId="9" fontId="13" fillId="66" borderId="187" xfId="0" applyNumberFormat="1" applyFont="1" applyFill="1" applyBorder="1" applyAlignment="1">
      <alignment horizontal="center"/>
    </xf>
    <xf numFmtId="0" fontId="0" fillId="0" borderId="185" xfId="0" applyBorder="1" applyAlignment="1">
      <alignment horizontal="left" vertical="top"/>
    </xf>
    <xf numFmtId="0" fontId="0" fillId="0" borderId="186" xfId="0" applyBorder="1" applyAlignment="1">
      <alignment vertical="top"/>
    </xf>
    <xf numFmtId="3" fontId="0" fillId="0" borderId="186" xfId="0" applyNumberFormat="1" applyBorder="1" applyAlignment="1">
      <alignment vertical="top"/>
    </xf>
    <xf numFmtId="3" fontId="0" fillId="0" borderId="186" xfId="0" applyNumberFormat="1" applyBorder="1" applyAlignment="1">
      <alignment horizontal="right" vertical="top"/>
    </xf>
    <xf numFmtId="3" fontId="0" fillId="0" borderId="187" xfId="0" applyNumberFormat="1" applyBorder="1" applyAlignment="1">
      <alignment horizontal="center" vertical="top"/>
    </xf>
    <xf numFmtId="3" fontId="0" fillId="0" borderId="0" xfId="0" applyNumberFormat="1" applyAlignment="1">
      <alignment vertical="top"/>
    </xf>
    <xf numFmtId="3" fontId="0" fillId="0" borderId="185" xfId="0" applyNumberFormat="1" applyBorder="1" applyAlignment="1">
      <alignment vertical="top"/>
    </xf>
    <xf numFmtId="9" fontId="0" fillId="0" borderId="186" xfId="0" applyNumberFormat="1" applyBorder="1" applyAlignment="1">
      <alignment vertical="top"/>
    </xf>
    <xf numFmtId="0" fontId="0" fillId="0" borderId="187" xfId="0" applyBorder="1"/>
    <xf numFmtId="0" fontId="0" fillId="0" borderId="185" xfId="0" quotePrefix="1" applyBorder="1" applyAlignment="1">
      <alignment horizontal="left" vertical="top"/>
    </xf>
    <xf numFmtId="38" fontId="0" fillId="0" borderId="186" xfId="0" applyNumberFormat="1" applyBorder="1" applyAlignment="1">
      <alignment vertical="top"/>
    </xf>
    <xf numFmtId="38" fontId="0" fillId="0" borderId="186" xfId="0" applyNumberFormat="1" applyBorder="1" applyAlignment="1">
      <alignment horizontal="right" vertical="top"/>
    </xf>
    <xf numFmtId="38" fontId="0" fillId="0" borderId="187" xfId="0" applyNumberFormat="1" applyBorder="1" applyAlignment="1">
      <alignment horizontal="center" vertical="top"/>
    </xf>
    <xf numFmtId="38" fontId="0" fillId="0" borderId="0" xfId="0" applyNumberFormat="1" applyAlignment="1">
      <alignment vertical="top"/>
    </xf>
    <xf numFmtId="38" fontId="0" fillId="0" borderId="185" xfId="0" applyNumberFormat="1" applyBorder="1" applyAlignment="1">
      <alignment vertical="top"/>
    </xf>
    <xf numFmtId="0" fontId="0" fillId="0" borderId="187" xfId="0" applyBorder="1" applyAlignment="1">
      <alignment wrapText="1"/>
    </xf>
    <xf numFmtId="0" fontId="0" fillId="0" borderId="0" xfId="0" quotePrefix="1"/>
    <xf numFmtId="38" fontId="0" fillId="0" borderId="188" xfId="0" applyNumberFormat="1" applyBorder="1" applyAlignment="1">
      <alignment vertical="top"/>
    </xf>
    <xf numFmtId="38" fontId="0" fillId="0" borderId="189" xfId="0" applyNumberFormat="1" applyBorder="1" applyAlignment="1">
      <alignment horizontal="center" vertical="top"/>
    </xf>
    <xf numFmtId="38" fontId="0" fillId="0" borderId="190" xfId="0" applyNumberFormat="1" applyBorder="1" applyAlignment="1">
      <alignment vertical="top"/>
    </xf>
    <xf numFmtId="9" fontId="0" fillId="0" borderId="188" xfId="0" applyNumberFormat="1" applyBorder="1" applyAlignment="1">
      <alignment vertical="top"/>
    </xf>
    <xf numFmtId="0" fontId="16" fillId="0" borderId="185" xfId="0" applyFont="1" applyBorder="1" applyAlignment="1">
      <alignment horizontal="left" vertical="top"/>
    </xf>
    <xf numFmtId="0" fontId="16" fillId="0" borderId="186" xfId="0" applyFont="1" applyBorder="1" applyAlignment="1">
      <alignment vertical="top"/>
    </xf>
    <xf numFmtId="38" fontId="120" fillId="0" borderId="191" xfId="0" applyNumberFormat="1" applyFont="1" applyBorder="1" applyAlignment="1">
      <alignment horizontal="right" vertical="top"/>
    </xf>
    <xf numFmtId="38" fontId="120" fillId="0" borderId="192" xfId="0" applyNumberFormat="1" applyFont="1" applyBorder="1" applyAlignment="1">
      <alignment horizontal="center" vertical="top"/>
    </xf>
    <xf numFmtId="38" fontId="16" fillId="0" borderId="0" xfId="0" applyNumberFormat="1" applyFont="1" applyAlignment="1">
      <alignment vertical="top"/>
    </xf>
    <xf numFmtId="38" fontId="120" fillId="0" borderId="193" xfId="0" applyNumberFormat="1" applyFont="1" applyBorder="1" applyAlignment="1">
      <alignment horizontal="right" vertical="top"/>
    </xf>
    <xf numFmtId="9" fontId="16" fillId="0" borderId="191" xfId="0" applyNumberFormat="1" applyFont="1" applyBorder="1" applyAlignment="1">
      <alignment horizontal="right" vertical="top"/>
    </xf>
    <xf numFmtId="0" fontId="16" fillId="0" borderId="187" xfId="0" applyFont="1" applyBorder="1" applyAlignment="1">
      <alignment wrapText="1"/>
    </xf>
    <xf numFmtId="38" fontId="16" fillId="0" borderId="191" xfId="0" applyNumberFormat="1" applyFont="1" applyBorder="1" applyAlignment="1">
      <alignment vertical="top"/>
    </xf>
    <xf numFmtId="38" fontId="16" fillId="0" borderId="193" xfId="0" applyNumberFormat="1" applyFont="1" applyBorder="1" applyAlignment="1">
      <alignment vertical="top"/>
    </xf>
    <xf numFmtId="38" fontId="16" fillId="0" borderId="186" xfId="0" applyNumberFormat="1" applyFont="1" applyBorder="1" applyAlignment="1">
      <alignment vertical="top"/>
    </xf>
    <xf numFmtId="38" fontId="16" fillId="0" borderId="185" xfId="0" applyNumberFormat="1" applyFont="1" applyBorder="1" applyAlignment="1">
      <alignment vertical="top"/>
    </xf>
    <xf numFmtId="9" fontId="16" fillId="0" borderId="186" xfId="0" applyNumberFormat="1" applyFont="1" applyBorder="1" applyAlignment="1">
      <alignment horizontal="right" vertical="top"/>
    </xf>
    <xf numFmtId="0" fontId="0" fillId="0" borderId="194" xfId="0" applyBorder="1" applyAlignment="1">
      <alignment horizontal="left"/>
    </xf>
    <xf numFmtId="0" fontId="0" fillId="0" borderId="195" xfId="0" applyBorder="1"/>
    <xf numFmtId="3" fontId="0" fillId="0" borderId="195" xfId="0" applyNumberFormat="1" applyBorder="1"/>
    <xf numFmtId="3" fontId="0" fillId="0" borderId="196" xfId="0" applyNumberFormat="1" applyBorder="1"/>
    <xf numFmtId="3" fontId="0" fillId="0" borderId="194" xfId="0" applyNumberFormat="1" applyBorder="1"/>
    <xf numFmtId="9" fontId="0" fillId="0" borderId="195" xfId="0" applyNumberFormat="1" applyBorder="1"/>
    <xf numFmtId="0" fontId="0" fillId="0" borderId="196" xfId="0" applyBorder="1"/>
    <xf numFmtId="204" fontId="0" fillId="0" borderId="162" xfId="0" applyNumberFormat="1" applyBorder="1" applyAlignment="1">
      <alignment horizontal="center" vertical="center"/>
    </xf>
    <xf numFmtId="0" fontId="121" fillId="0" borderId="0" xfId="0" applyFont="1" applyAlignment="1">
      <alignment horizontal="centerContinuous"/>
    </xf>
    <xf numFmtId="0" fontId="122" fillId="0" borderId="0" xfId="0" applyFont="1" applyAlignment="1">
      <alignment horizontal="centerContinuous"/>
    </xf>
    <xf numFmtId="0" fontId="0" fillId="0" borderId="0" xfId="0" applyAlignment="1">
      <alignment horizontal="centerContinuous"/>
    </xf>
    <xf numFmtId="0" fontId="123" fillId="0" borderId="0" xfId="0" applyFont="1"/>
    <xf numFmtId="0" fontId="122" fillId="0" borderId="197" xfId="0" applyFont="1" applyBorder="1" applyAlignment="1">
      <alignment horizontal="right"/>
    </xf>
    <xf numFmtId="0" fontId="122" fillId="0" borderId="198" xfId="0" applyFont="1" applyBorder="1" applyAlignment="1">
      <alignment horizontal="right"/>
    </xf>
    <xf numFmtId="0" fontId="122" fillId="0" borderId="0" xfId="0" applyFont="1" applyAlignment="1">
      <alignment horizontal="right"/>
    </xf>
    <xf numFmtId="0" fontId="122" fillId="0" borderId="199" xfId="0" applyFont="1" applyBorder="1" applyAlignment="1">
      <alignment horizontal="right"/>
    </xf>
    <xf numFmtId="0" fontId="0" fillId="0" borderId="198" xfId="0" applyBorder="1"/>
    <xf numFmtId="0" fontId="0" fillId="0" borderId="199" xfId="0" applyBorder="1"/>
    <xf numFmtId="3" fontId="21" fillId="0" borderId="198" xfId="189" applyNumberFormat="1" applyBorder="1"/>
    <xf numFmtId="3" fontId="21" fillId="0" borderId="0" xfId="189" applyNumberFormat="1" applyBorder="1"/>
    <xf numFmtId="10" fontId="21" fillId="0" borderId="199" xfId="184" applyNumberFormat="1" applyBorder="1"/>
    <xf numFmtId="165" fontId="0" fillId="0" borderId="198" xfId="0" applyNumberFormat="1" applyBorder="1"/>
    <xf numFmtId="165" fontId="0" fillId="0" borderId="0" xfId="0" applyNumberFormat="1"/>
    <xf numFmtId="165" fontId="21" fillId="0" borderId="198" xfId="167" applyNumberFormat="1" applyBorder="1"/>
    <xf numFmtId="165" fontId="21" fillId="0" borderId="0" xfId="167" applyNumberFormat="1" applyFill="1" applyBorder="1"/>
    <xf numFmtId="10" fontId="21" fillId="0" borderId="199" xfId="184" applyNumberFormat="1" applyFill="1" applyBorder="1"/>
    <xf numFmtId="165" fontId="21" fillId="0" borderId="198" xfId="167" applyNumberFormat="1" applyFill="1" applyBorder="1"/>
    <xf numFmtId="0" fontId="21" fillId="0" borderId="0" xfId="0" applyFont="1"/>
    <xf numFmtId="168" fontId="0" fillId="0" borderId="0" xfId="0" applyNumberFormat="1"/>
    <xf numFmtId="165" fontId="21" fillId="0" borderId="0" xfId="189" applyNumberFormat="1" applyFill="1" applyBorder="1"/>
    <xf numFmtId="165" fontId="21" fillId="0" borderId="0" xfId="189" applyNumberFormat="1" applyBorder="1"/>
    <xf numFmtId="164" fontId="21" fillId="0" borderId="0" xfId="167" applyNumberFormat="1" applyFill="1" applyBorder="1"/>
    <xf numFmtId="165" fontId="21" fillId="67" borderId="0" xfId="167" applyNumberFormat="1" applyFill="1" applyBorder="1"/>
    <xf numFmtId="165" fontId="122" fillId="0" borderId="198" xfId="167" applyNumberFormat="1" applyFont="1" applyBorder="1"/>
    <xf numFmtId="165" fontId="122" fillId="0" borderId="0" xfId="261" applyNumberFormat="1" applyFont="1" applyBorder="1"/>
    <xf numFmtId="165" fontId="122" fillId="0" borderId="0" xfId="167" applyNumberFormat="1" applyFont="1" applyFill="1" applyBorder="1"/>
    <xf numFmtId="165" fontId="122" fillId="0" borderId="198" xfId="167" applyNumberFormat="1" applyFont="1" applyFill="1" applyBorder="1"/>
    <xf numFmtId="165" fontId="122" fillId="0" borderId="198" xfId="0" applyNumberFormat="1" applyFont="1" applyBorder="1"/>
    <xf numFmtId="165" fontId="122" fillId="67" borderId="0" xfId="0" applyNumberFormat="1" applyFont="1" applyFill="1"/>
    <xf numFmtId="165" fontId="122" fillId="0" borderId="0" xfId="0" applyNumberFormat="1" applyFont="1"/>
    <xf numFmtId="168" fontId="21" fillId="0" borderId="0" xfId="189"/>
    <xf numFmtId="165" fontId="124" fillId="0" borderId="198" xfId="0" applyNumberFormat="1" applyFont="1" applyBorder="1"/>
    <xf numFmtId="165" fontId="124" fillId="0" borderId="0" xfId="0" applyNumberFormat="1" applyFont="1"/>
    <xf numFmtId="10" fontId="124" fillId="0" borderId="199" xfId="184" applyNumberFormat="1" applyFont="1" applyFill="1" applyBorder="1"/>
    <xf numFmtId="10" fontId="124" fillId="0" borderId="199" xfId="184" applyNumberFormat="1" applyFont="1" applyBorder="1"/>
    <xf numFmtId="0" fontId="0" fillId="0" borderId="200" xfId="0" applyBorder="1"/>
    <xf numFmtId="0" fontId="0" fillId="0" borderId="201" xfId="0" applyBorder="1"/>
    <xf numFmtId="165" fontId="0" fillId="0" borderId="202" xfId="0" applyNumberFormat="1" applyBorder="1"/>
    <xf numFmtId="165" fontId="0" fillId="0" borderId="200" xfId="0" applyNumberFormat="1" applyBorder="1"/>
    <xf numFmtId="165" fontId="0" fillId="0" borderId="201" xfId="0" applyNumberFormat="1" applyBorder="1"/>
    <xf numFmtId="165" fontId="21" fillId="0" borderId="0" xfId="167" applyNumberFormat="1" applyBorder="1"/>
    <xf numFmtId="4" fontId="0" fillId="0" borderId="0" xfId="0" applyNumberFormat="1"/>
    <xf numFmtId="167" fontId="21" fillId="0" borderId="0" xfId="167" applyFill="1" applyBorder="1"/>
    <xf numFmtId="0" fontId="0" fillId="0" borderId="203" xfId="0" applyBorder="1" applyAlignment="1">
      <alignment horizontal="left"/>
    </xf>
    <xf numFmtId="0" fontId="122" fillId="0" borderId="204" xfId="0" applyFont="1" applyBorder="1" applyAlignment="1">
      <alignment horizontal="right"/>
    </xf>
    <xf numFmtId="0" fontId="122" fillId="0" borderId="205" xfId="0" applyFont="1" applyBorder="1" applyAlignment="1">
      <alignment horizontal="right"/>
    </xf>
    <xf numFmtId="165" fontId="21" fillId="0" borderId="0" xfId="261" applyNumberFormat="1" applyBorder="1"/>
    <xf numFmtId="10" fontId="21" fillId="0" borderId="0" xfId="184" applyNumberFormat="1" applyBorder="1"/>
    <xf numFmtId="165" fontId="21" fillId="0" borderId="0" xfId="261" applyNumberFormat="1" applyFill="1" applyBorder="1"/>
    <xf numFmtId="165" fontId="122" fillId="0" borderId="0" xfId="167" applyNumberFormat="1" applyFont="1" applyBorder="1"/>
    <xf numFmtId="164" fontId="0" fillId="0" borderId="0" xfId="0" applyNumberFormat="1"/>
    <xf numFmtId="10" fontId="124" fillId="0" borderId="0" xfId="184" applyNumberFormat="1" applyFont="1" applyBorder="1"/>
    <xf numFmtId="10" fontId="21" fillId="0" borderId="199" xfId="184" applyNumberFormat="1" applyFont="1" applyBorder="1"/>
    <xf numFmtId="166" fontId="21" fillId="0" borderId="0" xfId="189" applyNumberFormat="1"/>
    <xf numFmtId="167" fontId="21" fillId="0" borderId="0" xfId="167" applyBorder="1"/>
    <xf numFmtId="164" fontId="21" fillId="0" borderId="0" xfId="167" applyNumberFormat="1" applyBorder="1"/>
    <xf numFmtId="202" fontId="0" fillId="0" borderId="0" xfId="0" applyNumberFormat="1"/>
    <xf numFmtId="10" fontId="0" fillId="0" borderId="0" xfId="0" applyNumberFormat="1"/>
    <xf numFmtId="166" fontId="0" fillId="0" borderId="0" xfId="0" applyNumberFormat="1"/>
    <xf numFmtId="0" fontId="122" fillId="0" borderId="0" xfId="0" applyFont="1" applyAlignment="1">
      <alignment horizontal="center"/>
    </xf>
    <xf numFmtId="0" fontId="0" fillId="0" borderId="198" xfId="0" applyBorder="1" applyAlignment="1">
      <alignment horizontal="right"/>
    </xf>
    <xf numFmtId="0" fontId="0" fillId="0" borderId="199" xfId="0" applyBorder="1" applyAlignment="1">
      <alignment horizontal="right"/>
    </xf>
    <xf numFmtId="167" fontId="0" fillId="0" borderId="0" xfId="0" applyNumberFormat="1"/>
    <xf numFmtId="165" fontId="21" fillId="0" borderId="0" xfId="0" applyNumberFormat="1" applyFont="1"/>
    <xf numFmtId="10" fontId="21" fillId="0" borderId="0" xfId="184" applyNumberFormat="1"/>
    <xf numFmtId="3" fontId="21" fillId="0" borderId="198" xfId="189" applyNumberFormat="1" applyFill="1" applyBorder="1"/>
    <xf numFmtId="0" fontId="21" fillId="0" borderId="199" xfId="184" applyNumberFormat="1" applyBorder="1"/>
    <xf numFmtId="10" fontId="0" fillId="0" borderId="199" xfId="0" applyNumberFormat="1" applyBorder="1"/>
    <xf numFmtId="165" fontId="21" fillId="0" borderId="198" xfId="261" applyNumberFormat="1" applyBorder="1"/>
    <xf numFmtId="165" fontId="122" fillId="0" borderId="198" xfId="261" applyNumberFormat="1" applyFont="1" applyBorder="1"/>
    <xf numFmtId="10" fontId="21" fillId="0" borderId="199" xfId="184" applyNumberFormat="1" applyFont="1" applyBorder="1" applyAlignment="1">
      <alignment horizontal="right"/>
    </xf>
    <xf numFmtId="0" fontId="42" fillId="0" borderId="206" xfId="0" applyFont="1" applyBorder="1"/>
    <xf numFmtId="0" fontId="42" fillId="0" borderId="207" xfId="0" applyFont="1" applyBorder="1"/>
    <xf numFmtId="0" fontId="0" fillId="0" borderId="207" xfId="0" applyBorder="1"/>
    <xf numFmtId="0" fontId="0" fillId="0" borderId="207" xfId="0" applyBorder="1" applyAlignment="1">
      <alignment horizontal="center"/>
    </xf>
    <xf numFmtId="0" fontId="0" fillId="0" borderId="208" xfId="0" applyBorder="1"/>
    <xf numFmtId="0" fontId="21" fillId="0" borderId="209" xfId="0" applyFont="1" applyBorder="1"/>
    <xf numFmtId="0" fontId="42" fillId="0" borderId="0" xfId="0" applyFont="1"/>
    <xf numFmtId="0" fontId="0" fillId="0" borderId="210" xfId="0" applyBorder="1"/>
    <xf numFmtId="0" fontId="0" fillId="0" borderId="209" xfId="0" applyBorder="1"/>
    <xf numFmtId="0" fontId="125" fillId="0" borderId="0" xfId="0" applyFont="1" applyAlignment="1">
      <alignment horizontal="right"/>
    </xf>
    <xf numFmtId="0" fontId="21" fillId="0" borderId="0" xfId="0" applyFont="1" applyAlignment="1">
      <alignment horizontal="center"/>
    </xf>
    <xf numFmtId="0" fontId="125" fillId="0" borderId="209" xfId="0" applyFont="1" applyBorder="1"/>
    <xf numFmtId="0" fontId="125" fillId="0" borderId="0" xfId="0" applyFont="1"/>
    <xf numFmtId="0" fontId="0" fillId="0" borderId="210" xfId="0" applyBorder="1" applyAlignment="1">
      <alignment vertical="center"/>
    </xf>
    <xf numFmtId="202" fontId="0" fillId="0" borderId="0" xfId="0" applyNumberFormat="1" applyAlignment="1">
      <alignment horizontal="center"/>
    </xf>
    <xf numFmtId="0" fontId="122" fillId="0" borderId="0" xfId="0" applyFont="1"/>
    <xf numFmtId="3" fontId="122" fillId="0" borderId="0" xfId="0" applyNumberFormat="1" applyFont="1"/>
    <xf numFmtId="0" fontId="0" fillId="0" borderId="211" xfId="0" applyBorder="1"/>
    <xf numFmtId="202" fontId="0" fillId="0" borderId="212" xfId="0" applyNumberFormat="1" applyBorder="1"/>
    <xf numFmtId="0" fontId="0" fillId="0" borderId="212" xfId="0" applyBorder="1"/>
    <xf numFmtId="10" fontId="0" fillId="0" borderId="212" xfId="0" applyNumberFormat="1" applyBorder="1"/>
    <xf numFmtId="202" fontId="0" fillId="0" borderId="212" xfId="0" applyNumberFormat="1" applyBorder="1" applyAlignment="1">
      <alignment horizontal="center"/>
    </xf>
    <xf numFmtId="0" fontId="0" fillId="0" borderId="213" xfId="0" applyBorder="1"/>
    <xf numFmtId="0" fontId="0" fillId="0" borderId="209" xfId="0" applyBorder="1" applyAlignment="1">
      <alignment horizontal="center"/>
    </xf>
    <xf numFmtId="0" fontId="0" fillId="0" borderId="214" xfId="0" applyBorder="1"/>
    <xf numFmtId="0" fontId="0" fillId="0" borderId="214" xfId="0" applyBorder="1" applyAlignment="1">
      <alignment horizontal="right"/>
    </xf>
    <xf numFmtId="0" fontId="21" fillId="0" borderId="209" xfId="0" applyFont="1" applyBorder="1" applyAlignment="1">
      <alignment horizontal="center"/>
    </xf>
    <xf numFmtId="0" fontId="125" fillId="0" borderId="0" xfId="0" applyFont="1" applyAlignment="1">
      <alignment horizontal="center"/>
    </xf>
    <xf numFmtId="0" fontId="0" fillId="0" borderId="203" xfId="0" applyBorder="1"/>
    <xf numFmtId="3" fontId="0" fillId="0" borderId="203" xfId="0" applyNumberFormat="1" applyBorder="1"/>
    <xf numFmtId="0" fontId="0" fillId="0" borderId="209" xfId="0" applyBorder="1" applyAlignment="1">
      <alignment horizontal="center" vertical="center"/>
    </xf>
    <xf numFmtId="3" fontId="0" fillId="0" borderId="215" xfId="0" applyNumberFormat="1" applyBorder="1"/>
    <xf numFmtId="10" fontId="0" fillId="0" borderId="209" xfId="0" applyNumberFormat="1" applyBorder="1"/>
    <xf numFmtId="0" fontId="21" fillId="0" borderId="198" xfId="0" applyFont="1" applyBorder="1"/>
    <xf numFmtId="0" fontId="0" fillId="0" borderId="215" xfId="0" applyBorder="1"/>
    <xf numFmtId="9" fontId="122" fillId="0" borderId="0" xfId="0" applyNumberFormat="1" applyFont="1"/>
    <xf numFmtId="0" fontId="21" fillId="0" borderId="215" xfId="0" applyFont="1" applyBorder="1"/>
    <xf numFmtId="0" fontId="42" fillId="0" borderId="0" xfId="0" applyFont="1" applyAlignment="1">
      <alignment horizontal="right"/>
    </xf>
    <xf numFmtId="202" fontId="0" fillId="0" borderId="203" xfId="0" applyNumberFormat="1" applyBorder="1"/>
    <xf numFmtId="10" fontId="0" fillId="0" borderId="215" xfId="0" applyNumberFormat="1" applyBorder="1"/>
    <xf numFmtId="202" fontId="0" fillId="0" borderId="216" xfId="0" applyNumberFormat="1" applyBorder="1"/>
    <xf numFmtId="165" fontId="0" fillId="0" borderId="0" xfId="0" applyNumberFormat="1" applyAlignment="1">
      <alignment horizontal="right"/>
    </xf>
    <xf numFmtId="165" fontId="0" fillId="67" borderId="0" xfId="0" applyNumberFormat="1" applyFill="1"/>
    <xf numFmtId="202" fontId="0" fillId="0" borderId="217" xfId="0" applyNumberFormat="1" applyBorder="1"/>
    <xf numFmtId="0" fontId="0" fillId="0" borderId="217" xfId="0" applyBorder="1"/>
    <xf numFmtId="10" fontId="0" fillId="0" borderId="217" xfId="0" applyNumberFormat="1" applyBorder="1"/>
    <xf numFmtId="202" fontId="0" fillId="0" borderId="217" xfId="0" applyNumberFormat="1" applyBorder="1" applyAlignment="1">
      <alignment horizontal="center"/>
    </xf>
    <xf numFmtId="0" fontId="0" fillId="0" borderId="214" xfId="0" applyBorder="1" applyAlignment="1">
      <alignment horizontal="left"/>
    </xf>
    <xf numFmtId="204" fontId="0" fillId="0" borderId="130" xfId="0" applyNumberFormat="1" applyBorder="1" applyAlignment="1">
      <alignment horizontal="center" vertical="center"/>
    </xf>
    <xf numFmtId="0" fontId="16" fillId="64" borderId="218" xfId="0" applyFont="1" applyFill="1" applyBorder="1" applyAlignment="1">
      <alignment vertical="center"/>
    </xf>
    <xf numFmtId="0" fontId="0" fillId="64" borderId="219" xfId="0" applyFill="1" applyBorder="1" applyAlignment="1">
      <alignment horizontal="right"/>
    </xf>
    <xf numFmtId="0" fontId="0" fillId="64" borderId="219" xfId="0" applyFill="1" applyBorder="1"/>
    <xf numFmtId="3" fontId="0" fillId="64" borderId="219" xfId="0" applyNumberFormat="1" applyFill="1" applyBorder="1"/>
    <xf numFmtId="9" fontId="0" fillId="64" borderId="219" xfId="0" applyNumberFormat="1" applyFill="1" applyBorder="1"/>
    <xf numFmtId="0" fontId="126" fillId="0" borderId="0" xfId="0" applyFont="1"/>
    <xf numFmtId="0" fontId="127" fillId="0" borderId="0" xfId="0" applyFont="1"/>
    <xf numFmtId="0" fontId="128" fillId="0" borderId="0" xfId="0" quotePrefix="1" applyFont="1"/>
    <xf numFmtId="0" fontId="129" fillId="0" borderId="0" xfId="0" applyFont="1"/>
    <xf numFmtId="0" fontId="130" fillId="68" borderId="220" xfId="0" applyFont="1" applyFill="1" applyBorder="1" applyAlignment="1">
      <alignment horizontal="left"/>
    </xf>
    <xf numFmtId="0" fontId="130" fillId="68" borderId="221" xfId="0" applyFont="1" applyFill="1" applyBorder="1" applyAlignment="1">
      <alignment horizontal="center" wrapText="1"/>
    </xf>
    <xf numFmtId="0" fontId="130" fillId="68" borderId="222" xfId="0" applyFont="1" applyFill="1" applyBorder="1" applyAlignment="1">
      <alignment horizontal="center" wrapText="1"/>
    </xf>
    <xf numFmtId="0" fontId="130" fillId="68" borderId="221" xfId="0" applyFont="1" applyFill="1" applyBorder="1" applyAlignment="1">
      <alignment horizontal="left"/>
    </xf>
    <xf numFmtId="0" fontId="0" fillId="0" borderId="223" xfId="0" applyBorder="1" applyAlignment="1">
      <alignment horizontal="justify" vertical="top" wrapText="1"/>
    </xf>
    <xf numFmtId="0" fontId="0" fillId="0" borderId="200" xfId="0" applyBorder="1" applyAlignment="1">
      <alignment horizontal="center" vertical="top" wrapText="1"/>
    </xf>
    <xf numFmtId="0" fontId="0" fillId="0" borderId="216" xfId="0" quotePrefix="1" applyBorder="1" applyAlignment="1">
      <alignment horizontal="center" vertical="top" wrapText="1"/>
    </xf>
    <xf numFmtId="0" fontId="0" fillId="0" borderId="200" xfId="0" applyBorder="1" applyAlignment="1">
      <alignment horizontal="left" vertical="top" wrapText="1"/>
    </xf>
    <xf numFmtId="0" fontId="17" fillId="0" borderId="224" xfId="0" applyFont="1" applyBorder="1" applyAlignment="1">
      <alignment horizontal="justify" vertical="top" wrapText="1"/>
    </xf>
    <xf numFmtId="0" fontId="16" fillId="0" borderId="225" xfId="0" applyFont="1" applyBorder="1" applyAlignment="1">
      <alignment horizontal="center" vertical="top" wrapText="1"/>
    </xf>
    <xf numFmtId="0" fontId="16" fillId="0" borderId="226" xfId="0" applyFont="1" applyBorder="1" applyAlignment="1">
      <alignment horizontal="center" vertical="top" wrapText="1"/>
    </xf>
    <xf numFmtId="0" fontId="120" fillId="0" borderId="225" xfId="0" applyFont="1" applyBorder="1" applyAlignment="1">
      <alignment horizontal="right" vertical="top" wrapText="1"/>
    </xf>
    <xf numFmtId="0" fontId="130" fillId="69" borderId="227" xfId="0" applyFont="1" applyFill="1" applyBorder="1" applyAlignment="1">
      <alignment horizontal="center" wrapText="1"/>
    </xf>
    <xf numFmtId="0" fontId="130" fillId="69" borderId="220" xfId="0" applyFont="1" applyFill="1" applyBorder="1" applyAlignment="1">
      <alignment horizontal="center" wrapText="1"/>
    </xf>
    <xf numFmtId="38" fontId="0" fillId="0" borderId="216" xfId="0" applyNumberFormat="1" applyBorder="1" applyAlignment="1">
      <alignment horizontal="right" vertical="top" wrapText="1"/>
    </xf>
    <xf numFmtId="38" fontId="0" fillId="58" borderId="216" xfId="0" applyNumberFormat="1" applyFill="1" applyBorder="1" applyAlignment="1">
      <alignment horizontal="right" vertical="top" wrapText="1"/>
    </xf>
    <xf numFmtId="38" fontId="120" fillId="0" borderId="226" xfId="0" applyNumberFormat="1" applyFont="1" applyBorder="1" applyAlignment="1">
      <alignment horizontal="right" vertical="top" wrapText="1"/>
    </xf>
    <xf numFmtId="0" fontId="130" fillId="70" borderId="227" xfId="0" quotePrefix="1" applyFont="1" applyFill="1" applyBorder="1" applyAlignment="1">
      <alignment horizontal="center" wrapText="1"/>
    </xf>
    <xf numFmtId="9" fontId="0" fillId="0" borderId="216" xfId="182" applyFont="1" applyBorder="1" applyAlignment="1">
      <alignment horizontal="right" vertical="top" wrapText="1"/>
    </xf>
    <xf numFmtId="0" fontId="130" fillId="71" borderId="0" xfId="0" applyFont="1" applyFill="1" applyAlignment="1">
      <alignment horizontal="center" wrapText="1"/>
    </xf>
    <xf numFmtId="0" fontId="130" fillId="71" borderId="0" xfId="0" applyFont="1" applyFill="1" applyAlignment="1">
      <alignment horizontal="center" vertical="top" wrapText="1"/>
    </xf>
    <xf numFmtId="168" fontId="0" fillId="0" borderId="0" xfId="2158" applyFont="1"/>
    <xf numFmtId="0" fontId="0" fillId="0" borderId="200" xfId="0" quotePrefix="1" applyBorder="1" applyAlignment="1">
      <alignment horizontal="center" vertical="top" wrapText="1"/>
    </xf>
    <xf numFmtId="0" fontId="0" fillId="0" borderId="0" xfId="0" pivotButton="1"/>
    <xf numFmtId="0" fontId="0" fillId="0" borderId="0" xfId="0" applyAlignment="1">
      <alignment horizontal="left" indent="1"/>
    </xf>
    <xf numFmtId="0" fontId="94" fillId="0" borderId="197" xfId="0" applyFont="1" applyBorder="1" applyAlignment="1">
      <alignment horizontal="left" vertical="center" wrapText="1"/>
    </xf>
    <xf numFmtId="204" fontId="0" fillId="0" borderId="128" xfId="0" applyNumberFormat="1" applyBorder="1" applyAlignment="1">
      <alignment horizontal="center" vertical="center"/>
    </xf>
    <xf numFmtId="0" fontId="0" fillId="0" borderId="11" xfId="0" applyBorder="1" applyAlignment="1">
      <alignment horizontal="left" vertical="center"/>
    </xf>
    <xf numFmtId="0" fontId="0" fillId="67" borderId="101" xfId="0" applyFill="1" applyBorder="1" applyAlignment="1">
      <alignment horizontal="center" vertical="center"/>
    </xf>
    <xf numFmtId="1" fontId="0" fillId="72" borderId="128" xfId="0" applyNumberFormat="1" applyFill="1" applyBorder="1" applyAlignment="1">
      <alignment horizontal="center" vertical="center"/>
    </xf>
    <xf numFmtId="0" fontId="0" fillId="67" borderId="12" xfId="0" applyFill="1" applyBorder="1" applyAlignment="1">
      <alignment horizontal="center" vertical="center"/>
    </xf>
    <xf numFmtId="0" fontId="0" fillId="30" borderId="10" xfId="39" applyFont="1" applyBorder="1" applyAlignment="1">
      <alignment horizontal="center" vertical="center"/>
    </xf>
    <xf numFmtId="0" fontId="1" fillId="30" borderId="10" xfId="39" applyBorder="1" applyAlignment="1">
      <alignment horizontal="center" vertical="center"/>
    </xf>
    <xf numFmtId="14" fontId="0" fillId="0" borderId="10" xfId="0" applyNumberFormat="1" applyBorder="1" applyAlignment="1">
      <alignment horizontal="center" vertical="center"/>
    </xf>
    <xf numFmtId="1" fontId="0" fillId="0" borderId="164" xfId="0" applyNumberFormat="1" applyBorder="1" applyAlignment="1">
      <alignment horizontal="center" vertical="center"/>
    </xf>
    <xf numFmtId="206" fontId="0" fillId="10" borderId="14" xfId="2158" applyNumberFormat="1" applyFont="1" applyFill="1" applyBorder="1" applyAlignment="1">
      <alignment horizontal="center" vertical="center"/>
    </xf>
    <xf numFmtId="206" fontId="1" fillId="10" borderId="14" xfId="2158" applyNumberFormat="1" applyFill="1" applyBorder="1" applyAlignment="1">
      <alignment horizontal="center" vertical="center"/>
    </xf>
    <xf numFmtId="207" fontId="0" fillId="0" borderId="162" xfId="0" applyNumberFormat="1" applyBorder="1" applyAlignment="1">
      <alignment horizontal="center" vertical="center"/>
    </xf>
    <xf numFmtId="0" fontId="16" fillId="0" borderId="164" xfId="0" applyFont="1" applyBorder="1" applyAlignment="1">
      <alignment horizontal="center" vertical="center"/>
    </xf>
    <xf numFmtId="0" fontId="0" fillId="58" borderId="72" xfId="0" applyFill="1" applyBorder="1" applyAlignment="1">
      <alignment horizontal="center" vertical="center" wrapText="1"/>
    </xf>
    <xf numFmtId="206" fontId="0" fillId="0" borderId="164" xfId="2158" applyNumberFormat="1" applyFont="1" applyBorder="1" applyAlignment="1">
      <alignment horizontal="center" vertical="center"/>
    </xf>
    <xf numFmtId="1" fontId="0" fillId="10" borderId="14" xfId="19" applyNumberFormat="1" applyFont="1" applyBorder="1" applyAlignment="1">
      <alignment horizontal="center" vertical="center"/>
    </xf>
    <xf numFmtId="206" fontId="0" fillId="0" borderId="161" xfId="2158" applyNumberFormat="1" applyFont="1" applyBorder="1" applyAlignment="1">
      <alignment horizontal="center" vertical="center"/>
    </xf>
    <xf numFmtId="1" fontId="1" fillId="18" borderId="12" xfId="27" applyNumberFormat="1" applyBorder="1" applyAlignment="1">
      <alignment horizontal="center" vertical="center"/>
    </xf>
    <xf numFmtId="0" fontId="16" fillId="58" borderId="128" xfId="0" applyFont="1" applyFill="1" applyBorder="1" applyAlignment="1">
      <alignment horizontal="center" vertical="center"/>
    </xf>
    <xf numFmtId="0" fontId="16" fillId="58" borderId="129" xfId="0" applyFont="1" applyFill="1" applyBorder="1" applyAlignment="1">
      <alignment horizontal="center" vertical="center"/>
    </xf>
    <xf numFmtId="200" fontId="0" fillId="0" borderId="128" xfId="0" applyNumberFormat="1" applyBorder="1" applyAlignment="1">
      <alignment horizontal="center" vertical="center"/>
    </xf>
    <xf numFmtId="0" fontId="106" fillId="0" borderId="0" xfId="0" applyFont="1" applyAlignment="1">
      <alignment horizontal="left" vertical="center" wrapText="1"/>
    </xf>
    <xf numFmtId="0" fontId="0" fillId="0" borderId="0" xfId="0" applyAlignment="1">
      <alignment wrapText="1"/>
    </xf>
    <xf numFmtId="0" fontId="94" fillId="0" borderId="0" xfId="2157" applyFont="1" applyAlignment="1">
      <alignment horizontal="left" vertical="top" wrapText="1"/>
    </xf>
    <xf numFmtId="0" fontId="23" fillId="0" borderId="0" xfId="2157" applyAlignment="1">
      <alignment horizontal="left" vertical="top" wrapText="1"/>
    </xf>
    <xf numFmtId="0" fontId="23" fillId="0" borderId="0" xfId="2157" applyFill="1" applyAlignment="1">
      <alignment horizontal="left" wrapText="1"/>
    </xf>
    <xf numFmtId="0" fontId="23" fillId="0" borderId="0" xfId="2157" applyFill="1" applyAlignment="1">
      <alignment horizontal="left"/>
    </xf>
    <xf numFmtId="0" fontId="23" fillId="0" borderId="0" xfId="2157" applyFill="1" applyAlignment="1">
      <alignment horizontal="left" vertical="center" wrapText="1"/>
    </xf>
    <xf numFmtId="0" fontId="0" fillId="0" borderId="0" xfId="0" applyAlignment="1">
      <alignment horizontal="left" vertical="top" wrapText="1"/>
    </xf>
    <xf numFmtId="0" fontId="0" fillId="0" borderId="0" xfId="0" applyAlignment="1"/>
  </cellXfs>
  <cellStyles count="2159">
    <cellStyle name="$/day" xfId="1312" xr:uid="{00000000-0005-0000-0000-000000000000}"/>
    <cellStyle name="$/day 2" xfId="1347" xr:uid="{00000000-0005-0000-0000-000001000000}"/>
    <cellStyle name="$/day 3" xfId="1378" xr:uid="{00000000-0005-0000-0000-000002000000}"/>
    <cellStyle name="$/day 4" xfId="1405" xr:uid="{00000000-0005-0000-0000-000003000000}"/>
    <cellStyle name="$/day 5" xfId="1432" xr:uid="{00000000-0005-0000-0000-000004000000}"/>
    <cellStyle name="$/day 6" xfId="1648" xr:uid="{00000000-0005-0000-0000-000005000000}"/>
    <cellStyle name="$/day 6 2" xfId="1682" xr:uid="{00000000-0005-0000-0000-000006000000}"/>
    <cellStyle name="$/hr" xfId="1313" xr:uid="{00000000-0005-0000-0000-000007000000}"/>
    <cellStyle name="$/hr 2" xfId="1348" xr:uid="{00000000-0005-0000-0000-000008000000}"/>
    <cellStyle name="$/hr 3" xfId="1379" xr:uid="{00000000-0005-0000-0000-000009000000}"/>
    <cellStyle name="$/hr 4" xfId="1406" xr:uid="{00000000-0005-0000-0000-00000A000000}"/>
    <cellStyle name="$/hr 5" xfId="1433" xr:uid="{00000000-0005-0000-0000-00000B000000}"/>
    <cellStyle name="$/hr 6" xfId="1649" xr:uid="{00000000-0005-0000-0000-00000C000000}"/>
    <cellStyle name="$/hr 6 2" xfId="1683" xr:uid="{00000000-0005-0000-0000-00000D000000}"/>
    <cellStyle name="$/m" xfId="1314" xr:uid="{00000000-0005-0000-0000-00000E000000}"/>
    <cellStyle name="$/m 2" xfId="1349" xr:uid="{00000000-0005-0000-0000-00000F000000}"/>
    <cellStyle name="$/m 3" xfId="1380" xr:uid="{00000000-0005-0000-0000-000010000000}"/>
    <cellStyle name="$/m 4" xfId="1407" xr:uid="{00000000-0005-0000-0000-000011000000}"/>
    <cellStyle name="$/m 5" xfId="1434" xr:uid="{00000000-0005-0000-0000-000012000000}"/>
    <cellStyle name="$/m 6" xfId="1650" xr:uid="{00000000-0005-0000-0000-000013000000}"/>
    <cellStyle name="$/m 6 2" xfId="1684" xr:uid="{00000000-0005-0000-0000-000014000000}"/>
    <cellStyle name="20% - Accent1" xfId="19" builtinId="30" customBuiltin="1"/>
    <cellStyle name="20% - Accent1 2" xfId="250" xr:uid="{00000000-0005-0000-0000-000016000000}"/>
    <cellStyle name="20% - Accent1 2 2" xfId="282" xr:uid="{00000000-0005-0000-0000-000017000000}"/>
    <cellStyle name="20% - Accent1 2 2 2" xfId="1482" xr:uid="{00000000-0005-0000-0000-000018000000}"/>
    <cellStyle name="20% - Accent1 2 2 2 2" xfId="2090" xr:uid="{00000000-0005-0000-0000-000019000000}"/>
    <cellStyle name="20% - Accent1 2 3" xfId="1178" xr:uid="{00000000-0005-0000-0000-00001A000000}"/>
    <cellStyle name="20% - Accent1 2 3 2" xfId="1512" xr:uid="{00000000-0005-0000-0000-00001B000000}"/>
    <cellStyle name="20% - Accent1 2 3 3" xfId="1616" xr:uid="{00000000-0005-0000-0000-00001C000000}"/>
    <cellStyle name="20% - Accent1 3" xfId="283" xr:uid="{00000000-0005-0000-0000-00001D000000}"/>
    <cellStyle name="20% - Accent1 3 2" xfId="1179" xr:uid="{00000000-0005-0000-0000-00001E000000}"/>
    <cellStyle name="20% - Accent1 3 2 2" xfId="1627" xr:uid="{00000000-0005-0000-0000-00001F000000}"/>
    <cellStyle name="20% - Accent1 3 2 3" xfId="1748" xr:uid="{00000000-0005-0000-0000-000020000000}"/>
    <cellStyle name="20% - Accent1 4" xfId="2127" xr:uid="{00000000-0005-0000-0000-000021000000}"/>
    <cellStyle name="20% - Accent2" xfId="23" builtinId="34" customBuiltin="1"/>
    <cellStyle name="20% - Accent2 2" xfId="284" xr:uid="{00000000-0005-0000-0000-000023000000}"/>
    <cellStyle name="20% - Accent2 2 2" xfId="285" xr:uid="{00000000-0005-0000-0000-000024000000}"/>
    <cellStyle name="20% - Accent2 2 2 2" xfId="1484" xr:uid="{00000000-0005-0000-0000-000025000000}"/>
    <cellStyle name="20% - Accent2 2 2 2 2" xfId="2092" xr:uid="{00000000-0005-0000-0000-000026000000}"/>
    <cellStyle name="20% - Accent2 2 3" xfId="1180" xr:uid="{00000000-0005-0000-0000-000027000000}"/>
    <cellStyle name="20% - Accent2 2 3 2" xfId="1592" xr:uid="{00000000-0005-0000-0000-000028000000}"/>
    <cellStyle name="20% - Accent2 2 3 3" xfId="1548" xr:uid="{00000000-0005-0000-0000-000029000000}"/>
    <cellStyle name="20% - Accent2 3" xfId="286" xr:uid="{00000000-0005-0000-0000-00002A000000}"/>
    <cellStyle name="20% - Accent2 3 2" xfId="1181" xr:uid="{00000000-0005-0000-0000-00002B000000}"/>
    <cellStyle name="20% - Accent2 3 2 2" xfId="1554" xr:uid="{00000000-0005-0000-0000-00002C000000}"/>
    <cellStyle name="20% - Accent2 3 2 3" xfId="1610" xr:uid="{00000000-0005-0000-0000-00002D000000}"/>
    <cellStyle name="20% - Accent2 4" xfId="2131" xr:uid="{00000000-0005-0000-0000-00002E000000}"/>
    <cellStyle name="20% - Accent3" xfId="27" builtinId="38" customBuiltin="1"/>
    <cellStyle name="20% - Accent3 2" xfId="287" xr:uid="{00000000-0005-0000-0000-000030000000}"/>
    <cellStyle name="20% - Accent3 2 2" xfId="288" xr:uid="{00000000-0005-0000-0000-000031000000}"/>
    <cellStyle name="20% - Accent3 2 2 2" xfId="1486" xr:uid="{00000000-0005-0000-0000-000032000000}"/>
    <cellStyle name="20% - Accent3 2 2 2 2" xfId="2094" xr:uid="{00000000-0005-0000-0000-000033000000}"/>
    <cellStyle name="20% - Accent3 2 3" xfId="1182" xr:uid="{00000000-0005-0000-0000-000034000000}"/>
    <cellStyle name="20% - Accent3 2 3 2" xfId="1575" xr:uid="{00000000-0005-0000-0000-000035000000}"/>
    <cellStyle name="20% - Accent3 2 3 3" xfId="1513" xr:uid="{00000000-0005-0000-0000-000036000000}"/>
    <cellStyle name="20% - Accent3 3" xfId="289" xr:uid="{00000000-0005-0000-0000-000037000000}"/>
    <cellStyle name="20% - Accent3 3 2" xfId="1183" xr:uid="{00000000-0005-0000-0000-000038000000}"/>
    <cellStyle name="20% - Accent3 3 2 2" xfId="1595" xr:uid="{00000000-0005-0000-0000-000039000000}"/>
    <cellStyle name="20% - Accent3 3 2 3" xfId="1749" xr:uid="{00000000-0005-0000-0000-00003A000000}"/>
    <cellStyle name="20% - Accent3 4" xfId="2135" xr:uid="{00000000-0005-0000-0000-00003B000000}"/>
    <cellStyle name="20% - Accent4" xfId="31" builtinId="42" customBuiltin="1"/>
    <cellStyle name="20% - Accent4 2" xfId="290" xr:uid="{00000000-0005-0000-0000-00003D000000}"/>
    <cellStyle name="20% - Accent4 2 2" xfId="291" xr:uid="{00000000-0005-0000-0000-00003E000000}"/>
    <cellStyle name="20% - Accent4 2 2 2" xfId="1488" xr:uid="{00000000-0005-0000-0000-00003F000000}"/>
    <cellStyle name="20% - Accent4 2 2 2 2" xfId="2096" xr:uid="{00000000-0005-0000-0000-000040000000}"/>
    <cellStyle name="20% - Accent4 2 3" xfId="1184" xr:uid="{00000000-0005-0000-0000-000041000000}"/>
    <cellStyle name="20% - Accent4 2 3 2" xfId="1557" xr:uid="{00000000-0005-0000-0000-000042000000}"/>
    <cellStyle name="20% - Accent4 2 3 3" xfId="1540" xr:uid="{00000000-0005-0000-0000-000043000000}"/>
    <cellStyle name="20% - Accent4 3" xfId="292" xr:uid="{00000000-0005-0000-0000-000044000000}"/>
    <cellStyle name="20% - Accent4 3 2" xfId="1185" xr:uid="{00000000-0005-0000-0000-000045000000}"/>
    <cellStyle name="20% - Accent4 3 2 2" xfId="1541" xr:uid="{00000000-0005-0000-0000-000046000000}"/>
    <cellStyle name="20% - Accent4 3 2 3" xfId="1599" xr:uid="{00000000-0005-0000-0000-000047000000}"/>
    <cellStyle name="20% - Accent4 4" xfId="2139" xr:uid="{00000000-0005-0000-0000-000048000000}"/>
    <cellStyle name="20% - Accent5" xfId="35" builtinId="46" customBuiltin="1"/>
    <cellStyle name="20% - Accent5 2" xfId="293" xr:uid="{00000000-0005-0000-0000-00004A000000}"/>
    <cellStyle name="20% - Accent5 2 2" xfId="294" xr:uid="{00000000-0005-0000-0000-00004B000000}"/>
    <cellStyle name="20% - Accent5 2 2 2" xfId="1490" xr:uid="{00000000-0005-0000-0000-00004C000000}"/>
    <cellStyle name="20% - Accent5 2 2 2 2" xfId="2098" xr:uid="{00000000-0005-0000-0000-00004D000000}"/>
    <cellStyle name="20% - Accent5 2 3" xfId="1186" xr:uid="{00000000-0005-0000-0000-00004E000000}"/>
    <cellStyle name="20% - Accent5 2 3 2" xfId="1754" xr:uid="{00000000-0005-0000-0000-00004F000000}"/>
    <cellStyle name="20% - Accent5 2 3 3" xfId="1549" xr:uid="{00000000-0005-0000-0000-000050000000}"/>
    <cellStyle name="20% - Accent5 3" xfId="295" xr:uid="{00000000-0005-0000-0000-000051000000}"/>
    <cellStyle name="20% - Accent5 3 2" xfId="1187" xr:uid="{00000000-0005-0000-0000-000052000000}"/>
    <cellStyle name="20% - Accent5 3 2 2" xfId="1755" xr:uid="{00000000-0005-0000-0000-000053000000}"/>
    <cellStyle name="20% - Accent5 3 2 3" xfId="1562" xr:uid="{00000000-0005-0000-0000-000054000000}"/>
    <cellStyle name="20% - Accent5 4" xfId="2143" xr:uid="{00000000-0005-0000-0000-000055000000}"/>
    <cellStyle name="20% - Accent6" xfId="39" builtinId="50" customBuiltin="1"/>
    <cellStyle name="20% - Accent6 2" xfId="296" xr:uid="{00000000-0005-0000-0000-000057000000}"/>
    <cellStyle name="20% - Accent6 2 2" xfId="297" xr:uid="{00000000-0005-0000-0000-000058000000}"/>
    <cellStyle name="20% - Accent6 2 2 2" xfId="1492" xr:uid="{00000000-0005-0000-0000-000059000000}"/>
    <cellStyle name="20% - Accent6 2 2 2 2" xfId="2100" xr:uid="{00000000-0005-0000-0000-00005A000000}"/>
    <cellStyle name="20% - Accent6 2 3" xfId="1188" xr:uid="{00000000-0005-0000-0000-00005B000000}"/>
    <cellStyle name="20% - Accent6 2 3 2" xfId="1756" xr:uid="{00000000-0005-0000-0000-00005C000000}"/>
    <cellStyle name="20% - Accent6 2 3 3" xfId="1743" xr:uid="{00000000-0005-0000-0000-00005D000000}"/>
    <cellStyle name="20% - Accent6 3" xfId="298" xr:uid="{00000000-0005-0000-0000-00005E000000}"/>
    <cellStyle name="20% - Accent6 3 2" xfId="1189" xr:uid="{00000000-0005-0000-0000-00005F000000}"/>
    <cellStyle name="20% - Accent6 3 2 2" xfId="1757" xr:uid="{00000000-0005-0000-0000-000060000000}"/>
    <cellStyle name="20% - Accent6 3 2 3" xfId="1538" xr:uid="{00000000-0005-0000-0000-000061000000}"/>
    <cellStyle name="20% - Accent6 4" xfId="2147" xr:uid="{00000000-0005-0000-0000-000062000000}"/>
    <cellStyle name="40% - Accent1" xfId="20" builtinId="31" customBuiltin="1"/>
    <cellStyle name="40% - Accent1 2" xfId="299" xr:uid="{00000000-0005-0000-0000-000064000000}"/>
    <cellStyle name="40% - Accent1 2 2" xfId="300" xr:uid="{00000000-0005-0000-0000-000065000000}"/>
    <cellStyle name="40% - Accent1 2 2 2" xfId="1483" xr:uid="{00000000-0005-0000-0000-000066000000}"/>
    <cellStyle name="40% - Accent1 2 2 2 2" xfId="2091" xr:uid="{00000000-0005-0000-0000-000067000000}"/>
    <cellStyle name="40% - Accent1 2 3" xfId="1190" xr:uid="{00000000-0005-0000-0000-000068000000}"/>
    <cellStyle name="40% - Accent1 2 3 2" xfId="1758" xr:uid="{00000000-0005-0000-0000-000069000000}"/>
    <cellStyle name="40% - Accent1 2 3 3" xfId="1635" xr:uid="{00000000-0005-0000-0000-00006A000000}"/>
    <cellStyle name="40% - Accent1 3" xfId="301" xr:uid="{00000000-0005-0000-0000-00006B000000}"/>
    <cellStyle name="40% - Accent1 3 2" xfId="1191" xr:uid="{00000000-0005-0000-0000-00006C000000}"/>
    <cellStyle name="40% - Accent1 3 2 2" xfId="1759" xr:uid="{00000000-0005-0000-0000-00006D000000}"/>
    <cellStyle name="40% - Accent1 3 2 3" xfId="1753" xr:uid="{00000000-0005-0000-0000-00006E000000}"/>
    <cellStyle name="40% - Accent1 4" xfId="2128" xr:uid="{00000000-0005-0000-0000-00006F000000}"/>
    <cellStyle name="40% - Accent2" xfId="24" builtinId="35" customBuiltin="1"/>
    <cellStyle name="40% - Accent2 2" xfId="302" xr:uid="{00000000-0005-0000-0000-000071000000}"/>
    <cellStyle name="40% - Accent2 2 2" xfId="303" xr:uid="{00000000-0005-0000-0000-000072000000}"/>
    <cellStyle name="40% - Accent2 2 2 2" xfId="1485" xr:uid="{00000000-0005-0000-0000-000073000000}"/>
    <cellStyle name="40% - Accent2 2 2 2 2" xfId="2093" xr:uid="{00000000-0005-0000-0000-000074000000}"/>
    <cellStyle name="40% - Accent2 2 3" xfId="1192" xr:uid="{00000000-0005-0000-0000-000075000000}"/>
    <cellStyle name="40% - Accent2 2 3 2" xfId="1760" xr:uid="{00000000-0005-0000-0000-000076000000}"/>
    <cellStyle name="40% - Accent2 2 3 3" xfId="1520" xr:uid="{00000000-0005-0000-0000-000077000000}"/>
    <cellStyle name="40% - Accent2 3" xfId="304" xr:uid="{00000000-0005-0000-0000-000078000000}"/>
    <cellStyle name="40% - Accent2 3 2" xfId="1193" xr:uid="{00000000-0005-0000-0000-000079000000}"/>
    <cellStyle name="40% - Accent2 3 2 2" xfId="1761" xr:uid="{00000000-0005-0000-0000-00007A000000}"/>
    <cellStyle name="40% - Accent2 3 2 3" xfId="1629" xr:uid="{00000000-0005-0000-0000-00007B000000}"/>
    <cellStyle name="40% - Accent2 4" xfId="2132" xr:uid="{00000000-0005-0000-0000-00007C000000}"/>
    <cellStyle name="40% - Accent3" xfId="28" builtinId="39" customBuiltin="1"/>
    <cellStyle name="40% - Accent3 2" xfId="305" xr:uid="{00000000-0005-0000-0000-00007E000000}"/>
    <cellStyle name="40% - Accent3 2 2" xfId="306" xr:uid="{00000000-0005-0000-0000-00007F000000}"/>
    <cellStyle name="40% - Accent3 2 2 2" xfId="1487" xr:uid="{00000000-0005-0000-0000-000080000000}"/>
    <cellStyle name="40% - Accent3 2 2 2 2" xfId="2095" xr:uid="{00000000-0005-0000-0000-000081000000}"/>
    <cellStyle name="40% - Accent3 2 3" xfId="1194" xr:uid="{00000000-0005-0000-0000-000082000000}"/>
    <cellStyle name="40% - Accent3 2 3 2" xfId="1762" xr:uid="{00000000-0005-0000-0000-000083000000}"/>
    <cellStyle name="40% - Accent3 2 3 3" xfId="1626" xr:uid="{00000000-0005-0000-0000-000084000000}"/>
    <cellStyle name="40% - Accent3 3" xfId="307" xr:uid="{00000000-0005-0000-0000-000085000000}"/>
    <cellStyle name="40% - Accent3 3 2" xfId="1195" xr:uid="{00000000-0005-0000-0000-000086000000}"/>
    <cellStyle name="40% - Accent3 3 2 2" xfId="1763" xr:uid="{00000000-0005-0000-0000-000087000000}"/>
    <cellStyle name="40% - Accent3 3 2 3" xfId="1588" xr:uid="{00000000-0005-0000-0000-000088000000}"/>
    <cellStyle name="40% - Accent3 4" xfId="2136" xr:uid="{00000000-0005-0000-0000-000089000000}"/>
    <cellStyle name="40% - Accent4" xfId="32" builtinId="43" customBuiltin="1"/>
    <cellStyle name="40% - Accent4 2" xfId="308" xr:uid="{00000000-0005-0000-0000-00008B000000}"/>
    <cellStyle name="40% - Accent4 2 2" xfId="309" xr:uid="{00000000-0005-0000-0000-00008C000000}"/>
    <cellStyle name="40% - Accent4 2 2 2" xfId="1489" xr:uid="{00000000-0005-0000-0000-00008D000000}"/>
    <cellStyle name="40% - Accent4 2 2 2 2" xfId="2097" xr:uid="{00000000-0005-0000-0000-00008E000000}"/>
    <cellStyle name="40% - Accent4 2 3" xfId="1196" xr:uid="{00000000-0005-0000-0000-00008F000000}"/>
    <cellStyle name="40% - Accent4 2 3 2" xfId="1764" xr:uid="{00000000-0005-0000-0000-000090000000}"/>
    <cellStyle name="40% - Accent4 2 3 3" xfId="1544" xr:uid="{00000000-0005-0000-0000-000091000000}"/>
    <cellStyle name="40% - Accent4 3" xfId="310" xr:uid="{00000000-0005-0000-0000-000092000000}"/>
    <cellStyle name="40% - Accent4 3 2" xfId="1197" xr:uid="{00000000-0005-0000-0000-000093000000}"/>
    <cellStyle name="40% - Accent4 3 2 2" xfId="1765" xr:uid="{00000000-0005-0000-0000-000094000000}"/>
    <cellStyle name="40% - Accent4 3 2 3" xfId="1615" xr:uid="{00000000-0005-0000-0000-000095000000}"/>
    <cellStyle name="40% - Accent4 4" xfId="2140" xr:uid="{00000000-0005-0000-0000-000096000000}"/>
    <cellStyle name="40% - Accent5" xfId="36" builtinId="47" customBuiltin="1"/>
    <cellStyle name="40% - Accent5 2" xfId="311" xr:uid="{00000000-0005-0000-0000-000098000000}"/>
    <cellStyle name="40% - Accent5 2 2" xfId="312" xr:uid="{00000000-0005-0000-0000-000099000000}"/>
    <cellStyle name="40% - Accent5 2 2 2" xfId="1491" xr:uid="{00000000-0005-0000-0000-00009A000000}"/>
    <cellStyle name="40% - Accent5 2 2 2 2" xfId="2099" xr:uid="{00000000-0005-0000-0000-00009B000000}"/>
    <cellStyle name="40% - Accent5 2 3" xfId="1198" xr:uid="{00000000-0005-0000-0000-00009C000000}"/>
    <cellStyle name="40% - Accent5 2 3 2" xfId="1766" xr:uid="{00000000-0005-0000-0000-00009D000000}"/>
    <cellStyle name="40% - Accent5 2 3 3" xfId="1603" xr:uid="{00000000-0005-0000-0000-00009E000000}"/>
    <cellStyle name="40% - Accent5 3" xfId="313" xr:uid="{00000000-0005-0000-0000-00009F000000}"/>
    <cellStyle name="40% - Accent5 3 2" xfId="1199" xr:uid="{00000000-0005-0000-0000-0000A0000000}"/>
    <cellStyle name="40% - Accent5 3 2 2" xfId="1767" xr:uid="{00000000-0005-0000-0000-0000A1000000}"/>
    <cellStyle name="40% - Accent5 3 2 3" xfId="1613" xr:uid="{00000000-0005-0000-0000-0000A2000000}"/>
    <cellStyle name="40% - Accent5 4" xfId="2144" xr:uid="{00000000-0005-0000-0000-0000A3000000}"/>
    <cellStyle name="40% - Accent6" xfId="40" builtinId="51" customBuiltin="1"/>
    <cellStyle name="40% - Accent6 2" xfId="314" xr:uid="{00000000-0005-0000-0000-0000A5000000}"/>
    <cellStyle name="40% - Accent6 2 2" xfId="315" xr:uid="{00000000-0005-0000-0000-0000A6000000}"/>
    <cellStyle name="40% - Accent6 2 2 2" xfId="1493" xr:uid="{00000000-0005-0000-0000-0000A7000000}"/>
    <cellStyle name="40% - Accent6 2 2 2 2" xfId="2101" xr:uid="{00000000-0005-0000-0000-0000A8000000}"/>
    <cellStyle name="40% - Accent6 2 3" xfId="1200" xr:uid="{00000000-0005-0000-0000-0000A9000000}"/>
    <cellStyle name="40% - Accent6 2 3 2" xfId="1768" xr:uid="{00000000-0005-0000-0000-0000AA000000}"/>
    <cellStyle name="40% - Accent6 2 3 3" xfId="1514" xr:uid="{00000000-0005-0000-0000-0000AB000000}"/>
    <cellStyle name="40% - Accent6 3" xfId="316" xr:uid="{00000000-0005-0000-0000-0000AC000000}"/>
    <cellStyle name="40% - Accent6 3 2" xfId="1201" xr:uid="{00000000-0005-0000-0000-0000AD000000}"/>
    <cellStyle name="40% - Accent6 3 2 2" xfId="1769" xr:uid="{00000000-0005-0000-0000-0000AE000000}"/>
    <cellStyle name="40% - Accent6 3 2 3" xfId="1537" xr:uid="{00000000-0005-0000-0000-0000AF000000}"/>
    <cellStyle name="40% - Accent6 4" xfId="2148" xr:uid="{00000000-0005-0000-0000-0000B0000000}"/>
    <cellStyle name="60% - Accent1" xfId="21" builtinId="32" customBuiltin="1"/>
    <cellStyle name="60% - Accent1 2" xfId="317" xr:uid="{00000000-0005-0000-0000-0000B2000000}"/>
    <cellStyle name="60% - Accent1 2 2" xfId="318" xr:uid="{00000000-0005-0000-0000-0000B3000000}"/>
    <cellStyle name="60% - Accent1 2 3" xfId="1202" xr:uid="{00000000-0005-0000-0000-0000B4000000}"/>
    <cellStyle name="60% - Accent1 2 3 2" xfId="1770" xr:uid="{00000000-0005-0000-0000-0000B5000000}"/>
    <cellStyle name="60% - Accent1 2 3 3" xfId="1555" xr:uid="{00000000-0005-0000-0000-0000B6000000}"/>
    <cellStyle name="60% - Accent1 3" xfId="319" xr:uid="{00000000-0005-0000-0000-0000B7000000}"/>
    <cellStyle name="60% - Accent1 4" xfId="2129" xr:uid="{00000000-0005-0000-0000-0000B8000000}"/>
    <cellStyle name="60% - Accent2" xfId="25" builtinId="36" customBuiltin="1"/>
    <cellStyle name="60% - Accent2 2" xfId="320" xr:uid="{00000000-0005-0000-0000-0000BA000000}"/>
    <cellStyle name="60% - Accent2 2 2" xfId="321" xr:uid="{00000000-0005-0000-0000-0000BB000000}"/>
    <cellStyle name="60% - Accent2 2 3" xfId="1203" xr:uid="{00000000-0005-0000-0000-0000BC000000}"/>
    <cellStyle name="60% - Accent2 2 3 2" xfId="1771" xr:uid="{00000000-0005-0000-0000-0000BD000000}"/>
    <cellStyle name="60% - Accent2 2 3 3" xfId="1543" xr:uid="{00000000-0005-0000-0000-0000BE000000}"/>
    <cellStyle name="60% - Accent2 3" xfId="322" xr:uid="{00000000-0005-0000-0000-0000BF000000}"/>
    <cellStyle name="60% - Accent2 4" xfId="2133" xr:uid="{00000000-0005-0000-0000-0000C0000000}"/>
    <cellStyle name="60% - Accent3" xfId="29" builtinId="40" customBuiltin="1"/>
    <cellStyle name="60% - Accent3 2" xfId="323" xr:uid="{00000000-0005-0000-0000-0000C2000000}"/>
    <cellStyle name="60% - Accent3 2 2" xfId="324" xr:uid="{00000000-0005-0000-0000-0000C3000000}"/>
    <cellStyle name="60% - Accent3 2 3" xfId="1204" xr:uid="{00000000-0005-0000-0000-0000C4000000}"/>
    <cellStyle name="60% - Accent3 2 3 2" xfId="1772" xr:uid="{00000000-0005-0000-0000-0000C5000000}"/>
    <cellStyle name="60% - Accent3 2 3 3" xfId="1745" xr:uid="{00000000-0005-0000-0000-0000C6000000}"/>
    <cellStyle name="60% - Accent3 3" xfId="325" xr:uid="{00000000-0005-0000-0000-0000C7000000}"/>
    <cellStyle name="60% - Accent3 4" xfId="2137" xr:uid="{00000000-0005-0000-0000-0000C8000000}"/>
    <cellStyle name="60% - Accent4" xfId="33" builtinId="44" customBuiltin="1"/>
    <cellStyle name="60% - Accent4 2" xfId="326" xr:uid="{00000000-0005-0000-0000-0000CA000000}"/>
    <cellStyle name="60% - Accent4 2 2" xfId="327" xr:uid="{00000000-0005-0000-0000-0000CB000000}"/>
    <cellStyle name="60% - Accent4 2 3" xfId="1205" xr:uid="{00000000-0005-0000-0000-0000CC000000}"/>
    <cellStyle name="60% - Accent4 2 3 2" xfId="1773" xr:uid="{00000000-0005-0000-0000-0000CD000000}"/>
    <cellStyle name="60% - Accent4 2 3 3" xfId="1577" xr:uid="{00000000-0005-0000-0000-0000CE000000}"/>
    <cellStyle name="60% - Accent4 3" xfId="328" xr:uid="{00000000-0005-0000-0000-0000CF000000}"/>
    <cellStyle name="60% - Accent4 4" xfId="2141" xr:uid="{00000000-0005-0000-0000-0000D0000000}"/>
    <cellStyle name="60% - Accent5" xfId="37" builtinId="48" customBuiltin="1"/>
    <cellStyle name="60% - Accent5 2" xfId="329" xr:uid="{00000000-0005-0000-0000-0000D2000000}"/>
    <cellStyle name="60% - Accent5 2 2" xfId="330" xr:uid="{00000000-0005-0000-0000-0000D3000000}"/>
    <cellStyle name="60% - Accent5 2 3" xfId="1206" xr:uid="{00000000-0005-0000-0000-0000D4000000}"/>
    <cellStyle name="60% - Accent5 2 3 2" xfId="1774" xr:uid="{00000000-0005-0000-0000-0000D5000000}"/>
    <cellStyle name="60% - Accent5 2 3 3" xfId="1515" xr:uid="{00000000-0005-0000-0000-0000D6000000}"/>
    <cellStyle name="60% - Accent5 3" xfId="331" xr:uid="{00000000-0005-0000-0000-0000D7000000}"/>
    <cellStyle name="60% - Accent5 4" xfId="2145" xr:uid="{00000000-0005-0000-0000-0000D8000000}"/>
    <cellStyle name="60% - Accent6" xfId="41" builtinId="52" customBuiltin="1"/>
    <cellStyle name="60% - Accent6 2" xfId="332" xr:uid="{00000000-0005-0000-0000-0000DA000000}"/>
    <cellStyle name="60% - Accent6 2 2" xfId="333" xr:uid="{00000000-0005-0000-0000-0000DB000000}"/>
    <cellStyle name="60% - Accent6 2 3" xfId="1207" xr:uid="{00000000-0005-0000-0000-0000DC000000}"/>
    <cellStyle name="60% - Accent6 2 3 2" xfId="1775" xr:uid="{00000000-0005-0000-0000-0000DD000000}"/>
    <cellStyle name="60% - Accent6 2 3 3" xfId="1597" xr:uid="{00000000-0005-0000-0000-0000DE000000}"/>
    <cellStyle name="60% - Accent6 3" xfId="334" xr:uid="{00000000-0005-0000-0000-0000DF000000}"/>
    <cellStyle name="60% - Accent6 4" xfId="2149" xr:uid="{00000000-0005-0000-0000-0000E0000000}"/>
    <cellStyle name="Accent1" xfId="18" builtinId="29" customBuiltin="1"/>
    <cellStyle name="Accent1 2" xfId="335" xr:uid="{00000000-0005-0000-0000-0000E2000000}"/>
    <cellStyle name="Accent1 2 2" xfId="336" xr:uid="{00000000-0005-0000-0000-0000E3000000}"/>
    <cellStyle name="Accent1 2 3" xfId="1208" xr:uid="{00000000-0005-0000-0000-0000E4000000}"/>
    <cellStyle name="Accent1 2 3 2" xfId="1776" xr:uid="{00000000-0005-0000-0000-0000E5000000}"/>
    <cellStyle name="Accent1 2 3 3" xfId="1529" xr:uid="{00000000-0005-0000-0000-0000E6000000}"/>
    <cellStyle name="Accent1 3" xfId="337" xr:uid="{00000000-0005-0000-0000-0000E7000000}"/>
    <cellStyle name="Accent1 4" xfId="2126" xr:uid="{00000000-0005-0000-0000-0000E8000000}"/>
    <cellStyle name="Accent2" xfId="22" builtinId="33" customBuiltin="1"/>
    <cellStyle name="Accent2 2" xfId="338" xr:uid="{00000000-0005-0000-0000-0000EA000000}"/>
    <cellStyle name="Accent2 2 2" xfId="339" xr:uid="{00000000-0005-0000-0000-0000EB000000}"/>
    <cellStyle name="Accent2 2 3" xfId="1209" xr:uid="{00000000-0005-0000-0000-0000EC000000}"/>
    <cellStyle name="Accent2 2 3 2" xfId="1777" xr:uid="{00000000-0005-0000-0000-0000ED000000}"/>
    <cellStyle name="Accent2 2 3 3" xfId="1517" xr:uid="{00000000-0005-0000-0000-0000EE000000}"/>
    <cellStyle name="Accent2 3" xfId="340" xr:uid="{00000000-0005-0000-0000-0000EF000000}"/>
    <cellStyle name="Accent2 4" xfId="2130" xr:uid="{00000000-0005-0000-0000-0000F0000000}"/>
    <cellStyle name="Accent3" xfId="26" builtinId="37" customBuiltin="1"/>
    <cellStyle name="Accent3 2" xfId="175" xr:uid="{00000000-0005-0000-0000-0000F2000000}"/>
    <cellStyle name="Accent3 2 2" xfId="342" xr:uid="{00000000-0005-0000-0000-0000F3000000}"/>
    <cellStyle name="Accent3 2 3" xfId="341" xr:uid="{00000000-0005-0000-0000-0000F4000000}"/>
    <cellStyle name="Accent3 2 4" xfId="1210" xr:uid="{00000000-0005-0000-0000-0000F5000000}"/>
    <cellStyle name="Accent3 2 5" xfId="1609" xr:uid="{00000000-0005-0000-0000-0000F6000000}"/>
    <cellStyle name="Accent3 3" xfId="169" xr:uid="{00000000-0005-0000-0000-0000F7000000}"/>
    <cellStyle name="Accent3 3 2" xfId="343" xr:uid="{00000000-0005-0000-0000-0000F8000000}"/>
    <cellStyle name="Accent3 3 3" xfId="1568" xr:uid="{00000000-0005-0000-0000-0000F9000000}"/>
    <cellStyle name="Accent3 4" xfId="2134" xr:uid="{00000000-0005-0000-0000-0000FA000000}"/>
    <cellStyle name="Accent4" xfId="30" builtinId="41" customBuiltin="1"/>
    <cellStyle name="Accent4 2" xfId="344" xr:uid="{00000000-0005-0000-0000-0000FC000000}"/>
    <cellStyle name="Accent4 2 2" xfId="345" xr:uid="{00000000-0005-0000-0000-0000FD000000}"/>
    <cellStyle name="Accent4 2 3" xfId="1211" xr:uid="{00000000-0005-0000-0000-0000FE000000}"/>
    <cellStyle name="Accent4 2 3 2" xfId="1778" xr:uid="{00000000-0005-0000-0000-0000FF000000}"/>
    <cellStyle name="Accent4 2 3 3" xfId="1589" xr:uid="{00000000-0005-0000-0000-000000010000}"/>
    <cellStyle name="Accent4 3" xfId="346" xr:uid="{00000000-0005-0000-0000-000001010000}"/>
    <cellStyle name="Accent4 4" xfId="2138" xr:uid="{00000000-0005-0000-0000-000002010000}"/>
    <cellStyle name="Accent5" xfId="34" builtinId="45" customBuiltin="1"/>
    <cellStyle name="Accent5 2" xfId="347" xr:uid="{00000000-0005-0000-0000-000004010000}"/>
    <cellStyle name="Accent5 2 2" xfId="348" xr:uid="{00000000-0005-0000-0000-000005010000}"/>
    <cellStyle name="Accent5 2 3" xfId="1212" xr:uid="{00000000-0005-0000-0000-000006010000}"/>
    <cellStyle name="Accent5 2 3 2" xfId="1779" xr:uid="{00000000-0005-0000-0000-000007010000}"/>
    <cellStyle name="Accent5 2 3 3" xfId="1525" xr:uid="{00000000-0005-0000-0000-000008010000}"/>
    <cellStyle name="Accent5 3" xfId="349" xr:uid="{00000000-0005-0000-0000-000009010000}"/>
    <cellStyle name="Accent5 4" xfId="2142" xr:uid="{00000000-0005-0000-0000-00000A010000}"/>
    <cellStyle name="Accent6" xfId="38" builtinId="49" customBuiltin="1"/>
    <cellStyle name="Accent6 2" xfId="176" xr:uid="{00000000-0005-0000-0000-00000C010000}"/>
    <cellStyle name="Accent6 2 2" xfId="351" xr:uid="{00000000-0005-0000-0000-00000D010000}"/>
    <cellStyle name="Accent6 2 3" xfId="350" xr:uid="{00000000-0005-0000-0000-00000E010000}"/>
    <cellStyle name="Accent6 2 4" xfId="1213" xr:uid="{00000000-0005-0000-0000-00000F010000}"/>
    <cellStyle name="Accent6 2 5" xfId="1572" xr:uid="{00000000-0005-0000-0000-000010010000}"/>
    <cellStyle name="Accent6 3" xfId="170" xr:uid="{00000000-0005-0000-0000-000011010000}"/>
    <cellStyle name="Accent6 3 2" xfId="352" xr:uid="{00000000-0005-0000-0000-000012010000}"/>
    <cellStyle name="Accent6 3 3" xfId="1532" xr:uid="{00000000-0005-0000-0000-000013010000}"/>
    <cellStyle name="Accent6 4" xfId="2146" xr:uid="{00000000-0005-0000-0000-000014010000}"/>
    <cellStyle name="Bad" xfId="7" builtinId="27" customBuiltin="1"/>
    <cellStyle name="Bad 2" xfId="353" xr:uid="{00000000-0005-0000-0000-000016010000}"/>
    <cellStyle name="Bad 2 2" xfId="354" xr:uid="{00000000-0005-0000-0000-000017010000}"/>
    <cellStyle name="Bad 2 3" xfId="1214" xr:uid="{00000000-0005-0000-0000-000018010000}"/>
    <cellStyle name="Bad 2 3 2" xfId="1780" xr:uid="{00000000-0005-0000-0000-000019010000}"/>
    <cellStyle name="Bad 2 3 3" xfId="1600" xr:uid="{00000000-0005-0000-0000-00001A010000}"/>
    <cellStyle name="Bad 2 4" xfId="1815" xr:uid="{00000000-0005-0000-0000-00001B010000}"/>
    <cellStyle name="Bad 3" xfId="355" xr:uid="{00000000-0005-0000-0000-00001C010000}"/>
    <cellStyle name="Bad 3 2" xfId="1215" xr:uid="{00000000-0005-0000-0000-00001D010000}"/>
    <cellStyle name="Bad 3 2 2" xfId="1781" xr:uid="{00000000-0005-0000-0000-00001E010000}"/>
    <cellStyle name="Bad 3 2 3" xfId="1559" xr:uid="{00000000-0005-0000-0000-00001F010000}"/>
    <cellStyle name="Bad 4" xfId="2115" xr:uid="{00000000-0005-0000-0000-000020010000}"/>
    <cellStyle name="Calculation" xfId="11" builtinId="22" customBuiltin="1"/>
    <cellStyle name="Calculation 2" xfId="217" xr:uid="{00000000-0005-0000-0000-000022010000}"/>
    <cellStyle name="Calculation 2 2" xfId="357" xr:uid="{00000000-0005-0000-0000-000023010000}"/>
    <cellStyle name="Calculation 2 2 2" xfId="986" xr:uid="{00000000-0005-0000-0000-000024010000}"/>
    <cellStyle name="Calculation 2 2 2 2" xfId="1098" xr:uid="{00000000-0005-0000-0000-000025010000}"/>
    <cellStyle name="Calculation 2 2 3" xfId="1027" xr:uid="{00000000-0005-0000-0000-000026010000}"/>
    <cellStyle name="Calculation 2 2 3 2" xfId="1081" xr:uid="{00000000-0005-0000-0000-000027010000}"/>
    <cellStyle name="Calculation 2 2 4" xfId="1038" xr:uid="{00000000-0005-0000-0000-000028010000}"/>
    <cellStyle name="Calculation 2 2 4 2" xfId="1157" xr:uid="{00000000-0005-0000-0000-000029010000}"/>
    <cellStyle name="Calculation 2 2 5" xfId="1047" xr:uid="{00000000-0005-0000-0000-00002A010000}"/>
    <cellStyle name="Calculation 2 2 5 2" xfId="1158" xr:uid="{00000000-0005-0000-0000-00002B010000}"/>
    <cellStyle name="Calculation 2 2 6" xfId="988" xr:uid="{00000000-0005-0000-0000-00002C010000}"/>
    <cellStyle name="Calculation 2 2 6 2" xfId="1096" xr:uid="{00000000-0005-0000-0000-00002D010000}"/>
    <cellStyle name="Calculation 2 2 7" xfId="1110" xr:uid="{00000000-0005-0000-0000-00002E010000}"/>
    <cellStyle name="Calculation 2 2 8" xfId="1216" xr:uid="{00000000-0005-0000-0000-00002F010000}"/>
    <cellStyle name="Calculation 2 2 8 2" xfId="1782" xr:uid="{00000000-0005-0000-0000-000030010000}"/>
    <cellStyle name="Calculation 2 2 8 3" xfId="1605" xr:uid="{00000000-0005-0000-0000-000031010000}"/>
    <cellStyle name="Calculation 2 3" xfId="985" xr:uid="{00000000-0005-0000-0000-000032010000}"/>
    <cellStyle name="Calculation 2 3 2" xfId="1099" xr:uid="{00000000-0005-0000-0000-000033010000}"/>
    <cellStyle name="Calculation 2 4" xfId="999" xr:uid="{00000000-0005-0000-0000-000034010000}"/>
    <cellStyle name="Calculation 2 4 2" xfId="1088" xr:uid="{00000000-0005-0000-0000-000035010000}"/>
    <cellStyle name="Calculation 2 5" xfId="1058" xr:uid="{00000000-0005-0000-0000-000036010000}"/>
    <cellStyle name="Calculation 2 5 2" xfId="1162" xr:uid="{00000000-0005-0000-0000-000037010000}"/>
    <cellStyle name="Calculation 2 6" xfId="1006" xr:uid="{00000000-0005-0000-0000-000038010000}"/>
    <cellStyle name="Calculation 2 6 2" xfId="1085" xr:uid="{00000000-0005-0000-0000-000039010000}"/>
    <cellStyle name="Calculation 2 7" xfId="1059" xr:uid="{00000000-0005-0000-0000-00003A010000}"/>
    <cellStyle name="Calculation 2 7 2" xfId="1163" xr:uid="{00000000-0005-0000-0000-00003B010000}"/>
    <cellStyle name="Calculation 2 8" xfId="1112" xr:uid="{00000000-0005-0000-0000-00003C010000}"/>
    <cellStyle name="Calculation 2 9" xfId="356" xr:uid="{00000000-0005-0000-0000-00003D010000}"/>
    <cellStyle name="Calculation 3" xfId="358" xr:uid="{00000000-0005-0000-0000-00003E010000}"/>
    <cellStyle name="Calculation 3 2" xfId="987" xr:uid="{00000000-0005-0000-0000-00003F010000}"/>
    <cellStyle name="Calculation 3 2 2" xfId="1097" xr:uid="{00000000-0005-0000-0000-000040010000}"/>
    <cellStyle name="Calculation 3 3" xfId="1034" xr:uid="{00000000-0005-0000-0000-000041010000}"/>
    <cellStyle name="Calculation 3 3 2" xfId="1156" xr:uid="{00000000-0005-0000-0000-000042010000}"/>
    <cellStyle name="Calculation 3 4" xfId="993" xr:uid="{00000000-0005-0000-0000-000043010000}"/>
    <cellStyle name="Calculation 3 4 2" xfId="1094" xr:uid="{00000000-0005-0000-0000-000044010000}"/>
    <cellStyle name="Calculation 3 5" xfId="1061" xr:uid="{00000000-0005-0000-0000-000045010000}"/>
    <cellStyle name="Calculation 3 5 2" xfId="1164" xr:uid="{00000000-0005-0000-0000-000046010000}"/>
    <cellStyle name="Calculation 3 6" xfId="1000" xr:uid="{00000000-0005-0000-0000-000047010000}"/>
    <cellStyle name="Calculation 3 6 2" xfId="1087" xr:uid="{00000000-0005-0000-0000-000048010000}"/>
    <cellStyle name="Calculation 3 7" xfId="1108" xr:uid="{00000000-0005-0000-0000-000049010000}"/>
    <cellStyle name="Calculation 4" xfId="2119" xr:uid="{00000000-0005-0000-0000-00004A010000}"/>
    <cellStyle name="Check Cell" xfId="13" builtinId="23" customBuiltin="1"/>
    <cellStyle name="Check Cell 2" xfId="359" xr:uid="{00000000-0005-0000-0000-00004C010000}"/>
    <cellStyle name="Check Cell 2 2" xfId="360" xr:uid="{00000000-0005-0000-0000-00004D010000}"/>
    <cellStyle name="Check Cell 2 3" xfId="1217" xr:uid="{00000000-0005-0000-0000-00004E010000}"/>
    <cellStyle name="Check Cell 2 3 2" xfId="1783" xr:uid="{00000000-0005-0000-0000-00004F010000}"/>
    <cellStyle name="Check Cell 2 3 3" xfId="1750" xr:uid="{00000000-0005-0000-0000-000050010000}"/>
    <cellStyle name="Check Cell 3" xfId="361" xr:uid="{00000000-0005-0000-0000-000051010000}"/>
    <cellStyle name="Check Cell 4" xfId="2121" xr:uid="{00000000-0005-0000-0000-000052010000}"/>
    <cellStyle name="Comma" xfId="2158" builtinId="3"/>
    <cellStyle name="Comma 10" xfId="522" xr:uid="{00000000-0005-0000-0000-000054010000}"/>
    <cellStyle name="Comma 10 2" xfId="534" xr:uid="{00000000-0005-0000-0000-000055010000}"/>
    <cellStyle name="Comma 10 2 2" xfId="584" xr:uid="{00000000-0005-0000-0000-000056010000}"/>
    <cellStyle name="Comma 10 2 2 2" xfId="696" xr:uid="{00000000-0005-0000-0000-000057010000}"/>
    <cellStyle name="Comma 10 2 2 2 2" xfId="923" xr:uid="{00000000-0005-0000-0000-000058010000}"/>
    <cellStyle name="Comma 10 2 2 2 2 2" xfId="1963" xr:uid="{00000000-0005-0000-0000-000059010000}"/>
    <cellStyle name="Comma 10 2 2 2 3" xfId="1896" xr:uid="{00000000-0005-0000-0000-00005A010000}"/>
    <cellStyle name="Comma 10 2 2 3" xfId="810" xr:uid="{00000000-0005-0000-0000-00005B010000}"/>
    <cellStyle name="Comma 10 2 2 3 2" xfId="1929" xr:uid="{00000000-0005-0000-0000-00005C010000}"/>
    <cellStyle name="Comma 10 2 2 4" xfId="1863" xr:uid="{00000000-0005-0000-0000-00005D010000}"/>
    <cellStyle name="Comma 10 2 3" xfId="621" xr:uid="{00000000-0005-0000-0000-00005E010000}"/>
    <cellStyle name="Comma 10 2 3 2" xfId="733" xr:uid="{00000000-0005-0000-0000-00005F010000}"/>
    <cellStyle name="Comma 10 2 3 2 2" xfId="960" xr:uid="{00000000-0005-0000-0000-000060010000}"/>
    <cellStyle name="Comma 10 2 3 2 2 2" xfId="1974" xr:uid="{00000000-0005-0000-0000-000061010000}"/>
    <cellStyle name="Comma 10 2 3 2 3" xfId="1907" xr:uid="{00000000-0005-0000-0000-000062010000}"/>
    <cellStyle name="Comma 10 2 3 3" xfId="847" xr:uid="{00000000-0005-0000-0000-000063010000}"/>
    <cellStyle name="Comma 10 2 3 3 2" xfId="1940" xr:uid="{00000000-0005-0000-0000-000064010000}"/>
    <cellStyle name="Comma 10 2 3 4" xfId="1874" xr:uid="{00000000-0005-0000-0000-000065010000}"/>
    <cellStyle name="Comma 10 2 4" xfId="660" xr:uid="{00000000-0005-0000-0000-000066010000}"/>
    <cellStyle name="Comma 10 2 4 2" xfId="886" xr:uid="{00000000-0005-0000-0000-000067010000}"/>
    <cellStyle name="Comma 10 2 4 2 2" xfId="1951" xr:uid="{00000000-0005-0000-0000-000068010000}"/>
    <cellStyle name="Comma 10 2 4 3" xfId="1885" xr:uid="{00000000-0005-0000-0000-000069010000}"/>
    <cellStyle name="Comma 10 2 5" xfId="773" xr:uid="{00000000-0005-0000-0000-00006A010000}"/>
    <cellStyle name="Comma 10 2 5 2" xfId="1918" xr:uid="{00000000-0005-0000-0000-00006B010000}"/>
    <cellStyle name="Comma 10 2 6" xfId="1851" xr:uid="{00000000-0005-0000-0000-00006C010000}"/>
    <cellStyle name="Comma 10 3" xfId="1807" xr:uid="{00000000-0005-0000-0000-00006D010000}"/>
    <cellStyle name="Comma 11" xfId="533" xr:uid="{00000000-0005-0000-0000-00006E010000}"/>
    <cellStyle name="Comma 11 2" xfId="1850" xr:uid="{00000000-0005-0000-0000-00006F010000}"/>
    <cellStyle name="Comma 12" xfId="535" xr:uid="{00000000-0005-0000-0000-000070010000}"/>
    <cellStyle name="Comma 12 2" xfId="585" xr:uid="{00000000-0005-0000-0000-000071010000}"/>
    <cellStyle name="Comma 12 2 2" xfId="697" xr:uid="{00000000-0005-0000-0000-000072010000}"/>
    <cellStyle name="Comma 12 2 2 2" xfId="924" xr:uid="{00000000-0005-0000-0000-000073010000}"/>
    <cellStyle name="Comma 12 2 3" xfId="811" xr:uid="{00000000-0005-0000-0000-000074010000}"/>
    <cellStyle name="Comma 12 3" xfId="622" xr:uid="{00000000-0005-0000-0000-000075010000}"/>
    <cellStyle name="Comma 12 3 2" xfId="734" xr:uid="{00000000-0005-0000-0000-000076010000}"/>
    <cellStyle name="Comma 12 3 2 2" xfId="961" xr:uid="{00000000-0005-0000-0000-000077010000}"/>
    <cellStyle name="Comma 12 3 3" xfId="848" xr:uid="{00000000-0005-0000-0000-000078010000}"/>
    <cellStyle name="Comma 12 4" xfId="661" xr:uid="{00000000-0005-0000-0000-000079010000}"/>
    <cellStyle name="Comma 12 4 2" xfId="887" xr:uid="{00000000-0005-0000-0000-00007A010000}"/>
    <cellStyle name="Comma 12 5" xfId="774" xr:uid="{00000000-0005-0000-0000-00007B010000}"/>
    <cellStyle name="Comma 13" xfId="536" xr:uid="{00000000-0005-0000-0000-00007C010000}"/>
    <cellStyle name="Comma 13 2" xfId="586" xr:uid="{00000000-0005-0000-0000-00007D010000}"/>
    <cellStyle name="Comma 13 2 2" xfId="698" xr:uid="{00000000-0005-0000-0000-00007E010000}"/>
    <cellStyle name="Comma 13 2 2 2" xfId="925" xr:uid="{00000000-0005-0000-0000-00007F010000}"/>
    <cellStyle name="Comma 13 2 3" xfId="812" xr:uid="{00000000-0005-0000-0000-000080010000}"/>
    <cellStyle name="Comma 13 3" xfId="623" xr:uid="{00000000-0005-0000-0000-000081010000}"/>
    <cellStyle name="Comma 13 3 2" xfId="735" xr:uid="{00000000-0005-0000-0000-000082010000}"/>
    <cellStyle name="Comma 13 3 2 2" xfId="962" xr:uid="{00000000-0005-0000-0000-000083010000}"/>
    <cellStyle name="Comma 13 3 3" xfId="849" xr:uid="{00000000-0005-0000-0000-000084010000}"/>
    <cellStyle name="Comma 13 4" xfId="662" xr:uid="{00000000-0005-0000-0000-000085010000}"/>
    <cellStyle name="Comma 13 4 2" xfId="888" xr:uid="{00000000-0005-0000-0000-000086010000}"/>
    <cellStyle name="Comma 13 5" xfId="775" xr:uid="{00000000-0005-0000-0000-000087010000}"/>
    <cellStyle name="Comma 14" xfId="1068" xr:uid="{00000000-0005-0000-0000-000088010000}"/>
    <cellStyle name="Comma 14 2" xfId="1077" xr:uid="{00000000-0005-0000-0000-000089010000}"/>
    <cellStyle name="Comma 14 2 2" xfId="1980" xr:uid="{00000000-0005-0000-0000-00008A010000}"/>
    <cellStyle name="Comma 14 3" xfId="1979" xr:uid="{00000000-0005-0000-0000-00008B010000}"/>
    <cellStyle name="Comma 15" xfId="1079" xr:uid="{00000000-0005-0000-0000-00008C010000}"/>
    <cellStyle name="Comma 15 2" xfId="1981" xr:uid="{00000000-0005-0000-0000-00008D010000}"/>
    <cellStyle name="Comma 16" xfId="1504" xr:uid="{00000000-0005-0000-0000-00008E010000}"/>
    <cellStyle name="Comma 17" xfId="1506" xr:uid="{00000000-0005-0000-0000-00008F010000}"/>
    <cellStyle name="Comma 2" xfId="44" xr:uid="{00000000-0005-0000-0000-000090010000}"/>
    <cellStyle name="Comma 2 2" xfId="201" xr:uid="{00000000-0005-0000-0000-000091010000}"/>
    <cellStyle name="Comma 2 2 2" xfId="218" xr:uid="{00000000-0005-0000-0000-000092010000}"/>
    <cellStyle name="Comma 2 2 2 2" xfId="219" xr:uid="{00000000-0005-0000-0000-000093010000}"/>
    <cellStyle name="Comma 2 2 2 2 2" xfId="1830" xr:uid="{00000000-0005-0000-0000-000094010000}"/>
    <cellStyle name="Comma 2 2 2 3" xfId="1474" xr:uid="{00000000-0005-0000-0000-000095010000}"/>
    <cellStyle name="Comma 2 2 2 3 2" xfId="2023" xr:uid="{00000000-0005-0000-0000-000096010000}"/>
    <cellStyle name="Comma 2 2 2 3 2 2" xfId="2082" xr:uid="{00000000-0005-0000-0000-000097010000}"/>
    <cellStyle name="Comma 2 2 2 3 3" xfId="1842" xr:uid="{00000000-0005-0000-0000-000098010000}"/>
    <cellStyle name="Comma 2 2 2 3 4" xfId="1596" xr:uid="{00000000-0005-0000-0000-000099010000}"/>
    <cellStyle name="Comma 2 2 2 4" xfId="1801" xr:uid="{00000000-0005-0000-0000-00009A010000}"/>
    <cellStyle name="Comma 2 2 2 5" xfId="1829" xr:uid="{00000000-0005-0000-0000-00009B010000}"/>
    <cellStyle name="Comma 2 2 2 6" xfId="1547" xr:uid="{00000000-0005-0000-0000-00009C010000}"/>
    <cellStyle name="Comma 2 2 3" xfId="257" xr:uid="{00000000-0005-0000-0000-00009D010000}"/>
    <cellStyle name="Comma 2 2 4" xfId="1173" xr:uid="{00000000-0005-0000-0000-00009E010000}"/>
    <cellStyle name="Comma 2 2 4 2" xfId="1985" xr:uid="{00000000-0005-0000-0000-00009F010000}"/>
    <cellStyle name="Comma 2 2 5" xfId="2037" xr:uid="{00000000-0005-0000-0000-0000A0010000}"/>
    <cellStyle name="Comma 2 2 5 2" xfId="2056" xr:uid="{00000000-0005-0000-0000-0000A1010000}"/>
    <cellStyle name="Comma 2 2 6" xfId="1828" xr:uid="{00000000-0005-0000-0000-0000A2010000}"/>
    <cellStyle name="Comma 2 3" xfId="172" xr:uid="{00000000-0005-0000-0000-0000A3010000}"/>
    <cellStyle name="Comma 2 3 2" xfId="220" xr:uid="{00000000-0005-0000-0000-0000A4010000}"/>
    <cellStyle name="Comma 2 3 2 2" xfId="1496" xr:uid="{00000000-0005-0000-0000-0000A5010000}"/>
    <cellStyle name="Comma 2 3 2 2 2" xfId="2027" xr:uid="{00000000-0005-0000-0000-0000A6010000}"/>
    <cellStyle name="Comma 2 3 2 2 2 2" xfId="2103" xr:uid="{00000000-0005-0000-0000-0000A7010000}"/>
    <cellStyle name="Comma 2 3 2 2 3" xfId="1856" xr:uid="{00000000-0005-0000-0000-0000A8010000}"/>
    <cellStyle name="Comma 2 3 2 2 4" xfId="1632" xr:uid="{00000000-0005-0000-0000-0000A9010000}"/>
    <cellStyle name="Comma 2 3 2 3" xfId="1803" xr:uid="{00000000-0005-0000-0000-0000AA010000}"/>
    <cellStyle name="Comma 2 3 2 4" xfId="1831" xr:uid="{00000000-0005-0000-0000-0000AB010000}"/>
    <cellStyle name="Comma 2 3 2 5" xfId="1560" xr:uid="{00000000-0005-0000-0000-0000AC010000}"/>
    <cellStyle name="Comma 2 3 3" xfId="248" xr:uid="{00000000-0005-0000-0000-0000AD010000}"/>
    <cellStyle name="Comma 2 3 3 2" xfId="1278" xr:uid="{00000000-0005-0000-0000-0000AE010000}"/>
    <cellStyle name="Comma 2 3 3 2 2" xfId="1995" xr:uid="{00000000-0005-0000-0000-0000AF010000}"/>
    <cellStyle name="Comma 2 3 3 3" xfId="1280" xr:uid="{00000000-0005-0000-0000-0000B0010000}"/>
    <cellStyle name="Comma 2 3 4" xfId="1170" xr:uid="{00000000-0005-0000-0000-0000B1010000}"/>
    <cellStyle name="Comma 2 3 4 2" xfId="1983" xr:uid="{00000000-0005-0000-0000-0000B2010000}"/>
    <cellStyle name="Comma 2 3 4 2 2" xfId="2060" xr:uid="{00000000-0005-0000-0000-0000B3010000}"/>
    <cellStyle name="Comma 2 3 5" xfId="1534" xr:uid="{00000000-0005-0000-0000-0000B4010000}"/>
    <cellStyle name="Comma 2 3 6" xfId="1813" xr:uid="{00000000-0005-0000-0000-0000B5010000}"/>
    <cellStyle name="Comma 2 3 7" xfId="1819" xr:uid="{00000000-0005-0000-0000-0000B6010000}"/>
    <cellStyle name="Comma 2 4" xfId="206" xr:uid="{00000000-0005-0000-0000-0000B7010000}"/>
    <cellStyle name="Comma 2 4 2" xfId="1218" xr:uid="{00000000-0005-0000-0000-0000B8010000}"/>
    <cellStyle name="Comma 2 4 2 2" xfId="1986" xr:uid="{00000000-0005-0000-0000-0000B9010000}"/>
    <cellStyle name="Comma 2 4 2 2 2" xfId="2064" xr:uid="{00000000-0005-0000-0000-0000BA010000}"/>
    <cellStyle name="Comma 2 4 3" xfId="1576" xr:uid="{00000000-0005-0000-0000-0000BB010000}"/>
    <cellStyle name="Comma 2 5" xfId="166" xr:uid="{00000000-0005-0000-0000-0000BC010000}"/>
    <cellStyle name="Comma 2 5 2" xfId="1219" xr:uid="{00000000-0005-0000-0000-0000BD010000}"/>
    <cellStyle name="Comma 2 5 2 2" xfId="1987" xr:uid="{00000000-0005-0000-0000-0000BE010000}"/>
    <cellStyle name="Comma 2 5 3" xfId="1612" xr:uid="{00000000-0005-0000-0000-0000BF010000}"/>
    <cellStyle name="Comma 2 5 4" xfId="1818" xr:uid="{00000000-0005-0000-0000-0000C0010000}"/>
    <cellStyle name="Comma 2 6" xfId="47" xr:uid="{00000000-0005-0000-0000-0000C1010000}"/>
    <cellStyle name="Comma 2 6 2" xfId="1220" xr:uid="{00000000-0005-0000-0000-0000C2010000}"/>
    <cellStyle name="Comma 2 6 3" xfId="1528" xr:uid="{00000000-0005-0000-0000-0000C3010000}"/>
    <cellStyle name="Comma 2 7" xfId="1297" xr:uid="{00000000-0005-0000-0000-0000C4010000}"/>
    <cellStyle name="Comma 2 7 2" xfId="1997" xr:uid="{00000000-0005-0000-0000-0000C5010000}"/>
    <cellStyle name="Comma 2 8" xfId="1503" xr:uid="{00000000-0005-0000-0000-0000C6010000}"/>
    <cellStyle name="Comma 2 9" xfId="1505" xr:uid="{00000000-0005-0000-0000-0000C7010000}"/>
    <cellStyle name="Comma 2_Rates project" xfId="362" xr:uid="{00000000-0005-0000-0000-0000C8010000}"/>
    <cellStyle name="Comma 3" xfId="48" xr:uid="{00000000-0005-0000-0000-0000C9010000}"/>
    <cellStyle name="Comma 3 2" xfId="188" xr:uid="{00000000-0005-0000-0000-0000CA010000}"/>
    <cellStyle name="Comma 3 2 2" xfId="1298" xr:uid="{00000000-0005-0000-0000-0000CB010000}"/>
    <cellStyle name="Comma 3 2 2 2" xfId="1998" xr:uid="{00000000-0005-0000-0000-0000CC010000}"/>
    <cellStyle name="Comma 3 2 2 3" xfId="1817" xr:uid="{00000000-0005-0000-0000-0000CD010000}"/>
    <cellStyle name="Comma 3 2 2 4" xfId="1628" xr:uid="{00000000-0005-0000-0000-0000CE010000}"/>
    <cellStyle name="Comma 3 2 3" xfId="1823" xr:uid="{00000000-0005-0000-0000-0000CF010000}"/>
    <cellStyle name="Comma 3 3" xfId="187" xr:uid="{00000000-0005-0000-0000-0000D0010000}"/>
    <cellStyle name="Comma 3 3 2" xfId="537" xr:uid="{00000000-0005-0000-0000-0000D1010000}"/>
    <cellStyle name="Comma 3 3 3" xfId="1516" xr:uid="{00000000-0005-0000-0000-0000D2010000}"/>
    <cellStyle name="Comma 3 4" xfId="180" xr:uid="{00000000-0005-0000-0000-0000D3010000}"/>
    <cellStyle name="Comma 3 4 2" xfId="1617" xr:uid="{00000000-0005-0000-0000-0000D4010000}"/>
    <cellStyle name="Comma 3 4 3" xfId="1518" xr:uid="{00000000-0005-0000-0000-0000D5010000}"/>
    <cellStyle name="Comma 3 5" xfId="1811" xr:uid="{00000000-0005-0000-0000-0000D6010000}"/>
    <cellStyle name="Comma 3 5 2" xfId="2036" xr:uid="{00000000-0005-0000-0000-0000D7010000}"/>
    <cellStyle name="Comma 4" xfId="46" xr:uid="{00000000-0005-0000-0000-0000D8010000}"/>
    <cellStyle name="Comma 4 2" xfId="189" xr:uid="{00000000-0005-0000-0000-0000D9010000}"/>
    <cellStyle name="Comma 4 2 2" xfId="266" xr:uid="{00000000-0005-0000-0000-0000DA010000}"/>
    <cellStyle name="Comma 4 2 2 2" xfId="1835" xr:uid="{00000000-0005-0000-0000-0000DB010000}"/>
    <cellStyle name="Comma 4 2 3" xfId="1221" xr:uid="{00000000-0005-0000-0000-0000DC010000}"/>
    <cellStyle name="Comma 4 2 3 2" xfId="1988" xr:uid="{00000000-0005-0000-0000-0000DD010000}"/>
    <cellStyle name="Comma 4 2 4" xfId="1624" xr:uid="{00000000-0005-0000-0000-0000DE010000}"/>
    <cellStyle name="Comma 4 2 5" xfId="1824" xr:uid="{00000000-0005-0000-0000-0000DF010000}"/>
    <cellStyle name="Comma 4 3" xfId="179" xr:uid="{00000000-0005-0000-0000-0000E0010000}"/>
    <cellStyle name="Comma 4 3 2" xfId="267" xr:uid="{00000000-0005-0000-0000-0000E1010000}"/>
    <cellStyle name="Comma 4 3 2 2" xfId="1836" xr:uid="{00000000-0005-0000-0000-0000E2010000}"/>
    <cellStyle name="Comma 4 3 3" xfId="1821" xr:uid="{00000000-0005-0000-0000-0000E3010000}"/>
    <cellStyle name="Comma 4 4" xfId="1168" xr:uid="{00000000-0005-0000-0000-0000E4010000}"/>
    <cellStyle name="Comma 4 4 2" xfId="1982" xr:uid="{00000000-0005-0000-0000-0000E5010000}"/>
    <cellStyle name="Comma 4 5" xfId="1809" xr:uid="{00000000-0005-0000-0000-0000E6010000}"/>
    <cellStyle name="Comma 4 6" xfId="1816" xr:uid="{00000000-0005-0000-0000-0000E7010000}"/>
    <cellStyle name="Comma 5" xfId="190" xr:uid="{00000000-0005-0000-0000-0000E8010000}"/>
    <cellStyle name="Comma 5 10" xfId="1742" xr:uid="{00000000-0005-0000-0000-0000E9010000}"/>
    <cellStyle name="Comma 5 11" xfId="1825" xr:uid="{00000000-0005-0000-0000-0000EA010000}"/>
    <cellStyle name="Comma 5 2" xfId="364" xr:uid="{00000000-0005-0000-0000-0000EB010000}"/>
    <cellStyle name="Comma 5 2 2" xfId="1468" xr:uid="{00000000-0005-0000-0000-0000EC010000}"/>
    <cellStyle name="Comma 5 2 2 2" xfId="2021" xr:uid="{00000000-0005-0000-0000-0000ED010000}"/>
    <cellStyle name="Comma 5 2 2 3" xfId="1956" xr:uid="{00000000-0005-0000-0000-0000EE010000}"/>
    <cellStyle name="Comma 5 2 2 4" xfId="1508" xr:uid="{00000000-0005-0000-0000-0000EF010000}"/>
    <cellStyle name="Comma 5 3" xfId="524" xr:uid="{00000000-0005-0000-0000-0000F0010000}"/>
    <cellStyle name="Comma 5 3 2" xfId="576" xr:uid="{00000000-0005-0000-0000-0000F1010000}"/>
    <cellStyle name="Comma 5 3 2 2" xfId="688" xr:uid="{00000000-0005-0000-0000-0000F2010000}"/>
    <cellStyle name="Comma 5 3 2 2 2" xfId="915" xr:uid="{00000000-0005-0000-0000-0000F3010000}"/>
    <cellStyle name="Comma 5 3 2 2 2 2" xfId="1960" xr:uid="{00000000-0005-0000-0000-0000F4010000}"/>
    <cellStyle name="Comma 5 3 2 2 3" xfId="1893" xr:uid="{00000000-0005-0000-0000-0000F5010000}"/>
    <cellStyle name="Comma 5 3 2 3" xfId="802" xr:uid="{00000000-0005-0000-0000-0000F6010000}"/>
    <cellStyle name="Comma 5 3 2 3 2" xfId="1926" xr:uid="{00000000-0005-0000-0000-0000F7010000}"/>
    <cellStyle name="Comma 5 3 2 4" xfId="1860" xr:uid="{00000000-0005-0000-0000-0000F8010000}"/>
    <cellStyle name="Comma 5 3 3" xfId="613" xr:uid="{00000000-0005-0000-0000-0000F9010000}"/>
    <cellStyle name="Comma 5 3 3 2" xfId="725" xr:uid="{00000000-0005-0000-0000-0000FA010000}"/>
    <cellStyle name="Comma 5 3 3 2 2" xfId="952" xr:uid="{00000000-0005-0000-0000-0000FB010000}"/>
    <cellStyle name="Comma 5 3 3 2 2 2" xfId="1971" xr:uid="{00000000-0005-0000-0000-0000FC010000}"/>
    <cellStyle name="Comma 5 3 3 2 3" xfId="1904" xr:uid="{00000000-0005-0000-0000-0000FD010000}"/>
    <cellStyle name="Comma 5 3 3 3" xfId="839" xr:uid="{00000000-0005-0000-0000-0000FE010000}"/>
    <cellStyle name="Comma 5 3 3 3 2" xfId="1937" xr:uid="{00000000-0005-0000-0000-0000FF010000}"/>
    <cellStyle name="Comma 5 3 3 4" xfId="1871" xr:uid="{00000000-0005-0000-0000-000000020000}"/>
    <cellStyle name="Comma 5 3 4" xfId="652" xr:uid="{00000000-0005-0000-0000-000001020000}"/>
    <cellStyle name="Comma 5 3 4 2" xfId="878" xr:uid="{00000000-0005-0000-0000-000002020000}"/>
    <cellStyle name="Comma 5 3 4 2 2" xfId="1948" xr:uid="{00000000-0005-0000-0000-000003020000}"/>
    <cellStyle name="Comma 5 3 4 3" xfId="1882" xr:uid="{00000000-0005-0000-0000-000004020000}"/>
    <cellStyle name="Comma 5 3 5" xfId="765" xr:uid="{00000000-0005-0000-0000-000005020000}"/>
    <cellStyle name="Comma 5 3 5 2" xfId="1915" xr:uid="{00000000-0005-0000-0000-000006020000}"/>
    <cellStyle name="Comma 5 3 6" xfId="1847" xr:uid="{00000000-0005-0000-0000-000007020000}"/>
    <cellStyle name="Comma 5 4" xfId="538" xr:uid="{00000000-0005-0000-0000-000008020000}"/>
    <cellStyle name="Comma 5 4 2" xfId="587" xr:uid="{00000000-0005-0000-0000-000009020000}"/>
    <cellStyle name="Comma 5 4 2 2" xfId="699" xr:uid="{00000000-0005-0000-0000-00000A020000}"/>
    <cellStyle name="Comma 5 4 2 2 2" xfId="926" xr:uid="{00000000-0005-0000-0000-00000B020000}"/>
    <cellStyle name="Comma 5 4 2 2 2 2" xfId="1964" xr:uid="{00000000-0005-0000-0000-00000C020000}"/>
    <cellStyle name="Comma 5 4 2 2 3" xfId="1897" xr:uid="{00000000-0005-0000-0000-00000D020000}"/>
    <cellStyle name="Comma 5 4 2 3" xfId="813" xr:uid="{00000000-0005-0000-0000-00000E020000}"/>
    <cellStyle name="Comma 5 4 2 3 2" xfId="1930" xr:uid="{00000000-0005-0000-0000-00000F020000}"/>
    <cellStyle name="Comma 5 4 2 4" xfId="1864" xr:uid="{00000000-0005-0000-0000-000010020000}"/>
    <cellStyle name="Comma 5 4 3" xfId="624" xr:uid="{00000000-0005-0000-0000-000011020000}"/>
    <cellStyle name="Comma 5 4 3 2" xfId="736" xr:uid="{00000000-0005-0000-0000-000012020000}"/>
    <cellStyle name="Comma 5 4 3 2 2" xfId="963" xr:uid="{00000000-0005-0000-0000-000013020000}"/>
    <cellStyle name="Comma 5 4 3 2 2 2" xfId="1975" xr:uid="{00000000-0005-0000-0000-000014020000}"/>
    <cellStyle name="Comma 5 4 3 2 3" xfId="1908" xr:uid="{00000000-0005-0000-0000-000015020000}"/>
    <cellStyle name="Comma 5 4 3 3" xfId="850" xr:uid="{00000000-0005-0000-0000-000016020000}"/>
    <cellStyle name="Comma 5 4 3 3 2" xfId="1941" xr:uid="{00000000-0005-0000-0000-000017020000}"/>
    <cellStyle name="Comma 5 4 3 4" xfId="1875" xr:uid="{00000000-0005-0000-0000-000018020000}"/>
    <cellStyle name="Comma 5 4 4" xfId="663" xr:uid="{00000000-0005-0000-0000-000019020000}"/>
    <cellStyle name="Comma 5 4 4 2" xfId="889" xr:uid="{00000000-0005-0000-0000-00001A020000}"/>
    <cellStyle name="Comma 5 4 4 2 2" xfId="1952" xr:uid="{00000000-0005-0000-0000-00001B020000}"/>
    <cellStyle name="Comma 5 4 4 3" xfId="1886" xr:uid="{00000000-0005-0000-0000-00001C020000}"/>
    <cellStyle name="Comma 5 4 5" xfId="776" xr:uid="{00000000-0005-0000-0000-00001D020000}"/>
    <cellStyle name="Comma 5 4 5 2" xfId="1919" xr:uid="{00000000-0005-0000-0000-00001E020000}"/>
    <cellStyle name="Comma 5 4 6" xfId="1852" xr:uid="{00000000-0005-0000-0000-00001F020000}"/>
    <cellStyle name="Comma 5 5" xfId="568" xr:uid="{00000000-0005-0000-0000-000020020000}"/>
    <cellStyle name="Comma 5 5 2" xfId="680" xr:uid="{00000000-0005-0000-0000-000021020000}"/>
    <cellStyle name="Comma 5 5 2 2" xfId="907" xr:uid="{00000000-0005-0000-0000-000022020000}"/>
    <cellStyle name="Comma 5 5 2 2 2" xfId="1957" xr:uid="{00000000-0005-0000-0000-000023020000}"/>
    <cellStyle name="Comma 5 5 2 3" xfId="1890" xr:uid="{00000000-0005-0000-0000-000024020000}"/>
    <cellStyle name="Comma 5 5 3" xfId="794" xr:uid="{00000000-0005-0000-0000-000025020000}"/>
    <cellStyle name="Comma 5 5 3 2" xfId="1923" xr:uid="{00000000-0005-0000-0000-000026020000}"/>
    <cellStyle name="Comma 5 5 4" xfId="1857" xr:uid="{00000000-0005-0000-0000-000027020000}"/>
    <cellStyle name="Comma 5 6" xfId="605" xr:uid="{00000000-0005-0000-0000-000028020000}"/>
    <cellStyle name="Comma 5 6 2" xfId="717" xr:uid="{00000000-0005-0000-0000-000029020000}"/>
    <cellStyle name="Comma 5 6 2 2" xfId="944" xr:uid="{00000000-0005-0000-0000-00002A020000}"/>
    <cellStyle name="Comma 5 6 2 2 2" xfId="1968" xr:uid="{00000000-0005-0000-0000-00002B020000}"/>
    <cellStyle name="Comma 5 6 2 3" xfId="1901" xr:uid="{00000000-0005-0000-0000-00002C020000}"/>
    <cellStyle name="Comma 5 6 3" xfId="831" xr:uid="{00000000-0005-0000-0000-00002D020000}"/>
    <cellStyle name="Comma 5 6 3 2" xfId="1934" xr:uid="{00000000-0005-0000-0000-00002E020000}"/>
    <cellStyle name="Comma 5 6 4" xfId="1868" xr:uid="{00000000-0005-0000-0000-00002F020000}"/>
    <cellStyle name="Comma 5 7" xfId="644" xr:uid="{00000000-0005-0000-0000-000030020000}"/>
    <cellStyle name="Comma 5 7 2" xfId="870" xr:uid="{00000000-0005-0000-0000-000031020000}"/>
    <cellStyle name="Comma 5 7 2 2" xfId="1945" xr:uid="{00000000-0005-0000-0000-000032020000}"/>
    <cellStyle name="Comma 5 7 3" xfId="1879" xr:uid="{00000000-0005-0000-0000-000033020000}"/>
    <cellStyle name="Comma 5 8" xfId="757" xr:uid="{00000000-0005-0000-0000-000034020000}"/>
    <cellStyle name="Comma 5 8 2" xfId="1912" xr:uid="{00000000-0005-0000-0000-000035020000}"/>
    <cellStyle name="Comma 5 9" xfId="363" xr:uid="{00000000-0005-0000-0000-000036020000}"/>
    <cellStyle name="Comma 5 9 2" xfId="1843" xr:uid="{00000000-0005-0000-0000-000037020000}"/>
    <cellStyle name="Comma 6" xfId="191" xr:uid="{00000000-0005-0000-0000-000038020000}"/>
    <cellStyle name="Comma 6 10" xfId="1826" xr:uid="{00000000-0005-0000-0000-000039020000}"/>
    <cellStyle name="Comma 6 2" xfId="366" xr:uid="{00000000-0005-0000-0000-00003A020000}"/>
    <cellStyle name="Comma 6 2 2" xfId="1222" xr:uid="{00000000-0005-0000-0000-00003B020000}"/>
    <cellStyle name="Comma 6 2 2 2" xfId="1784" xr:uid="{00000000-0005-0000-0000-00003C020000}"/>
    <cellStyle name="Comma 6 2 2 3" xfId="1989" xr:uid="{00000000-0005-0000-0000-00003D020000}"/>
    <cellStyle name="Comma 6 2 2 4" xfId="1602" xr:uid="{00000000-0005-0000-0000-00003E020000}"/>
    <cellStyle name="Comma 6 3" xfId="525" xr:uid="{00000000-0005-0000-0000-00003F020000}"/>
    <cellStyle name="Comma 6 3 2" xfId="577" xr:uid="{00000000-0005-0000-0000-000040020000}"/>
    <cellStyle name="Comma 6 3 2 2" xfId="689" xr:uid="{00000000-0005-0000-0000-000041020000}"/>
    <cellStyle name="Comma 6 3 2 2 2" xfId="916" xr:uid="{00000000-0005-0000-0000-000042020000}"/>
    <cellStyle name="Comma 6 3 2 2 2 2" xfId="1961" xr:uid="{00000000-0005-0000-0000-000043020000}"/>
    <cellStyle name="Comma 6 3 2 2 3" xfId="1894" xr:uid="{00000000-0005-0000-0000-000044020000}"/>
    <cellStyle name="Comma 6 3 2 3" xfId="803" xr:uid="{00000000-0005-0000-0000-000045020000}"/>
    <cellStyle name="Comma 6 3 2 3 2" xfId="1927" xr:uid="{00000000-0005-0000-0000-000046020000}"/>
    <cellStyle name="Comma 6 3 2 4" xfId="1861" xr:uid="{00000000-0005-0000-0000-000047020000}"/>
    <cellStyle name="Comma 6 3 3" xfId="614" xr:uid="{00000000-0005-0000-0000-000048020000}"/>
    <cellStyle name="Comma 6 3 3 2" xfId="726" xr:uid="{00000000-0005-0000-0000-000049020000}"/>
    <cellStyle name="Comma 6 3 3 2 2" xfId="953" xr:uid="{00000000-0005-0000-0000-00004A020000}"/>
    <cellStyle name="Comma 6 3 3 2 2 2" xfId="1972" xr:uid="{00000000-0005-0000-0000-00004B020000}"/>
    <cellStyle name="Comma 6 3 3 2 3" xfId="1905" xr:uid="{00000000-0005-0000-0000-00004C020000}"/>
    <cellStyle name="Comma 6 3 3 3" xfId="840" xr:uid="{00000000-0005-0000-0000-00004D020000}"/>
    <cellStyle name="Comma 6 3 3 3 2" xfId="1938" xr:uid="{00000000-0005-0000-0000-00004E020000}"/>
    <cellStyle name="Comma 6 3 3 4" xfId="1872" xr:uid="{00000000-0005-0000-0000-00004F020000}"/>
    <cellStyle name="Comma 6 3 4" xfId="653" xr:uid="{00000000-0005-0000-0000-000050020000}"/>
    <cellStyle name="Comma 6 3 4 2" xfId="879" xr:uid="{00000000-0005-0000-0000-000051020000}"/>
    <cellStyle name="Comma 6 3 4 2 2" xfId="1949" xr:uid="{00000000-0005-0000-0000-000052020000}"/>
    <cellStyle name="Comma 6 3 4 3" xfId="1883" xr:uid="{00000000-0005-0000-0000-000053020000}"/>
    <cellStyle name="Comma 6 3 5" xfId="766" xr:uid="{00000000-0005-0000-0000-000054020000}"/>
    <cellStyle name="Comma 6 3 5 2" xfId="1916" xr:uid="{00000000-0005-0000-0000-000055020000}"/>
    <cellStyle name="Comma 6 3 6" xfId="1709" xr:uid="{00000000-0005-0000-0000-000056020000}"/>
    <cellStyle name="Comma 6 3 6 2" xfId="2045" xr:uid="{00000000-0005-0000-0000-000057020000}"/>
    <cellStyle name="Comma 6 3 6 3" xfId="1848" xr:uid="{00000000-0005-0000-0000-000058020000}"/>
    <cellStyle name="Comma 6 4" xfId="539" xr:uid="{00000000-0005-0000-0000-000059020000}"/>
    <cellStyle name="Comma 6 4 2" xfId="588" xr:uid="{00000000-0005-0000-0000-00005A020000}"/>
    <cellStyle name="Comma 6 4 2 2" xfId="700" xr:uid="{00000000-0005-0000-0000-00005B020000}"/>
    <cellStyle name="Comma 6 4 2 2 2" xfId="927" xr:uid="{00000000-0005-0000-0000-00005C020000}"/>
    <cellStyle name="Comma 6 4 2 3" xfId="814" xr:uid="{00000000-0005-0000-0000-00005D020000}"/>
    <cellStyle name="Comma 6 4 3" xfId="625" xr:uid="{00000000-0005-0000-0000-00005E020000}"/>
    <cellStyle name="Comma 6 4 3 2" xfId="737" xr:uid="{00000000-0005-0000-0000-00005F020000}"/>
    <cellStyle name="Comma 6 4 3 2 2" xfId="964" xr:uid="{00000000-0005-0000-0000-000060020000}"/>
    <cellStyle name="Comma 6 4 3 3" xfId="851" xr:uid="{00000000-0005-0000-0000-000061020000}"/>
    <cellStyle name="Comma 6 4 4" xfId="664" xr:uid="{00000000-0005-0000-0000-000062020000}"/>
    <cellStyle name="Comma 6 4 4 2" xfId="890" xr:uid="{00000000-0005-0000-0000-000063020000}"/>
    <cellStyle name="Comma 6 4 5" xfId="777" xr:uid="{00000000-0005-0000-0000-000064020000}"/>
    <cellStyle name="Comma 6 5" xfId="569" xr:uid="{00000000-0005-0000-0000-000065020000}"/>
    <cellStyle name="Comma 6 5 2" xfId="681" xr:uid="{00000000-0005-0000-0000-000066020000}"/>
    <cellStyle name="Comma 6 5 2 2" xfId="908" xr:uid="{00000000-0005-0000-0000-000067020000}"/>
    <cellStyle name="Comma 6 5 2 2 2" xfId="1958" xr:uid="{00000000-0005-0000-0000-000068020000}"/>
    <cellStyle name="Comma 6 5 2 3" xfId="1891" xr:uid="{00000000-0005-0000-0000-000069020000}"/>
    <cellStyle name="Comma 6 5 3" xfId="795" xr:uid="{00000000-0005-0000-0000-00006A020000}"/>
    <cellStyle name="Comma 6 5 3 2" xfId="1924" xr:uid="{00000000-0005-0000-0000-00006B020000}"/>
    <cellStyle name="Comma 6 5 4" xfId="1858" xr:uid="{00000000-0005-0000-0000-00006C020000}"/>
    <cellStyle name="Comma 6 6" xfId="606" xr:uid="{00000000-0005-0000-0000-00006D020000}"/>
    <cellStyle name="Comma 6 6 2" xfId="718" xr:uid="{00000000-0005-0000-0000-00006E020000}"/>
    <cellStyle name="Comma 6 6 2 2" xfId="945" xr:uid="{00000000-0005-0000-0000-00006F020000}"/>
    <cellStyle name="Comma 6 6 2 2 2" xfId="1969" xr:uid="{00000000-0005-0000-0000-000070020000}"/>
    <cellStyle name="Comma 6 6 2 3" xfId="1902" xr:uid="{00000000-0005-0000-0000-000071020000}"/>
    <cellStyle name="Comma 6 6 3" xfId="832" xr:uid="{00000000-0005-0000-0000-000072020000}"/>
    <cellStyle name="Comma 6 6 3 2" xfId="1935" xr:uid="{00000000-0005-0000-0000-000073020000}"/>
    <cellStyle name="Comma 6 6 4" xfId="1869" xr:uid="{00000000-0005-0000-0000-000074020000}"/>
    <cellStyle name="Comma 6 7" xfId="645" xr:uid="{00000000-0005-0000-0000-000075020000}"/>
    <cellStyle name="Comma 6 7 2" xfId="871" xr:uid="{00000000-0005-0000-0000-000076020000}"/>
    <cellStyle name="Comma 6 7 2 2" xfId="1946" xr:uid="{00000000-0005-0000-0000-000077020000}"/>
    <cellStyle name="Comma 6 7 3" xfId="1880" xr:uid="{00000000-0005-0000-0000-000078020000}"/>
    <cellStyle name="Comma 6 8" xfId="758" xr:uid="{00000000-0005-0000-0000-000079020000}"/>
    <cellStyle name="Comma 6 8 2" xfId="1913" xr:uid="{00000000-0005-0000-0000-00007A020000}"/>
    <cellStyle name="Comma 6 9" xfId="365" xr:uid="{00000000-0005-0000-0000-00007B020000}"/>
    <cellStyle name="Comma 6 9 2" xfId="1844" xr:uid="{00000000-0005-0000-0000-00007C020000}"/>
    <cellStyle name="Comma 7" xfId="192" xr:uid="{00000000-0005-0000-0000-00007D020000}"/>
    <cellStyle name="Comma 7 2" xfId="367" xr:uid="{00000000-0005-0000-0000-00007E020000}"/>
    <cellStyle name="Comma 7 2 2" xfId="1478" xr:uid="{00000000-0005-0000-0000-00007F020000}"/>
    <cellStyle name="Comma 7 2 2 2" xfId="2024" xr:uid="{00000000-0005-0000-0000-000080020000}"/>
    <cellStyle name="Comma 7 2 2 2 2" xfId="2086" xr:uid="{00000000-0005-0000-0000-000081020000}"/>
    <cellStyle name="Comma 7 3" xfId="1223" xr:uid="{00000000-0005-0000-0000-000082020000}"/>
    <cellStyle name="Comma 7 3 2" xfId="1990" xr:uid="{00000000-0005-0000-0000-000083020000}"/>
    <cellStyle name="Comma 7 3 2 2" xfId="2065" xr:uid="{00000000-0005-0000-0000-000084020000}"/>
    <cellStyle name="Comma 7 4" xfId="1569" xr:uid="{00000000-0005-0000-0000-000085020000}"/>
    <cellStyle name="Comma 7 5" xfId="1827" xr:uid="{00000000-0005-0000-0000-000086020000}"/>
    <cellStyle name="Comma 8" xfId="186" xr:uid="{00000000-0005-0000-0000-000087020000}"/>
    <cellStyle name="Comma 8 2" xfId="368" xr:uid="{00000000-0005-0000-0000-000088020000}"/>
    <cellStyle name="Comma 8 3" xfId="1224" xr:uid="{00000000-0005-0000-0000-000089020000}"/>
    <cellStyle name="Comma 8 3 2" xfId="1991" xr:uid="{00000000-0005-0000-0000-00008A020000}"/>
    <cellStyle name="Comma 8 4" xfId="1631" xr:uid="{00000000-0005-0000-0000-00008B020000}"/>
    <cellStyle name="Comma 8 5" xfId="1822" xr:uid="{00000000-0005-0000-0000-00008C020000}"/>
    <cellStyle name="Comma 9" xfId="523" xr:uid="{00000000-0005-0000-0000-00008D020000}"/>
    <cellStyle name="Comma 9 2" xfId="540" xr:uid="{00000000-0005-0000-0000-00008E020000}"/>
    <cellStyle name="Comma 9 3" xfId="1225" xr:uid="{00000000-0005-0000-0000-00008F020000}"/>
    <cellStyle name="Comma 9 3 2" xfId="1785" xr:uid="{00000000-0005-0000-0000-000090020000}"/>
    <cellStyle name="Comma 9 3 3" xfId="1510" xr:uid="{00000000-0005-0000-0000-000091020000}"/>
    <cellStyle name="Comma 9 4" xfId="1846" xr:uid="{00000000-0005-0000-0000-000092020000}"/>
    <cellStyle name="Currency 2" xfId="167" xr:uid="{00000000-0005-0000-0000-000093020000}"/>
    <cellStyle name="Currency 2 10" xfId="1226" xr:uid="{00000000-0005-0000-0000-000094020000}"/>
    <cellStyle name="Currency 2 2" xfId="185" xr:uid="{00000000-0005-0000-0000-000095020000}"/>
    <cellStyle name="Currency 2 2 2" xfId="268" xr:uid="{00000000-0005-0000-0000-000096020000}"/>
    <cellStyle name="Currency 2 2 2 2" xfId="690" xr:uid="{00000000-0005-0000-0000-000097020000}"/>
    <cellStyle name="Currency 2 2 2 2 2" xfId="917" xr:uid="{00000000-0005-0000-0000-000098020000}"/>
    <cellStyle name="Currency 2 2 2 2 2 2" xfId="1962" xr:uid="{00000000-0005-0000-0000-000099020000}"/>
    <cellStyle name="Currency 2 2 2 2 3" xfId="1895" xr:uid="{00000000-0005-0000-0000-00009A020000}"/>
    <cellStyle name="Currency 2 2 2 3" xfId="804" xr:uid="{00000000-0005-0000-0000-00009B020000}"/>
    <cellStyle name="Currency 2 2 2 3 2" xfId="1928" xr:uid="{00000000-0005-0000-0000-00009C020000}"/>
    <cellStyle name="Currency 2 2 2 4" xfId="578" xr:uid="{00000000-0005-0000-0000-00009D020000}"/>
    <cellStyle name="Currency 2 2 2 4 2" xfId="1862" xr:uid="{00000000-0005-0000-0000-00009E020000}"/>
    <cellStyle name="Currency 2 2 2 5" xfId="1563" xr:uid="{00000000-0005-0000-0000-00009F020000}"/>
    <cellStyle name="Currency 2 2 2 6" xfId="1837" xr:uid="{00000000-0005-0000-0000-0000A0020000}"/>
    <cellStyle name="Currency 2 2 3" xfId="615" xr:uid="{00000000-0005-0000-0000-0000A1020000}"/>
    <cellStyle name="Currency 2 2 3 2" xfId="727" xr:uid="{00000000-0005-0000-0000-0000A2020000}"/>
    <cellStyle name="Currency 2 2 3 2 2" xfId="954" xr:uid="{00000000-0005-0000-0000-0000A3020000}"/>
    <cellStyle name="Currency 2 2 3 2 2 2" xfId="1973" xr:uid="{00000000-0005-0000-0000-0000A4020000}"/>
    <cellStyle name="Currency 2 2 3 2 3" xfId="1906" xr:uid="{00000000-0005-0000-0000-0000A5020000}"/>
    <cellStyle name="Currency 2 2 3 3" xfId="841" xr:uid="{00000000-0005-0000-0000-0000A6020000}"/>
    <cellStyle name="Currency 2 2 3 3 2" xfId="1939" xr:uid="{00000000-0005-0000-0000-0000A7020000}"/>
    <cellStyle name="Currency 2 2 3 4" xfId="1873" xr:uid="{00000000-0005-0000-0000-0000A8020000}"/>
    <cellStyle name="Currency 2 2 4" xfId="654" xr:uid="{00000000-0005-0000-0000-0000A9020000}"/>
    <cellStyle name="Currency 2 2 4 2" xfId="880" xr:uid="{00000000-0005-0000-0000-0000AA020000}"/>
    <cellStyle name="Currency 2 2 4 2 2" xfId="1950" xr:uid="{00000000-0005-0000-0000-0000AB020000}"/>
    <cellStyle name="Currency 2 2 4 3" xfId="1884" xr:uid="{00000000-0005-0000-0000-0000AC020000}"/>
    <cellStyle name="Currency 2 2 5" xfId="767" xr:uid="{00000000-0005-0000-0000-0000AD020000}"/>
    <cellStyle name="Currency 2 2 5 2" xfId="1917" xr:uid="{00000000-0005-0000-0000-0000AE020000}"/>
    <cellStyle name="Currency 2 2 6" xfId="526" xr:uid="{00000000-0005-0000-0000-0000AF020000}"/>
    <cellStyle name="Currency 2 2 6 2" xfId="1849" xr:uid="{00000000-0005-0000-0000-0000B0020000}"/>
    <cellStyle name="Currency 2 3" xfId="173" xr:uid="{00000000-0005-0000-0000-0000B1020000}"/>
    <cellStyle name="Currency 2 3 2" xfId="589" xr:uid="{00000000-0005-0000-0000-0000B2020000}"/>
    <cellStyle name="Currency 2 3 2 2" xfId="701" xr:uid="{00000000-0005-0000-0000-0000B3020000}"/>
    <cellStyle name="Currency 2 3 2 2 2" xfId="928" xr:uid="{00000000-0005-0000-0000-0000B4020000}"/>
    <cellStyle name="Currency 2 3 2 2 2 2" xfId="1965" xr:uid="{00000000-0005-0000-0000-0000B5020000}"/>
    <cellStyle name="Currency 2 3 2 2 3" xfId="1898" xr:uid="{00000000-0005-0000-0000-0000B6020000}"/>
    <cellStyle name="Currency 2 3 2 3" xfId="815" xr:uid="{00000000-0005-0000-0000-0000B7020000}"/>
    <cellStyle name="Currency 2 3 2 3 2" xfId="1931" xr:uid="{00000000-0005-0000-0000-0000B8020000}"/>
    <cellStyle name="Currency 2 3 2 4" xfId="1865" xr:uid="{00000000-0005-0000-0000-0000B9020000}"/>
    <cellStyle name="Currency 2 3 3" xfId="626" xr:uid="{00000000-0005-0000-0000-0000BA020000}"/>
    <cellStyle name="Currency 2 3 3 2" xfId="738" xr:uid="{00000000-0005-0000-0000-0000BB020000}"/>
    <cellStyle name="Currency 2 3 3 2 2" xfId="965" xr:uid="{00000000-0005-0000-0000-0000BC020000}"/>
    <cellStyle name="Currency 2 3 3 2 2 2" xfId="1976" xr:uid="{00000000-0005-0000-0000-0000BD020000}"/>
    <cellStyle name="Currency 2 3 3 2 3" xfId="1909" xr:uid="{00000000-0005-0000-0000-0000BE020000}"/>
    <cellStyle name="Currency 2 3 3 3" xfId="852" xr:uid="{00000000-0005-0000-0000-0000BF020000}"/>
    <cellStyle name="Currency 2 3 3 3 2" xfId="1942" xr:uid="{00000000-0005-0000-0000-0000C0020000}"/>
    <cellStyle name="Currency 2 3 3 4" xfId="1876" xr:uid="{00000000-0005-0000-0000-0000C1020000}"/>
    <cellStyle name="Currency 2 3 4" xfId="665" xr:uid="{00000000-0005-0000-0000-0000C2020000}"/>
    <cellStyle name="Currency 2 3 4 2" xfId="891" xr:uid="{00000000-0005-0000-0000-0000C3020000}"/>
    <cellStyle name="Currency 2 3 4 2 2" xfId="1953" xr:uid="{00000000-0005-0000-0000-0000C4020000}"/>
    <cellStyle name="Currency 2 3 4 3" xfId="1887" xr:uid="{00000000-0005-0000-0000-0000C5020000}"/>
    <cellStyle name="Currency 2 3 5" xfId="778" xr:uid="{00000000-0005-0000-0000-0000C6020000}"/>
    <cellStyle name="Currency 2 3 5 2" xfId="1920" xr:uid="{00000000-0005-0000-0000-0000C7020000}"/>
    <cellStyle name="Currency 2 3 6" xfId="541" xr:uid="{00000000-0005-0000-0000-0000C8020000}"/>
    <cellStyle name="Currency 2 3 6 2" xfId="1853" xr:uid="{00000000-0005-0000-0000-0000C9020000}"/>
    <cellStyle name="Currency 2 3 7" xfId="1820" xr:uid="{00000000-0005-0000-0000-0000CA020000}"/>
    <cellStyle name="Currency 2 4" xfId="253" xr:uid="{00000000-0005-0000-0000-0000CB020000}"/>
    <cellStyle name="Currency 2 4 2" xfId="682" xr:uid="{00000000-0005-0000-0000-0000CC020000}"/>
    <cellStyle name="Currency 2 4 2 2" xfId="909" xr:uid="{00000000-0005-0000-0000-0000CD020000}"/>
    <cellStyle name="Currency 2 4 2 2 2" xfId="1959" xr:uid="{00000000-0005-0000-0000-0000CE020000}"/>
    <cellStyle name="Currency 2 4 2 3" xfId="1892" xr:uid="{00000000-0005-0000-0000-0000CF020000}"/>
    <cellStyle name="Currency 2 4 3" xfId="796" xr:uid="{00000000-0005-0000-0000-0000D0020000}"/>
    <cellStyle name="Currency 2 4 3 2" xfId="1925" xr:uid="{00000000-0005-0000-0000-0000D1020000}"/>
    <cellStyle name="Currency 2 4 4" xfId="570" xr:uid="{00000000-0005-0000-0000-0000D2020000}"/>
    <cellStyle name="Currency 2 4 4 2" xfId="1859" xr:uid="{00000000-0005-0000-0000-0000D3020000}"/>
    <cellStyle name="Currency 2 4 5" xfId="1710" xr:uid="{00000000-0005-0000-0000-0000D4020000}"/>
    <cellStyle name="Currency 2 4 5 2" xfId="2046" xr:uid="{00000000-0005-0000-0000-0000D5020000}"/>
    <cellStyle name="Currency 2 4 5 3" xfId="1530" xr:uid="{00000000-0005-0000-0000-0000D6020000}"/>
    <cellStyle name="Currency 2 4 6" xfId="1832" xr:uid="{00000000-0005-0000-0000-0000D7020000}"/>
    <cellStyle name="Currency 2 5" xfId="607" xr:uid="{00000000-0005-0000-0000-0000D8020000}"/>
    <cellStyle name="Currency 2 5 2" xfId="719" xr:uid="{00000000-0005-0000-0000-0000D9020000}"/>
    <cellStyle name="Currency 2 5 2 2" xfId="946" xr:uid="{00000000-0005-0000-0000-0000DA020000}"/>
    <cellStyle name="Currency 2 5 2 2 2" xfId="1970" xr:uid="{00000000-0005-0000-0000-0000DB020000}"/>
    <cellStyle name="Currency 2 5 2 3" xfId="1903" xr:uid="{00000000-0005-0000-0000-0000DC020000}"/>
    <cellStyle name="Currency 2 5 3" xfId="833" xr:uid="{00000000-0005-0000-0000-0000DD020000}"/>
    <cellStyle name="Currency 2 5 3 2" xfId="1936" xr:uid="{00000000-0005-0000-0000-0000DE020000}"/>
    <cellStyle name="Currency 2 5 4" xfId="1870" xr:uid="{00000000-0005-0000-0000-0000DF020000}"/>
    <cellStyle name="Currency 2 6" xfId="646" xr:uid="{00000000-0005-0000-0000-0000E0020000}"/>
    <cellStyle name="Currency 2 6 2" xfId="872" xr:uid="{00000000-0005-0000-0000-0000E1020000}"/>
    <cellStyle name="Currency 2 6 2 2" xfId="1947" xr:uid="{00000000-0005-0000-0000-0000E2020000}"/>
    <cellStyle name="Currency 2 6 3" xfId="1881" xr:uid="{00000000-0005-0000-0000-0000E3020000}"/>
    <cellStyle name="Currency 2 7" xfId="759" xr:uid="{00000000-0005-0000-0000-0000E4020000}"/>
    <cellStyle name="Currency 2 7 2" xfId="1914" xr:uid="{00000000-0005-0000-0000-0000E5020000}"/>
    <cellStyle name="Currency 2 8" xfId="369" xr:uid="{00000000-0005-0000-0000-0000E6020000}"/>
    <cellStyle name="Currency 2 8 2" xfId="1845" xr:uid="{00000000-0005-0000-0000-0000E7020000}"/>
    <cellStyle name="Currency 2 9" xfId="1165" xr:uid="{00000000-0005-0000-0000-0000E8020000}"/>
    <cellStyle name="Currency 3" xfId="183" xr:uid="{00000000-0005-0000-0000-0000E9020000}"/>
    <cellStyle name="Currency 3 2" xfId="261" xr:uid="{00000000-0005-0000-0000-0000EA020000}"/>
    <cellStyle name="Currency 3 2 2" xfId="269" xr:uid="{00000000-0005-0000-0000-0000EB020000}"/>
    <cellStyle name="Currency 3 2 2 2" xfId="929" xr:uid="{00000000-0005-0000-0000-0000EC020000}"/>
    <cellStyle name="Currency 3 2 2 2 2" xfId="1966" xr:uid="{00000000-0005-0000-0000-0000ED020000}"/>
    <cellStyle name="Currency 3 2 2 3" xfId="702" xr:uid="{00000000-0005-0000-0000-0000EE020000}"/>
    <cellStyle name="Currency 3 2 2 3 2" xfId="1899" xr:uid="{00000000-0005-0000-0000-0000EF020000}"/>
    <cellStyle name="Currency 3 2 2 4" xfId="1744" xr:uid="{00000000-0005-0000-0000-0000F0020000}"/>
    <cellStyle name="Currency 3 2 2 5" xfId="1838" xr:uid="{00000000-0005-0000-0000-0000F1020000}"/>
    <cellStyle name="Currency 3 2 3" xfId="816" xr:uid="{00000000-0005-0000-0000-0000F2020000}"/>
    <cellStyle name="Currency 3 2 3 2" xfId="1932" xr:uid="{00000000-0005-0000-0000-0000F3020000}"/>
    <cellStyle name="Currency 3 2 4" xfId="590" xr:uid="{00000000-0005-0000-0000-0000F4020000}"/>
    <cellStyle name="Currency 3 2 4 2" xfId="1866" xr:uid="{00000000-0005-0000-0000-0000F5020000}"/>
    <cellStyle name="Currency 3 2 5" xfId="1711" xr:uid="{00000000-0005-0000-0000-0000F6020000}"/>
    <cellStyle name="Currency 3 2 5 2" xfId="2047" xr:uid="{00000000-0005-0000-0000-0000F7020000}"/>
    <cellStyle name="Currency 3 2 5 3" xfId="1580" xr:uid="{00000000-0005-0000-0000-0000F8020000}"/>
    <cellStyle name="Currency 3 2 6" xfId="1834" xr:uid="{00000000-0005-0000-0000-0000F9020000}"/>
    <cellStyle name="Currency 3 3" xfId="270" xr:uid="{00000000-0005-0000-0000-0000FA020000}"/>
    <cellStyle name="Currency 3 3 2" xfId="739" xr:uid="{00000000-0005-0000-0000-0000FB020000}"/>
    <cellStyle name="Currency 3 3 2 2" xfId="966" xr:uid="{00000000-0005-0000-0000-0000FC020000}"/>
    <cellStyle name="Currency 3 3 2 2 2" xfId="1977" xr:uid="{00000000-0005-0000-0000-0000FD020000}"/>
    <cellStyle name="Currency 3 3 2 3" xfId="1910" xr:uid="{00000000-0005-0000-0000-0000FE020000}"/>
    <cellStyle name="Currency 3 3 3" xfId="853" xr:uid="{00000000-0005-0000-0000-0000FF020000}"/>
    <cellStyle name="Currency 3 3 3 2" xfId="1943" xr:uid="{00000000-0005-0000-0000-000000030000}"/>
    <cellStyle name="Currency 3 3 4" xfId="627" xr:uid="{00000000-0005-0000-0000-000001030000}"/>
    <cellStyle name="Currency 3 3 4 2" xfId="1877" xr:uid="{00000000-0005-0000-0000-000002030000}"/>
    <cellStyle name="Currency 3 3 5" xfId="1565" xr:uid="{00000000-0005-0000-0000-000003030000}"/>
    <cellStyle name="Currency 3 3 6" xfId="1839" xr:uid="{00000000-0005-0000-0000-000004030000}"/>
    <cellStyle name="Currency 3 4" xfId="260" xr:uid="{00000000-0005-0000-0000-000005030000}"/>
    <cellStyle name="Currency 3 4 2" xfId="892" xr:uid="{00000000-0005-0000-0000-000006030000}"/>
    <cellStyle name="Currency 3 4 2 2" xfId="1954" xr:uid="{00000000-0005-0000-0000-000007030000}"/>
    <cellStyle name="Currency 3 4 3" xfId="666" xr:uid="{00000000-0005-0000-0000-000008030000}"/>
    <cellStyle name="Currency 3 4 3 2" xfId="1888" xr:uid="{00000000-0005-0000-0000-000009030000}"/>
    <cellStyle name="Currency 3 4 4" xfId="1601" xr:uid="{00000000-0005-0000-0000-00000A030000}"/>
    <cellStyle name="Currency 3 4 5" xfId="1833" xr:uid="{00000000-0005-0000-0000-00000B030000}"/>
    <cellStyle name="Currency 3 5" xfId="779" xr:uid="{00000000-0005-0000-0000-00000C030000}"/>
    <cellStyle name="Currency 3 5 2" xfId="1921" xr:uid="{00000000-0005-0000-0000-00000D030000}"/>
    <cellStyle name="Currency 3 6" xfId="542" xr:uid="{00000000-0005-0000-0000-00000E030000}"/>
    <cellStyle name="Currency 3 6 2" xfId="1854" xr:uid="{00000000-0005-0000-0000-00000F030000}"/>
    <cellStyle name="Currency 4" xfId="196" xr:uid="{00000000-0005-0000-0000-000010030000}"/>
    <cellStyle name="Currency 4 2" xfId="272" xr:uid="{00000000-0005-0000-0000-000011030000}"/>
    <cellStyle name="Currency 4 2 2" xfId="703" xr:uid="{00000000-0005-0000-0000-000012030000}"/>
    <cellStyle name="Currency 4 2 2 2" xfId="930" xr:uid="{00000000-0005-0000-0000-000013030000}"/>
    <cellStyle name="Currency 4 2 2 2 2" xfId="1967" xr:uid="{00000000-0005-0000-0000-000014030000}"/>
    <cellStyle name="Currency 4 2 2 3" xfId="1900" xr:uid="{00000000-0005-0000-0000-000015030000}"/>
    <cellStyle name="Currency 4 2 3" xfId="817" xr:uid="{00000000-0005-0000-0000-000016030000}"/>
    <cellStyle name="Currency 4 2 3 2" xfId="1933" xr:uid="{00000000-0005-0000-0000-000017030000}"/>
    <cellStyle name="Currency 4 2 4" xfId="591" xr:uid="{00000000-0005-0000-0000-000018030000}"/>
    <cellStyle name="Currency 4 2 4 2" xfId="1867" xr:uid="{00000000-0005-0000-0000-000019030000}"/>
    <cellStyle name="Currency 4 2 5" xfId="1551" xr:uid="{00000000-0005-0000-0000-00001A030000}"/>
    <cellStyle name="Currency 4 2 6" xfId="1841" xr:uid="{00000000-0005-0000-0000-00001B030000}"/>
    <cellStyle name="Currency 4 3" xfId="271" xr:uid="{00000000-0005-0000-0000-00001C030000}"/>
    <cellStyle name="Currency 4 3 2" xfId="740" xr:uid="{00000000-0005-0000-0000-00001D030000}"/>
    <cellStyle name="Currency 4 3 2 2" xfId="967" xr:uid="{00000000-0005-0000-0000-00001E030000}"/>
    <cellStyle name="Currency 4 3 2 2 2" xfId="1978" xr:uid="{00000000-0005-0000-0000-00001F030000}"/>
    <cellStyle name="Currency 4 3 2 3" xfId="1911" xr:uid="{00000000-0005-0000-0000-000020030000}"/>
    <cellStyle name="Currency 4 3 3" xfId="854" xr:uid="{00000000-0005-0000-0000-000021030000}"/>
    <cellStyle name="Currency 4 3 3 2" xfId="1944" xr:uid="{00000000-0005-0000-0000-000022030000}"/>
    <cellStyle name="Currency 4 3 4" xfId="628" xr:uid="{00000000-0005-0000-0000-000023030000}"/>
    <cellStyle name="Currency 4 3 4 2" xfId="1878" xr:uid="{00000000-0005-0000-0000-000024030000}"/>
    <cellStyle name="Currency 4 3 5" xfId="1536" xr:uid="{00000000-0005-0000-0000-000025030000}"/>
    <cellStyle name="Currency 4 3 6" xfId="1840" xr:uid="{00000000-0005-0000-0000-000026030000}"/>
    <cellStyle name="Currency 4 4" xfId="667" xr:uid="{00000000-0005-0000-0000-000027030000}"/>
    <cellStyle name="Currency 4 4 2" xfId="893" xr:uid="{00000000-0005-0000-0000-000028030000}"/>
    <cellStyle name="Currency 4 4 2 2" xfId="1955" xr:uid="{00000000-0005-0000-0000-000029030000}"/>
    <cellStyle name="Currency 4 4 3" xfId="1889" xr:uid="{00000000-0005-0000-0000-00002A030000}"/>
    <cellStyle name="Currency 4 5" xfId="780" xr:uid="{00000000-0005-0000-0000-00002B030000}"/>
    <cellStyle name="Currency 4 5 2" xfId="1922" xr:uid="{00000000-0005-0000-0000-00002C030000}"/>
    <cellStyle name="Currency 4 6" xfId="543" xr:uid="{00000000-0005-0000-0000-00002D030000}"/>
    <cellStyle name="Currency 4 6 2" xfId="1855" xr:uid="{00000000-0005-0000-0000-00002E030000}"/>
    <cellStyle name="Currency 5" xfId="1171" xr:uid="{00000000-0005-0000-0000-00002F030000}"/>
    <cellStyle name="Currency 5 2" xfId="1984" xr:uid="{00000000-0005-0000-0000-000030030000}"/>
    <cellStyle name="Currency 6" xfId="1227" xr:uid="{00000000-0005-0000-0000-000031030000}"/>
    <cellStyle name="Currency 6 2" xfId="1992" xr:uid="{00000000-0005-0000-0000-000032030000}"/>
    <cellStyle name="Currency 7" xfId="1228" xr:uid="{00000000-0005-0000-0000-000033030000}"/>
    <cellStyle name="Currency 7 2" xfId="1479" xr:uid="{00000000-0005-0000-0000-000034030000}"/>
    <cellStyle name="Currency 7 2 2" xfId="2025" xr:uid="{00000000-0005-0000-0000-000035030000}"/>
    <cellStyle name="Currency 7 2 2 2" xfId="2087" xr:uid="{00000000-0005-0000-0000-000036030000}"/>
    <cellStyle name="Currency 7 3" xfId="1993" xr:uid="{00000000-0005-0000-0000-000037030000}"/>
    <cellStyle name="Currency 7 3 2" xfId="2066" xr:uid="{00000000-0005-0000-0000-000038030000}"/>
    <cellStyle name="Currency 8" xfId="1229" xr:uid="{00000000-0005-0000-0000-000039030000}"/>
    <cellStyle name="Currency 8 2" xfId="1994" xr:uid="{00000000-0005-0000-0000-00003A030000}"/>
    <cellStyle name="Currency 9" xfId="1230" xr:uid="{00000000-0005-0000-0000-00003B030000}"/>
    <cellStyle name="Date" xfId="1315" xr:uid="{00000000-0005-0000-0000-00003C030000}"/>
    <cellStyle name="Date [ham]" xfId="1316" xr:uid="{00000000-0005-0000-0000-00003D030000}"/>
    <cellStyle name="Date [ham] 2" xfId="1351" xr:uid="{00000000-0005-0000-0000-00003E030000}"/>
    <cellStyle name="Date 2" xfId="1350" xr:uid="{00000000-0005-0000-0000-00003F030000}"/>
    <cellStyle name="Date 3" xfId="1381" xr:uid="{00000000-0005-0000-0000-000040030000}"/>
    <cellStyle name="Date 4" xfId="1408" xr:uid="{00000000-0005-0000-0000-000041030000}"/>
    <cellStyle name="Date 5" xfId="1435" xr:uid="{00000000-0005-0000-0000-000042030000}"/>
    <cellStyle name="Date 6" xfId="1645" xr:uid="{00000000-0005-0000-0000-000043030000}"/>
    <cellStyle name="Date 7" xfId="1646" xr:uid="{00000000-0005-0000-0000-000044030000}"/>
    <cellStyle name="Date 8" xfId="1647" xr:uid="{00000000-0005-0000-0000-000045030000}"/>
    <cellStyle name="Date 9" xfId="1651" xr:uid="{00000000-0005-0000-0000-000046030000}"/>
    <cellStyle name="days" xfId="1317" xr:uid="{00000000-0005-0000-0000-000047030000}"/>
    <cellStyle name="days 2" xfId="1352" xr:uid="{00000000-0005-0000-0000-000048030000}"/>
    <cellStyle name="days 3" xfId="1382" xr:uid="{00000000-0005-0000-0000-000049030000}"/>
    <cellStyle name="days 4" xfId="1409" xr:uid="{00000000-0005-0000-0000-00004A030000}"/>
    <cellStyle name="days 5" xfId="1436" xr:uid="{00000000-0005-0000-0000-00004B030000}"/>
    <cellStyle name="days 6" xfId="1652" xr:uid="{00000000-0005-0000-0000-00004C030000}"/>
    <cellStyle name="days 6 2" xfId="1685" xr:uid="{00000000-0005-0000-0000-00004D030000}"/>
    <cellStyle name="Explanatory Text" xfId="16" builtinId="53" customBuiltin="1"/>
    <cellStyle name="Explanatory Text 2" xfId="370" xr:uid="{00000000-0005-0000-0000-00004F030000}"/>
    <cellStyle name="Explanatory Text 2 2" xfId="371" xr:uid="{00000000-0005-0000-0000-000050030000}"/>
    <cellStyle name="Explanatory Text 2 3" xfId="1231" xr:uid="{00000000-0005-0000-0000-000051030000}"/>
    <cellStyle name="Explanatory Text 2 3 2" xfId="1786" xr:uid="{00000000-0005-0000-0000-000052030000}"/>
    <cellStyle name="Explanatory Text 2 3 3" xfId="1578" xr:uid="{00000000-0005-0000-0000-000053030000}"/>
    <cellStyle name="Explanatory Text 3" xfId="372" xr:uid="{00000000-0005-0000-0000-000054030000}"/>
    <cellStyle name="Explanatory Text 4" xfId="2124" xr:uid="{00000000-0005-0000-0000-000055030000}"/>
    <cellStyle name="GL" xfId="1318" xr:uid="{00000000-0005-0000-0000-000056030000}"/>
    <cellStyle name="GL 2" xfId="1353" xr:uid="{00000000-0005-0000-0000-000057030000}"/>
    <cellStyle name="GL 3" xfId="1383" xr:uid="{00000000-0005-0000-0000-000058030000}"/>
    <cellStyle name="GL 4" xfId="1410" xr:uid="{00000000-0005-0000-0000-000059030000}"/>
    <cellStyle name="GL 5" xfId="1437" xr:uid="{00000000-0005-0000-0000-00005A030000}"/>
    <cellStyle name="GL 6" xfId="1653" xr:uid="{00000000-0005-0000-0000-00005B030000}"/>
    <cellStyle name="GL 6 2" xfId="1686" xr:uid="{00000000-0005-0000-0000-00005C030000}"/>
    <cellStyle name="GL/y" xfId="1319" xr:uid="{00000000-0005-0000-0000-00005D030000}"/>
    <cellStyle name="GL/y 2" xfId="1354" xr:uid="{00000000-0005-0000-0000-00005E030000}"/>
    <cellStyle name="GL/y 3" xfId="1384" xr:uid="{00000000-0005-0000-0000-00005F030000}"/>
    <cellStyle name="GL/y 4" xfId="1411" xr:uid="{00000000-0005-0000-0000-000060030000}"/>
    <cellStyle name="GL/y 5" xfId="1438" xr:uid="{00000000-0005-0000-0000-000061030000}"/>
    <cellStyle name="GL/y 6" xfId="1654" xr:uid="{00000000-0005-0000-0000-000062030000}"/>
    <cellStyle name="GL/y 6 2" xfId="1687" xr:uid="{00000000-0005-0000-0000-000063030000}"/>
    <cellStyle name="Good" xfId="6" builtinId="26" customBuiltin="1"/>
    <cellStyle name="Good 2" xfId="221" xr:uid="{00000000-0005-0000-0000-000065030000}"/>
    <cellStyle name="Good 2 2" xfId="374" xr:uid="{00000000-0005-0000-0000-000066030000}"/>
    <cellStyle name="Good 2 2 2" xfId="1232" xr:uid="{00000000-0005-0000-0000-000067030000}"/>
    <cellStyle name="Good 2 2 2 2" xfId="1787" xr:uid="{00000000-0005-0000-0000-000068030000}"/>
    <cellStyle name="Good 2 2 2 3" xfId="1582" xr:uid="{00000000-0005-0000-0000-000069030000}"/>
    <cellStyle name="Good 2 3" xfId="373" xr:uid="{00000000-0005-0000-0000-00006A030000}"/>
    <cellStyle name="Good 3" xfId="375" xr:uid="{00000000-0005-0000-0000-00006B030000}"/>
    <cellStyle name="Good 4" xfId="2114" xr:uid="{00000000-0005-0000-0000-00006C030000}"/>
    <cellStyle name="Heading" xfId="1233" xr:uid="{00000000-0005-0000-0000-00006D030000}"/>
    <cellStyle name="Heading 1" xfId="2" builtinId="16" customBuiltin="1"/>
    <cellStyle name="Heading 1 2" xfId="222" xr:uid="{00000000-0005-0000-0000-00006F030000}"/>
    <cellStyle name="Heading 1 2 2" xfId="377" xr:uid="{00000000-0005-0000-0000-000070030000}"/>
    <cellStyle name="Heading 1 2 2 2" xfId="1320" xr:uid="{00000000-0005-0000-0000-000071030000}"/>
    <cellStyle name="Heading 1 2 2 2 2" xfId="2011" xr:uid="{00000000-0005-0000-0000-000072030000}"/>
    <cellStyle name="Heading 1 2 2 2 3" xfId="1590" xr:uid="{00000000-0005-0000-0000-000073030000}"/>
    <cellStyle name="Heading 1 2 3" xfId="376" xr:uid="{00000000-0005-0000-0000-000074030000}"/>
    <cellStyle name="Heading 1 2 3 2" xfId="1712" xr:uid="{00000000-0005-0000-0000-000075030000}"/>
    <cellStyle name="Heading 1 2 4" xfId="1294" xr:uid="{00000000-0005-0000-0000-000076030000}"/>
    <cellStyle name="Heading 1 3" xfId="378" xr:uid="{00000000-0005-0000-0000-000077030000}"/>
    <cellStyle name="Heading 1 4" xfId="2110" xr:uid="{00000000-0005-0000-0000-000078030000}"/>
    <cellStyle name="Heading 2" xfId="3" builtinId="17" customBuiltin="1"/>
    <cellStyle name="Heading 2 2" xfId="223" xr:uid="{00000000-0005-0000-0000-00007A030000}"/>
    <cellStyle name="Heading 2 2 2" xfId="380" xr:uid="{00000000-0005-0000-0000-00007B030000}"/>
    <cellStyle name="Heading 2 2 2 2" xfId="1321" xr:uid="{00000000-0005-0000-0000-00007C030000}"/>
    <cellStyle name="Heading 2 2 2 2 2" xfId="2012" xr:uid="{00000000-0005-0000-0000-00007D030000}"/>
    <cellStyle name="Heading 2 2 2 2 3" xfId="1594" xr:uid="{00000000-0005-0000-0000-00007E030000}"/>
    <cellStyle name="Heading 2 2 3" xfId="379" xr:uid="{00000000-0005-0000-0000-00007F030000}"/>
    <cellStyle name="Heading 2 2 3 2" xfId="1713" xr:uid="{00000000-0005-0000-0000-000080030000}"/>
    <cellStyle name="Heading 2 2 4" xfId="1293" xr:uid="{00000000-0005-0000-0000-000081030000}"/>
    <cellStyle name="Heading 2 3" xfId="381" xr:uid="{00000000-0005-0000-0000-000082030000}"/>
    <cellStyle name="Heading 2 4" xfId="2111" xr:uid="{00000000-0005-0000-0000-000083030000}"/>
    <cellStyle name="Heading 3" xfId="4" builtinId="18" customBuiltin="1"/>
    <cellStyle name="Heading 3 2" xfId="382" xr:uid="{00000000-0005-0000-0000-000085030000}"/>
    <cellStyle name="Heading 3 2 2" xfId="383" xr:uid="{00000000-0005-0000-0000-000086030000}"/>
    <cellStyle name="Heading 3 2 2 2" xfId="1322" xr:uid="{00000000-0005-0000-0000-000087030000}"/>
    <cellStyle name="Heading 3 2 2 2 2" xfId="2013" xr:uid="{00000000-0005-0000-0000-000088030000}"/>
    <cellStyle name="Heading 3 2 2 2 3" xfId="1523" xr:uid="{00000000-0005-0000-0000-000089030000}"/>
    <cellStyle name="Heading 3 2 3" xfId="1234" xr:uid="{00000000-0005-0000-0000-00008A030000}"/>
    <cellStyle name="Heading 3 2 3 2" xfId="1788" xr:uid="{00000000-0005-0000-0000-00008B030000}"/>
    <cellStyle name="Heading 3 2 3 3" xfId="1623" xr:uid="{00000000-0005-0000-0000-00008C030000}"/>
    <cellStyle name="Heading 3 3" xfId="384" xr:uid="{00000000-0005-0000-0000-00008D030000}"/>
    <cellStyle name="Heading 3 3 2" xfId="1291" xr:uid="{00000000-0005-0000-0000-00008E030000}"/>
    <cellStyle name="Heading 3 4" xfId="2112" xr:uid="{00000000-0005-0000-0000-00008F030000}"/>
    <cellStyle name="Heading 4" xfId="5" builtinId="19" customBuiltin="1"/>
    <cellStyle name="Heading 4 2" xfId="385" xr:uid="{00000000-0005-0000-0000-000091030000}"/>
    <cellStyle name="Heading 4 2 2" xfId="386" xr:uid="{00000000-0005-0000-0000-000092030000}"/>
    <cellStyle name="Heading 4 2 3" xfId="1292" xr:uid="{00000000-0005-0000-0000-000093030000}"/>
    <cellStyle name="Heading 4 3" xfId="387" xr:uid="{00000000-0005-0000-0000-000094030000}"/>
    <cellStyle name="Heading 4 4" xfId="2113" xr:uid="{00000000-0005-0000-0000-000095030000}"/>
    <cellStyle name="hrs" xfId="1323" xr:uid="{00000000-0005-0000-0000-000096030000}"/>
    <cellStyle name="hrs 2" xfId="1355" xr:uid="{00000000-0005-0000-0000-000097030000}"/>
    <cellStyle name="hrs 3" xfId="1385" xr:uid="{00000000-0005-0000-0000-000098030000}"/>
    <cellStyle name="hrs 4" xfId="1412" xr:uid="{00000000-0005-0000-0000-000099030000}"/>
    <cellStyle name="hrs 5" xfId="1439" xr:uid="{00000000-0005-0000-0000-00009A030000}"/>
    <cellStyle name="hrs 6" xfId="1655" xr:uid="{00000000-0005-0000-0000-00009B030000}"/>
    <cellStyle name="hrs 6 2" xfId="1688" xr:uid="{00000000-0005-0000-0000-00009C030000}"/>
    <cellStyle name="Hyperlink" xfId="2157" builtinId="8"/>
    <cellStyle name="Hyperlink 2" xfId="50" xr:uid="{00000000-0005-0000-0000-00009E030000}"/>
    <cellStyle name="Hyperlink 2 2" xfId="203" xr:uid="{00000000-0005-0000-0000-00009F030000}"/>
    <cellStyle name="Hyperlink 2 2 2" xfId="224" xr:uid="{00000000-0005-0000-0000-0000A0030000}"/>
    <cellStyle name="Hyperlink 2 2 3" xfId="1272" xr:uid="{00000000-0005-0000-0000-0000A1030000}"/>
    <cellStyle name="Hyperlink 2 3" xfId="177" xr:uid="{00000000-0005-0000-0000-0000A2030000}"/>
    <cellStyle name="Hyperlink 2 4" xfId="1256" xr:uid="{00000000-0005-0000-0000-0000A3030000}"/>
    <cellStyle name="Hyperlink 2 5" xfId="1808" xr:uid="{00000000-0005-0000-0000-0000A4030000}"/>
    <cellStyle name="Hyperlink 3" xfId="51" xr:uid="{00000000-0005-0000-0000-0000A5030000}"/>
    <cellStyle name="Hyperlink 3 2" xfId="205" xr:uid="{00000000-0005-0000-0000-0000A6030000}"/>
    <cellStyle name="Hyperlink 3 2 2" xfId="225" xr:uid="{00000000-0005-0000-0000-0000A7030000}"/>
    <cellStyle name="Hyperlink 3 2 3" xfId="1274" xr:uid="{00000000-0005-0000-0000-0000A8030000}"/>
    <cellStyle name="Hyperlink 3 3" xfId="178" xr:uid="{00000000-0005-0000-0000-0000A9030000}"/>
    <cellStyle name="Hyperlink 3 4" xfId="1257" xr:uid="{00000000-0005-0000-0000-0000AA030000}"/>
    <cellStyle name="Hyperlink 4" xfId="204" xr:uid="{00000000-0005-0000-0000-0000AB030000}"/>
    <cellStyle name="Hyperlink 4 2" xfId="226" xr:uid="{00000000-0005-0000-0000-0000AC030000}"/>
    <cellStyle name="Hyperlink 4 3" xfId="1273" xr:uid="{00000000-0005-0000-0000-0000AD030000}"/>
    <cellStyle name="Hyperlink 5" xfId="164" xr:uid="{00000000-0005-0000-0000-0000AE030000}"/>
    <cellStyle name="Hyperlink 5 2" xfId="227" xr:uid="{00000000-0005-0000-0000-0000AF030000}"/>
    <cellStyle name="Hyperlink 5 3" xfId="1271" xr:uid="{00000000-0005-0000-0000-0000B0030000}"/>
    <cellStyle name="Hyperlink 5 4" xfId="1644" xr:uid="{00000000-0005-0000-0000-0000B1030000}"/>
    <cellStyle name="Hyperlink 6" xfId="228" xr:uid="{00000000-0005-0000-0000-0000B2030000}"/>
    <cellStyle name="Hyperlink 7" xfId="229" xr:uid="{00000000-0005-0000-0000-0000B3030000}"/>
    <cellStyle name="Hyperlink 8" xfId="49" xr:uid="{00000000-0005-0000-0000-0000B4030000}"/>
    <cellStyle name="Input" xfId="9" builtinId="20" customBuiltin="1"/>
    <cellStyle name="Input 2" xfId="388" xr:uid="{00000000-0005-0000-0000-0000B6030000}"/>
    <cellStyle name="Input 2 2" xfId="389" xr:uid="{00000000-0005-0000-0000-0000B7030000}"/>
    <cellStyle name="Input 2 2 2" xfId="995" xr:uid="{00000000-0005-0000-0000-0000B8030000}"/>
    <cellStyle name="Input 2 2 2 2" xfId="1092" xr:uid="{00000000-0005-0000-0000-0000B9030000}"/>
    <cellStyle name="Input 2 2 3" xfId="997" xr:uid="{00000000-0005-0000-0000-0000BA030000}"/>
    <cellStyle name="Input 2 2 3 2" xfId="1090" xr:uid="{00000000-0005-0000-0000-0000BB030000}"/>
    <cellStyle name="Input 2 2 4" xfId="984" xr:uid="{00000000-0005-0000-0000-0000BC030000}"/>
    <cellStyle name="Input 2 2 4 2" xfId="1100" xr:uid="{00000000-0005-0000-0000-0000BD030000}"/>
    <cellStyle name="Input 2 2 5" xfId="998" xr:uid="{00000000-0005-0000-0000-0000BE030000}"/>
    <cellStyle name="Input 2 2 5 2" xfId="1089" xr:uid="{00000000-0005-0000-0000-0000BF030000}"/>
    <cellStyle name="Input 2 2 6" xfId="990" xr:uid="{00000000-0005-0000-0000-0000C0030000}"/>
    <cellStyle name="Input 2 2 6 2" xfId="1095" xr:uid="{00000000-0005-0000-0000-0000C1030000}"/>
    <cellStyle name="Input 2 2 7" xfId="1111" xr:uid="{00000000-0005-0000-0000-0000C2030000}"/>
    <cellStyle name="Input 2 3" xfId="994" xr:uid="{00000000-0005-0000-0000-0000C3030000}"/>
    <cellStyle name="Input 2 3 2" xfId="1093" xr:uid="{00000000-0005-0000-0000-0000C4030000}"/>
    <cellStyle name="Input 2 4" xfId="1055" xr:uid="{00000000-0005-0000-0000-0000C5030000}"/>
    <cellStyle name="Input 2 4 2" xfId="1161" xr:uid="{00000000-0005-0000-0000-0000C6030000}"/>
    <cellStyle name="Input 2 5" xfId="1013" xr:uid="{00000000-0005-0000-0000-0000C7030000}"/>
    <cellStyle name="Input 2 5 2" xfId="1083" xr:uid="{00000000-0005-0000-0000-0000C8030000}"/>
    <cellStyle name="Input 2 6" xfId="1002" xr:uid="{00000000-0005-0000-0000-0000C9030000}"/>
    <cellStyle name="Input 2 6 2" xfId="1086" xr:uid="{00000000-0005-0000-0000-0000CA030000}"/>
    <cellStyle name="Input 2 7" xfId="1049" xr:uid="{00000000-0005-0000-0000-0000CB030000}"/>
    <cellStyle name="Input 2 7 2" xfId="1159" xr:uid="{00000000-0005-0000-0000-0000CC030000}"/>
    <cellStyle name="Input 2 8" xfId="1113" xr:uid="{00000000-0005-0000-0000-0000CD030000}"/>
    <cellStyle name="Input 2 9" xfId="1235" xr:uid="{00000000-0005-0000-0000-0000CE030000}"/>
    <cellStyle name="Input 2 9 2" xfId="1789" xr:uid="{00000000-0005-0000-0000-0000CF030000}"/>
    <cellStyle name="Input 2 9 3" xfId="1553" xr:uid="{00000000-0005-0000-0000-0000D0030000}"/>
    <cellStyle name="Input 3" xfId="390" xr:uid="{00000000-0005-0000-0000-0000D1030000}"/>
    <cellStyle name="Input 3 2" xfId="996" xr:uid="{00000000-0005-0000-0000-0000D2030000}"/>
    <cellStyle name="Input 3 2 2" xfId="1091" xr:uid="{00000000-0005-0000-0000-0000D3030000}"/>
    <cellStyle name="Input 3 3" xfId="1029" xr:uid="{00000000-0005-0000-0000-0000D4030000}"/>
    <cellStyle name="Input 3 3 2" xfId="1080" xr:uid="{00000000-0005-0000-0000-0000D5030000}"/>
    <cellStyle name="Input 3 4" xfId="1010" xr:uid="{00000000-0005-0000-0000-0000D6030000}"/>
    <cellStyle name="Input 3 4 2" xfId="1084" xr:uid="{00000000-0005-0000-0000-0000D7030000}"/>
    <cellStyle name="Input 3 5" xfId="1050" xr:uid="{00000000-0005-0000-0000-0000D8030000}"/>
    <cellStyle name="Input 3 5 2" xfId="1160" xr:uid="{00000000-0005-0000-0000-0000D9030000}"/>
    <cellStyle name="Input 3 6" xfId="1025" xr:uid="{00000000-0005-0000-0000-0000DA030000}"/>
    <cellStyle name="Input 3 6 2" xfId="1082" xr:uid="{00000000-0005-0000-0000-0000DB030000}"/>
    <cellStyle name="Input 3 7" xfId="1109" xr:uid="{00000000-0005-0000-0000-0000DC030000}"/>
    <cellStyle name="Input 4" xfId="2117" xr:uid="{00000000-0005-0000-0000-0000DD030000}"/>
    <cellStyle name="kg" xfId="1324" xr:uid="{00000000-0005-0000-0000-0000DE030000}"/>
    <cellStyle name="kg 2" xfId="1356" xr:uid="{00000000-0005-0000-0000-0000DF030000}"/>
    <cellStyle name="kg 3" xfId="1386" xr:uid="{00000000-0005-0000-0000-0000E0030000}"/>
    <cellStyle name="kg 4" xfId="1413" xr:uid="{00000000-0005-0000-0000-0000E1030000}"/>
    <cellStyle name="kg 5" xfId="1440" xr:uid="{00000000-0005-0000-0000-0000E2030000}"/>
    <cellStyle name="kg 6" xfId="1656" xr:uid="{00000000-0005-0000-0000-0000E3030000}"/>
    <cellStyle name="kg 6 2" xfId="1689" xr:uid="{00000000-0005-0000-0000-0000E4030000}"/>
    <cellStyle name="kL" xfId="1325" xr:uid="{00000000-0005-0000-0000-0000E5030000}"/>
    <cellStyle name="kL 2" xfId="1357" xr:uid="{00000000-0005-0000-0000-0000E6030000}"/>
    <cellStyle name="kL 3" xfId="1387" xr:uid="{00000000-0005-0000-0000-0000E7030000}"/>
    <cellStyle name="kL 4" xfId="1414" xr:uid="{00000000-0005-0000-0000-0000E8030000}"/>
    <cellStyle name="kL 5" xfId="1441" xr:uid="{00000000-0005-0000-0000-0000E9030000}"/>
    <cellStyle name="kL 6" xfId="1657" xr:uid="{00000000-0005-0000-0000-0000EA030000}"/>
    <cellStyle name="kL 6 2" xfId="1690" xr:uid="{00000000-0005-0000-0000-0000EB030000}"/>
    <cellStyle name="kL/h" xfId="1326" xr:uid="{00000000-0005-0000-0000-0000EC030000}"/>
    <cellStyle name="kL/h 2" xfId="1358" xr:uid="{00000000-0005-0000-0000-0000ED030000}"/>
    <cellStyle name="kL/ser/d" xfId="1327" xr:uid="{00000000-0005-0000-0000-0000EE030000}"/>
    <cellStyle name="kL/ser/d 2" xfId="1359" xr:uid="{00000000-0005-0000-0000-0000EF030000}"/>
    <cellStyle name="kL/ser/d 3" xfId="1388" xr:uid="{00000000-0005-0000-0000-0000F0030000}"/>
    <cellStyle name="kL/ser/d 4" xfId="1415" xr:uid="{00000000-0005-0000-0000-0000F1030000}"/>
    <cellStyle name="kL/ser/d 5" xfId="1442" xr:uid="{00000000-0005-0000-0000-0000F2030000}"/>
    <cellStyle name="kL/ser/d 6" xfId="1658" xr:uid="{00000000-0005-0000-0000-0000F3030000}"/>
    <cellStyle name="kL/ser/d 6 2" xfId="1691" xr:uid="{00000000-0005-0000-0000-0000F4030000}"/>
    <cellStyle name="km" xfId="1328" xr:uid="{00000000-0005-0000-0000-0000F5030000}"/>
    <cellStyle name="km 2" xfId="1360" xr:uid="{00000000-0005-0000-0000-0000F6030000}"/>
    <cellStyle name="km 3" xfId="1389" xr:uid="{00000000-0005-0000-0000-0000F7030000}"/>
    <cellStyle name="km 4" xfId="1416" xr:uid="{00000000-0005-0000-0000-0000F8030000}"/>
    <cellStyle name="km 5" xfId="1443" xr:uid="{00000000-0005-0000-0000-0000F9030000}"/>
    <cellStyle name="km 6" xfId="1659" xr:uid="{00000000-0005-0000-0000-0000FA030000}"/>
    <cellStyle name="km 6 2" xfId="1692" xr:uid="{00000000-0005-0000-0000-0000FB030000}"/>
    <cellStyle name="kPa" xfId="1329" xr:uid="{00000000-0005-0000-0000-0000FC030000}"/>
    <cellStyle name="kPa 2" xfId="1361" xr:uid="{00000000-0005-0000-0000-0000FD030000}"/>
    <cellStyle name="kPa 3" xfId="1390" xr:uid="{00000000-0005-0000-0000-0000FE030000}"/>
    <cellStyle name="kPa 4" xfId="1417" xr:uid="{00000000-0005-0000-0000-0000FF030000}"/>
    <cellStyle name="kPa 5" xfId="1444" xr:uid="{00000000-0005-0000-0000-000000040000}"/>
    <cellStyle name="kPa 6" xfId="1660" xr:uid="{00000000-0005-0000-0000-000001040000}"/>
    <cellStyle name="kPa 6 2" xfId="1693" xr:uid="{00000000-0005-0000-0000-000002040000}"/>
    <cellStyle name="kW" xfId="1330" xr:uid="{00000000-0005-0000-0000-000003040000}"/>
    <cellStyle name="kW 2" xfId="1362" xr:uid="{00000000-0005-0000-0000-000004040000}"/>
    <cellStyle name="kW 3" xfId="1391" xr:uid="{00000000-0005-0000-0000-000005040000}"/>
    <cellStyle name="kW 4" xfId="1418" xr:uid="{00000000-0005-0000-0000-000006040000}"/>
    <cellStyle name="kW 5" xfId="1445" xr:uid="{00000000-0005-0000-0000-000007040000}"/>
    <cellStyle name="kW 6" xfId="1661" xr:uid="{00000000-0005-0000-0000-000008040000}"/>
    <cellStyle name="kW 6 2" xfId="1694" xr:uid="{00000000-0005-0000-0000-000009040000}"/>
    <cellStyle name="kWh" xfId="1331" xr:uid="{00000000-0005-0000-0000-00000A040000}"/>
    <cellStyle name="kWh 2" xfId="1363" xr:uid="{00000000-0005-0000-0000-00000B040000}"/>
    <cellStyle name="kWh 3" xfId="1392" xr:uid="{00000000-0005-0000-0000-00000C040000}"/>
    <cellStyle name="kWh 4" xfId="1419" xr:uid="{00000000-0005-0000-0000-00000D040000}"/>
    <cellStyle name="kWh 5" xfId="1446" xr:uid="{00000000-0005-0000-0000-00000E040000}"/>
    <cellStyle name="kWh 6" xfId="1662" xr:uid="{00000000-0005-0000-0000-00000F040000}"/>
    <cellStyle name="kWh 6 2" xfId="1695" xr:uid="{00000000-0005-0000-0000-000010040000}"/>
    <cellStyle name="L" xfId="1332" xr:uid="{00000000-0005-0000-0000-000011040000}"/>
    <cellStyle name="L 2" xfId="1364" xr:uid="{00000000-0005-0000-0000-000012040000}"/>
    <cellStyle name="L 3" xfId="1393" xr:uid="{00000000-0005-0000-0000-000013040000}"/>
    <cellStyle name="L 4" xfId="1420" xr:uid="{00000000-0005-0000-0000-000014040000}"/>
    <cellStyle name="L 5" xfId="1447" xr:uid="{00000000-0005-0000-0000-000015040000}"/>
    <cellStyle name="L 6" xfId="1663" xr:uid="{00000000-0005-0000-0000-000016040000}"/>
    <cellStyle name="L 6 2" xfId="1696" xr:uid="{00000000-0005-0000-0000-000017040000}"/>
    <cellStyle name="L/min" xfId="1333" xr:uid="{00000000-0005-0000-0000-000018040000}"/>
    <cellStyle name="L/min 2" xfId="1365" xr:uid="{00000000-0005-0000-0000-000019040000}"/>
    <cellStyle name="L/s" xfId="1334" xr:uid="{00000000-0005-0000-0000-00001A040000}"/>
    <cellStyle name="L/s 2" xfId="1366" xr:uid="{00000000-0005-0000-0000-00001B040000}"/>
    <cellStyle name="L/s 3" xfId="1394" xr:uid="{00000000-0005-0000-0000-00001C040000}"/>
    <cellStyle name="L/s 4" xfId="1421" xr:uid="{00000000-0005-0000-0000-00001D040000}"/>
    <cellStyle name="L/s 5" xfId="1448" xr:uid="{00000000-0005-0000-0000-00001E040000}"/>
    <cellStyle name="L/s 6" xfId="1664" xr:uid="{00000000-0005-0000-0000-00001F040000}"/>
    <cellStyle name="L/s 6 2" xfId="1697" xr:uid="{00000000-0005-0000-0000-000020040000}"/>
    <cellStyle name="Linked Cell" xfId="12" builtinId="24" customBuiltin="1"/>
    <cellStyle name="Linked Cell 2" xfId="391" xr:uid="{00000000-0005-0000-0000-000022040000}"/>
    <cellStyle name="Linked Cell 2 2" xfId="392" xr:uid="{00000000-0005-0000-0000-000023040000}"/>
    <cellStyle name="Linked Cell 2 3" xfId="1236" xr:uid="{00000000-0005-0000-0000-000024040000}"/>
    <cellStyle name="Linked Cell 2 3 2" xfId="1790" xr:uid="{00000000-0005-0000-0000-000025040000}"/>
    <cellStyle name="Linked Cell 2 3 3" xfId="1611" xr:uid="{00000000-0005-0000-0000-000026040000}"/>
    <cellStyle name="Linked Cell 3" xfId="393" xr:uid="{00000000-0005-0000-0000-000027040000}"/>
    <cellStyle name="Linked Cell 4" xfId="2120" xr:uid="{00000000-0005-0000-0000-000028040000}"/>
    <cellStyle name="m" xfId="1335" xr:uid="{00000000-0005-0000-0000-000029040000}"/>
    <cellStyle name="m 2" xfId="1367" xr:uid="{00000000-0005-0000-0000-00002A040000}"/>
    <cellStyle name="m 3" xfId="1395" xr:uid="{00000000-0005-0000-0000-00002B040000}"/>
    <cellStyle name="m 4" xfId="1422" xr:uid="{00000000-0005-0000-0000-00002C040000}"/>
    <cellStyle name="m 5" xfId="1449" xr:uid="{00000000-0005-0000-0000-00002D040000}"/>
    <cellStyle name="m 6" xfId="1665" xr:uid="{00000000-0005-0000-0000-00002E040000}"/>
    <cellStyle name="m 6 2" xfId="1698" xr:uid="{00000000-0005-0000-0000-00002F040000}"/>
    <cellStyle name="m/km" xfId="1336" xr:uid="{00000000-0005-0000-0000-000030040000}"/>
    <cellStyle name="m/km 2" xfId="1368" xr:uid="{00000000-0005-0000-0000-000031040000}"/>
    <cellStyle name="m/km 3" xfId="1396" xr:uid="{00000000-0005-0000-0000-000032040000}"/>
    <cellStyle name="m/km 4" xfId="1423" xr:uid="{00000000-0005-0000-0000-000033040000}"/>
    <cellStyle name="m/km 5" xfId="1450" xr:uid="{00000000-0005-0000-0000-000034040000}"/>
    <cellStyle name="m/km 6" xfId="1666" xr:uid="{00000000-0005-0000-0000-000035040000}"/>
    <cellStyle name="m/km 6 2" xfId="1699" xr:uid="{00000000-0005-0000-0000-000036040000}"/>
    <cellStyle name="m/s" xfId="1337" xr:uid="{00000000-0005-0000-0000-000037040000}"/>
    <cellStyle name="m/s 2" xfId="1369" xr:uid="{00000000-0005-0000-0000-000038040000}"/>
    <cellStyle name="m/s 3" xfId="1397" xr:uid="{00000000-0005-0000-0000-000039040000}"/>
    <cellStyle name="m/s 4" xfId="1424" xr:uid="{00000000-0005-0000-0000-00003A040000}"/>
    <cellStyle name="m/s 5" xfId="1451" xr:uid="{00000000-0005-0000-0000-00003B040000}"/>
    <cellStyle name="m/s 6" xfId="1667" xr:uid="{00000000-0005-0000-0000-00003C040000}"/>
    <cellStyle name="m/s 6 2" xfId="1700" xr:uid="{00000000-0005-0000-0000-00003D040000}"/>
    <cellStyle name="mAHD" xfId="1338" xr:uid="{00000000-0005-0000-0000-00003E040000}"/>
    <cellStyle name="mAHD 2" xfId="1370" xr:uid="{00000000-0005-0000-0000-00003F040000}"/>
    <cellStyle name="mAHD 3" xfId="1398" xr:uid="{00000000-0005-0000-0000-000040040000}"/>
    <cellStyle name="mAHD 4" xfId="1425" xr:uid="{00000000-0005-0000-0000-000041040000}"/>
    <cellStyle name="mAHD 5" xfId="1452" xr:uid="{00000000-0005-0000-0000-000042040000}"/>
    <cellStyle name="mAHD 6" xfId="1668" xr:uid="{00000000-0005-0000-0000-000043040000}"/>
    <cellStyle name="mAHD 6 2" xfId="1701" xr:uid="{00000000-0005-0000-0000-000044040000}"/>
    <cellStyle name="MJ" xfId="1339" xr:uid="{00000000-0005-0000-0000-000045040000}"/>
    <cellStyle name="MJ 2" xfId="1371" xr:uid="{00000000-0005-0000-0000-000046040000}"/>
    <cellStyle name="MJ 3" xfId="1399" xr:uid="{00000000-0005-0000-0000-000047040000}"/>
    <cellStyle name="MJ 4" xfId="1426" xr:uid="{00000000-0005-0000-0000-000048040000}"/>
    <cellStyle name="MJ 5" xfId="1453" xr:uid="{00000000-0005-0000-0000-000049040000}"/>
    <cellStyle name="MJ 6" xfId="1669" xr:uid="{00000000-0005-0000-0000-00004A040000}"/>
    <cellStyle name="MJ 6 2" xfId="1702" xr:uid="{00000000-0005-0000-0000-00004B040000}"/>
    <cellStyle name="ML" xfId="1340" xr:uid="{00000000-0005-0000-0000-00004C040000}"/>
    <cellStyle name="ML 2" xfId="1372" xr:uid="{00000000-0005-0000-0000-00004D040000}"/>
    <cellStyle name="ML 3" xfId="1400" xr:uid="{00000000-0005-0000-0000-00004E040000}"/>
    <cellStyle name="ML 4" xfId="1427" xr:uid="{00000000-0005-0000-0000-00004F040000}"/>
    <cellStyle name="ML 5" xfId="1454" xr:uid="{00000000-0005-0000-0000-000050040000}"/>
    <cellStyle name="ML 6" xfId="1670" xr:uid="{00000000-0005-0000-0000-000051040000}"/>
    <cellStyle name="ML 6 2" xfId="1703" xr:uid="{00000000-0005-0000-0000-000052040000}"/>
    <cellStyle name="ML/d" xfId="1341" xr:uid="{00000000-0005-0000-0000-000053040000}"/>
    <cellStyle name="ML/d 2" xfId="1373" xr:uid="{00000000-0005-0000-0000-000054040000}"/>
    <cellStyle name="ML/d 3" xfId="1401" xr:uid="{00000000-0005-0000-0000-000055040000}"/>
    <cellStyle name="ML/d 4" xfId="1428" xr:uid="{00000000-0005-0000-0000-000056040000}"/>
    <cellStyle name="ML/d 5" xfId="1455" xr:uid="{00000000-0005-0000-0000-000057040000}"/>
    <cellStyle name="ML/d 6" xfId="1671" xr:uid="{00000000-0005-0000-0000-000058040000}"/>
    <cellStyle name="ML/d 6 2" xfId="1704" xr:uid="{00000000-0005-0000-0000-000059040000}"/>
    <cellStyle name="mm" xfId="1342" xr:uid="{00000000-0005-0000-0000-00005A040000}"/>
    <cellStyle name="mm 2" xfId="1374" xr:uid="{00000000-0005-0000-0000-00005B040000}"/>
    <cellStyle name="mm 3" xfId="1402" xr:uid="{00000000-0005-0000-0000-00005C040000}"/>
    <cellStyle name="mm 4" xfId="1429" xr:uid="{00000000-0005-0000-0000-00005D040000}"/>
    <cellStyle name="mm 5" xfId="1456" xr:uid="{00000000-0005-0000-0000-00005E040000}"/>
    <cellStyle name="mm 6" xfId="1672" xr:uid="{00000000-0005-0000-0000-00005F040000}"/>
    <cellStyle name="mm 6 2" xfId="1705" xr:uid="{00000000-0005-0000-0000-000060040000}"/>
    <cellStyle name="mNCD" xfId="1343" xr:uid="{00000000-0005-0000-0000-000061040000}"/>
    <cellStyle name="mNCD 2" xfId="1375" xr:uid="{00000000-0005-0000-0000-000062040000}"/>
    <cellStyle name="Neutral" xfId="8" builtinId="28" customBuiltin="1"/>
    <cellStyle name="Neutral 2" xfId="394" xr:uid="{00000000-0005-0000-0000-000064040000}"/>
    <cellStyle name="Neutral 2 2" xfId="395" xr:uid="{00000000-0005-0000-0000-000065040000}"/>
    <cellStyle name="Neutral 2 3" xfId="1237" xr:uid="{00000000-0005-0000-0000-000066040000}"/>
    <cellStyle name="Neutral 2 3 2" xfId="1791" xr:uid="{00000000-0005-0000-0000-000067040000}"/>
    <cellStyle name="Neutral 2 3 3" xfId="1746" xr:uid="{00000000-0005-0000-0000-000068040000}"/>
    <cellStyle name="Neutral 3" xfId="396" xr:uid="{00000000-0005-0000-0000-000069040000}"/>
    <cellStyle name="Neutral 4" xfId="2116" xr:uid="{00000000-0005-0000-0000-00006A040000}"/>
    <cellStyle name="Normal" xfId="0" builtinId="0"/>
    <cellStyle name="Normal 10" xfId="397" xr:uid="{00000000-0005-0000-0000-00006C040000}"/>
    <cellStyle name="Normal 10 10" xfId="1637" xr:uid="{00000000-0005-0000-0000-00006D040000}"/>
    <cellStyle name="Normal 10 2" xfId="52" xr:uid="{00000000-0005-0000-0000-00006E040000}"/>
    <cellStyle name="Normal 10 2 2" xfId="399" xr:uid="{00000000-0005-0000-0000-00006F040000}"/>
    <cellStyle name="Normal 10 2 2 2" xfId="400" xr:uid="{00000000-0005-0000-0000-000070040000}"/>
    <cellStyle name="Normal 10 2 3" xfId="401" xr:uid="{00000000-0005-0000-0000-000071040000}"/>
    <cellStyle name="Normal 10 2 4" xfId="398" xr:uid="{00000000-0005-0000-0000-000072040000}"/>
    <cellStyle name="Normal 10 2 5" xfId="1477" xr:uid="{00000000-0005-0000-0000-000073040000}"/>
    <cellStyle name="Normal 10 2 5 2" xfId="2085" xr:uid="{00000000-0005-0000-0000-000074040000}"/>
    <cellStyle name="Normal 10 3" xfId="53" xr:uid="{00000000-0005-0000-0000-000075040000}"/>
    <cellStyle name="Normal 10 3 2" xfId="403" xr:uid="{00000000-0005-0000-0000-000076040000}"/>
    <cellStyle name="Normal 10 3 3" xfId="402" xr:uid="{00000000-0005-0000-0000-000077040000}"/>
    <cellStyle name="Normal 10 4" xfId="54" xr:uid="{00000000-0005-0000-0000-000078040000}"/>
    <cellStyle name="Normal 10 4 2" xfId="404" xr:uid="{00000000-0005-0000-0000-000079040000}"/>
    <cellStyle name="Normal 10 5" xfId="55" xr:uid="{00000000-0005-0000-0000-00007A040000}"/>
    <cellStyle name="Normal 10 5 2" xfId="544" xr:uid="{00000000-0005-0000-0000-00007B040000}"/>
    <cellStyle name="Normal 10 6" xfId="56" xr:uid="{00000000-0005-0000-0000-00007C040000}"/>
    <cellStyle name="Normal 10 6 2" xfId="545" xr:uid="{00000000-0005-0000-0000-00007D040000}"/>
    <cellStyle name="Normal 10 7" xfId="57" xr:uid="{00000000-0005-0000-0000-00007E040000}"/>
    <cellStyle name="Normal 10 8" xfId="1238" xr:uid="{00000000-0005-0000-0000-00007F040000}"/>
    <cellStyle name="Normal 10 8 2" xfId="1295" xr:uid="{00000000-0005-0000-0000-000080040000}"/>
    <cellStyle name="Normal 10 8 2 2" xfId="1734" xr:uid="{00000000-0005-0000-0000-000081040000}"/>
    <cellStyle name="Normal 10 8 2 3" xfId="1792" xr:uid="{00000000-0005-0000-0000-000082040000}"/>
    <cellStyle name="Normal 10 8 2 3 2" xfId="2151" xr:uid="{00000000-0005-0000-0000-000083040000}"/>
    <cellStyle name="Normal 10 8 3" xfId="1676" xr:uid="{00000000-0005-0000-0000-000084040000}"/>
    <cellStyle name="Normal 10 8 3 2" xfId="2067" xr:uid="{00000000-0005-0000-0000-000085040000}"/>
    <cellStyle name="Normal 10 9" xfId="1714" xr:uid="{00000000-0005-0000-0000-000086040000}"/>
    <cellStyle name="Normal 10 9 2" xfId="2048" xr:uid="{00000000-0005-0000-0000-000087040000}"/>
    <cellStyle name="Normal 10 9 3" xfId="1571" xr:uid="{00000000-0005-0000-0000-000088040000}"/>
    <cellStyle name="Normal 11" xfId="405" xr:uid="{00000000-0005-0000-0000-000089040000}"/>
    <cellStyle name="Normal 11 2" xfId="58" xr:uid="{00000000-0005-0000-0000-00008A040000}"/>
    <cellStyle name="Normal 11 2 2" xfId="407" xr:uid="{00000000-0005-0000-0000-00008B040000}"/>
    <cellStyle name="Normal 11 2 2 2" xfId="408" xr:uid="{00000000-0005-0000-0000-00008C040000}"/>
    <cellStyle name="Normal 11 2 3" xfId="409" xr:uid="{00000000-0005-0000-0000-00008D040000}"/>
    <cellStyle name="Normal 11 2 4" xfId="406" xr:uid="{00000000-0005-0000-0000-00008E040000}"/>
    <cellStyle name="Normal 11 2 5" xfId="1499" xr:uid="{00000000-0005-0000-0000-00008F040000}"/>
    <cellStyle name="Normal 11 2 5 2" xfId="2105" xr:uid="{00000000-0005-0000-0000-000090040000}"/>
    <cellStyle name="Normal 11 3" xfId="59" xr:uid="{00000000-0005-0000-0000-000091040000}"/>
    <cellStyle name="Normal 11 3 2" xfId="411" xr:uid="{00000000-0005-0000-0000-000092040000}"/>
    <cellStyle name="Normal 11 3 3" xfId="410" xr:uid="{00000000-0005-0000-0000-000093040000}"/>
    <cellStyle name="Normal 11 4" xfId="60" xr:uid="{00000000-0005-0000-0000-000094040000}"/>
    <cellStyle name="Normal 11 4 2" xfId="412" xr:uid="{00000000-0005-0000-0000-000095040000}"/>
    <cellStyle name="Normal 11 5" xfId="1239" xr:uid="{00000000-0005-0000-0000-000096040000}"/>
    <cellStyle name="Normal 11 5 2" xfId="1460" xr:uid="{00000000-0005-0000-0000-000097040000}"/>
    <cellStyle name="Normal 11 5 2 2" xfId="1735" xr:uid="{00000000-0005-0000-0000-000098040000}"/>
    <cellStyle name="Normal 11 5 2 3" xfId="1793" xr:uid="{00000000-0005-0000-0000-000099040000}"/>
    <cellStyle name="Normal 11 5 2 3 2" xfId="2152" xr:uid="{00000000-0005-0000-0000-00009A040000}"/>
    <cellStyle name="Normal 11 5 3" xfId="1677" xr:uid="{00000000-0005-0000-0000-00009B040000}"/>
    <cellStyle name="Normal 11 5 3 2" xfId="2068" xr:uid="{00000000-0005-0000-0000-00009C040000}"/>
    <cellStyle name="Normal 11 6" xfId="1715" xr:uid="{00000000-0005-0000-0000-00009D040000}"/>
    <cellStyle name="Normal 11 6 2" xfId="2049" xr:uid="{00000000-0005-0000-0000-00009E040000}"/>
    <cellStyle name="Normal 11 6 3" xfId="1545" xr:uid="{00000000-0005-0000-0000-00009F040000}"/>
    <cellStyle name="Normal 11 7" xfId="1638" xr:uid="{00000000-0005-0000-0000-0000A0040000}"/>
    <cellStyle name="Normal 12" xfId="413" xr:uid="{00000000-0005-0000-0000-0000A1040000}"/>
    <cellStyle name="Normal 12 2" xfId="414" xr:uid="{00000000-0005-0000-0000-0000A2040000}"/>
    <cellStyle name="Normal 12 2 2" xfId="415" xr:uid="{00000000-0005-0000-0000-0000A3040000}"/>
    <cellStyle name="Normal 12 2 2 2" xfId="416" xr:uid="{00000000-0005-0000-0000-0000A4040000}"/>
    <cellStyle name="Normal 12 2 3" xfId="417" xr:uid="{00000000-0005-0000-0000-0000A5040000}"/>
    <cellStyle name="Normal 12 2 4" xfId="1679" xr:uid="{00000000-0005-0000-0000-0000A6040000}"/>
    <cellStyle name="Normal 12 3" xfId="418" xr:uid="{00000000-0005-0000-0000-0000A7040000}"/>
    <cellStyle name="Normal 12 3 2" xfId="419" xr:uid="{00000000-0005-0000-0000-0000A8040000}"/>
    <cellStyle name="Normal 12 4" xfId="420" xr:uid="{00000000-0005-0000-0000-0000A9040000}"/>
    <cellStyle name="Normal 12 5" xfId="1467" xr:uid="{00000000-0005-0000-0000-0000AA040000}"/>
    <cellStyle name="Normal 12 5 2" xfId="2020" xr:uid="{00000000-0005-0000-0000-0000AB040000}"/>
    <cellStyle name="Normal 12 5 3" xfId="1579" xr:uid="{00000000-0005-0000-0000-0000AC040000}"/>
    <cellStyle name="Normal 12 6" xfId="1806" xr:uid="{00000000-0005-0000-0000-0000AD040000}"/>
    <cellStyle name="Normal 13" xfId="421" xr:uid="{00000000-0005-0000-0000-0000AE040000}"/>
    <cellStyle name="Normal 13 2" xfId="422" xr:uid="{00000000-0005-0000-0000-0000AF040000}"/>
    <cellStyle name="Normal 13 2 2" xfId="423" xr:uid="{00000000-0005-0000-0000-0000B0040000}"/>
    <cellStyle name="Normal 13 2 2 2" xfId="424" xr:uid="{00000000-0005-0000-0000-0000B1040000}"/>
    <cellStyle name="Normal 13 2 3" xfId="425" xr:uid="{00000000-0005-0000-0000-0000B2040000}"/>
    <cellStyle name="Normal 13 2 4" xfId="1680" xr:uid="{00000000-0005-0000-0000-0000B3040000}"/>
    <cellStyle name="Normal 13 3" xfId="426" xr:uid="{00000000-0005-0000-0000-0000B4040000}"/>
    <cellStyle name="Normal 13 3 2" xfId="427" xr:uid="{00000000-0005-0000-0000-0000B5040000}"/>
    <cellStyle name="Normal 13 3 3" xfId="1737" xr:uid="{00000000-0005-0000-0000-0000B6040000}"/>
    <cellStyle name="Normal 13 4" xfId="428" xr:uid="{00000000-0005-0000-0000-0000B7040000}"/>
    <cellStyle name="Normal 13 5" xfId="1469" xr:uid="{00000000-0005-0000-0000-0000B8040000}"/>
    <cellStyle name="Normal 13 5 2" xfId="2022" xr:uid="{00000000-0005-0000-0000-0000B9040000}"/>
    <cellStyle name="Normal 13 5 3" xfId="1507" xr:uid="{00000000-0005-0000-0000-0000BA040000}"/>
    <cellStyle name="Normal 13 5 3 2" xfId="2154" xr:uid="{00000000-0005-0000-0000-0000BB040000}"/>
    <cellStyle name="Normal 13 6" xfId="1640" xr:uid="{00000000-0005-0000-0000-0000BC040000}"/>
    <cellStyle name="Normal 14" xfId="429" xr:uid="{00000000-0005-0000-0000-0000BD040000}"/>
    <cellStyle name="Normal 14 2" xfId="430" xr:uid="{00000000-0005-0000-0000-0000BE040000}"/>
    <cellStyle name="Normal 14 2 2" xfId="431" xr:uid="{00000000-0005-0000-0000-0000BF040000}"/>
    <cellStyle name="Normal 14 2 2 2" xfId="432" xr:uid="{00000000-0005-0000-0000-0000C0040000}"/>
    <cellStyle name="Normal 14 2 3" xfId="433" xr:uid="{00000000-0005-0000-0000-0000C1040000}"/>
    <cellStyle name="Normal 14 2 4" xfId="1681" xr:uid="{00000000-0005-0000-0000-0000C2040000}"/>
    <cellStyle name="Normal 14 3" xfId="434" xr:uid="{00000000-0005-0000-0000-0000C3040000}"/>
    <cellStyle name="Normal 14 3 2" xfId="435" xr:uid="{00000000-0005-0000-0000-0000C4040000}"/>
    <cellStyle name="Normal 14 4" xfId="436" xr:uid="{00000000-0005-0000-0000-0000C5040000}"/>
    <cellStyle name="Normal 14 5" xfId="1641" xr:uid="{00000000-0005-0000-0000-0000C6040000}"/>
    <cellStyle name="Normal 15" xfId="437" xr:uid="{00000000-0005-0000-0000-0000C7040000}"/>
    <cellStyle name="Normal 15 2" xfId="438" xr:uid="{00000000-0005-0000-0000-0000C8040000}"/>
    <cellStyle name="Normal 15 2 2" xfId="439" xr:uid="{00000000-0005-0000-0000-0000C9040000}"/>
    <cellStyle name="Normal 15 2 2 2" xfId="440" xr:uid="{00000000-0005-0000-0000-0000CA040000}"/>
    <cellStyle name="Normal 15 2 3" xfId="441" xr:uid="{00000000-0005-0000-0000-0000CB040000}"/>
    <cellStyle name="Normal 15 3" xfId="442" xr:uid="{00000000-0005-0000-0000-0000CC040000}"/>
    <cellStyle name="Normal 15 3 2" xfId="443" xr:uid="{00000000-0005-0000-0000-0000CD040000}"/>
    <cellStyle name="Normal 15 4" xfId="444" xr:uid="{00000000-0005-0000-0000-0000CE040000}"/>
    <cellStyle name="Normal 15 5" xfId="1643" xr:uid="{00000000-0005-0000-0000-0000CF040000}"/>
    <cellStyle name="Normal 16" xfId="445" xr:uid="{00000000-0005-0000-0000-0000D0040000}"/>
    <cellStyle name="Normal 16 2" xfId="446" xr:uid="{00000000-0005-0000-0000-0000D1040000}"/>
    <cellStyle name="Normal 16 2 2" xfId="447" xr:uid="{00000000-0005-0000-0000-0000D2040000}"/>
    <cellStyle name="Normal 16 2 2 2" xfId="448" xr:uid="{00000000-0005-0000-0000-0000D3040000}"/>
    <cellStyle name="Normal 16 2 3" xfId="449" xr:uid="{00000000-0005-0000-0000-0000D4040000}"/>
    <cellStyle name="Normal 16 3" xfId="450" xr:uid="{00000000-0005-0000-0000-0000D5040000}"/>
    <cellStyle name="Normal 16 3 2" xfId="451" xr:uid="{00000000-0005-0000-0000-0000D6040000}"/>
    <cellStyle name="Normal 16 4" xfId="452" xr:uid="{00000000-0005-0000-0000-0000D7040000}"/>
    <cellStyle name="Normal 16 5" xfId="1675" xr:uid="{00000000-0005-0000-0000-0000D8040000}"/>
    <cellStyle name="Normal 17" xfId="453" xr:uid="{00000000-0005-0000-0000-0000D9040000}"/>
    <cellStyle name="Normal 17 2" xfId="454" xr:uid="{00000000-0005-0000-0000-0000DA040000}"/>
    <cellStyle name="Normal 17 2 2" xfId="455" xr:uid="{00000000-0005-0000-0000-0000DB040000}"/>
    <cellStyle name="Normal 17 2 2 2" xfId="456" xr:uid="{00000000-0005-0000-0000-0000DC040000}"/>
    <cellStyle name="Normal 17 2 3" xfId="457" xr:uid="{00000000-0005-0000-0000-0000DD040000}"/>
    <cellStyle name="Normal 17 3" xfId="458" xr:uid="{00000000-0005-0000-0000-0000DE040000}"/>
    <cellStyle name="Normal 17 3 2" xfId="459" xr:uid="{00000000-0005-0000-0000-0000DF040000}"/>
    <cellStyle name="Normal 17 4" xfId="460" xr:uid="{00000000-0005-0000-0000-0000E0040000}"/>
    <cellStyle name="Normal 18" xfId="461" xr:uid="{00000000-0005-0000-0000-0000E1040000}"/>
    <cellStyle name="Normal 18 2" xfId="462" xr:uid="{00000000-0005-0000-0000-0000E2040000}"/>
    <cellStyle name="Normal 19" xfId="463" xr:uid="{00000000-0005-0000-0000-0000E3040000}"/>
    <cellStyle name="Normal 2" xfId="42" xr:uid="{00000000-0005-0000-0000-0000E4040000}"/>
    <cellStyle name="Normal 2 10" xfId="62" xr:uid="{00000000-0005-0000-0000-0000E5040000}"/>
    <cellStyle name="Normal 2 11" xfId="63" xr:uid="{00000000-0005-0000-0000-0000E6040000}"/>
    <cellStyle name="Normal 2 12" xfId="207" xr:uid="{00000000-0005-0000-0000-0000E7040000}"/>
    <cellStyle name="Normal 2 12 2" xfId="1463" xr:uid="{00000000-0005-0000-0000-0000E8040000}"/>
    <cellStyle name="Normal 2 12 2 2" xfId="2017" xr:uid="{00000000-0005-0000-0000-0000E9040000}"/>
    <cellStyle name="Normal 2 12 2 3" xfId="1620" xr:uid="{00000000-0005-0000-0000-0000EA040000}"/>
    <cellStyle name="Normal 2 13" xfId="165" xr:uid="{00000000-0005-0000-0000-0000EB040000}"/>
    <cellStyle name="Normal 2 13 2" xfId="1299" xr:uid="{00000000-0005-0000-0000-0000EC040000}"/>
    <cellStyle name="Normal 2 13 2 2" xfId="1999" xr:uid="{00000000-0005-0000-0000-0000ED040000}"/>
    <cellStyle name="Normal 2 13 2 3" xfId="1633" xr:uid="{00000000-0005-0000-0000-0000EE040000}"/>
    <cellStyle name="Normal 2 14" xfId="61" xr:uid="{00000000-0005-0000-0000-0000EF040000}"/>
    <cellStyle name="Normal 2 2" xfId="64" xr:uid="{00000000-0005-0000-0000-0000F0040000}"/>
    <cellStyle name="Normal 2 2 10" xfId="1812" xr:uid="{00000000-0005-0000-0000-0000F1040000}"/>
    <cellStyle name="Normal 2 2 2" xfId="65" xr:uid="{00000000-0005-0000-0000-0000F2040000}"/>
    <cellStyle name="Normal 2 2 2 2" xfId="66" xr:uid="{00000000-0005-0000-0000-0000F3040000}"/>
    <cellStyle name="Normal 2 2 2 2 2" xfId="67" xr:uid="{00000000-0005-0000-0000-0000F4040000}"/>
    <cellStyle name="Normal 2 2 2 2 3" xfId="68" xr:uid="{00000000-0005-0000-0000-0000F5040000}"/>
    <cellStyle name="Normal 2 2 2 2 4" xfId="69" xr:uid="{00000000-0005-0000-0000-0000F6040000}"/>
    <cellStyle name="Normal 2 2 2 3" xfId="70" xr:uid="{00000000-0005-0000-0000-0000F7040000}"/>
    <cellStyle name="Normal 2 2 2 4" xfId="71" xr:uid="{00000000-0005-0000-0000-0000F8040000}"/>
    <cellStyle name="Normal 2 2 2 5" xfId="1240" xr:uid="{00000000-0005-0000-0000-0000F9040000}"/>
    <cellStyle name="Normal 2 2 2 5 2" xfId="1301" xr:uid="{00000000-0005-0000-0000-0000FA040000}"/>
    <cellStyle name="Normal 2 2 2 5 2 2" xfId="2001" xr:uid="{00000000-0005-0000-0000-0000FB040000}"/>
    <cellStyle name="Normal 2 2 2 5 2 3" xfId="1794" xr:uid="{00000000-0005-0000-0000-0000FC040000}"/>
    <cellStyle name="Normal 2 2 2 6" xfId="1717" xr:uid="{00000000-0005-0000-0000-0000FD040000}"/>
    <cellStyle name="Normal 2 2 3" xfId="72" xr:uid="{00000000-0005-0000-0000-0000FE040000}"/>
    <cellStyle name="Normal 2 2 3 2" xfId="208" xr:uid="{00000000-0005-0000-0000-0000FF040000}"/>
    <cellStyle name="Normal 2 2 3 3" xfId="200" xr:uid="{00000000-0005-0000-0000-000000050000}"/>
    <cellStyle name="Normal 2 2 3 4" xfId="1258" xr:uid="{00000000-0005-0000-0000-000001050000}"/>
    <cellStyle name="Normal 2 2 4" xfId="73" xr:uid="{00000000-0005-0000-0000-000002050000}"/>
    <cellStyle name="Normal 2 2 4 2" xfId="209" xr:uid="{00000000-0005-0000-0000-000003050000}"/>
    <cellStyle name="Normal 2 2 4 2 2" xfId="230" xr:uid="{00000000-0005-0000-0000-000004050000}"/>
    <cellStyle name="Normal 2 2 4 2 3" xfId="1275" xr:uid="{00000000-0005-0000-0000-000005050000}"/>
    <cellStyle name="Normal 2 2 4 3" xfId="171" xr:uid="{00000000-0005-0000-0000-000006050000}"/>
    <cellStyle name="Normal 2 2 4 4" xfId="1259" xr:uid="{00000000-0005-0000-0000-000007050000}"/>
    <cellStyle name="Normal 2 2 4 5" xfId="1279" xr:uid="{00000000-0005-0000-0000-000008050000}"/>
    <cellStyle name="Normal 2 2 5" xfId="74" xr:uid="{00000000-0005-0000-0000-000009050000}"/>
    <cellStyle name="Normal 2 2 6" xfId="75" xr:uid="{00000000-0005-0000-0000-00000A050000}"/>
    <cellStyle name="Normal 2 2 7" xfId="76" xr:uid="{00000000-0005-0000-0000-00000B050000}"/>
    <cellStyle name="Normal 2 2 8" xfId="259" xr:uid="{00000000-0005-0000-0000-00000C050000}"/>
    <cellStyle name="Normal 2 2 8 2" xfId="1300" xr:uid="{00000000-0005-0000-0000-00000D050000}"/>
    <cellStyle name="Normal 2 2 8 2 2" xfId="2000" xr:uid="{00000000-0005-0000-0000-00000E050000}"/>
    <cellStyle name="Normal 2 2 8 2 3" xfId="1526" xr:uid="{00000000-0005-0000-0000-00000F050000}"/>
    <cellStyle name="Normal 2 2 9" xfId="1716" xr:uid="{00000000-0005-0000-0000-000010050000}"/>
    <cellStyle name="Normal 2 2 9 2" xfId="2050" xr:uid="{00000000-0005-0000-0000-000011050000}"/>
    <cellStyle name="Normal 2 2 9 3" xfId="1546" xr:uid="{00000000-0005-0000-0000-000012050000}"/>
    <cellStyle name="Normal 2 3" xfId="77" xr:uid="{00000000-0005-0000-0000-000013050000}"/>
    <cellStyle name="Normal 2 3 2" xfId="210" xr:uid="{00000000-0005-0000-0000-000014050000}"/>
    <cellStyle name="Normal 2 3 2 2" xfId="231" xr:uid="{00000000-0005-0000-0000-000015050000}"/>
    <cellStyle name="Normal 2 3 2 2 2" xfId="1634" xr:uid="{00000000-0005-0000-0000-000016050000}"/>
    <cellStyle name="Normal 2 3 2 2 3" xfId="1566" xr:uid="{00000000-0005-0000-0000-000017050000}"/>
    <cellStyle name="Normal 2 3 2 3" xfId="546" xr:uid="{00000000-0005-0000-0000-000018050000}"/>
    <cellStyle name="Normal 2 3 2 3 2" xfId="1276" xr:uid="{00000000-0005-0000-0000-000019050000}"/>
    <cellStyle name="Normal 2 3 2 3 3" xfId="1284" xr:uid="{00000000-0005-0000-0000-00001A050000}"/>
    <cellStyle name="Normal 2 3 3" xfId="202" xr:uid="{00000000-0005-0000-0000-00001B050000}"/>
    <cellStyle name="Normal 2 3 3 2" xfId="1718" xr:uid="{00000000-0005-0000-0000-00001C050000}"/>
    <cellStyle name="Normal 2 3 3 2 2" xfId="2057" xr:uid="{00000000-0005-0000-0000-00001D050000}"/>
    <cellStyle name="Normal 2 3 4" xfId="1260" xr:uid="{00000000-0005-0000-0000-00001E050000}"/>
    <cellStyle name="Normal 2 4" xfId="78" xr:uid="{00000000-0005-0000-0000-00001F050000}"/>
    <cellStyle name="Normal 2 4 2" xfId="233" xr:uid="{00000000-0005-0000-0000-000020050000}"/>
    <cellStyle name="Normal 2 4 2 2" xfId="465" xr:uid="{00000000-0005-0000-0000-000021050000}"/>
    <cellStyle name="Normal 2 4 2 3" xfId="1302" xr:uid="{00000000-0005-0000-0000-000022050000}"/>
    <cellStyle name="Normal 2 4 2 3 2" xfId="2002" xr:uid="{00000000-0005-0000-0000-000023050000}"/>
    <cellStyle name="Normal 2 4 2 3 3" xfId="1573" xr:uid="{00000000-0005-0000-0000-000024050000}"/>
    <cellStyle name="Normal 2 4 2 4" xfId="1473" xr:uid="{00000000-0005-0000-0000-000025050000}"/>
    <cellStyle name="Normal 2 4 2 4 2" xfId="2081" xr:uid="{00000000-0005-0000-0000-000026050000}"/>
    <cellStyle name="Normal 2 4 3" xfId="232" xr:uid="{00000000-0005-0000-0000-000027050000}"/>
    <cellStyle name="Normal 2 4 3 2" xfId="1719" xr:uid="{00000000-0005-0000-0000-000028050000}"/>
    <cellStyle name="Normal 2 4 3 2 2" xfId="2051" xr:uid="{00000000-0005-0000-0000-000029050000}"/>
    <cellStyle name="Normal 2 4 3 2 3" xfId="1625" xr:uid="{00000000-0005-0000-0000-00002A050000}"/>
    <cellStyle name="Normal 2 4 3 3" xfId="1558" xr:uid="{00000000-0005-0000-0000-00002B050000}"/>
    <cellStyle name="Normal 2 4 4" xfId="464" xr:uid="{00000000-0005-0000-0000-00002C050000}"/>
    <cellStyle name="Normal 2 4 4 2" xfId="1261" xr:uid="{00000000-0005-0000-0000-00002D050000}"/>
    <cellStyle name="Normal 2 4 4 3" xfId="1282" xr:uid="{00000000-0005-0000-0000-00002E050000}"/>
    <cellStyle name="Normal 2 4 5" xfId="1169" xr:uid="{00000000-0005-0000-0000-00002F050000}"/>
    <cellStyle name="Normal 2 4 5 2" xfId="2059" xr:uid="{00000000-0005-0000-0000-000030050000}"/>
    <cellStyle name="Normal 2 5" xfId="79" xr:uid="{00000000-0005-0000-0000-000031050000}"/>
    <cellStyle name="Normal 2 5 2" xfId="235" xr:uid="{00000000-0005-0000-0000-000032050000}"/>
    <cellStyle name="Normal 2 5 2 2" xfId="1065" xr:uid="{00000000-0005-0000-0000-000033050000}"/>
    <cellStyle name="Normal 2 5 2 3" xfId="1495" xr:uid="{00000000-0005-0000-0000-000034050000}"/>
    <cellStyle name="Normal 2 5 2 3 2" xfId="2026" xr:uid="{00000000-0005-0000-0000-000035050000}"/>
    <cellStyle name="Normal 2 5 2 3 3" xfId="1519" xr:uid="{00000000-0005-0000-0000-000036050000}"/>
    <cellStyle name="Normal 2 5 2 4" xfId="1802" xr:uid="{00000000-0005-0000-0000-000037050000}"/>
    <cellStyle name="Normal 2 5 3" xfId="234" xr:uid="{00000000-0005-0000-0000-000038050000}"/>
    <cellStyle name="Normal 2 5 3 2" xfId="1066" xr:uid="{00000000-0005-0000-0000-000039050000}"/>
    <cellStyle name="Normal 2 5 3 3" xfId="1720" xr:uid="{00000000-0005-0000-0000-00003A050000}"/>
    <cellStyle name="Normal 2 5 3 3 2" xfId="2052" xr:uid="{00000000-0005-0000-0000-00003B050000}"/>
    <cellStyle name="Normal 2 5 3 3 3" xfId="1604" xr:uid="{00000000-0005-0000-0000-00003C050000}"/>
    <cellStyle name="Normal 2 5 4" xfId="1241" xr:uid="{00000000-0005-0000-0000-00003D050000}"/>
    <cellStyle name="Normal 2 5 4 2" xfId="1262" xr:uid="{00000000-0005-0000-0000-00003E050000}"/>
    <cellStyle name="Normal 2 5 4 3" xfId="1290" xr:uid="{00000000-0005-0000-0000-00003F050000}"/>
    <cellStyle name="Normal 2 5 4 3 2" xfId="2077" xr:uid="{00000000-0005-0000-0000-000040050000}"/>
    <cellStyle name="Normal 2 5 4 4" xfId="2069" xr:uid="{00000000-0005-0000-0000-000041050000}"/>
    <cellStyle name="Normal 2 6" xfId="80" xr:uid="{00000000-0005-0000-0000-000042050000}"/>
    <cellStyle name="Normal 2 6 2" xfId="237" xr:uid="{00000000-0005-0000-0000-000043050000}"/>
    <cellStyle name="Normal 2 6 2 2" xfId="1500" xr:uid="{00000000-0005-0000-0000-000044050000}"/>
    <cellStyle name="Normal 2 6 2 2 2" xfId="2106" xr:uid="{00000000-0005-0000-0000-000045050000}"/>
    <cellStyle name="Normal 2 6 3" xfId="236" xr:uid="{00000000-0005-0000-0000-000046050000}"/>
    <cellStyle name="Normal 2 6 3 2" xfId="1721" xr:uid="{00000000-0005-0000-0000-000047050000}"/>
    <cellStyle name="Normal 2 6 4" xfId="1242" xr:uid="{00000000-0005-0000-0000-000048050000}"/>
    <cellStyle name="Normal 2 6 4 2" xfId="2070" xr:uid="{00000000-0005-0000-0000-000049050000}"/>
    <cellStyle name="Normal 2 7" xfId="81" xr:uid="{00000000-0005-0000-0000-00004A050000}"/>
    <cellStyle name="Normal 2 7 2" xfId="82" xr:uid="{00000000-0005-0000-0000-00004B050000}"/>
    <cellStyle name="Normal 2 7 2 2" xfId="83" xr:uid="{00000000-0005-0000-0000-00004C050000}"/>
    <cellStyle name="Normal 2 7 2 3" xfId="84" xr:uid="{00000000-0005-0000-0000-00004D050000}"/>
    <cellStyle name="Normal 2 7 2 4" xfId="85" xr:uid="{00000000-0005-0000-0000-00004E050000}"/>
    <cellStyle name="Normal 2 7 3" xfId="86" xr:uid="{00000000-0005-0000-0000-00004F050000}"/>
    <cellStyle name="Normal 2 7 4" xfId="87" xr:uid="{00000000-0005-0000-0000-000050050000}"/>
    <cellStyle name="Normal 2 8" xfId="88" xr:uid="{00000000-0005-0000-0000-000051050000}"/>
    <cellStyle name="Normal 2 9" xfId="89" xr:uid="{00000000-0005-0000-0000-000052050000}"/>
    <cellStyle name="Normal 2_Capital Exp Received for 2013_2014" xfId="466" xr:uid="{00000000-0005-0000-0000-000053050000}"/>
    <cellStyle name="Normal 20" xfId="532" xr:uid="{00000000-0005-0000-0000-000054050000}"/>
    <cellStyle name="Normal 21" xfId="547" xr:uid="{00000000-0005-0000-0000-000055050000}"/>
    <cellStyle name="Normal 21 2" xfId="592" xr:uid="{00000000-0005-0000-0000-000056050000}"/>
    <cellStyle name="Normal 21 2 2" xfId="704" xr:uid="{00000000-0005-0000-0000-000057050000}"/>
    <cellStyle name="Normal 21 2 2 2" xfId="931" xr:uid="{00000000-0005-0000-0000-000058050000}"/>
    <cellStyle name="Normal 21 2 3" xfId="818" xr:uid="{00000000-0005-0000-0000-000059050000}"/>
    <cellStyle name="Normal 21 3" xfId="629" xr:uid="{00000000-0005-0000-0000-00005A050000}"/>
    <cellStyle name="Normal 21 3 2" xfId="741" xr:uid="{00000000-0005-0000-0000-00005B050000}"/>
    <cellStyle name="Normal 21 3 2 2" xfId="968" xr:uid="{00000000-0005-0000-0000-00005C050000}"/>
    <cellStyle name="Normal 21 3 3" xfId="855" xr:uid="{00000000-0005-0000-0000-00005D050000}"/>
    <cellStyle name="Normal 21 4" xfId="668" xr:uid="{00000000-0005-0000-0000-00005E050000}"/>
    <cellStyle name="Normal 21 4 2" xfId="894" xr:uid="{00000000-0005-0000-0000-00005F050000}"/>
    <cellStyle name="Normal 21 5" xfId="781" xr:uid="{00000000-0005-0000-0000-000060050000}"/>
    <cellStyle name="Normal 22" xfId="548" xr:uid="{00000000-0005-0000-0000-000061050000}"/>
    <cellStyle name="Normal 22 2" xfId="593" xr:uid="{00000000-0005-0000-0000-000062050000}"/>
    <cellStyle name="Normal 22 2 2" xfId="705" xr:uid="{00000000-0005-0000-0000-000063050000}"/>
    <cellStyle name="Normal 22 2 2 2" xfId="932" xr:uid="{00000000-0005-0000-0000-000064050000}"/>
    <cellStyle name="Normal 22 2 3" xfId="819" xr:uid="{00000000-0005-0000-0000-000065050000}"/>
    <cellStyle name="Normal 22 3" xfId="630" xr:uid="{00000000-0005-0000-0000-000066050000}"/>
    <cellStyle name="Normal 22 3 2" xfId="742" xr:uid="{00000000-0005-0000-0000-000067050000}"/>
    <cellStyle name="Normal 22 3 2 2" xfId="969" xr:uid="{00000000-0005-0000-0000-000068050000}"/>
    <cellStyle name="Normal 22 3 3" xfId="856" xr:uid="{00000000-0005-0000-0000-000069050000}"/>
    <cellStyle name="Normal 22 4" xfId="669" xr:uid="{00000000-0005-0000-0000-00006A050000}"/>
    <cellStyle name="Normal 22 4 2" xfId="895" xr:uid="{00000000-0005-0000-0000-00006B050000}"/>
    <cellStyle name="Normal 22 5" xfId="782" xr:uid="{00000000-0005-0000-0000-00006C050000}"/>
    <cellStyle name="Normal 23" xfId="549" xr:uid="{00000000-0005-0000-0000-00006D050000}"/>
    <cellStyle name="Normal 23 2" xfId="594" xr:uid="{00000000-0005-0000-0000-00006E050000}"/>
    <cellStyle name="Normal 23 2 2" xfId="706" xr:uid="{00000000-0005-0000-0000-00006F050000}"/>
    <cellStyle name="Normal 23 2 2 2" xfId="933" xr:uid="{00000000-0005-0000-0000-000070050000}"/>
    <cellStyle name="Normal 23 2 3" xfId="820" xr:uid="{00000000-0005-0000-0000-000071050000}"/>
    <cellStyle name="Normal 23 3" xfId="631" xr:uid="{00000000-0005-0000-0000-000072050000}"/>
    <cellStyle name="Normal 23 3 2" xfId="743" xr:uid="{00000000-0005-0000-0000-000073050000}"/>
    <cellStyle name="Normal 23 3 2 2" xfId="970" xr:uid="{00000000-0005-0000-0000-000074050000}"/>
    <cellStyle name="Normal 23 3 3" xfId="857" xr:uid="{00000000-0005-0000-0000-000075050000}"/>
    <cellStyle name="Normal 23 4" xfId="670" xr:uid="{00000000-0005-0000-0000-000076050000}"/>
    <cellStyle name="Normal 23 4 2" xfId="896" xr:uid="{00000000-0005-0000-0000-000077050000}"/>
    <cellStyle name="Normal 23 5" xfId="783" xr:uid="{00000000-0005-0000-0000-000078050000}"/>
    <cellStyle name="Normal 24" xfId="550" xr:uid="{00000000-0005-0000-0000-000079050000}"/>
    <cellStyle name="Normal 24 2" xfId="595" xr:uid="{00000000-0005-0000-0000-00007A050000}"/>
    <cellStyle name="Normal 24 2 2" xfId="707" xr:uid="{00000000-0005-0000-0000-00007B050000}"/>
    <cellStyle name="Normal 24 2 2 2" xfId="934" xr:uid="{00000000-0005-0000-0000-00007C050000}"/>
    <cellStyle name="Normal 24 2 3" xfId="821" xr:uid="{00000000-0005-0000-0000-00007D050000}"/>
    <cellStyle name="Normal 24 3" xfId="632" xr:uid="{00000000-0005-0000-0000-00007E050000}"/>
    <cellStyle name="Normal 24 3 2" xfId="744" xr:uid="{00000000-0005-0000-0000-00007F050000}"/>
    <cellStyle name="Normal 24 3 2 2" xfId="971" xr:uid="{00000000-0005-0000-0000-000080050000}"/>
    <cellStyle name="Normal 24 3 3" xfId="858" xr:uid="{00000000-0005-0000-0000-000081050000}"/>
    <cellStyle name="Normal 24 4" xfId="671" xr:uid="{00000000-0005-0000-0000-000082050000}"/>
    <cellStyle name="Normal 24 4 2" xfId="897" xr:uid="{00000000-0005-0000-0000-000083050000}"/>
    <cellStyle name="Normal 24 5" xfId="784" xr:uid="{00000000-0005-0000-0000-000084050000}"/>
    <cellStyle name="Normal 25" xfId="551" xr:uid="{00000000-0005-0000-0000-000085050000}"/>
    <cellStyle name="Normal 26" xfId="552" xr:uid="{00000000-0005-0000-0000-000086050000}"/>
    <cellStyle name="Normal 26 2" xfId="596" xr:uid="{00000000-0005-0000-0000-000087050000}"/>
    <cellStyle name="Normal 26 2 2" xfId="708" xr:uid="{00000000-0005-0000-0000-000088050000}"/>
    <cellStyle name="Normal 26 2 2 2" xfId="935" xr:uid="{00000000-0005-0000-0000-000089050000}"/>
    <cellStyle name="Normal 26 2 3" xfId="822" xr:uid="{00000000-0005-0000-0000-00008A050000}"/>
    <cellStyle name="Normal 26 3" xfId="633" xr:uid="{00000000-0005-0000-0000-00008B050000}"/>
    <cellStyle name="Normal 26 3 2" xfId="745" xr:uid="{00000000-0005-0000-0000-00008C050000}"/>
    <cellStyle name="Normal 26 3 2 2" xfId="972" xr:uid="{00000000-0005-0000-0000-00008D050000}"/>
    <cellStyle name="Normal 26 3 3" xfId="859" xr:uid="{00000000-0005-0000-0000-00008E050000}"/>
    <cellStyle name="Normal 26 4" xfId="672" xr:uid="{00000000-0005-0000-0000-00008F050000}"/>
    <cellStyle name="Normal 26 4 2" xfId="898" xr:uid="{00000000-0005-0000-0000-000090050000}"/>
    <cellStyle name="Normal 26 5" xfId="785" xr:uid="{00000000-0005-0000-0000-000091050000}"/>
    <cellStyle name="Normal 27" xfId="642" xr:uid="{00000000-0005-0000-0000-000092050000}"/>
    <cellStyle name="Normal 27 2" xfId="868" xr:uid="{00000000-0005-0000-0000-000093050000}"/>
    <cellStyle name="Normal 27 3" xfId="1067" xr:uid="{00000000-0005-0000-0000-000094050000}"/>
    <cellStyle name="Normal 27 3 2" xfId="1076" xr:uid="{00000000-0005-0000-0000-000095050000}"/>
    <cellStyle name="Normal 28" xfId="753" xr:uid="{00000000-0005-0000-0000-000096050000}"/>
    <cellStyle name="Normal 28 2" xfId="980" xr:uid="{00000000-0005-0000-0000-000097050000}"/>
    <cellStyle name="Normal 29" xfId="641" xr:uid="{00000000-0005-0000-0000-000098050000}"/>
    <cellStyle name="Normal 29 2" xfId="867" xr:uid="{00000000-0005-0000-0000-000099050000}"/>
    <cellStyle name="Normal 3" xfId="43" xr:uid="{00000000-0005-0000-0000-00009A050000}"/>
    <cellStyle name="Normal 3 10" xfId="90" xr:uid="{00000000-0005-0000-0000-00009B050000}"/>
    <cellStyle name="Normal 3 10 2" xfId="1461" xr:uid="{00000000-0005-0000-0000-00009C050000}"/>
    <cellStyle name="Normal 3 10 2 2" xfId="2015" xr:uid="{00000000-0005-0000-0000-00009D050000}"/>
    <cellStyle name="Normal 3 10 2 3" xfId="1531" xr:uid="{00000000-0005-0000-0000-00009E050000}"/>
    <cellStyle name="Normal 3 11" xfId="1303" xr:uid="{00000000-0005-0000-0000-00009F050000}"/>
    <cellStyle name="Normal 3 12" xfId="1708" xr:uid="{00000000-0005-0000-0000-0000A0050000}"/>
    <cellStyle name="Normal 3 2" xfId="91" xr:uid="{00000000-0005-0000-0000-0000A1050000}"/>
    <cellStyle name="Normal 3 2 2" xfId="238" xr:uid="{00000000-0005-0000-0000-0000A2050000}"/>
    <cellStyle name="Normal 3 2 2 2" xfId="239" xr:uid="{00000000-0005-0000-0000-0000A3050000}"/>
    <cellStyle name="Normal 3 3" xfId="92" xr:uid="{00000000-0005-0000-0000-0000A4050000}"/>
    <cellStyle name="Normal 3 3 2" xfId="212" xr:uid="{00000000-0005-0000-0000-0000A5050000}"/>
    <cellStyle name="Normal 3 3 2 2" xfId="240" xr:uid="{00000000-0005-0000-0000-0000A6050000}"/>
    <cellStyle name="Normal 3 3 2 2 2" xfId="1739" xr:uid="{00000000-0005-0000-0000-0000A7050000}"/>
    <cellStyle name="Normal 3 3 2 2 3" xfId="1585" xr:uid="{00000000-0005-0000-0000-0000A8050000}"/>
    <cellStyle name="Normal 3 3 2 3" xfId="553" xr:uid="{00000000-0005-0000-0000-0000A9050000}"/>
    <cellStyle name="Normal 3 3 2 3 2" xfId="1277" xr:uid="{00000000-0005-0000-0000-0000AA050000}"/>
    <cellStyle name="Normal 3 3 2 3 3" xfId="1285" xr:uid="{00000000-0005-0000-0000-0000AB050000}"/>
    <cellStyle name="Normal 3 3 2 4" xfId="1472" xr:uid="{00000000-0005-0000-0000-0000AC050000}"/>
    <cellStyle name="Normal 3 3 2 4 2" xfId="2080" xr:uid="{00000000-0005-0000-0000-0000AD050000}"/>
    <cellStyle name="Normal 3 3 3" xfId="198" xr:uid="{00000000-0005-0000-0000-0000AE050000}"/>
    <cellStyle name="Normal 3 3 3 2" xfId="687" xr:uid="{00000000-0005-0000-0000-0000AF050000}"/>
    <cellStyle name="Normal 3 3 3 2 2" xfId="914" xr:uid="{00000000-0005-0000-0000-0000B0050000}"/>
    <cellStyle name="Normal 3 3 3 3" xfId="801" xr:uid="{00000000-0005-0000-0000-0000B1050000}"/>
    <cellStyle name="Normal 3 3 3 4" xfId="575" xr:uid="{00000000-0005-0000-0000-0000B2050000}"/>
    <cellStyle name="Normal 3 3 3 5" xfId="1521" xr:uid="{00000000-0005-0000-0000-0000B3050000}"/>
    <cellStyle name="Normal 3 3 4" xfId="612" xr:uid="{00000000-0005-0000-0000-0000B4050000}"/>
    <cellStyle name="Normal 3 3 4 2" xfId="724" xr:uid="{00000000-0005-0000-0000-0000B5050000}"/>
    <cellStyle name="Normal 3 3 4 2 2" xfId="951" xr:uid="{00000000-0005-0000-0000-0000B6050000}"/>
    <cellStyle name="Normal 3 3 4 3" xfId="838" xr:uid="{00000000-0005-0000-0000-0000B7050000}"/>
    <cellStyle name="Normal 3 3 4 4" xfId="1263" xr:uid="{00000000-0005-0000-0000-0000B8050000}"/>
    <cellStyle name="Normal 3 3 4 5" xfId="1286" xr:uid="{00000000-0005-0000-0000-0000B9050000}"/>
    <cellStyle name="Normal 3 3 5" xfId="651" xr:uid="{00000000-0005-0000-0000-0000BA050000}"/>
    <cellStyle name="Normal 3 3 5 2" xfId="877" xr:uid="{00000000-0005-0000-0000-0000BB050000}"/>
    <cellStyle name="Normal 3 3 6" xfId="764" xr:uid="{00000000-0005-0000-0000-0000BC050000}"/>
    <cellStyle name="Normal 3 3 7" xfId="521" xr:uid="{00000000-0005-0000-0000-0000BD050000}"/>
    <cellStyle name="Normal 3 4" xfId="93" xr:uid="{00000000-0005-0000-0000-0000BE050000}"/>
    <cellStyle name="Normal 3 4 2" xfId="241" xr:uid="{00000000-0005-0000-0000-0000BF050000}"/>
    <cellStyle name="Normal 3 4 2 2" xfId="906" xr:uid="{00000000-0005-0000-0000-0000C0050000}"/>
    <cellStyle name="Normal 3 4 2 3" xfId="1304" xr:uid="{00000000-0005-0000-0000-0000C1050000}"/>
    <cellStyle name="Normal 3 4 2 3 2" xfId="2003" xr:uid="{00000000-0005-0000-0000-0000C2050000}"/>
    <cellStyle name="Normal 3 4 2 3 3" xfId="1564" xr:uid="{00000000-0005-0000-0000-0000C3050000}"/>
    <cellStyle name="Normal 3 4 2 4" xfId="1494" xr:uid="{00000000-0005-0000-0000-0000C4050000}"/>
    <cellStyle name="Normal 3 4 2 4 2" xfId="2102" xr:uid="{00000000-0005-0000-0000-0000C5050000}"/>
    <cellStyle name="Normal 3 4 3" xfId="793" xr:uid="{00000000-0005-0000-0000-0000C6050000}"/>
    <cellStyle name="Normal 3 4 3 2" xfId="1264" xr:uid="{00000000-0005-0000-0000-0000C7050000}"/>
    <cellStyle name="Normal 3 4 3 3" xfId="1287" xr:uid="{00000000-0005-0000-0000-0000C8050000}"/>
    <cellStyle name="Normal 3 4 3 4" xfId="1722" xr:uid="{00000000-0005-0000-0000-0000C9050000}"/>
    <cellStyle name="Normal 3 4 4" xfId="1172" xr:uid="{00000000-0005-0000-0000-0000CA050000}"/>
    <cellStyle name="Normal 3 4 4 2" xfId="1751" xr:uid="{00000000-0005-0000-0000-0000CB050000}"/>
    <cellStyle name="Normal 3 4 4 3" xfId="1740" xr:uid="{00000000-0005-0000-0000-0000CC050000}"/>
    <cellStyle name="Normal 3 5" xfId="94" xr:uid="{00000000-0005-0000-0000-0000CD050000}"/>
    <cellStyle name="Normal 3 5 2" xfId="716" xr:uid="{00000000-0005-0000-0000-0000CE050000}"/>
    <cellStyle name="Normal 3 5 2 2" xfId="943" xr:uid="{00000000-0005-0000-0000-0000CF050000}"/>
    <cellStyle name="Normal 3 5 2 3" xfId="1305" xr:uid="{00000000-0005-0000-0000-0000D0050000}"/>
    <cellStyle name="Normal 3 5 2 3 2" xfId="2004" xr:uid="{00000000-0005-0000-0000-0000D1050000}"/>
    <cellStyle name="Normal 3 5 2 3 3" xfId="1607" xr:uid="{00000000-0005-0000-0000-0000D2050000}"/>
    <cellStyle name="Normal 3 5 2 4" xfId="1501" xr:uid="{00000000-0005-0000-0000-0000D3050000}"/>
    <cellStyle name="Normal 3 5 2 4 2" xfId="2107" xr:uid="{00000000-0005-0000-0000-0000D4050000}"/>
    <cellStyle name="Normal 3 5 3" xfId="830" xr:uid="{00000000-0005-0000-0000-0000D5050000}"/>
    <cellStyle name="Normal 3 5 3 2" xfId="1723" xr:uid="{00000000-0005-0000-0000-0000D6050000}"/>
    <cellStyle name="Normal 3 5 4" xfId="604" xr:uid="{00000000-0005-0000-0000-0000D7050000}"/>
    <cellStyle name="Normal 3 5 5" xfId="1243" xr:uid="{00000000-0005-0000-0000-0000D8050000}"/>
    <cellStyle name="Normal 3 5 5 2" xfId="2071" xr:uid="{00000000-0005-0000-0000-0000D9050000}"/>
    <cellStyle name="Normal 3 6" xfId="95" xr:uid="{00000000-0005-0000-0000-0000DA050000}"/>
    <cellStyle name="Normal 3 6 2" xfId="869" xr:uid="{00000000-0005-0000-0000-0000DB050000}"/>
    <cellStyle name="Normal 3 6 3" xfId="643" xr:uid="{00000000-0005-0000-0000-0000DC050000}"/>
    <cellStyle name="Normal 3 7" xfId="96" xr:uid="{00000000-0005-0000-0000-0000DD050000}"/>
    <cellStyle name="Normal 3 7 2" xfId="756" xr:uid="{00000000-0005-0000-0000-0000DE050000}"/>
    <cellStyle name="Normal 3 8" xfId="97" xr:uid="{00000000-0005-0000-0000-0000DF050000}"/>
    <cellStyle name="Normal 3 9" xfId="211" xr:uid="{00000000-0005-0000-0000-0000E0050000}"/>
    <cellStyle name="Normal 3 9 2" xfId="1459" xr:uid="{00000000-0005-0000-0000-0000E1050000}"/>
    <cellStyle name="Normal 3 9 2 2" xfId="2014" xr:uid="{00000000-0005-0000-0000-0000E2050000}"/>
    <cellStyle name="Normal 3 9 2 3" xfId="1598" xr:uid="{00000000-0005-0000-0000-0000E3050000}"/>
    <cellStyle name="Normal 3_Capital Exp Received for 2013_2014" xfId="467" xr:uid="{00000000-0005-0000-0000-0000E4050000}"/>
    <cellStyle name="Normal 30" xfId="755" xr:uid="{00000000-0005-0000-0000-0000E5050000}"/>
    <cellStyle name="Normal 31" xfId="981" xr:uid="{00000000-0005-0000-0000-0000E6050000}"/>
    <cellStyle name="Normal 32" xfId="1022" xr:uid="{00000000-0005-0000-0000-0000E7050000}"/>
    <cellStyle name="Normal 33" xfId="1001" xr:uid="{00000000-0005-0000-0000-0000E8050000}"/>
    <cellStyle name="Normal 34" xfId="1044" xr:uid="{00000000-0005-0000-0000-0000E9050000}"/>
    <cellStyle name="Normal 35" xfId="991" xr:uid="{00000000-0005-0000-0000-0000EA050000}"/>
    <cellStyle name="Normal 36" xfId="1043" xr:uid="{00000000-0005-0000-0000-0000EB050000}"/>
    <cellStyle name="Normal 37" xfId="992" xr:uid="{00000000-0005-0000-0000-0000EC050000}"/>
    <cellStyle name="Normal 38" xfId="1026" xr:uid="{00000000-0005-0000-0000-0000ED050000}"/>
    <cellStyle name="Normal 39" xfId="1004" xr:uid="{00000000-0005-0000-0000-0000EE050000}"/>
    <cellStyle name="Normal 4" xfId="98" xr:uid="{00000000-0005-0000-0000-0000EF050000}"/>
    <cellStyle name="Normal 4 10" xfId="99" xr:uid="{00000000-0005-0000-0000-0000F0050000}"/>
    <cellStyle name="Normal 4 11" xfId="100" xr:uid="{00000000-0005-0000-0000-0000F1050000}"/>
    <cellStyle name="Normal 4 12" xfId="101" xr:uid="{00000000-0005-0000-0000-0000F2050000}"/>
    <cellStyle name="Normal 4 13" xfId="213" xr:uid="{00000000-0005-0000-0000-0000F3050000}"/>
    <cellStyle name="Normal 4 13 2" xfId="1465" xr:uid="{00000000-0005-0000-0000-0000F4050000}"/>
    <cellStyle name="Normal 4 13 2 2" xfId="1678" xr:uid="{00000000-0005-0000-0000-0000F5050000}"/>
    <cellStyle name="Normal 4 13 2 3" xfId="1583" xr:uid="{00000000-0005-0000-0000-0000F6050000}"/>
    <cellStyle name="Normal 4 13 2 3 2" xfId="2153" xr:uid="{00000000-0005-0000-0000-0000F7050000}"/>
    <cellStyle name="Normal 4 13 3" xfId="1736" xr:uid="{00000000-0005-0000-0000-0000F8050000}"/>
    <cellStyle name="Normal 4 13 4" xfId="1639" xr:uid="{00000000-0005-0000-0000-0000F9050000}"/>
    <cellStyle name="Normal 4 14" xfId="193" xr:uid="{00000000-0005-0000-0000-0000FA050000}"/>
    <cellStyle name="Normal 4 15" xfId="258" xr:uid="{00000000-0005-0000-0000-0000FB050000}"/>
    <cellStyle name="Normal 4 15 2" xfId="1265" xr:uid="{00000000-0005-0000-0000-0000FC050000}"/>
    <cellStyle name="Normal 4 15 3" xfId="1281" xr:uid="{00000000-0005-0000-0000-0000FD050000}"/>
    <cellStyle name="Normal 4 16" xfId="1642" xr:uid="{00000000-0005-0000-0000-0000FE050000}"/>
    <cellStyle name="Normal 4 16 2" xfId="2030" xr:uid="{00000000-0005-0000-0000-0000FF050000}"/>
    <cellStyle name="Normal 4 16 3" xfId="2044" xr:uid="{00000000-0005-0000-0000-000000060000}"/>
    <cellStyle name="Normal 4 16 4" xfId="1586" xr:uid="{00000000-0005-0000-0000-000001060000}"/>
    <cellStyle name="Normal 4 17" xfId="1724" xr:uid="{00000000-0005-0000-0000-000002060000}"/>
    <cellStyle name="Normal 4 17 2" xfId="2053" xr:uid="{00000000-0005-0000-0000-000003060000}"/>
    <cellStyle name="Normal 4 17 3" xfId="1814" xr:uid="{00000000-0005-0000-0000-000004060000}"/>
    <cellStyle name="Normal 4 2" xfId="102" xr:uid="{00000000-0005-0000-0000-000005060000}"/>
    <cellStyle name="Normal 4 2 2" xfId="103" xr:uid="{00000000-0005-0000-0000-000006060000}"/>
    <cellStyle name="Normal 4 2 2 2" xfId="104" xr:uid="{00000000-0005-0000-0000-000007060000}"/>
    <cellStyle name="Normal 4 2 2 2 2" xfId="105" xr:uid="{00000000-0005-0000-0000-000008060000}"/>
    <cellStyle name="Normal 4 2 2 2 3" xfId="106" xr:uid="{00000000-0005-0000-0000-000009060000}"/>
    <cellStyle name="Normal 4 2 2 2 4" xfId="107" xr:uid="{00000000-0005-0000-0000-00000A060000}"/>
    <cellStyle name="Normal 4 2 2 3" xfId="108" xr:uid="{00000000-0005-0000-0000-00000B060000}"/>
    <cellStyle name="Normal 4 2 2 4" xfId="109" xr:uid="{00000000-0005-0000-0000-00000C060000}"/>
    <cellStyle name="Normal 4 2 2 5" xfId="243" xr:uid="{00000000-0005-0000-0000-00000D060000}"/>
    <cellStyle name="Normal 4 2 2 6" xfId="1267" xr:uid="{00000000-0005-0000-0000-00000E060000}"/>
    <cellStyle name="Normal 4 2 3" xfId="110" xr:uid="{00000000-0005-0000-0000-00000F060000}"/>
    <cellStyle name="Normal 4 2 4" xfId="111" xr:uid="{00000000-0005-0000-0000-000010060000}"/>
    <cellStyle name="Normal 4 2 5" xfId="112" xr:uid="{00000000-0005-0000-0000-000011060000}"/>
    <cellStyle name="Normal 4 2 6" xfId="113" xr:uid="{00000000-0005-0000-0000-000012060000}"/>
    <cellStyle name="Normal 4 2 7" xfId="114" xr:uid="{00000000-0005-0000-0000-000013060000}"/>
    <cellStyle name="Normal 4 2 8" xfId="242" xr:uid="{00000000-0005-0000-0000-000014060000}"/>
    <cellStyle name="Normal 4 2 8 2" xfId="1306" xr:uid="{00000000-0005-0000-0000-000015060000}"/>
    <cellStyle name="Normal 4 2 8 2 2" xfId="2005" xr:uid="{00000000-0005-0000-0000-000016060000}"/>
    <cellStyle name="Normal 4 2 8 2 3" xfId="1593" xr:uid="{00000000-0005-0000-0000-000017060000}"/>
    <cellStyle name="Normal 4 2 9" xfId="1175" xr:uid="{00000000-0005-0000-0000-000018060000}"/>
    <cellStyle name="Normal 4 2 9 2" xfId="1266" xr:uid="{00000000-0005-0000-0000-000019060000}"/>
    <cellStyle name="Normal 4 2 9 3" xfId="1288" xr:uid="{00000000-0005-0000-0000-00001A060000}"/>
    <cellStyle name="Normal 4 2 9 3 2" xfId="2075" xr:uid="{00000000-0005-0000-0000-00001B060000}"/>
    <cellStyle name="Normal 4 2 9 4" xfId="1725" xr:uid="{00000000-0005-0000-0000-00001C060000}"/>
    <cellStyle name="Normal 4 2 9 4 2" xfId="2061" xr:uid="{00000000-0005-0000-0000-00001D060000}"/>
    <cellStyle name="Normal 4 3" xfId="115" xr:uid="{00000000-0005-0000-0000-00001E060000}"/>
    <cellStyle name="Normal 4 3 2" xfId="554" xr:uid="{00000000-0005-0000-0000-00001F060000}"/>
    <cellStyle name="Normal 4 4" xfId="116" xr:uid="{00000000-0005-0000-0000-000020060000}"/>
    <cellStyle name="Normal 4 4 2" xfId="555" xr:uid="{00000000-0005-0000-0000-000021060000}"/>
    <cellStyle name="Normal 4 5" xfId="117" xr:uid="{00000000-0005-0000-0000-000022060000}"/>
    <cellStyle name="Normal 4 6" xfId="118" xr:uid="{00000000-0005-0000-0000-000023060000}"/>
    <cellStyle name="Normal 4 7" xfId="119" xr:uid="{00000000-0005-0000-0000-000024060000}"/>
    <cellStyle name="Normal 4 7 2" xfId="120" xr:uid="{00000000-0005-0000-0000-000025060000}"/>
    <cellStyle name="Normal 4 7 2 2" xfId="121" xr:uid="{00000000-0005-0000-0000-000026060000}"/>
    <cellStyle name="Normal 4 7 2 3" xfId="122" xr:uid="{00000000-0005-0000-0000-000027060000}"/>
    <cellStyle name="Normal 4 7 2 4" xfId="123" xr:uid="{00000000-0005-0000-0000-000028060000}"/>
    <cellStyle name="Normal 4 7 3" xfId="124" xr:uid="{00000000-0005-0000-0000-000029060000}"/>
    <cellStyle name="Normal 4 7 4" xfId="125" xr:uid="{00000000-0005-0000-0000-00002A060000}"/>
    <cellStyle name="Normal 4 8" xfId="126" xr:uid="{00000000-0005-0000-0000-00002B060000}"/>
    <cellStyle name="Normal 4 9" xfId="127" xr:uid="{00000000-0005-0000-0000-00002C060000}"/>
    <cellStyle name="Normal 40" xfId="1032" xr:uid="{00000000-0005-0000-0000-00002D060000}"/>
    <cellStyle name="Normal 41" xfId="754" xr:uid="{00000000-0005-0000-0000-00002E060000}"/>
    <cellStyle name="Normal 42" xfId="1064" xr:uid="{00000000-0005-0000-0000-00002F060000}"/>
    <cellStyle name="Normal 43" xfId="1063" xr:uid="{00000000-0005-0000-0000-000030060000}"/>
    <cellStyle name="Normal 44" xfId="1078" xr:uid="{00000000-0005-0000-0000-000031060000}"/>
    <cellStyle name="Normal 45" xfId="2031" xr:uid="{00000000-0005-0000-0000-000032060000}"/>
    <cellStyle name="Normal 45 2" xfId="2109" xr:uid="{00000000-0005-0000-0000-000033060000}"/>
    <cellStyle name="Normal 46" xfId="2032" xr:uid="{00000000-0005-0000-0000-000034060000}"/>
    <cellStyle name="Normal 46 2" xfId="2108" xr:uid="{00000000-0005-0000-0000-000035060000}"/>
    <cellStyle name="Normal 47" xfId="2034" xr:uid="{00000000-0005-0000-0000-000036060000}"/>
    <cellStyle name="Normal 47 2" xfId="2150" xr:uid="{00000000-0005-0000-0000-000037060000}"/>
    <cellStyle name="Normal 48" xfId="2035" xr:uid="{00000000-0005-0000-0000-000038060000}"/>
    <cellStyle name="Normal 49" xfId="2038" xr:uid="{00000000-0005-0000-0000-000039060000}"/>
    <cellStyle name="Normal 5" xfId="128" xr:uid="{00000000-0005-0000-0000-00003A060000}"/>
    <cellStyle name="Normal 5 10" xfId="1268" xr:uid="{00000000-0005-0000-0000-00003B060000}"/>
    <cellStyle name="Normal 5 10 2" xfId="1726" xr:uid="{00000000-0005-0000-0000-00003C060000}"/>
    <cellStyle name="Normal 5 10 2 2" xfId="2054" xr:uid="{00000000-0005-0000-0000-00003D060000}"/>
    <cellStyle name="Normal 5 10 2 3" xfId="1800" xr:uid="{00000000-0005-0000-0000-00003E060000}"/>
    <cellStyle name="Normal 5 10 3" xfId="1614" xr:uid="{00000000-0005-0000-0000-00003F060000}"/>
    <cellStyle name="Normal 5 11" xfId="1810" xr:uid="{00000000-0005-0000-0000-000040060000}"/>
    <cellStyle name="Normal 5 2" xfId="129" xr:uid="{00000000-0005-0000-0000-000041060000}"/>
    <cellStyle name="Normal 5 2 2" xfId="215" xr:uid="{00000000-0005-0000-0000-000042060000}"/>
    <cellStyle name="Normal 5 2 2 2" xfId="1581" xr:uid="{00000000-0005-0000-0000-000043060000}"/>
    <cellStyle name="Normal 5 2 2 3" xfId="1552" xr:uid="{00000000-0005-0000-0000-000044060000}"/>
    <cellStyle name="Normal 5 2 3" xfId="195" xr:uid="{00000000-0005-0000-0000-000045060000}"/>
    <cellStyle name="Normal 5 2 3 2" xfId="1570" xr:uid="{00000000-0005-0000-0000-000046060000}"/>
    <cellStyle name="Normal 5 2 3 3" xfId="1574" xr:uid="{00000000-0005-0000-0000-000047060000}"/>
    <cellStyle name="Normal 5 2 4" xfId="1176" xr:uid="{00000000-0005-0000-0000-000048060000}"/>
    <cellStyle name="Normal 5 2 4 2" xfId="1269" xr:uid="{00000000-0005-0000-0000-000049060000}"/>
    <cellStyle name="Normal 5 2 4 3" xfId="1289" xr:uid="{00000000-0005-0000-0000-00004A060000}"/>
    <cellStyle name="Normal 5 2 4 3 2" xfId="2076" xr:uid="{00000000-0005-0000-0000-00004B060000}"/>
    <cellStyle name="Normal 5 2 4 4" xfId="2062" xr:uid="{00000000-0005-0000-0000-00004C060000}"/>
    <cellStyle name="Normal 5 3" xfId="130" xr:uid="{00000000-0005-0000-0000-00004D060000}"/>
    <cellStyle name="Normal 5 3 2" xfId="216" xr:uid="{00000000-0005-0000-0000-00004E060000}"/>
    <cellStyle name="Normal 5 3 2 2" xfId="1550" xr:uid="{00000000-0005-0000-0000-00004F060000}"/>
    <cellStyle name="Normal 5 3 2 3" xfId="1619" xr:uid="{00000000-0005-0000-0000-000050060000}"/>
    <cellStyle name="Normal 5 3 3" xfId="199" xr:uid="{00000000-0005-0000-0000-000051060000}"/>
    <cellStyle name="Normal 5 3 4" xfId="468" xr:uid="{00000000-0005-0000-0000-000052060000}"/>
    <cellStyle name="Normal 5 3 4 2" xfId="1270" xr:uid="{00000000-0005-0000-0000-000053060000}"/>
    <cellStyle name="Normal 5 3 4 3" xfId="1283" xr:uid="{00000000-0005-0000-0000-000054060000}"/>
    <cellStyle name="Normal 5 4" xfId="131" xr:uid="{00000000-0005-0000-0000-000055060000}"/>
    <cellStyle name="Normal 5 4 2" xfId="556" xr:uid="{00000000-0005-0000-0000-000056060000}"/>
    <cellStyle name="Normal 5 4 2 2" xfId="597" xr:uid="{00000000-0005-0000-0000-000057060000}"/>
    <cellStyle name="Normal 5 4 2 2 2" xfId="709" xr:uid="{00000000-0005-0000-0000-000058060000}"/>
    <cellStyle name="Normal 5 4 2 2 2 2" xfId="936" xr:uid="{00000000-0005-0000-0000-000059060000}"/>
    <cellStyle name="Normal 5 4 2 2 3" xfId="823" xr:uid="{00000000-0005-0000-0000-00005A060000}"/>
    <cellStyle name="Normal 5 4 2 3" xfId="634" xr:uid="{00000000-0005-0000-0000-00005B060000}"/>
    <cellStyle name="Normal 5 4 2 3 2" xfId="746" xr:uid="{00000000-0005-0000-0000-00005C060000}"/>
    <cellStyle name="Normal 5 4 2 3 2 2" xfId="973" xr:uid="{00000000-0005-0000-0000-00005D060000}"/>
    <cellStyle name="Normal 5 4 2 3 3" xfId="860" xr:uid="{00000000-0005-0000-0000-00005E060000}"/>
    <cellStyle name="Normal 5 4 2 4" xfId="673" xr:uid="{00000000-0005-0000-0000-00005F060000}"/>
    <cellStyle name="Normal 5 4 2 4 2" xfId="899" xr:uid="{00000000-0005-0000-0000-000060060000}"/>
    <cellStyle name="Normal 5 4 2 5" xfId="786" xr:uid="{00000000-0005-0000-0000-000061060000}"/>
    <cellStyle name="Normal 5 4 3" xfId="469" xr:uid="{00000000-0005-0000-0000-000062060000}"/>
    <cellStyle name="Normal 5 5" xfId="132" xr:uid="{00000000-0005-0000-0000-000063060000}"/>
    <cellStyle name="Normal 5 6" xfId="133" xr:uid="{00000000-0005-0000-0000-000064060000}"/>
    <cellStyle name="Normal 5 7" xfId="134" xr:uid="{00000000-0005-0000-0000-000065060000}"/>
    <cellStyle name="Normal 5 8" xfId="214" xr:uid="{00000000-0005-0000-0000-000066060000}"/>
    <cellStyle name="Normal 5 8 2" xfId="1464" xr:uid="{00000000-0005-0000-0000-000067060000}"/>
    <cellStyle name="Normal 5 8 2 2" xfId="2018" xr:uid="{00000000-0005-0000-0000-000068060000}"/>
    <cellStyle name="Normal 5 8 2 3" xfId="1591" xr:uid="{00000000-0005-0000-0000-000069060000}"/>
    <cellStyle name="Normal 5 9" xfId="194" xr:uid="{00000000-0005-0000-0000-00006A060000}"/>
    <cellStyle name="Normal 5 9 2" xfId="1307" xr:uid="{00000000-0005-0000-0000-00006B060000}"/>
    <cellStyle name="Normal 5 9 2 2" xfId="2006" xr:uid="{00000000-0005-0000-0000-00006C060000}"/>
    <cellStyle name="Normal 5 9 2 3" xfId="1567" xr:uid="{00000000-0005-0000-0000-00006D060000}"/>
    <cellStyle name="Normal 5_Capital Exp Received for 2013_2014" xfId="470" xr:uid="{00000000-0005-0000-0000-00006E060000}"/>
    <cellStyle name="Normal 50" xfId="2039" xr:uid="{00000000-0005-0000-0000-00006F060000}"/>
    <cellStyle name="Normal 51" xfId="2040" xr:uid="{00000000-0005-0000-0000-000070060000}"/>
    <cellStyle name="Normal 52" xfId="2041" xr:uid="{00000000-0005-0000-0000-000071060000}"/>
    <cellStyle name="Normal 53" xfId="2042" xr:uid="{00000000-0005-0000-0000-000072060000}"/>
    <cellStyle name="Normal 54" xfId="2043" xr:uid="{00000000-0005-0000-0000-000073060000}"/>
    <cellStyle name="Normal 55" xfId="135" xr:uid="{00000000-0005-0000-0000-000074060000}"/>
    <cellStyle name="Normal 56" xfId="136" xr:uid="{00000000-0005-0000-0000-000075060000}"/>
    <cellStyle name="Normal 6" xfId="137" xr:uid="{00000000-0005-0000-0000-000076060000}"/>
    <cellStyle name="Normal 6 10" xfId="1522" xr:uid="{00000000-0005-0000-0000-000077060000}"/>
    <cellStyle name="Normal 6 2" xfId="138" xr:uid="{00000000-0005-0000-0000-000078060000}"/>
    <cellStyle name="Normal 6 2 2" xfId="472" xr:uid="{00000000-0005-0000-0000-000079060000}"/>
    <cellStyle name="Normal 6 2 2 2" xfId="473" xr:uid="{00000000-0005-0000-0000-00007A060000}"/>
    <cellStyle name="Normal 6 2 2 3" xfId="1309" xr:uid="{00000000-0005-0000-0000-00007B060000}"/>
    <cellStyle name="Normal 6 2 2 3 2" xfId="2008" xr:uid="{00000000-0005-0000-0000-00007C060000}"/>
    <cellStyle name="Normal 6 2 2 3 3" xfId="1622" xr:uid="{00000000-0005-0000-0000-00007D060000}"/>
    <cellStyle name="Normal 6 2 3" xfId="474" xr:uid="{00000000-0005-0000-0000-00007E060000}"/>
    <cellStyle name="Normal 6 2 3 2" xfId="1727" xr:uid="{00000000-0005-0000-0000-00007F060000}"/>
    <cellStyle name="Normal 6 2 4" xfId="557" xr:uid="{00000000-0005-0000-0000-000080060000}"/>
    <cellStyle name="Normal 6 2 5" xfId="471" xr:uid="{00000000-0005-0000-0000-000081060000}"/>
    <cellStyle name="Normal 6 2 6" xfId="1177" xr:uid="{00000000-0005-0000-0000-000082060000}"/>
    <cellStyle name="Normal 6 2 6 2" xfId="2063" xr:uid="{00000000-0005-0000-0000-000083060000}"/>
    <cellStyle name="Normal 6 2 7" xfId="1244" xr:uid="{00000000-0005-0000-0000-000084060000}"/>
    <cellStyle name="Normal 6 2_Capital Exp Received for 2013_2014" xfId="475" xr:uid="{00000000-0005-0000-0000-000085060000}"/>
    <cellStyle name="Normal 6 3" xfId="139" xr:uid="{00000000-0005-0000-0000-000086060000}"/>
    <cellStyle name="Normal 6 3 2" xfId="477" xr:uid="{00000000-0005-0000-0000-000087060000}"/>
    <cellStyle name="Normal 6 3 3" xfId="558" xr:uid="{00000000-0005-0000-0000-000088060000}"/>
    <cellStyle name="Normal 6 3 3 2" xfId="598" xr:uid="{00000000-0005-0000-0000-000089060000}"/>
    <cellStyle name="Normal 6 3 3 2 2" xfId="710" xr:uid="{00000000-0005-0000-0000-00008A060000}"/>
    <cellStyle name="Normal 6 3 3 2 2 2" xfId="937" xr:uid="{00000000-0005-0000-0000-00008B060000}"/>
    <cellStyle name="Normal 6 3 3 2 3" xfId="824" xr:uid="{00000000-0005-0000-0000-00008C060000}"/>
    <cellStyle name="Normal 6 3 3 3" xfId="635" xr:uid="{00000000-0005-0000-0000-00008D060000}"/>
    <cellStyle name="Normal 6 3 3 3 2" xfId="747" xr:uid="{00000000-0005-0000-0000-00008E060000}"/>
    <cellStyle name="Normal 6 3 3 3 2 2" xfId="974" xr:uid="{00000000-0005-0000-0000-00008F060000}"/>
    <cellStyle name="Normal 6 3 3 3 3" xfId="861" xr:uid="{00000000-0005-0000-0000-000090060000}"/>
    <cellStyle name="Normal 6 3 3 4" xfId="674" xr:uid="{00000000-0005-0000-0000-000091060000}"/>
    <cellStyle name="Normal 6 3 3 4 2" xfId="900" xr:uid="{00000000-0005-0000-0000-000092060000}"/>
    <cellStyle name="Normal 6 3 3 5" xfId="787" xr:uid="{00000000-0005-0000-0000-000093060000}"/>
    <cellStyle name="Normal 6 3 4" xfId="476" xr:uid="{00000000-0005-0000-0000-000094060000}"/>
    <cellStyle name="Normal 6 4" xfId="140" xr:uid="{00000000-0005-0000-0000-000095060000}"/>
    <cellStyle name="Normal 6 4 2" xfId="478" xr:uid="{00000000-0005-0000-0000-000096060000}"/>
    <cellStyle name="Normal 6 5" xfId="141" xr:uid="{00000000-0005-0000-0000-000097060000}"/>
    <cellStyle name="Normal 6 6" xfId="142" xr:uid="{00000000-0005-0000-0000-000098060000}"/>
    <cellStyle name="Normal 6 7" xfId="143" xr:uid="{00000000-0005-0000-0000-000099060000}"/>
    <cellStyle name="Normal 6 8" xfId="281" xr:uid="{00000000-0005-0000-0000-00009A060000}"/>
    <cellStyle name="Normal 6 8 2" xfId="1308" xr:uid="{00000000-0005-0000-0000-00009B060000}"/>
    <cellStyle name="Normal 6 8 2 2" xfId="2007" xr:uid="{00000000-0005-0000-0000-00009C060000}"/>
    <cellStyle name="Normal 6 8 2 3" xfId="1509" xr:uid="{00000000-0005-0000-0000-00009D060000}"/>
    <cellStyle name="Normal 6 9" xfId="1167" xr:uid="{00000000-0005-0000-0000-00009E060000}"/>
    <cellStyle name="Normal 6 9 2" xfId="1561" xr:uid="{00000000-0005-0000-0000-00009F060000}"/>
    <cellStyle name="Normal 6 9 3" xfId="1752" xr:uid="{00000000-0005-0000-0000-0000A0060000}"/>
    <cellStyle name="Normal 6_Capital Exp Received for 2013_2014" xfId="479" xr:uid="{00000000-0005-0000-0000-0000A1060000}"/>
    <cellStyle name="Normal 7" xfId="144" xr:uid="{00000000-0005-0000-0000-0000A2060000}"/>
    <cellStyle name="Normal 7 10" xfId="760" xr:uid="{00000000-0005-0000-0000-0000A3060000}"/>
    <cellStyle name="Normal 7 11" xfId="1069" xr:uid="{00000000-0005-0000-0000-0000A4060000}"/>
    <cellStyle name="Normal 7 12" xfId="1070" xr:uid="{00000000-0005-0000-0000-0000A5060000}"/>
    <cellStyle name="Normal 7 13" xfId="1071" xr:uid="{00000000-0005-0000-0000-0000A6060000}"/>
    <cellStyle name="Normal 7 13 2" xfId="1072" xr:uid="{00000000-0005-0000-0000-0000A7060000}"/>
    <cellStyle name="Normal 7 14" xfId="1073" xr:uid="{00000000-0005-0000-0000-0000A8060000}"/>
    <cellStyle name="Normal 7 15" xfId="1074" xr:uid="{00000000-0005-0000-0000-0000A9060000}"/>
    <cellStyle name="Normal 7 16" xfId="1075" xr:uid="{00000000-0005-0000-0000-0000AA060000}"/>
    <cellStyle name="Normal 7 2" xfId="145" xr:uid="{00000000-0005-0000-0000-0000AB060000}"/>
    <cellStyle name="Normal 7 2 2" xfId="481" xr:uid="{00000000-0005-0000-0000-0000AC060000}"/>
    <cellStyle name="Normal 7 2 2 2" xfId="482" xr:uid="{00000000-0005-0000-0000-0000AD060000}"/>
    <cellStyle name="Normal 7 2 3" xfId="483" xr:uid="{00000000-0005-0000-0000-0000AE060000}"/>
    <cellStyle name="Normal 7 2 4" xfId="559" xr:uid="{00000000-0005-0000-0000-0000AF060000}"/>
    <cellStyle name="Normal 7 2 5" xfId="480" xr:uid="{00000000-0005-0000-0000-0000B0060000}"/>
    <cellStyle name="Normal 7 3" xfId="146" xr:uid="{00000000-0005-0000-0000-0000B1060000}"/>
    <cellStyle name="Normal 7 3 2" xfId="485" xr:uid="{00000000-0005-0000-0000-0000B2060000}"/>
    <cellStyle name="Normal 7 3 3" xfId="560" xr:uid="{00000000-0005-0000-0000-0000B3060000}"/>
    <cellStyle name="Normal 7 3 4" xfId="484" xr:uid="{00000000-0005-0000-0000-0000B4060000}"/>
    <cellStyle name="Normal 7 4" xfId="147" xr:uid="{00000000-0005-0000-0000-0000B5060000}"/>
    <cellStyle name="Normal 7 4 2" xfId="561" xr:uid="{00000000-0005-0000-0000-0000B6060000}"/>
    <cellStyle name="Normal 7 4 2 2" xfId="599" xr:uid="{00000000-0005-0000-0000-0000B7060000}"/>
    <cellStyle name="Normal 7 4 2 2 2" xfId="711" xr:uid="{00000000-0005-0000-0000-0000B8060000}"/>
    <cellStyle name="Normal 7 4 2 2 2 2" xfId="938" xr:uid="{00000000-0005-0000-0000-0000B9060000}"/>
    <cellStyle name="Normal 7 4 2 2 3" xfId="825" xr:uid="{00000000-0005-0000-0000-0000BA060000}"/>
    <cellStyle name="Normal 7 4 2 3" xfId="636" xr:uid="{00000000-0005-0000-0000-0000BB060000}"/>
    <cellStyle name="Normal 7 4 2 3 2" xfId="748" xr:uid="{00000000-0005-0000-0000-0000BC060000}"/>
    <cellStyle name="Normal 7 4 2 3 2 2" xfId="975" xr:uid="{00000000-0005-0000-0000-0000BD060000}"/>
    <cellStyle name="Normal 7 4 2 3 3" xfId="862" xr:uid="{00000000-0005-0000-0000-0000BE060000}"/>
    <cellStyle name="Normal 7 4 2 4" xfId="675" xr:uid="{00000000-0005-0000-0000-0000BF060000}"/>
    <cellStyle name="Normal 7 4 2 4 2" xfId="901" xr:uid="{00000000-0005-0000-0000-0000C0060000}"/>
    <cellStyle name="Normal 7 4 2 5" xfId="788" xr:uid="{00000000-0005-0000-0000-0000C1060000}"/>
    <cellStyle name="Normal 7 4 3" xfId="486" xr:uid="{00000000-0005-0000-0000-0000C2060000}"/>
    <cellStyle name="Normal 7 5" xfId="148" xr:uid="{00000000-0005-0000-0000-0000C3060000}"/>
    <cellStyle name="Normal 7 5 2" xfId="579" xr:uid="{00000000-0005-0000-0000-0000C4060000}"/>
    <cellStyle name="Normal 7 5 2 2" xfId="691" xr:uid="{00000000-0005-0000-0000-0000C5060000}"/>
    <cellStyle name="Normal 7 5 2 2 2" xfId="918" xr:uid="{00000000-0005-0000-0000-0000C6060000}"/>
    <cellStyle name="Normal 7 5 2 3" xfId="805" xr:uid="{00000000-0005-0000-0000-0000C7060000}"/>
    <cellStyle name="Normal 7 5 3" xfId="616" xr:uid="{00000000-0005-0000-0000-0000C8060000}"/>
    <cellStyle name="Normal 7 5 3 2" xfId="728" xr:uid="{00000000-0005-0000-0000-0000C9060000}"/>
    <cellStyle name="Normal 7 5 3 2 2" xfId="955" xr:uid="{00000000-0005-0000-0000-0000CA060000}"/>
    <cellStyle name="Normal 7 5 3 3" xfId="842" xr:uid="{00000000-0005-0000-0000-0000CB060000}"/>
    <cellStyle name="Normal 7 5 4" xfId="655" xr:uid="{00000000-0005-0000-0000-0000CC060000}"/>
    <cellStyle name="Normal 7 5 4 2" xfId="881" xr:uid="{00000000-0005-0000-0000-0000CD060000}"/>
    <cellStyle name="Normal 7 5 5" xfId="768" xr:uid="{00000000-0005-0000-0000-0000CE060000}"/>
    <cellStyle name="Normal 7 5 6" xfId="527" xr:uid="{00000000-0005-0000-0000-0000CF060000}"/>
    <cellStyle name="Normal 7 6" xfId="149" xr:uid="{00000000-0005-0000-0000-0000D0060000}"/>
    <cellStyle name="Normal 7 6 2" xfId="583" xr:uid="{00000000-0005-0000-0000-0000D1060000}"/>
    <cellStyle name="Normal 7 6 2 2" xfId="695" xr:uid="{00000000-0005-0000-0000-0000D2060000}"/>
    <cellStyle name="Normal 7 6 2 2 2" xfId="922" xr:uid="{00000000-0005-0000-0000-0000D3060000}"/>
    <cellStyle name="Normal 7 6 2 3" xfId="809" xr:uid="{00000000-0005-0000-0000-0000D4060000}"/>
    <cellStyle name="Normal 7 6 3" xfId="620" xr:uid="{00000000-0005-0000-0000-0000D5060000}"/>
    <cellStyle name="Normal 7 6 3 2" xfId="732" xr:uid="{00000000-0005-0000-0000-0000D6060000}"/>
    <cellStyle name="Normal 7 6 3 2 2" xfId="959" xr:uid="{00000000-0005-0000-0000-0000D7060000}"/>
    <cellStyle name="Normal 7 6 3 3" xfId="846" xr:uid="{00000000-0005-0000-0000-0000D8060000}"/>
    <cellStyle name="Normal 7 6 4" xfId="659" xr:uid="{00000000-0005-0000-0000-0000D9060000}"/>
    <cellStyle name="Normal 7 6 4 2" xfId="885" xr:uid="{00000000-0005-0000-0000-0000DA060000}"/>
    <cellStyle name="Normal 7 6 5" xfId="772" xr:uid="{00000000-0005-0000-0000-0000DB060000}"/>
    <cellStyle name="Normal 7 6 6" xfId="531" xr:uid="{00000000-0005-0000-0000-0000DC060000}"/>
    <cellStyle name="Normal 7 7" xfId="150" xr:uid="{00000000-0005-0000-0000-0000DD060000}"/>
    <cellStyle name="Normal 7 7 2" xfId="683" xr:uid="{00000000-0005-0000-0000-0000DE060000}"/>
    <cellStyle name="Normal 7 7 2 2" xfId="910" xr:uid="{00000000-0005-0000-0000-0000DF060000}"/>
    <cellStyle name="Normal 7 7 3" xfId="797" xr:uid="{00000000-0005-0000-0000-0000E0060000}"/>
    <cellStyle name="Normal 7 7 4" xfId="571" xr:uid="{00000000-0005-0000-0000-0000E1060000}"/>
    <cellStyle name="Normal 7 8" xfId="249" xr:uid="{00000000-0005-0000-0000-0000E2060000}"/>
    <cellStyle name="Normal 7 8 2" xfId="720" xr:uid="{00000000-0005-0000-0000-0000E3060000}"/>
    <cellStyle name="Normal 7 8 2 2" xfId="947" xr:uid="{00000000-0005-0000-0000-0000E4060000}"/>
    <cellStyle name="Normal 7 8 3" xfId="834" xr:uid="{00000000-0005-0000-0000-0000E5060000}"/>
    <cellStyle name="Normal 7 8 4" xfId="608" xr:uid="{00000000-0005-0000-0000-0000E6060000}"/>
    <cellStyle name="Normal 7 8 5" xfId="1618" xr:uid="{00000000-0005-0000-0000-0000E7060000}"/>
    <cellStyle name="Normal 7 9" xfId="647" xr:uid="{00000000-0005-0000-0000-0000E8060000}"/>
    <cellStyle name="Normal 7 9 2" xfId="873" xr:uid="{00000000-0005-0000-0000-0000E9060000}"/>
    <cellStyle name="Normal 7_Capital Exp Received for 2013_2014" xfId="487" xr:uid="{00000000-0005-0000-0000-0000EA060000}"/>
    <cellStyle name="Normal 8" xfId="151" xr:uid="{00000000-0005-0000-0000-0000EB060000}"/>
    <cellStyle name="Normal 8 10" xfId="761" xr:uid="{00000000-0005-0000-0000-0000EC060000}"/>
    <cellStyle name="Normal 8 11" xfId="488" xr:uid="{00000000-0005-0000-0000-0000ED060000}"/>
    <cellStyle name="Normal 8 12" xfId="1245" xr:uid="{00000000-0005-0000-0000-0000EE060000}"/>
    <cellStyle name="Normal 8 2" xfId="152" xr:uid="{00000000-0005-0000-0000-0000EF060000}"/>
    <cellStyle name="Normal 8 2 2" xfId="490" xr:uid="{00000000-0005-0000-0000-0000F0060000}"/>
    <cellStyle name="Normal 8 2 2 2" xfId="491" xr:uid="{00000000-0005-0000-0000-0000F1060000}"/>
    <cellStyle name="Normal 8 2 2 3" xfId="1311" xr:uid="{00000000-0005-0000-0000-0000F2060000}"/>
    <cellStyle name="Normal 8 2 2 3 2" xfId="2010" xr:uid="{00000000-0005-0000-0000-0000F3060000}"/>
    <cellStyle name="Normal 8 2 2 3 3" xfId="1511" xr:uid="{00000000-0005-0000-0000-0000F4060000}"/>
    <cellStyle name="Normal 8 2 3" xfId="492" xr:uid="{00000000-0005-0000-0000-0000F5060000}"/>
    <cellStyle name="Normal 8 2 3 2" xfId="1729" xr:uid="{00000000-0005-0000-0000-0000F6060000}"/>
    <cellStyle name="Normal 8 2 4" xfId="489" xr:uid="{00000000-0005-0000-0000-0000F7060000}"/>
    <cellStyle name="Normal 8 2 5" xfId="1246" xr:uid="{00000000-0005-0000-0000-0000F8060000}"/>
    <cellStyle name="Normal 8 3" xfId="153" xr:uid="{00000000-0005-0000-0000-0000F9060000}"/>
    <cellStyle name="Normal 8 3 2" xfId="494" xr:uid="{00000000-0005-0000-0000-0000FA060000}"/>
    <cellStyle name="Normal 8 3 3" xfId="493" xr:uid="{00000000-0005-0000-0000-0000FB060000}"/>
    <cellStyle name="Normal 8 4" xfId="154" xr:uid="{00000000-0005-0000-0000-0000FC060000}"/>
    <cellStyle name="Normal 8 4 2" xfId="495" xr:uid="{00000000-0005-0000-0000-0000FD060000}"/>
    <cellStyle name="Normal 8 5" xfId="155" xr:uid="{00000000-0005-0000-0000-0000FE060000}"/>
    <cellStyle name="Normal 8 5 2" xfId="580" xr:uid="{00000000-0005-0000-0000-0000FF060000}"/>
    <cellStyle name="Normal 8 5 2 2" xfId="692" xr:uid="{00000000-0005-0000-0000-000000070000}"/>
    <cellStyle name="Normal 8 5 2 2 2" xfId="919" xr:uid="{00000000-0005-0000-0000-000001070000}"/>
    <cellStyle name="Normal 8 5 2 3" xfId="806" xr:uid="{00000000-0005-0000-0000-000002070000}"/>
    <cellStyle name="Normal 8 5 3" xfId="617" xr:uid="{00000000-0005-0000-0000-000003070000}"/>
    <cellStyle name="Normal 8 5 3 2" xfId="729" xr:uid="{00000000-0005-0000-0000-000004070000}"/>
    <cellStyle name="Normal 8 5 3 2 2" xfId="956" xr:uid="{00000000-0005-0000-0000-000005070000}"/>
    <cellStyle name="Normal 8 5 3 3" xfId="843" xr:uid="{00000000-0005-0000-0000-000006070000}"/>
    <cellStyle name="Normal 8 5 4" xfId="656" xr:uid="{00000000-0005-0000-0000-000007070000}"/>
    <cellStyle name="Normal 8 5 4 2" xfId="882" xr:uid="{00000000-0005-0000-0000-000008070000}"/>
    <cellStyle name="Normal 8 5 5" xfId="769" xr:uid="{00000000-0005-0000-0000-000009070000}"/>
    <cellStyle name="Normal 8 5 6" xfId="528" xr:uid="{00000000-0005-0000-0000-00000A070000}"/>
    <cellStyle name="Normal 8 6" xfId="156" xr:uid="{00000000-0005-0000-0000-00000B070000}"/>
    <cellStyle name="Normal 8 6 2" xfId="600" xr:uid="{00000000-0005-0000-0000-00000C070000}"/>
    <cellStyle name="Normal 8 6 2 2" xfId="712" xr:uid="{00000000-0005-0000-0000-00000D070000}"/>
    <cellStyle name="Normal 8 6 2 2 2" xfId="939" xr:uid="{00000000-0005-0000-0000-00000E070000}"/>
    <cellStyle name="Normal 8 6 2 3" xfId="826" xr:uid="{00000000-0005-0000-0000-00000F070000}"/>
    <cellStyle name="Normal 8 6 3" xfId="637" xr:uid="{00000000-0005-0000-0000-000010070000}"/>
    <cellStyle name="Normal 8 6 3 2" xfId="749" xr:uid="{00000000-0005-0000-0000-000011070000}"/>
    <cellStyle name="Normal 8 6 3 2 2" xfId="976" xr:uid="{00000000-0005-0000-0000-000012070000}"/>
    <cellStyle name="Normal 8 6 3 3" xfId="863" xr:uid="{00000000-0005-0000-0000-000013070000}"/>
    <cellStyle name="Normal 8 6 4" xfId="676" xr:uid="{00000000-0005-0000-0000-000014070000}"/>
    <cellStyle name="Normal 8 6 4 2" xfId="902" xr:uid="{00000000-0005-0000-0000-000015070000}"/>
    <cellStyle name="Normal 8 6 5" xfId="789" xr:uid="{00000000-0005-0000-0000-000016070000}"/>
    <cellStyle name="Normal 8 6 6" xfId="562" xr:uid="{00000000-0005-0000-0000-000017070000}"/>
    <cellStyle name="Normal 8 7" xfId="157" xr:uid="{00000000-0005-0000-0000-000018070000}"/>
    <cellStyle name="Normal 8 7 2" xfId="684" xr:uid="{00000000-0005-0000-0000-000019070000}"/>
    <cellStyle name="Normal 8 7 2 2" xfId="911" xr:uid="{00000000-0005-0000-0000-00001A070000}"/>
    <cellStyle name="Normal 8 7 3" xfId="798" xr:uid="{00000000-0005-0000-0000-00001B070000}"/>
    <cellStyle name="Normal 8 7 4" xfId="572" xr:uid="{00000000-0005-0000-0000-00001C070000}"/>
    <cellStyle name="Normal 8 8" xfId="609" xr:uid="{00000000-0005-0000-0000-00001D070000}"/>
    <cellStyle name="Normal 8 8 2" xfId="721" xr:uid="{00000000-0005-0000-0000-00001E070000}"/>
    <cellStyle name="Normal 8 8 2 2" xfId="948" xr:uid="{00000000-0005-0000-0000-00001F070000}"/>
    <cellStyle name="Normal 8 8 3" xfId="835" xr:uid="{00000000-0005-0000-0000-000020070000}"/>
    <cellStyle name="Normal 8 8 4" xfId="1310" xr:uid="{00000000-0005-0000-0000-000021070000}"/>
    <cellStyle name="Normal 8 8 4 2" xfId="2009" xr:uid="{00000000-0005-0000-0000-000022070000}"/>
    <cellStyle name="Normal 8 8 4 3" xfId="1741" xr:uid="{00000000-0005-0000-0000-000023070000}"/>
    <cellStyle name="Normal 8 9" xfId="648" xr:uid="{00000000-0005-0000-0000-000024070000}"/>
    <cellStyle name="Normal 8 9 2" xfId="874" xr:uid="{00000000-0005-0000-0000-000025070000}"/>
    <cellStyle name="Normal 8 9 3" xfId="1728" xr:uid="{00000000-0005-0000-0000-000026070000}"/>
    <cellStyle name="Normal 8_Capital Exp Received for 2013_2014" xfId="496" xr:uid="{00000000-0005-0000-0000-000027070000}"/>
    <cellStyle name="Normal 9" xfId="45" xr:uid="{00000000-0005-0000-0000-000028070000}"/>
    <cellStyle name="Normal 9 10" xfId="762" xr:uid="{00000000-0005-0000-0000-000029070000}"/>
    <cellStyle name="Normal 9 11" xfId="497" xr:uid="{00000000-0005-0000-0000-00002A070000}"/>
    <cellStyle name="Normal 9 12" xfId="1166" xr:uid="{00000000-0005-0000-0000-00002B070000}"/>
    <cellStyle name="Normal 9 12 2" xfId="2058" xr:uid="{00000000-0005-0000-0000-00002C070000}"/>
    <cellStyle name="Normal 9 2" xfId="158" xr:uid="{00000000-0005-0000-0000-00002D070000}"/>
    <cellStyle name="Normal 9 2 2" xfId="499" xr:uid="{00000000-0005-0000-0000-00002E070000}"/>
    <cellStyle name="Normal 9 2 2 2" xfId="500" xr:uid="{00000000-0005-0000-0000-00002F070000}"/>
    <cellStyle name="Normal 9 2 3" xfId="501" xr:uid="{00000000-0005-0000-0000-000030070000}"/>
    <cellStyle name="Normal 9 2 4" xfId="563" xr:uid="{00000000-0005-0000-0000-000031070000}"/>
    <cellStyle name="Normal 9 2 5" xfId="498" xr:uid="{00000000-0005-0000-0000-000032070000}"/>
    <cellStyle name="Normal 9 2 6" xfId="1470" xr:uid="{00000000-0005-0000-0000-000033070000}"/>
    <cellStyle name="Normal 9 2 6 2" xfId="2078" xr:uid="{00000000-0005-0000-0000-000034070000}"/>
    <cellStyle name="Normal 9 3" xfId="159" xr:uid="{00000000-0005-0000-0000-000035070000}"/>
    <cellStyle name="Normal 9 3 2" xfId="503" xr:uid="{00000000-0005-0000-0000-000036070000}"/>
    <cellStyle name="Normal 9 3 3" xfId="502" xr:uid="{00000000-0005-0000-0000-000037070000}"/>
    <cellStyle name="Normal 9 4" xfId="160" xr:uid="{00000000-0005-0000-0000-000038070000}"/>
    <cellStyle name="Normal 9 4 2" xfId="504" xr:uid="{00000000-0005-0000-0000-000039070000}"/>
    <cellStyle name="Normal 9 5" xfId="161" xr:uid="{00000000-0005-0000-0000-00003A070000}"/>
    <cellStyle name="Normal 9 5 2" xfId="581" xr:uid="{00000000-0005-0000-0000-00003B070000}"/>
    <cellStyle name="Normal 9 5 2 2" xfId="693" xr:uid="{00000000-0005-0000-0000-00003C070000}"/>
    <cellStyle name="Normal 9 5 2 2 2" xfId="920" xr:uid="{00000000-0005-0000-0000-00003D070000}"/>
    <cellStyle name="Normal 9 5 2 3" xfId="807" xr:uid="{00000000-0005-0000-0000-00003E070000}"/>
    <cellStyle name="Normal 9 5 3" xfId="618" xr:uid="{00000000-0005-0000-0000-00003F070000}"/>
    <cellStyle name="Normal 9 5 3 2" xfId="730" xr:uid="{00000000-0005-0000-0000-000040070000}"/>
    <cellStyle name="Normal 9 5 3 2 2" xfId="957" xr:uid="{00000000-0005-0000-0000-000041070000}"/>
    <cellStyle name="Normal 9 5 3 3" xfId="844" xr:uid="{00000000-0005-0000-0000-000042070000}"/>
    <cellStyle name="Normal 9 5 4" xfId="657" xr:uid="{00000000-0005-0000-0000-000043070000}"/>
    <cellStyle name="Normal 9 5 4 2" xfId="883" xr:uid="{00000000-0005-0000-0000-000044070000}"/>
    <cellStyle name="Normal 9 5 5" xfId="770" xr:uid="{00000000-0005-0000-0000-000045070000}"/>
    <cellStyle name="Normal 9 5 6" xfId="529" xr:uid="{00000000-0005-0000-0000-000046070000}"/>
    <cellStyle name="Normal 9 6" xfId="162" xr:uid="{00000000-0005-0000-0000-000047070000}"/>
    <cellStyle name="Normal 9 6 2" xfId="564" xr:uid="{00000000-0005-0000-0000-000048070000}"/>
    <cellStyle name="Normal 9 7" xfId="163" xr:uid="{00000000-0005-0000-0000-000049070000}"/>
    <cellStyle name="Normal 9 7 2" xfId="685" xr:uid="{00000000-0005-0000-0000-00004A070000}"/>
    <cellStyle name="Normal 9 7 2 2" xfId="912" xr:uid="{00000000-0005-0000-0000-00004B070000}"/>
    <cellStyle name="Normal 9 7 3" xfId="799" xr:uid="{00000000-0005-0000-0000-00004C070000}"/>
    <cellStyle name="Normal 9 7 4" xfId="573" xr:uid="{00000000-0005-0000-0000-00004D070000}"/>
    <cellStyle name="Normal 9 8" xfId="610" xr:uid="{00000000-0005-0000-0000-00004E070000}"/>
    <cellStyle name="Normal 9 8 2" xfId="722" xr:uid="{00000000-0005-0000-0000-00004F070000}"/>
    <cellStyle name="Normal 9 8 2 2" xfId="949" xr:uid="{00000000-0005-0000-0000-000050070000}"/>
    <cellStyle name="Normal 9 8 3" xfId="836" xr:uid="{00000000-0005-0000-0000-000051070000}"/>
    <cellStyle name="Normal 9 8 4" xfId="1296" xr:uid="{00000000-0005-0000-0000-000052070000}"/>
    <cellStyle name="Normal 9 8 4 2" xfId="1996" xr:uid="{00000000-0005-0000-0000-000053070000}"/>
    <cellStyle name="Normal 9 8 4 3" xfId="1584" xr:uid="{00000000-0005-0000-0000-000054070000}"/>
    <cellStyle name="Normal 9 9" xfId="649" xr:uid="{00000000-0005-0000-0000-000055070000}"/>
    <cellStyle name="Normal 9 9 2" xfId="875" xr:uid="{00000000-0005-0000-0000-000056070000}"/>
    <cellStyle name="Normal 9 9 3" xfId="1730" xr:uid="{00000000-0005-0000-0000-000057070000}"/>
    <cellStyle name="Normal 9_Capital Exp Received for 2013_2014" xfId="505" xr:uid="{00000000-0005-0000-0000-000058070000}"/>
    <cellStyle name="Note" xfId="15" builtinId="10" customBuiltin="1"/>
    <cellStyle name="Note 2" xfId="506" xr:uid="{00000000-0005-0000-0000-00005A070000}"/>
    <cellStyle name="Note 2 10" xfId="1247" xr:uid="{00000000-0005-0000-0000-00005B070000}"/>
    <cellStyle name="Note 2 10 2" xfId="1795" xr:uid="{00000000-0005-0000-0000-00005C070000}"/>
    <cellStyle name="Note 2 10 3" xfId="1542" xr:uid="{00000000-0005-0000-0000-00005D070000}"/>
    <cellStyle name="Note 2 2" xfId="1014" xr:uid="{00000000-0005-0000-0000-00005E070000}"/>
    <cellStyle name="Note 2 2 2" xfId="1124" xr:uid="{00000000-0005-0000-0000-00005F070000}"/>
    <cellStyle name="Note 2 2 3" xfId="1471" xr:uid="{00000000-0005-0000-0000-000060070000}"/>
    <cellStyle name="Note 2 2 3 2" xfId="2079" xr:uid="{00000000-0005-0000-0000-000061070000}"/>
    <cellStyle name="Note 2 3" xfId="1056" xr:uid="{00000000-0005-0000-0000-000062070000}"/>
    <cellStyle name="Note 2 3 2" xfId="1152" xr:uid="{00000000-0005-0000-0000-000063070000}"/>
    <cellStyle name="Note 2 4" xfId="1048" xr:uid="{00000000-0005-0000-0000-000064070000}"/>
    <cellStyle name="Note 2 4 2" xfId="1147" xr:uid="{00000000-0005-0000-0000-000065070000}"/>
    <cellStyle name="Note 2 5" xfId="1011" xr:uid="{00000000-0005-0000-0000-000066070000}"/>
    <cellStyle name="Note 2 5 2" xfId="1122" xr:uid="{00000000-0005-0000-0000-000067070000}"/>
    <cellStyle name="Note 2 6" xfId="1051" xr:uid="{00000000-0005-0000-0000-000068070000}"/>
    <cellStyle name="Note 2 6 2" xfId="1148" xr:uid="{00000000-0005-0000-0000-000069070000}"/>
    <cellStyle name="Note 2 7" xfId="1036" xr:uid="{00000000-0005-0000-0000-00006A070000}"/>
    <cellStyle name="Note 2 7 2" xfId="1139" xr:uid="{00000000-0005-0000-0000-00006B070000}"/>
    <cellStyle name="Note 2 8" xfId="1101" xr:uid="{00000000-0005-0000-0000-00006C070000}"/>
    <cellStyle name="Note 2 9" xfId="1174" xr:uid="{00000000-0005-0000-0000-00006D070000}"/>
    <cellStyle name="Note 2 9 2" xfId="1587" xr:uid="{00000000-0005-0000-0000-00006E070000}"/>
    <cellStyle name="Note 2 9 3" xfId="1621" xr:uid="{00000000-0005-0000-0000-00006F070000}"/>
    <cellStyle name="Note 3" xfId="1248" xr:uid="{00000000-0005-0000-0000-000070070000}"/>
    <cellStyle name="Note 3 2" xfId="1481" xr:uid="{00000000-0005-0000-0000-000071070000}"/>
    <cellStyle name="Note 3 2 2" xfId="2089" xr:uid="{00000000-0005-0000-0000-000072070000}"/>
    <cellStyle name="Note 3 3" xfId="2072" xr:uid="{00000000-0005-0000-0000-000073070000}"/>
    <cellStyle name="Note 4" xfId="2123" xr:uid="{00000000-0005-0000-0000-000074070000}"/>
    <cellStyle name="OrigenAccount" xfId="280" xr:uid="{00000000-0005-0000-0000-000075070000}"/>
    <cellStyle name="OrigenActivity" xfId="264" xr:uid="{00000000-0005-0000-0000-000076070000}"/>
    <cellStyle name="OrigenColumnHdg" xfId="265" xr:uid="{00000000-0005-0000-0000-000077070000}"/>
    <cellStyle name="OrigenCostCentre" xfId="279" xr:uid="{00000000-0005-0000-0000-000078070000}"/>
    <cellStyle name="OrigenEntity" xfId="255" xr:uid="{00000000-0005-0000-0000-000079070000}"/>
    <cellStyle name="OrigenGroup" xfId="273" xr:uid="{00000000-0005-0000-0000-00007A070000}"/>
    <cellStyle name="OrigenJob" xfId="278" xr:uid="{00000000-0005-0000-0000-00007B070000}"/>
    <cellStyle name="OrigenLevel" xfId="277" xr:uid="{00000000-0005-0000-0000-00007C070000}"/>
    <cellStyle name="OrigenPeriod" xfId="254" xr:uid="{00000000-0005-0000-0000-00007D070000}"/>
    <cellStyle name="OrigenPostingCode" xfId="256" xr:uid="{00000000-0005-0000-0000-00007E070000}"/>
    <cellStyle name="OrigenPostingCode 2" xfId="252" xr:uid="{00000000-0005-0000-0000-00007F070000}"/>
    <cellStyle name="OrigenPostingCode_Capital Exp Received for 2013_2014" xfId="507" xr:uid="{00000000-0005-0000-0000-000080070000}"/>
    <cellStyle name="OrigenSubJob" xfId="262" xr:uid="{00000000-0005-0000-0000-000081070000}"/>
    <cellStyle name="OrigenTitle" xfId="263" xr:uid="{00000000-0005-0000-0000-000082070000}"/>
    <cellStyle name="OrigenTotals" xfId="251" xr:uid="{00000000-0005-0000-0000-000083070000}"/>
    <cellStyle name="Output" xfId="10" builtinId="21" customBuiltin="1"/>
    <cellStyle name="Output 2" xfId="508" xr:uid="{00000000-0005-0000-0000-000085070000}"/>
    <cellStyle name="Output 2 10" xfId="1249" xr:uid="{00000000-0005-0000-0000-000086070000}"/>
    <cellStyle name="Output 2 10 2" xfId="1796" xr:uid="{00000000-0005-0000-0000-000087070000}"/>
    <cellStyle name="Output 2 10 3" xfId="1524" xr:uid="{00000000-0005-0000-0000-000088070000}"/>
    <cellStyle name="Output 2 2" xfId="509" xr:uid="{00000000-0005-0000-0000-000089070000}"/>
    <cellStyle name="Output 2 2 2" xfId="1016" xr:uid="{00000000-0005-0000-0000-00008A070000}"/>
    <cellStyle name="Output 2 2 2 2" xfId="1126" xr:uid="{00000000-0005-0000-0000-00008B070000}"/>
    <cellStyle name="Output 2 2 3" xfId="1057" xr:uid="{00000000-0005-0000-0000-00008C070000}"/>
    <cellStyle name="Output 2 2 3 2" xfId="1153" xr:uid="{00000000-0005-0000-0000-00008D070000}"/>
    <cellStyle name="Output 2 2 4" xfId="982" xr:uid="{00000000-0005-0000-0000-00008E070000}"/>
    <cellStyle name="Output 2 2 4 2" xfId="1114" xr:uid="{00000000-0005-0000-0000-00008F070000}"/>
    <cellStyle name="Output 2 2 5" xfId="1012" xr:uid="{00000000-0005-0000-0000-000090070000}"/>
    <cellStyle name="Output 2 2 5 2" xfId="1123" xr:uid="{00000000-0005-0000-0000-000091070000}"/>
    <cellStyle name="Output 2 2 6" xfId="1018" xr:uid="{00000000-0005-0000-0000-000092070000}"/>
    <cellStyle name="Output 2 2 6 2" xfId="1128" xr:uid="{00000000-0005-0000-0000-000093070000}"/>
    <cellStyle name="Output 2 2 7" xfId="1003" xr:uid="{00000000-0005-0000-0000-000094070000}"/>
    <cellStyle name="Output 2 2 7 2" xfId="1117" xr:uid="{00000000-0005-0000-0000-000095070000}"/>
    <cellStyle name="Output 2 2 8" xfId="1103" xr:uid="{00000000-0005-0000-0000-000096070000}"/>
    <cellStyle name="Output 2 3" xfId="1015" xr:uid="{00000000-0005-0000-0000-000097070000}"/>
    <cellStyle name="Output 2 3 2" xfId="1125" xr:uid="{00000000-0005-0000-0000-000098070000}"/>
    <cellStyle name="Output 2 4" xfId="1040" xr:uid="{00000000-0005-0000-0000-000099070000}"/>
    <cellStyle name="Output 2 4 2" xfId="1142" xr:uid="{00000000-0005-0000-0000-00009A070000}"/>
    <cellStyle name="Output 2 5" xfId="1054" xr:uid="{00000000-0005-0000-0000-00009B070000}"/>
    <cellStyle name="Output 2 5 2" xfId="1151" xr:uid="{00000000-0005-0000-0000-00009C070000}"/>
    <cellStyle name="Output 2 6" xfId="1005" xr:uid="{00000000-0005-0000-0000-00009D070000}"/>
    <cellStyle name="Output 2 6 2" xfId="1118" xr:uid="{00000000-0005-0000-0000-00009E070000}"/>
    <cellStyle name="Output 2 7" xfId="989" xr:uid="{00000000-0005-0000-0000-00009F070000}"/>
    <cellStyle name="Output 2 7 2" xfId="1116" xr:uid="{00000000-0005-0000-0000-0000A0070000}"/>
    <cellStyle name="Output 2 8" xfId="1053" xr:uid="{00000000-0005-0000-0000-0000A1070000}"/>
    <cellStyle name="Output 2 8 2" xfId="1150" xr:uid="{00000000-0005-0000-0000-0000A2070000}"/>
    <cellStyle name="Output 2 9" xfId="1102" xr:uid="{00000000-0005-0000-0000-0000A3070000}"/>
    <cellStyle name="Output 3" xfId="510" xr:uid="{00000000-0005-0000-0000-0000A4070000}"/>
    <cellStyle name="Output 3 2" xfId="1017" xr:uid="{00000000-0005-0000-0000-0000A5070000}"/>
    <cellStyle name="Output 3 2 2" xfId="1127" xr:uid="{00000000-0005-0000-0000-0000A6070000}"/>
    <cellStyle name="Output 3 3" xfId="1039" xr:uid="{00000000-0005-0000-0000-0000A7070000}"/>
    <cellStyle name="Output 3 3 2" xfId="1141" xr:uid="{00000000-0005-0000-0000-0000A8070000}"/>
    <cellStyle name="Output 3 4" xfId="1041" xr:uid="{00000000-0005-0000-0000-0000A9070000}"/>
    <cellStyle name="Output 3 4 2" xfId="1143" xr:uid="{00000000-0005-0000-0000-0000AA070000}"/>
    <cellStyle name="Output 3 5" xfId="1023" xr:uid="{00000000-0005-0000-0000-0000AB070000}"/>
    <cellStyle name="Output 3 5 2" xfId="1132" xr:uid="{00000000-0005-0000-0000-0000AC070000}"/>
    <cellStyle name="Output 3 6" xfId="1007" xr:uid="{00000000-0005-0000-0000-0000AD070000}"/>
    <cellStyle name="Output 3 6 2" xfId="1119" xr:uid="{00000000-0005-0000-0000-0000AE070000}"/>
    <cellStyle name="Output 3 7" xfId="983" xr:uid="{00000000-0005-0000-0000-0000AF070000}"/>
    <cellStyle name="Output 3 7 2" xfId="1115" xr:uid="{00000000-0005-0000-0000-0000B0070000}"/>
    <cellStyle name="Output 3 8" xfId="1104" xr:uid="{00000000-0005-0000-0000-0000B1070000}"/>
    <cellStyle name="Output 4" xfId="2118" xr:uid="{00000000-0005-0000-0000-0000B2070000}"/>
    <cellStyle name="Percent 2" xfId="168" xr:uid="{00000000-0005-0000-0000-0000B3070000}"/>
    <cellStyle name="Percent 2 2" xfId="182" xr:uid="{00000000-0005-0000-0000-0000B4070000}"/>
    <cellStyle name="Percent 2 2 2" xfId="274" xr:uid="{00000000-0005-0000-0000-0000B5070000}"/>
    <cellStyle name="Percent 2 2 2 2" xfId="1462" xr:uid="{00000000-0005-0000-0000-0000B6070000}"/>
    <cellStyle name="Percent 2 2 2 2 2" xfId="2016" xr:uid="{00000000-0005-0000-0000-0000B7070000}"/>
    <cellStyle name="Percent 2 2 2 2 3" xfId="1636" xr:uid="{00000000-0005-0000-0000-0000B8070000}"/>
    <cellStyle name="Percent 2 2 2 3" xfId="1497" xr:uid="{00000000-0005-0000-0000-0000B9070000}"/>
    <cellStyle name="Percent 2 2 2 3 2" xfId="2104" xr:uid="{00000000-0005-0000-0000-0000BA070000}"/>
    <cellStyle name="Percent 2 2 3" xfId="1732" xr:uid="{00000000-0005-0000-0000-0000BB070000}"/>
    <cellStyle name="Percent 2 3" xfId="174" xr:uid="{00000000-0005-0000-0000-0000BC070000}"/>
    <cellStyle name="Percent 2 3 2" xfId="1250" xr:uid="{00000000-0005-0000-0000-0000BD070000}"/>
    <cellStyle name="Percent 2 3 2 2" xfId="2073" xr:uid="{00000000-0005-0000-0000-0000BE070000}"/>
    <cellStyle name="Percent 2 3 3" xfId="1606" xr:uid="{00000000-0005-0000-0000-0000BF070000}"/>
    <cellStyle name="Percent 2 4" xfId="1344" xr:uid="{00000000-0005-0000-0000-0000C0070000}"/>
    <cellStyle name="Percent 2 4 2" xfId="1475" xr:uid="{00000000-0005-0000-0000-0000C1070000}"/>
    <cellStyle name="Percent 2 4 2 2" xfId="2083" xr:uid="{00000000-0005-0000-0000-0000C2070000}"/>
    <cellStyle name="Percent 2 5" xfId="1731" xr:uid="{00000000-0005-0000-0000-0000C3070000}"/>
    <cellStyle name="Percent 3" xfId="181" xr:uid="{00000000-0005-0000-0000-0000C4070000}"/>
    <cellStyle name="Percent 3 2" xfId="184" xr:uid="{00000000-0005-0000-0000-0000C5070000}"/>
    <cellStyle name="Percent 3 2 2" xfId="275" xr:uid="{00000000-0005-0000-0000-0000C6070000}"/>
    <cellStyle name="Percent 3 2 2 2" xfId="694" xr:uid="{00000000-0005-0000-0000-0000C7070000}"/>
    <cellStyle name="Percent 3 2 2 2 2" xfId="921" xr:uid="{00000000-0005-0000-0000-0000C8070000}"/>
    <cellStyle name="Percent 3 2 2 3" xfId="808" xr:uid="{00000000-0005-0000-0000-0000C9070000}"/>
    <cellStyle name="Percent 3 2 2 4" xfId="582" xr:uid="{00000000-0005-0000-0000-0000CA070000}"/>
    <cellStyle name="Percent 3 2 2 5" xfId="1498" xr:uid="{00000000-0005-0000-0000-0000CB070000}"/>
    <cellStyle name="Percent 3 2 2 5 2" xfId="2028" xr:uid="{00000000-0005-0000-0000-0000CC070000}"/>
    <cellStyle name="Percent 3 2 2 5 3" xfId="1535" xr:uid="{00000000-0005-0000-0000-0000CD070000}"/>
    <cellStyle name="Percent 3 2 2 6" xfId="1804" xr:uid="{00000000-0005-0000-0000-0000CE070000}"/>
    <cellStyle name="Percent 3 2 3" xfId="619" xr:uid="{00000000-0005-0000-0000-0000CF070000}"/>
    <cellStyle name="Percent 3 2 3 2" xfId="731" xr:uid="{00000000-0005-0000-0000-0000D0070000}"/>
    <cellStyle name="Percent 3 2 3 2 2" xfId="958" xr:uid="{00000000-0005-0000-0000-0000D1070000}"/>
    <cellStyle name="Percent 3 2 3 3" xfId="845" xr:uid="{00000000-0005-0000-0000-0000D2070000}"/>
    <cellStyle name="Percent 3 2 4" xfId="658" xr:uid="{00000000-0005-0000-0000-0000D3070000}"/>
    <cellStyle name="Percent 3 2 4 2" xfId="884" xr:uid="{00000000-0005-0000-0000-0000D4070000}"/>
    <cellStyle name="Percent 3 2 5" xfId="771" xr:uid="{00000000-0005-0000-0000-0000D5070000}"/>
    <cellStyle name="Percent 3 2 6" xfId="530" xr:uid="{00000000-0005-0000-0000-0000D6070000}"/>
    <cellStyle name="Percent 3 2 7" xfId="1251" xr:uid="{00000000-0005-0000-0000-0000D7070000}"/>
    <cellStyle name="Percent 3 2 7 2" xfId="2074" xr:uid="{00000000-0005-0000-0000-0000D8070000}"/>
    <cellStyle name="Percent 3 2 8" xfId="1533" xr:uid="{00000000-0005-0000-0000-0000D9070000}"/>
    <cellStyle name="Percent 3 3" xfId="197" xr:uid="{00000000-0005-0000-0000-0000DA070000}"/>
    <cellStyle name="Percent 3 3 2" xfId="276" xr:uid="{00000000-0005-0000-0000-0000DB070000}"/>
    <cellStyle name="Percent 3 3 2 2" xfId="713" xr:uid="{00000000-0005-0000-0000-0000DC070000}"/>
    <cellStyle name="Percent 3 3 2 2 2" xfId="940" xr:uid="{00000000-0005-0000-0000-0000DD070000}"/>
    <cellStyle name="Percent 3 3 2 3" xfId="827" xr:uid="{00000000-0005-0000-0000-0000DE070000}"/>
    <cellStyle name="Percent 3 3 2 4" xfId="601" xr:uid="{00000000-0005-0000-0000-0000DF070000}"/>
    <cellStyle name="Percent 3 3 2 5" xfId="1502" xr:uid="{00000000-0005-0000-0000-0000E0070000}"/>
    <cellStyle name="Percent 3 3 2 5 2" xfId="2029" xr:uid="{00000000-0005-0000-0000-0000E1070000}"/>
    <cellStyle name="Percent 3 3 2 5 3" xfId="1747" xr:uid="{00000000-0005-0000-0000-0000E2070000}"/>
    <cellStyle name="Percent 3 3 2 6" xfId="1805" xr:uid="{00000000-0005-0000-0000-0000E3070000}"/>
    <cellStyle name="Percent 3 3 3" xfId="638" xr:uid="{00000000-0005-0000-0000-0000E4070000}"/>
    <cellStyle name="Percent 3 3 3 2" xfId="750" xr:uid="{00000000-0005-0000-0000-0000E5070000}"/>
    <cellStyle name="Percent 3 3 3 2 2" xfId="977" xr:uid="{00000000-0005-0000-0000-0000E6070000}"/>
    <cellStyle name="Percent 3 3 3 3" xfId="864" xr:uid="{00000000-0005-0000-0000-0000E7070000}"/>
    <cellStyle name="Percent 3 3 4" xfId="677" xr:uid="{00000000-0005-0000-0000-0000E8070000}"/>
    <cellStyle name="Percent 3 3 4 2" xfId="903" xr:uid="{00000000-0005-0000-0000-0000E9070000}"/>
    <cellStyle name="Percent 3 3 5" xfId="790" xr:uid="{00000000-0005-0000-0000-0000EA070000}"/>
    <cellStyle name="Percent 3 3 6" xfId="565" xr:uid="{00000000-0005-0000-0000-0000EB070000}"/>
    <cellStyle name="Percent 3 3 7" xfId="2055" xr:uid="{00000000-0005-0000-0000-0000EC070000}"/>
    <cellStyle name="Percent 3 4" xfId="574" xr:uid="{00000000-0005-0000-0000-0000ED070000}"/>
    <cellStyle name="Percent 3 4 2" xfId="686" xr:uid="{00000000-0005-0000-0000-0000EE070000}"/>
    <cellStyle name="Percent 3 4 2 2" xfId="913" xr:uid="{00000000-0005-0000-0000-0000EF070000}"/>
    <cellStyle name="Percent 3 4 3" xfId="800" xr:uid="{00000000-0005-0000-0000-0000F0070000}"/>
    <cellStyle name="Percent 3 4 4" xfId="1466" xr:uid="{00000000-0005-0000-0000-0000F1070000}"/>
    <cellStyle name="Percent 3 4 4 2" xfId="2019" xr:uid="{00000000-0005-0000-0000-0000F2070000}"/>
    <cellStyle name="Percent 3 4 4 3" xfId="1630" xr:uid="{00000000-0005-0000-0000-0000F3070000}"/>
    <cellStyle name="Percent 3 4 5" xfId="1476" xr:uid="{00000000-0005-0000-0000-0000F4070000}"/>
    <cellStyle name="Percent 3 4 5 2" xfId="2084" xr:uid="{00000000-0005-0000-0000-0000F5070000}"/>
    <cellStyle name="Percent 3 5" xfId="611" xr:uid="{00000000-0005-0000-0000-0000F6070000}"/>
    <cellStyle name="Percent 3 5 2" xfId="723" xr:uid="{00000000-0005-0000-0000-0000F7070000}"/>
    <cellStyle name="Percent 3 5 2 2" xfId="950" xr:uid="{00000000-0005-0000-0000-0000F8070000}"/>
    <cellStyle name="Percent 3 5 3" xfId="837" xr:uid="{00000000-0005-0000-0000-0000F9070000}"/>
    <cellStyle name="Percent 3 5 4" xfId="1733" xr:uid="{00000000-0005-0000-0000-0000FA070000}"/>
    <cellStyle name="Percent 3 6" xfId="650" xr:uid="{00000000-0005-0000-0000-0000FB070000}"/>
    <cellStyle name="Percent 3 6 2" xfId="876" xr:uid="{00000000-0005-0000-0000-0000FC070000}"/>
    <cellStyle name="Percent 3 7" xfId="763" xr:uid="{00000000-0005-0000-0000-0000FD070000}"/>
    <cellStyle name="Percent 3 8" xfId="511" xr:uid="{00000000-0005-0000-0000-0000FE070000}"/>
    <cellStyle name="Percent 3 9" xfId="1539" xr:uid="{00000000-0005-0000-0000-0000FF070000}"/>
    <cellStyle name="Percent 4" xfId="566" xr:uid="{00000000-0005-0000-0000-000000080000}"/>
    <cellStyle name="Percent 4 2" xfId="602" xr:uid="{00000000-0005-0000-0000-000001080000}"/>
    <cellStyle name="Percent 4 2 2" xfId="714" xr:uid="{00000000-0005-0000-0000-000002080000}"/>
    <cellStyle name="Percent 4 2 2 2" xfId="941" xr:uid="{00000000-0005-0000-0000-000003080000}"/>
    <cellStyle name="Percent 4 2 3" xfId="828" xr:uid="{00000000-0005-0000-0000-000004080000}"/>
    <cellStyle name="Percent 4 3" xfId="639" xr:uid="{00000000-0005-0000-0000-000005080000}"/>
    <cellStyle name="Percent 4 3 2" xfId="751" xr:uid="{00000000-0005-0000-0000-000006080000}"/>
    <cellStyle name="Percent 4 3 2 2" xfId="978" xr:uid="{00000000-0005-0000-0000-000007080000}"/>
    <cellStyle name="Percent 4 3 3" xfId="865" xr:uid="{00000000-0005-0000-0000-000008080000}"/>
    <cellStyle name="Percent 4 4" xfId="678" xr:uid="{00000000-0005-0000-0000-000009080000}"/>
    <cellStyle name="Percent 4 4 2" xfId="904" xr:uid="{00000000-0005-0000-0000-00000A080000}"/>
    <cellStyle name="Percent 4 5" xfId="791" xr:uid="{00000000-0005-0000-0000-00000B080000}"/>
    <cellStyle name="Percent 5" xfId="567" xr:uid="{00000000-0005-0000-0000-00000C080000}"/>
    <cellStyle name="Percent 5 2" xfId="603" xr:uid="{00000000-0005-0000-0000-00000D080000}"/>
    <cellStyle name="Percent 5 2 2" xfId="715" xr:uid="{00000000-0005-0000-0000-00000E080000}"/>
    <cellStyle name="Percent 5 2 2 2" xfId="942" xr:uid="{00000000-0005-0000-0000-00000F080000}"/>
    <cellStyle name="Percent 5 2 3" xfId="829" xr:uid="{00000000-0005-0000-0000-000010080000}"/>
    <cellStyle name="Percent 5 2 4" xfId="1480" xr:uid="{00000000-0005-0000-0000-000011080000}"/>
    <cellStyle name="Percent 5 2 4 2" xfId="2088" xr:uid="{00000000-0005-0000-0000-000012080000}"/>
    <cellStyle name="Percent 5 3" xfId="640" xr:uid="{00000000-0005-0000-0000-000013080000}"/>
    <cellStyle name="Percent 5 3 2" xfId="752" xr:uid="{00000000-0005-0000-0000-000014080000}"/>
    <cellStyle name="Percent 5 3 2 2" xfId="979" xr:uid="{00000000-0005-0000-0000-000015080000}"/>
    <cellStyle name="Percent 5 3 3" xfId="866" xr:uid="{00000000-0005-0000-0000-000016080000}"/>
    <cellStyle name="Percent 5 4" xfId="679" xr:uid="{00000000-0005-0000-0000-000017080000}"/>
    <cellStyle name="Percent 5 4 2" xfId="905" xr:uid="{00000000-0005-0000-0000-000018080000}"/>
    <cellStyle name="Percent 5 5" xfId="792" xr:uid="{00000000-0005-0000-0000-000019080000}"/>
    <cellStyle name="Percent 5 6" xfId="1252" xr:uid="{00000000-0005-0000-0000-00001A080000}"/>
    <cellStyle name="Percent 5 6 2" xfId="1797" xr:uid="{00000000-0005-0000-0000-00001B080000}"/>
    <cellStyle name="Percent 5 6 3" xfId="1556" xr:uid="{00000000-0005-0000-0000-00001C080000}"/>
    <cellStyle name="Percent 6" xfId="2033" xr:uid="{00000000-0005-0000-0000-00001D080000}"/>
    <cellStyle name="Percent 7" xfId="2155" xr:uid="{00000000-0005-0000-0000-00001E080000}"/>
    <cellStyle name="Referenced" xfId="1345" xr:uid="{00000000-0005-0000-0000-00001F080000}"/>
    <cellStyle name="Referenced 2" xfId="1376" xr:uid="{00000000-0005-0000-0000-000020080000}"/>
    <cellStyle name="Referenced 3" xfId="1403" xr:uid="{00000000-0005-0000-0000-000021080000}"/>
    <cellStyle name="Referenced 4" xfId="1430" xr:uid="{00000000-0005-0000-0000-000022080000}"/>
    <cellStyle name="Referenced 5" xfId="1457" xr:uid="{00000000-0005-0000-0000-000023080000}"/>
    <cellStyle name="Referenced 6" xfId="1673" xr:uid="{00000000-0005-0000-0000-000024080000}"/>
    <cellStyle name="Referenced 6 2" xfId="1706" xr:uid="{00000000-0005-0000-0000-000025080000}"/>
    <cellStyle name="rpm" xfId="1346" xr:uid="{00000000-0005-0000-0000-000026080000}"/>
    <cellStyle name="rpm 2" xfId="1377" xr:uid="{00000000-0005-0000-0000-000027080000}"/>
    <cellStyle name="rpm 3" xfId="1404" xr:uid="{00000000-0005-0000-0000-000028080000}"/>
    <cellStyle name="rpm 4" xfId="1431" xr:uid="{00000000-0005-0000-0000-000029080000}"/>
    <cellStyle name="rpm 5" xfId="1458" xr:uid="{00000000-0005-0000-0000-00002A080000}"/>
    <cellStyle name="rpm 6" xfId="1674" xr:uid="{00000000-0005-0000-0000-00002B080000}"/>
    <cellStyle name="rpm 6 2" xfId="1707" xr:uid="{00000000-0005-0000-0000-00002C080000}"/>
    <cellStyle name="RWDTA_DESCR" xfId="2156" xr:uid="{00000000-0005-0000-0000-00002D080000}"/>
    <cellStyle name="Style1" xfId="244" xr:uid="{00000000-0005-0000-0000-00002E080000}"/>
    <cellStyle name="Style3" xfId="245" xr:uid="{00000000-0005-0000-0000-00002F080000}"/>
    <cellStyle name="Style5" xfId="246" xr:uid="{00000000-0005-0000-0000-000030080000}"/>
    <cellStyle name="Style7" xfId="247" xr:uid="{00000000-0005-0000-0000-000031080000}"/>
    <cellStyle name="Style7 2" xfId="1253" xr:uid="{00000000-0005-0000-0000-000032080000}"/>
    <cellStyle name="Style7 3" xfId="1738" xr:uid="{00000000-0005-0000-0000-000033080000}"/>
    <cellStyle name="Title" xfId="1" builtinId="15" customBuiltin="1"/>
    <cellStyle name="Title 2" xfId="512" xr:uid="{00000000-0005-0000-0000-000035080000}"/>
    <cellStyle name="Title 2 2" xfId="513" xr:uid="{00000000-0005-0000-0000-000036080000}"/>
    <cellStyle name="Title 3" xfId="514" xr:uid="{00000000-0005-0000-0000-000037080000}"/>
    <cellStyle name="Total" xfId="17" builtinId="25" customBuiltin="1"/>
    <cellStyle name="Total 2" xfId="515" xr:uid="{00000000-0005-0000-0000-000039080000}"/>
    <cellStyle name="Total 2 10" xfId="1254" xr:uid="{00000000-0005-0000-0000-00003A080000}"/>
    <cellStyle name="Total 2 10 2" xfId="1798" xr:uid="{00000000-0005-0000-0000-00003B080000}"/>
    <cellStyle name="Total 2 10 3" xfId="1608" xr:uid="{00000000-0005-0000-0000-00003C080000}"/>
    <cellStyle name="Total 2 2" xfId="516" xr:uid="{00000000-0005-0000-0000-00003D080000}"/>
    <cellStyle name="Total 2 2 2" xfId="1020" xr:uid="{00000000-0005-0000-0000-00003E080000}"/>
    <cellStyle name="Total 2 2 2 2" xfId="1130" xr:uid="{00000000-0005-0000-0000-00003F080000}"/>
    <cellStyle name="Total 2 2 3" xfId="1033" xr:uid="{00000000-0005-0000-0000-000040080000}"/>
    <cellStyle name="Total 2 2 3 2" xfId="1137" xr:uid="{00000000-0005-0000-0000-000041080000}"/>
    <cellStyle name="Total 2 2 4" xfId="1028" xr:uid="{00000000-0005-0000-0000-000042080000}"/>
    <cellStyle name="Total 2 2 4 2" xfId="1134" xr:uid="{00000000-0005-0000-0000-000043080000}"/>
    <cellStyle name="Total 2 2 5" xfId="1037" xr:uid="{00000000-0005-0000-0000-000044080000}"/>
    <cellStyle name="Total 2 2 5 2" xfId="1140" xr:uid="{00000000-0005-0000-0000-000045080000}"/>
    <cellStyle name="Total 2 2 6" xfId="1030" xr:uid="{00000000-0005-0000-0000-000046080000}"/>
    <cellStyle name="Total 2 2 6 2" xfId="1135" xr:uid="{00000000-0005-0000-0000-000047080000}"/>
    <cellStyle name="Total 2 2 7" xfId="1060" xr:uid="{00000000-0005-0000-0000-000048080000}"/>
    <cellStyle name="Total 2 2 7 2" xfId="1154" xr:uid="{00000000-0005-0000-0000-000049080000}"/>
    <cellStyle name="Total 2 2 8" xfId="1106" xr:uid="{00000000-0005-0000-0000-00004A080000}"/>
    <cellStyle name="Total 2 3" xfId="1019" xr:uid="{00000000-0005-0000-0000-00004B080000}"/>
    <cellStyle name="Total 2 3 2" xfId="1129" xr:uid="{00000000-0005-0000-0000-00004C080000}"/>
    <cellStyle name="Total 2 4" xfId="1046" xr:uid="{00000000-0005-0000-0000-00004D080000}"/>
    <cellStyle name="Total 2 4 2" xfId="1146" xr:uid="{00000000-0005-0000-0000-00004E080000}"/>
    <cellStyle name="Total 2 5" xfId="1031" xr:uid="{00000000-0005-0000-0000-00004F080000}"/>
    <cellStyle name="Total 2 5 2" xfId="1136" xr:uid="{00000000-0005-0000-0000-000050080000}"/>
    <cellStyle name="Total 2 6" xfId="1035" xr:uid="{00000000-0005-0000-0000-000051080000}"/>
    <cellStyle name="Total 2 6 2" xfId="1138" xr:uid="{00000000-0005-0000-0000-000052080000}"/>
    <cellStyle name="Total 2 7" xfId="1024" xr:uid="{00000000-0005-0000-0000-000053080000}"/>
    <cellStyle name="Total 2 7 2" xfId="1133" xr:uid="{00000000-0005-0000-0000-000054080000}"/>
    <cellStyle name="Total 2 8" xfId="1042" xr:uid="{00000000-0005-0000-0000-000055080000}"/>
    <cellStyle name="Total 2 8 2" xfId="1144" xr:uid="{00000000-0005-0000-0000-000056080000}"/>
    <cellStyle name="Total 2 9" xfId="1105" xr:uid="{00000000-0005-0000-0000-000057080000}"/>
    <cellStyle name="Total 3" xfId="517" xr:uid="{00000000-0005-0000-0000-000058080000}"/>
    <cellStyle name="Total 3 2" xfId="1021" xr:uid="{00000000-0005-0000-0000-000059080000}"/>
    <cellStyle name="Total 3 2 2" xfId="1131" xr:uid="{00000000-0005-0000-0000-00005A080000}"/>
    <cellStyle name="Total 3 3" xfId="1052" xr:uid="{00000000-0005-0000-0000-00005B080000}"/>
    <cellStyle name="Total 3 3 2" xfId="1149" xr:uid="{00000000-0005-0000-0000-00005C080000}"/>
    <cellStyle name="Total 3 4" xfId="1008" xr:uid="{00000000-0005-0000-0000-00005D080000}"/>
    <cellStyle name="Total 3 4 2" xfId="1120" xr:uid="{00000000-0005-0000-0000-00005E080000}"/>
    <cellStyle name="Total 3 5" xfId="1009" xr:uid="{00000000-0005-0000-0000-00005F080000}"/>
    <cellStyle name="Total 3 5 2" xfId="1121" xr:uid="{00000000-0005-0000-0000-000060080000}"/>
    <cellStyle name="Total 3 6" xfId="1045" xr:uid="{00000000-0005-0000-0000-000061080000}"/>
    <cellStyle name="Total 3 6 2" xfId="1145" xr:uid="{00000000-0005-0000-0000-000062080000}"/>
    <cellStyle name="Total 3 7" xfId="1062" xr:uid="{00000000-0005-0000-0000-000063080000}"/>
    <cellStyle name="Total 3 7 2" xfId="1155" xr:uid="{00000000-0005-0000-0000-000064080000}"/>
    <cellStyle name="Total 3 8" xfId="1107" xr:uid="{00000000-0005-0000-0000-000065080000}"/>
    <cellStyle name="Total 4" xfId="2125" xr:uid="{00000000-0005-0000-0000-000066080000}"/>
    <cellStyle name="Warning Text" xfId="14" builtinId="11" customBuiltin="1"/>
    <cellStyle name="Warning Text 2" xfId="518" xr:uid="{00000000-0005-0000-0000-000068080000}"/>
    <cellStyle name="Warning Text 2 2" xfId="519" xr:uid="{00000000-0005-0000-0000-000069080000}"/>
    <cellStyle name="Warning Text 2 3" xfId="1255" xr:uid="{00000000-0005-0000-0000-00006A080000}"/>
    <cellStyle name="Warning Text 2 3 2" xfId="1799" xr:uid="{00000000-0005-0000-0000-00006B080000}"/>
    <cellStyle name="Warning Text 2 3 3" xfId="1527" xr:uid="{00000000-0005-0000-0000-00006C080000}"/>
    <cellStyle name="Warning Text 3" xfId="520" xr:uid="{00000000-0005-0000-0000-00006D080000}"/>
    <cellStyle name="Warning Text 4" xfId="2122" xr:uid="{00000000-0005-0000-0000-00006E080000}"/>
  </cellStyles>
  <dxfs count="2">
    <dxf>
      <numFmt numFmtId="208" formatCode=";;;"/>
    </dxf>
    <dxf>
      <numFmt numFmtId="168" formatCode="_-* #,##0.00_-;\-* #,##0.00_-;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16</xdr:col>
      <xdr:colOff>1485900</xdr:colOff>
      <xdr:row>1</xdr:row>
      <xdr:rowOff>9525</xdr:rowOff>
    </xdr:from>
    <xdr:ext cx="1905000" cy="590550"/>
    <xdr:pic>
      <xdr:nvPicPr>
        <xdr:cNvPr id="2" name="Picture 1">
          <a:extLst>
            <a:ext uri="{FF2B5EF4-FFF2-40B4-BE49-F238E27FC236}">
              <a16:creationId xmlns:a16="http://schemas.microsoft.com/office/drawing/2014/main" id="{2625FE19-DA55-46CC-A970-8EEE152F9785}"/>
            </a:ext>
          </a:extLst>
        </xdr:cNvPr>
        <xdr:cNvPicPr>
          <a:picLocks noChangeAspect="1"/>
        </xdr:cNvPicPr>
      </xdr:nvPicPr>
      <xdr:blipFill>
        <a:blip xmlns:r="http://schemas.openxmlformats.org/officeDocument/2006/relationships" r:embed="rId1"/>
        <a:stretch>
          <a:fillRect/>
        </a:stretch>
      </xdr:blipFill>
      <xdr:spPr>
        <a:xfrm>
          <a:off x="17244060" y="9525"/>
          <a:ext cx="1905000" cy="590550"/>
        </a:xfrm>
        <a:prstGeom prst="rect">
          <a:avLst/>
        </a:prstGeom>
        <a:noFill/>
        <a:ln>
          <a:noFill/>
        </a:ln>
      </xdr:spPr>
    </xdr:pic>
    <xdr:clientData/>
  </xdr:oneCellAnchor>
</xdr:wsDr>
</file>

<file path=xl/drawings/drawing2.xml><?xml version="1.0" encoding="utf-8"?>
<xdr:wsDr xmlns:xdr="http://schemas.openxmlformats.org/drawingml/2006/spreadsheetDrawing" xmlns:a="http://schemas.openxmlformats.org/drawingml/2006/main">
  <xdr:oneCellAnchor>
    <xdr:from>
      <xdr:col>16</xdr:col>
      <xdr:colOff>1485900</xdr:colOff>
      <xdr:row>1</xdr:row>
      <xdr:rowOff>9525</xdr:rowOff>
    </xdr:from>
    <xdr:ext cx="1905000" cy="590550"/>
    <xdr:pic>
      <xdr:nvPicPr>
        <xdr:cNvPr id="2" name="Picture 1">
          <a:extLst>
            <a:ext uri="{FF2B5EF4-FFF2-40B4-BE49-F238E27FC236}">
              <a16:creationId xmlns:a16="http://schemas.microsoft.com/office/drawing/2014/main" id="{E8C1321C-194E-4D0B-8571-710066C9A2F1}"/>
            </a:ext>
          </a:extLst>
        </xdr:cNvPr>
        <xdr:cNvPicPr>
          <a:picLocks noChangeAspect="1"/>
        </xdr:cNvPicPr>
      </xdr:nvPicPr>
      <xdr:blipFill>
        <a:blip xmlns:r="http://schemas.openxmlformats.org/officeDocument/2006/relationships" r:embed="rId1"/>
        <a:stretch>
          <a:fillRect/>
        </a:stretch>
      </xdr:blipFill>
      <xdr:spPr>
        <a:xfrm>
          <a:off x="17240250" y="11430"/>
          <a:ext cx="1905000" cy="590550"/>
        </a:xfrm>
        <a:prstGeom prst="rect">
          <a:avLst/>
        </a:prstGeom>
        <a:noFill/>
        <a:ln>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16</xdr:col>
      <xdr:colOff>1485900</xdr:colOff>
      <xdr:row>1</xdr:row>
      <xdr:rowOff>9525</xdr:rowOff>
    </xdr:from>
    <xdr:ext cx="1905000" cy="590550"/>
    <xdr:pic>
      <xdr:nvPicPr>
        <xdr:cNvPr id="2" name="Picture 1">
          <a:extLst>
            <a:ext uri="{FF2B5EF4-FFF2-40B4-BE49-F238E27FC236}">
              <a16:creationId xmlns:a16="http://schemas.microsoft.com/office/drawing/2014/main" id="{F0EF4CD3-CF5A-4113-8A25-51401F6D8CC9}"/>
            </a:ext>
          </a:extLst>
        </xdr:cNvPr>
        <xdr:cNvPicPr>
          <a:picLocks noChangeAspect="1"/>
        </xdr:cNvPicPr>
      </xdr:nvPicPr>
      <xdr:blipFill>
        <a:blip xmlns:r="http://schemas.openxmlformats.org/officeDocument/2006/relationships" r:embed="rId1"/>
        <a:stretch>
          <a:fillRect/>
        </a:stretch>
      </xdr:blipFill>
      <xdr:spPr>
        <a:xfrm>
          <a:off x="17240250" y="11430"/>
          <a:ext cx="1905000" cy="5905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IA_Measures_Worksheet2021-2022_EOY%20FI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FRONT"/>
      <sheetName val="Supply Water Medians"/>
      <sheetName val="Supply Water Complaints"/>
      <sheetName val="Supply Water Consumption"/>
      <sheetName val="Supply Water Compliance"/>
      <sheetName val="Supply Water Lost"/>
      <sheetName val="Sewer Water Medians"/>
      <sheetName val="Sewer Water Complaints"/>
      <sheetName val="Sewer Water Overflows"/>
      <sheetName val="Sewer Water Compliance"/>
      <sheetName val="Storm Water Median"/>
      <sheetName val="Storm Water Complaints"/>
      <sheetName val="Storm Water Overflows"/>
      <sheetName val="Storm Water Compliance "/>
      <sheetName val="Monthly Transport 1"/>
      <sheetName val="Transport 3 RawData"/>
      <sheetName val="Monthly Transport 2"/>
      <sheetName val="Monthly Transport 3"/>
      <sheetName val="Monthly Transport 4"/>
      <sheetName val="Monthly Transport 5"/>
      <sheetName val="TransportMeasure5"/>
      <sheetName val="Monthly Transport 6"/>
      <sheetName val="Supply Median a-Response Urg"/>
      <sheetName val="Supply Median a-Response NonU"/>
      <sheetName val="Supply Median b-Resolution Urg"/>
      <sheetName val="Supply Median b-Resolution NonU"/>
      <sheetName val="Supply Complaint a-Clarity"/>
      <sheetName val="Supply Complaint b-Taste"/>
      <sheetName val="Supply Complaint c-Odour"/>
      <sheetName val="Supply Complaint d-Pressure"/>
      <sheetName val="Supply Complaint e-Continuity"/>
      <sheetName val="Supply Complaint f-RespToIssues"/>
      <sheetName val="Sewer Median a-Response"/>
      <sheetName val="Sewer Median b-Resolution"/>
      <sheetName val="Sewer Complaint a-Odour"/>
      <sheetName val="Sewer Complaint b-Fault"/>
      <sheetName val="Sewer Complaint c-Blockage"/>
      <sheetName val="Sewer Complaint d-RespToIssues"/>
      <sheetName val="Sewer Dry Overflows"/>
      <sheetName val="Storm Count &amp; Median Response"/>
      <sheetName val="Storm Complaint a-Faults"/>
      <sheetName val="Transport 1 RawData"/>
      <sheetName val="HELP - WaterSupply Data Sources"/>
      <sheetName val="HELP - Stormwater Data Sources"/>
      <sheetName val="HELP - Wastewater Data Sources"/>
      <sheetName val="HELP - Transport Data Sources"/>
      <sheetName val="HELP - Connections"/>
      <sheetName val="HELP - Refreshing Annually"/>
      <sheetName val="FORMULA QRT REPORT"/>
      <sheetName val="FORMULA QRT RPT"/>
      <sheetName val="Water Connection Counts"/>
      <sheetName val="Water Supply Abstraction"/>
    </sheetNames>
    <sheetDataSet>
      <sheetData sheetId="0"/>
      <sheetData sheetId="1"/>
      <sheetData sheetId="2"/>
      <sheetData sheetId="3"/>
      <sheetData sheetId="4">
        <row r="21">
          <cell r="M21">
            <v>48300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persons/person.xml><?xml version="1.0" encoding="utf-8"?>
<personList xmlns="http://schemas.microsoft.com/office/spreadsheetml/2018/threadedcomments" xmlns:x="http://schemas.openxmlformats.org/spreadsheetml/2006/main">
  <person displayName="Lesley Smith" id="{988316C7-3923-4648-9F71-E7E776165778}" userId="S::lesley.smith@waternz.org.nz::2dfedb7e-b3e9-499f-b13a-4cdd9e6462cb" providerId="AD"/>
  <person displayName="Karelia Gonzalez" id="{5B229F5B-DC72-47A4-A2E5-779360961E62}" userId="S::Karelia.Gonzalez@qldc.govt.nz::9cd2c4fa-6530-4916-8c8c-cf3c402714e0"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san Todd" refreshedDate="44831.627182986114" createdVersion="8" refreshedVersion="8" minRefreshableVersion="3" recordCount="379" xr:uid="{00000000-000A-0000-FFFF-FFFF00000000}">
  <cacheSource type="worksheet">
    <worksheetSource ref="K5:Q384" sheet="Capex Projects List"/>
  </cacheSource>
  <cacheFields count="7">
    <cacheField name="Programme" numFmtId="0">
      <sharedItems count="11">
        <s v="3 Waters"/>
        <s v="Buildings"/>
        <s v="Camp Grounds"/>
        <s v="Libraries"/>
        <s v="Not Applicable"/>
        <s v="Waste Management"/>
        <s v="Storm Water"/>
        <s v="Transport"/>
        <s v="Venues and Facilities"/>
        <s v="Waste Water"/>
        <s v="Water Supply"/>
      </sharedItems>
    </cacheField>
    <cacheField name="21_22 Growth Budget" numFmtId="168">
      <sharedItems containsSemiMixedTypes="0" containsString="0" containsNumber="1" minValue="0" maxValue="24404883.032000002"/>
    </cacheField>
    <cacheField name="21_22 Los Budget" numFmtId="168">
      <sharedItems containsSemiMixedTypes="0" containsString="0" containsNumber="1" minValue="0" maxValue="11442432.472250002"/>
    </cacheField>
    <cacheField name="21_22 Renewals Budget" numFmtId="168">
      <sharedItems containsSemiMixedTypes="0" containsString="0" containsNumber="1" minValue="0" maxValue="14963180.925249999"/>
    </cacheField>
    <cacheField name="21_22 Growth Actuals" numFmtId="168">
      <sharedItems containsSemiMixedTypes="0" containsString="0" containsNumber="1" minValue="-90.522000000000006" maxValue="21139735.952000003"/>
    </cacheField>
    <cacheField name="21_22 Los Actuals" numFmtId="168">
      <sharedItems containsSemiMixedTypes="0" containsString="0" containsNumber="1" minValue="-229.97719999999998" maxValue="10593065.944499999"/>
    </cacheField>
    <cacheField name="21_22 Renewals Actuals" numFmtId="168">
      <sharedItems containsSemiMixedTypes="0" containsString="0" containsNumber="1" minValue="-150.87" maxValue="13852470.8504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0"/>
    <n v="0"/>
    <n v="0"/>
    <n v="9.4024999999999999"/>
    <n v="9.4024999999999999"/>
    <n v="18.805"/>
  </r>
  <r>
    <x v="0"/>
    <n v="0"/>
    <n v="0"/>
    <n v="0"/>
    <n v="0"/>
    <n v="0"/>
    <n v="0"/>
  </r>
  <r>
    <x v="1"/>
    <n v="0"/>
    <n v="1083.4000000000001"/>
    <n v="4333.6000000000004"/>
    <n v="0"/>
    <n v="0"/>
    <n v="0"/>
  </r>
  <r>
    <x v="1"/>
    <n v="111151.66277000001"/>
    <n v="1012727.6372300001"/>
    <n v="0"/>
    <n v="102514.06017299999"/>
    <n v="934028.50982699997"/>
    <n v="0"/>
  </r>
  <r>
    <x v="1"/>
    <n v="0"/>
    <n v="0"/>
    <n v="5170"/>
    <n v="0"/>
    <n v="0"/>
    <n v="0"/>
  </r>
  <r>
    <x v="1"/>
    <n v="91252.931000000011"/>
    <n v="56610.000104000006"/>
    <n v="183965.90889600001"/>
    <n v="81563.451750000007"/>
    <n v="50598.999521999998"/>
    <n v="164431.91872799999"/>
  </r>
  <r>
    <x v="1"/>
    <n v="900"/>
    <n v="2050"/>
    <n v="2050"/>
    <n v="0"/>
    <n v="0"/>
    <n v="0"/>
  </r>
  <r>
    <x v="1"/>
    <n v="0"/>
    <n v="0"/>
    <n v="0"/>
    <n v="0"/>
    <n v="0"/>
    <n v="0"/>
  </r>
  <r>
    <x v="1"/>
    <n v="0"/>
    <n v="0"/>
    <n v="9124"/>
    <n v="0"/>
    <n v="0"/>
    <n v="8805"/>
  </r>
  <r>
    <x v="1"/>
    <n v="508699.78224999999"/>
    <n v="1341117.60775"/>
    <n v="0"/>
    <n v="506255.78575000004"/>
    <n v="1334674.3442499998"/>
    <n v="0"/>
  </r>
  <r>
    <x v="1"/>
    <n v="0"/>
    <n v="1000"/>
    <n v="4000"/>
    <n v="0"/>
    <n v="0"/>
    <n v="0"/>
  </r>
  <r>
    <x v="1"/>
    <n v="0"/>
    <n v="1000"/>
    <n v="4000"/>
    <n v="0"/>
    <n v="0"/>
    <n v="0"/>
  </r>
  <r>
    <x v="1"/>
    <n v="0"/>
    <n v="1000"/>
    <n v="4000"/>
    <n v="0"/>
    <n v="0"/>
    <n v="0"/>
  </r>
  <r>
    <x v="1"/>
    <n v="0"/>
    <n v="0"/>
    <n v="3361"/>
    <n v="0"/>
    <n v="0"/>
    <n v="3361"/>
  </r>
  <r>
    <x v="1"/>
    <n v="0"/>
    <n v="0"/>
    <n v="5298"/>
    <n v="0"/>
    <n v="0"/>
    <n v="6160.94"/>
  </r>
  <r>
    <x v="1"/>
    <n v="0"/>
    <n v="0"/>
    <n v="40000"/>
    <n v="0"/>
    <n v="0"/>
    <n v="0"/>
  </r>
  <r>
    <x v="1"/>
    <n v="0"/>
    <n v="92.4"/>
    <n v="369.6"/>
    <n v="0"/>
    <n v="0"/>
    <n v="0"/>
  </r>
  <r>
    <x v="1"/>
    <n v="0"/>
    <n v="4000"/>
    <n v="0"/>
    <n v="0"/>
    <n v="0"/>
    <n v="0"/>
  </r>
  <r>
    <x v="1"/>
    <n v="0"/>
    <n v="22387.21"/>
    <n v="0"/>
    <n v="0"/>
    <n v="17006.04"/>
    <n v="0"/>
  </r>
  <r>
    <x v="1"/>
    <n v="0"/>
    <n v="0"/>
    <n v="4566982"/>
    <n v="0"/>
    <n v="0"/>
    <n v="3268908.07"/>
  </r>
  <r>
    <x v="1"/>
    <n v="0"/>
    <n v="0"/>
    <n v="0"/>
    <n v="0"/>
    <n v="0"/>
    <n v="0"/>
  </r>
  <r>
    <x v="1"/>
    <n v="0"/>
    <n v="960.80000000000007"/>
    <n v="3843.2000000000003"/>
    <n v="0"/>
    <n v="268.60000000000002"/>
    <n v="1074.4000000000001"/>
  </r>
  <r>
    <x v="1"/>
    <n v="0"/>
    <n v="2143.8000000000002"/>
    <n v="8575.2000000000007"/>
    <n v="0"/>
    <n v="1566.8000000000002"/>
    <n v="6267.2000000000007"/>
  </r>
  <r>
    <x v="1"/>
    <n v="0"/>
    <n v="0"/>
    <n v="0"/>
    <n v="0"/>
    <n v="0"/>
    <n v="0"/>
  </r>
  <r>
    <x v="1"/>
    <n v="0"/>
    <n v="0"/>
    <n v="10340"/>
    <n v="0"/>
    <n v="0"/>
    <n v="0"/>
  </r>
  <r>
    <x v="1"/>
    <n v="0"/>
    <n v="0"/>
    <n v="5170"/>
    <n v="0"/>
    <n v="0"/>
    <n v="0"/>
  </r>
  <r>
    <x v="1"/>
    <n v="0"/>
    <n v="10304.098"/>
    <n v="41216.392"/>
    <n v="0"/>
    <n v="10169.196000000002"/>
    <n v="40676.784000000007"/>
  </r>
  <r>
    <x v="1"/>
    <n v="0"/>
    <n v="0"/>
    <n v="47291.35"/>
    <n v="0"/>
    <n v="0"/>
    <n v="12291.35"/>
  </r>
  <r>
    <x v="1"/>
    <n v="0"/>
    <n v="0"/>
    <n v="0"/>
    <n v="0"/>
    <n v="0"/>
    <n v="0"/>
  </r>
  <r>
    <x v="1"/>
    <n v="0"/>
    <n v="0"/>
    <n v="5170"/>
    <n v="0"/>
    <n v="0"/>
    <n v="0"/>
  </r>
  <r>
    <x v="1"/>
    <n v="0"/>
    <n v="0"/>
    <n v="5170"/>
    <n v="0"/>
    <n v="0"/>
    <n v="6296.61"/>
  </r>
  <r>
    <x v="1"/>
    <n v="230933.27675000002"/>
    <n v="434826.36618600006"/>
    <n v="173997.72706400001"/>
    <n v="222514.10225"/>
    <n v="418973.82598199998"/>
    <n v="167654.261768"/>
  </r>
  <r>
    <x v="1"/>
    <n v="0"/>
    <n v="0"/>
    <n v="21785.06"/>
    <n v="0"/>
    <n v="0"/>
    <n v="17100.55"/>
  </r>
  <r>
    <x v="1"/>
    <n v="0"/>
    <n v="0"/>
    <n v="0"/>
    <n v="0"/>
    <n v="0"/>
    <n v="0"/>
  </r>
  <r>
    <x v="1"/>
    <n v="0"/>
    <n v="41.6"/>
    <n v="166.4"/>
    <n v="0"/>
    <n v="0"/>
    <n v="0"/>
  </r>
  <r>
    <x v="1"/>
    <n v="0"/>
    <n v="4068"/>
    <n v="16272"/>
    <n v="0"/>
    <n v="3477.6839999999997"/>
    <n v="13910.735999999999"/>
  </r>
  <r>
    <x v="1"/>
    <n v="0"/>
    <n v="0"/>
    <n v="60000"/>
    <n v="0"/>
    <n v="0"/>
    <n v="5500"/>
  </r>
  <r>
    <x v="1"/>
    <n v="0"/>
    <n v="6000"/>
    <n v="24000"/>
    <n v="0"/>
    <n v="0"/>
    <n v="0"/>
  </r>
  <r>
    <x v="1"/>
    <n v="0"/>
    <n v="0"/>
    <n v="2832"/>
    <n v="0"/>
    <n v="0"/>
    <n v="0"/>
  </r>
  <r>
    <x v="1"/>
    <n v="0"/>
    <n v="0"/>
    <n v="275"/>
    <n v="0"/>
    <n v="0"/>
    <n v="0"/>
  </r>
  <r>
    <x v="1"/>
    <n v="64925"/>
    <n v="185075"/>
    <n v="0"/>
    <n v="10333.463"/>
    <n v="29456.536999999997"/>
    <n v="0"/>
  </r>
  <r>
    <x v="1"/>
    <n v="0"/>
    <n v="0"/>
    <n v="0"/>
    <n v="0"/>
    <n v="0"/>
    <n v="0"/>
  </r>
  <r>
    <x v="1"/>
    <n v="0"/>
    <n v="10476"/>
    <n v="41904"/>
    <n v="0"/>
    <n v="7617.7619999999997"/>
    <n v="30471.047999999999"/>
  </r>
  <r>
    <x v="1"/>
    <n v="0"/>
    <n v="166550.19"/>
    <n v="0"/>
    <n v="0"/>
    <n v="226637.06"/>
    <n v="0"/>
  </r>
  <r>
    <x v="1"/>
    <n v="0"/>
    <n v="0"/>
    <n v="30000"/>
    <n v="0"/>
    <n v="0"/>
    <n v="14738.69"/>
  </r>
  <r>
    <x v="1"/>
    <n v="0"/>
    <n v="0"/>
    <n v="15000"/>
    <n v="0"/>
    <n v="0"/>
    <n v="0"/>
  </r>
  <r>
    <x v="1"/>
    <n v="129240"/>
    <n v="110759.99999999999"/>
    <n v="160000"/>
    <n v="19812.110742000001"/>
    <n v="16979.181257999997"/>
    <n v="24527.528000000002"/>
  </r>
  <r>
    <x v="1"/>
    <n v="94400"/>
    <n v="155600"/>
    <n v="0"/>
    <n v="0"/>
    <n v="0"/>
    <n v="0"/>
  </r>
  <r>
    <x v="1"/>
    <n v="24675"/>
    <n v="45325"/>
    <n v="0"/>
    <n v="24636.059324999998"/>
    <n v="45253.470674999997"/>
    <n v="0"/>
  </r>
  <r>
    <x v="1"/>
    <n v="0"/>
    <n v="0"/>
    <n v="925.15"/>
    <n v="0"/>
    <n v="0"/>
    <n v="0"/>
  </r>
  <r>
    <x v="1"/>
    <n v="0"/>
    <n v="0"/>
    <n v="566.08000000000004"/>
    <n v="0"/>
    <n v="0"/>
    <n v="278.51"/>
  </r>
  <r>
    <x v="1"/>
    <n v="0"/>
    <n v="0"/>
    <n v="12805.76"/>
    <n v="0"/>
    <n v="0"/>
    <n v="23384.35"/>
  </r>
  <r>
    <x v="1"/>
    <n v="0"/>
    <n v="0"/>
    <n v="10805.52"/>
    <n v="0"/>
    <n v="0"/>
    <n v="10769"/>
  </r>
  <r>
    <x v="1"/>
    <n v="0"/>
    <n v="0"/>
    <n v="462"/>
    <n v="0"/>
    <n v="0"/>
    <n v="0"/>
  </r>
  <r>
    <x v="1"/>
    <n v="325324.99999999994"/>
    <n v="324675"/>
    <n v="0"/>
    <n v="32586.714159999996"/>
    <n v="32521.60584"/>
    <n v="0"/>
  </r>
  <r>
    <x v="1"/>
    <n v="0"/>
    <n v="0"/>
    <n v="2683"/>
    <n v="0"/>
    <n v="0"/>
    <n v="0"/>
  </r>
  <r>
    <x v="1"/>
    <n v="150000"/>
    <n v="150000"/>
    <n v="0"/>
    <n v="68225.145000000004"/>
    <n v="68225.145000000004"/>
    <n v="0"/>
  </r>
  <r>
    <x v="1"/>
    <n v="0"/>
    <n v="200000"/>
    <n v="0"/>
    <n v="0"/>
    <n v="97888.71"/>
    <n v="0"/>
  </r>
  <r>
    <x v="1"/>
    <n v="0"/>
    <n v="345000"/>
    <n v="0"/>
    <n v="0"/>
    <n v="10909.27"/>
    <n v="0"/>
  </r>
  <r>
    <x v="1"/>
    <n v="0"/>
    <n v="30000"/>
    <n v="0"/>
    <n v="0"/>
    <n v="25625.21"/>
    <n v="0"/>
  </r>
  <r>
    <x v="1"/>
    <n v="0"/>
    <n v="75000"/>
    <n v="0"/>
    <n v="0"/>
    <n v="0"/>
    <n v="0"/>
  </r>
  <r>
    <x v="1"/>
    <n v="0"/>
    <n v="0"/>
    <n v="0"/>
    <n v="0"/>
    <n v="0"/>
    <n v="0"/>
  </r>
  <r>
    <x v="1"/>
    <n v="0"/>
    <n v="0"/>
    <n v="0"/>
    <n v="0"/>
    <n v="0"/>
    <n v="0"/>
  </r>
  <r>
    <x v="1"/>
    <n v="0"/>
    <n v="0"/>
    <n v="0"/>
    <n v="0"/>
    <n v="0"/>
    <n v="0"/>
  </r>
  <r>
    <x v="1"/>
    <n v="0"/>
    <n v="0"/>
    <n v="0"/>
    <n v="0"/>
    <n v="0"/>
    <n v="0"/>
  </r>
  <r>
    <x v="2"/>
    <n v="0"/>
    <n v="0"/>
    <n v="0"/>
    <n v="0"/>
    <n v="0"/>
    <n v="0"/>
  </r>
  <r>
    <x v="2"/>
    <n v="0"/>
    <n v="0"/>
    <n v="0"/>
    <n v="0"/>
    <n v="0"/>
    <n v="0"/>
  </r>
  <r>
    <x v="2"/>
    <n v="0"/>
    <n v="2481.6000000000004"/>
    <n v="9926.4000000000015"/>
    <n v="0"/>
    <n v="0"/>
    <n v="0"/>
  </r>
  <r>
    <x v="2"/>
    <n v="0"/>
    <n v="0"/>
    <n v="0"/>
    <n v="0"/>
    <n v="0"/>
    <n v="0"/>
  </r>
  <r>
    <x v="2"/>
    <n v="0"/>
    <n v="0"/>
    <n v="0"/>
    <n v="0"/>
    <n v="0"/>
    <n v="0"/>
  </r>
  <r>
    <x v="3"/>
    <n v="0"/>
    <n v="0"/>
    <n v="3656.07"/>
    <n v="0"/>
    <n v="0"/>
    <n v="7127.53"/>
  </r>
  <r>
    <x v="3"/>
    <n v="0"/>
    <n v="106782.24400000001"/>
    <n v="427128.97600000002"/>
    <n v="0"/>
    <n v="69595.771999999997"/>
    <n v="278383.08799999999"/>
  </r>
  <r>
    <x v="3"/>
    <n v="1161"/>
    <n v="1919.5"/>
    <n v="1919.5"/>
    <n v="0"/>
    <n v="0"/>
    <n v="0"/>
  </r>
  <r>
    <x v="3"/>
    <n v="0"/>
    <n v="59.400000000000006"/>
    <n v="237.60000000000002"/>
    <n v="0"/>
    <n v="0"/>
    <n v="0"/>
  </r>
  <r>
    <x v="3"/>
    <n v="0"/>
    <n v="24269.652000000002"/>
    <n v="97078.608000000007"/>
    <n v="0"/>
    <n v="12361.675999999999"/>
    <n v="49446.703999999998"/>
  </r>
  <r>
    <x v="3"/>
    <n v="0"/>
    <n v="165.43"/>
    <n v="661.72"/>
    <n v="0"/>
    <n v="0"/>
    <n v="0"/>
  </r>
  <r>
    <x v="3"/>
    <n v="0"/>
    <n v="0"/>
    <n v="0"/>
    <n v="0"/>
    <n v="0"/>
    <n v="0"/>
  </r>
  <r>
    <x v="4"/>
    <n v="0"/>
    <n v="3861058.395"/>
    <n v="3861058.395"/>
    <n v="0"/>
    <n v="3999917.645"/>
    <n v="3999917.645"/>
  </r>
  <r>
    <x v="4"/>
    <n v="0"/>
    <n v="0"/>
    <n v="0"/>
    <n v="0"/>
    <n v="0"/>
    <n v="0"/>
  </r>
  <r>
    <x v="4"/>
    <n v="17800"/>
    <n v="32200"/>
    <n v="0"/>
    <n v="3559.5122799999995"/>
    <n v="6439.1177199999993"/>
    <n v="0"/>
  </r>
  <r>
    <x v="4"/>
    <n v="20000000"/>
    <n v="0"/>
    <n v="0"/>
    <n v="319500"/>
    <n v="0"/>
    <n v="0"/>
  </r>
  <r>
    <x v="4"/>
    <n v="0"/>
    <n v="0"/>
    <n v="0"/>
    <n v="0"/>
    <n v="0"/>
    <n v="0"/>
  </r>
  <r>
    <x v="4"/>
    <n v="0"/>
    <n v="0"/>
    <n v="0"/>
    <n v="0"/>
    <n v="0"/>
    <n v="0"/>
  </r>
  <r>
    <x v="4"/>
    <n v="0"/>
    <n v="0"/>
    <n v="0"/>
    <n v="0"/>
    <n v="0"/>
    <n v="0"/>
  </r>
  <r>
    <x v="4"/>
    <n v="0"/>
    <n v="0"/>
    <n v="0"/>
    <n v="0"/>
    <n v="0"/>
    <n v="0"/>
  </r>
  <r>
    <x v="5"/>
    <n v="31995"/>
    <n v="39330"/>
    <n v="78675"/>
    <n v="28447.245089999997"/>
    <n v="34968.906059999994"/>
    <n v="69951.148849999983"/>
  </r>
  <r>
    <x v="5"/>
    <n v="0"/>
    <n v="0"/>
    <n v="4416"/>
    <n v="0"/>
    <n v="0"/>
    <n v="0"/>
  </r>
  <r>
    <x v="5"/>
    <n v="7761.6"/>
    <n v="10149.6"/>
    <n v="6088.7999999999993"/>
    <n v="6441.0413760000001"/>
    <n v="8422.7470560000002"/>
    <n v="5052.8515679999991"/>
  </r>
  <r>
    <x v="5"/>
    <n v="0"/>
    <n v="0"/>
    <n v="4416"/>
    <n v="0"/>
    <n v="0"/>
    <n v="520"/>
  </r>
  <r>
    <x v="5"/>
    <n v="0"/>
    <n v="0"/>
    <n v="35000"/>
    <n v="0"/>
    <n v="0"/>
    <n v="7579.81"/>
  </r>
  <r>
    <x v="5"/>
    <n v="0"/>
    <n v="125000"/>
    <n v="125000"/>
    <n v="0"/>
    <n v="146245.595"/>
    <n v="146245.595"/>
  </r>
  <r>
    <x v="5"/>
    <n v="0"/>
    <n v="0"/>
    <n v="0"/>
    <n v="0"/>
    <n v="0"/>
    <n v="0"/>
  </r>
  <r>
    <x v="5"/>
    <n v="0"/>
    <n v="8000"/>
    <n v="8000"/>
    <n v="0"/>
    <n v="0"/>
    <n v="0"/>
  </r>
  <r>
    <x v="5"/>
    <n v="0"/>
    <n v="26448.5"/>
    <n v="26448.5"/>
    <n v="0"/>
    <n v="9470.2049999999999"/>
    <n v="9470.2049999999999"/>
  </r>
  <r>
    <x v="5"/>
    <n v="0"/>
    <n v="0"/>
    <n v="0"/>
    <n v="0"/>
    <n v="0"/>
    <n v="0"/>
  </r>
  <r>
    <x v="5"/>
    <n v="0"/>
    <n v="0"/>
    <n v="0"/>
    <n v="0"/>
    <n v="0"/>
    <n v="0"/>
  </r>
  <r>
    <x v="5"/>
    <n v="0"/>
    <n v="0"/>
    <n v="0"/>
    <n v="0"/>
    <n v="0"/>
    <n v="0"/>
  </r>
  <r>
    <x v="5"/>
    <n v="0"/>
    <n v="335000"/>
    <n v="335000"/>
    <n v="0"/>
    <n v="310429.19"/>
    <n v="310429.19"/>
  </r>
  <r>
    <x v="5"/>
    <n v="40000"/>
    <n v="160000"/>
    <n v="0"/>
    <n v="1161.5"/>
    <n v="4646"/>
    <n v="0"/>
  </r>
  <r>
    <x v="5"/>
    <n v="0"/>
    <n v="13500"/>
    <n v="13500"/>
    <n v="0"/>
    <n v="13238.6"/>
    <n v="13238.6"/>
  </r>
  <r>
    <x v="5"/>
    <n v="0"/>
    <n v="330000"/>
    <n v="330000"/>
    <n v="0"/>
    <n v="330329.65999999997"/>
    <n v="330329.65999999997"/>
  </r>
  <r>
    <x v="5"/>
    <n v="0"/>
    <n v="3000000"/>
    <n v="0"/>
    <n v="0"/>
    <n v="2887640"/>
    <n v="0"/>
  </r>
  <r>
    <x v="5"/>
    <n v="0"/>
    <n v="0"/>
    <n v="0"/>
    <n v="0"/>
    <n v="0"/>
    <n v="0"/>
  </r>
  <r>
    <x v="6"/>
    <n v="0"/>
    <n v="0"/>
    <n v="713377"/>
    <n v="0"/>
    <n v="0"/>
    <n v="581643.87"/>
  </r>
  <r>
    <x v="6"/>
    <n v="0"/>
    <n v="0"/>
    <n v="334297"/>
    <n v="0"/>
    <n v="0"/>
    <n v="290584.01"/>
  </r>
  <r>
    <x v="6"/>
    <n v="9000"/>
    <n v="81000"/>
    <n v="0"/>
    <n v="11713.423000000001"/>
    <n v="105420.807"/>
    <n v="0"/>
  </r>
  <r>
    <x v="6"/>
    <n v="3097162.96"/>
    <n v="0"/>
    <n v="0"/>
    <n v="3000767.49"/>
    <n v="0"/>
    <n v="0"/>
  </r>
  <r>
    <x v="6"/>
    <n v="0"/>
    <n v="0"/>
    <n v="0"/>
    <n v="0"/>
    <n v="0"/>
    <n v="0"/>
  </r>
  <r>
    <x v="6"/>
    <n v="0"/>
    <n v="0"/>
    <n v="0"/>
    <n v="0"/>
    <n v="0"/>
    <n v="0"/>
  </r>
  <r>
    <x v="6"/>
    <n v="0"/>
    <n v="0"/>
    <n v="0"/>
    <n v="110.2"/>
    <n v="0"/>
    <n v="0"/>
  </r>
  <r>
    <x v="6"/>
    <n v="135497.6214"/>
    <n v="162561.3786"/>
    <n v="0"/>
    <n v="175246.45887"/>
    <n v="210249.49113000001"/>
    <n v="0"/>
  </r>
  <r>
    <x v="6"/>
    <n v="345209.83496999997"/>
    <n v="76291.795029999994"/>
    <n v="0"/>
    <n v="210856.39848"/>
    <n v="46599.521520000002"/>
    <n v="0"/>
  </r>
  <r>
    <x v="6"/>
    <n v="87683.046552"/>
    <n v="163988.65061000001"/>
    <n v="81977.642838"/>
    <n v="87208.545383999997"/>
    <n v="163101.21787000002"/>
    <n v="81534.016746000008"/>
  </r>
  <r>
    <x v="6"/>
    <n v="299284.28485200001"/>
    <n v="559734.49773499998"/>
    <n v="279810.30741300003"/>
    <n v="299394.48214799998"/>
    <n v="559940.59351499996"/>
    <n v="279913.33433699998"/>
  </r>
  <r>
    <x v="6"/>
    <n v="396745.31786399992"/>
    <n v="1112940.0621359998"/>
    <n v="0"/>
    <n v="396993.43522799999"/>
    <n v="1113636.0747719998"/>
    <n v="0"/>
  </r>
  <r>
    <x v="6"/>
    <n v="18124.987800000003"/>
    <n v="50297.012199999997"/>
    <n v="0"/>
    <n v="18411.569865000005"/>
    <n v="51092.280135000001"/>
    <n v="0"/>
  </r>
  <r>
    <x v="6"/>
    <n v="3521.5199999999995"/>
    <n v="9878.48"/>
    <n v="0"/>
    <n v="0"/>
    <n v="0"/>
    <n v="0"/>
  </r>
  <r>
    <x v="6"/>
    <n v="854363"/>
    <n v="0"/>
    <n v="0"/>
    <n v="380773.78"/>
    <n v="0"/>
    <n v="0"/>
  </r>
  <r>
    <x v="6"/>
    <n v="28008.48"/>
    <n v="51111.520000000004"/>
    <n v="0"/>
    <n v="19273.271579999997"/>
    <n v="35170.998419999996"/>
    <n v="0"/>
  </r>
  <r>
    <x v="6"/>
    <n v="15058.800000000001"/>
    <n v="41341.199999999997"/>
    <n v="0"/>
    <n v="3873.9030000000002"/>
    <n v="10635.097"/>
    <n v="0"/>
  </r>
  <r>
    <x v="6"/>
    <n v="13584.960000000001"/>
    <n v="37295.040000000001"/>
    <n v="0"/>
    <n v="15876.749160000001"/>
    <n v="43586.730840000004"/>
    <n v="0"/>
  </r>
  <r>
    <x v="6"/>
    <n v="56049"/>
    <n v="100951"/>
    <n v="0"/>
    <n v="9103.5"/>
    <n v="16396.5"/>
    <n v="0"/>
  </r>
  <r>
    <x v="6"/>
    <n v="18450"/>
    <n v="31550"/>
    <n v="0"/>
    <n v="544.64400000000001"/>
    <n v="931.35599999999999"/>
    <n v="0"/>
  </r>
  <r>
    <x v="6"/>
    <n v="44280"/>
    <n v="75720"/>
    <n v="0"/>
    <n v="0"/>
    <n v="0"/>
    <n v="0"/>
  </r>
  <r>
    <x v="6"/>
    <n v="0"/>
    <n v="0"/>
    <n v="0"/>
    <n v="0"/>
    <n v="0"/>
    <n v="0"/>
  </r>
  <r>
    <x v="6"/>
    <n v="0"/>
    <n v="0"/>
    <n v="0"/>
    <n v="0"/>
    <n v="0"/>
    <n v="0"/>
  </r>
  <r>
    <x v="6"/>
    <n v="0"/>
    <n v="0"/>
    <n v="0"/>
    <n v="0"/>
    <n v="0"/>
    <n v="0"/>
  </r>
  <r>
    <x v="6"/>
    <n v="0"/>
    <n v="0"/>
    <n v="0"/>
    <n v="0"/>
    <n v="0"/>
    <n v="0"/>
  </r>
  <r>
    <x v="7"/>
    <n v="2750"/>
    <n v="3520"/>
    <n v="4730"/>
    <n v="10559.174999999999"/>
    <n v="13515.743999999999"/>
    <n v="18161.780999999999"/>
  </r>
  <r>
    <x v="7"/>
    <n v="5000"/>
    <n v="0"/>
    <n v="15000"/>
    <n v="5185.7674999999999"/>
    <n v="0"/>
    <n v="15557.3025"/>
  </r>
  <r>
    <x v="7"/>
    <n v="241289.60000000001"/>
    <n v="180967.19999999998"/>
    <n v="784191.20000000007"/>
    <n v="158930.91800000001"/>
    <n v="119198.18849999999"/>
    <n v="516525.48349999997"/>
  </r>
  <r>
    <x v="7"/>
    <n v="158793.20000000001"/>
    <n v="119094.9"/>
    <n v="516077.9"/>
    <n v="153419.77600000001"/>
    <n v="115064.83199999999"/>
    <n v="498614.272"/>
  </r>
  <r>
    <x v="7"/>
    <n v="72834.5"/>
    <n v="145669"/>
    <n v="509841.49999999994"/>
    <n v="66378.680000000008"/>
    <n v="132757.36000000002"/>
    <n v="464650.76"/>
  </r>
  <r>
    <x v="7"/>
    <n v="61973.100000000006"/>
    <n v="123946.20000000001"/>
    <n v="433811.69999999995"/>
    <n v="76839.688999999998"/>
    <n v="153679.378"/>
    <n v="537877.82299999997"/>
  </r>
  <r>
    <x v="7"/>
    <n v="208825.05"/>
    <n v="452454.27500000002"/>
    <n v="730887.67500000005"/>
    <n v="191924.20499999999"/>
    <n v="415835.77750000003"/>
    <n v="671734.71750000003"/>
  </r>
  <r>
    <x v="7"/>
    <n v="142741.65"/>
    <n v="309273.57500000001"/>
    <n v="499595.77500000002"/>
    <n v="152148.61199999999"/>
    <n v="329655.326"/>
    <n v="532520.14199999999"/>
  </r>
  <r>
    <x v="7"/>
    <n v="0"/>
    <n v="0"/>
    <n v="0"/>
    <n v="0"/>
    <n v="0"/>
    <n v="0"/>
  </r>
  <r>
    <x v="7"/>
    <n v="75228.5"/>
    <n v="96292.479999999996"/>
    <n v="129393.02"/>
    <n v="89414.524999999994"/>
    <n v="114450.59199999999"/>
    <n v="153792.98299999998"/>
  </r>
  <r>
    <x v="7"/>
    <n v="18015.25"/>
    <n v="6485.49"/>
    <n v="47560.26"/>
    <n v="12013.577499999999"/>
    <n v="4324.8878999999997"/>
    <n v="31715.8446"/>
  </r>
  <r>
    <x v="7"/>
    <n v="48704.800000000003"/>
    <n v="0"/>
    <n v="194819.20000000001"/>
    <n v="35155.564000000006"/>
    <n v="0"/>
    <n v="140622.25600000002"/>
  </r>
  <r>
    <x v="7"/>
    <n v="96527.5"/>
    <n v="123555.2"/>
    <n v="166027.29999999999"/>
    <n v="34270.584999999999"/>
    <n v="43866.3488"/>
    <n v="58945.406199999998"/>
  </r>
  <r>
    <x v="7"/>
    <n v="69875.75"/>
    <n v="0"/>
    <n v="209627.25"/>
    <n v="43776.26"/>
    <n v="0"/>
    <n v="131328.78"/>
  </r>
  <r>
    <x v="7"/>
    <n v="18032.5"/>
    <n v="0"/>
    <n v="54097.5"/>
    <n v="31972.06"/>
    <n v="0"/>
    <n v="95916.180000000008"/>
  </r>
  <r>
    <x v="7"/>
    <n v="34270.75"/>
    <n v="0"/>
    <n v="102812.25"/>
    <n v="23197.262500000001"/>
    <n v="0"/>
    <n v="69591.787500000006"/>
  </r>
  <r>
    <x v="7"/>
    <n v="22540.5"/>
    <n v="0"/>
    <n v="67621.5"/>
    <n v="9768.61"/>
    <n v="0"/>
    <n v="29305.83"/>
  </r>
  <r>
    <x v="7"/>
    <n v="4500"/>
    <n v="9750"/>
    <n v="15750"/>
    <n v="2032.8135"/>
    <n v="4404.4292500000001"/>
    <n v="7114.8472500000007"/>
  </r>
  <r>
    <x v="7"/>
    <n v="20000"/>
    <n v="100000"/>
    <n v="80000"/>
    <n v="19482.726999999999"/>
    <n v="97413.634999999995"/>
    <n v="77930.907999999996"/>
  </r>
  <r>
    <x v="7"/>
    <n v="125968.599"/>
    <n v="37790.579700000002"/>
    <n v="256136.1513"/>
    <n v="65023.896000000001"/>
    <n v="19507.168799999999"/>
    <n v="132215.25520000001"/>
  </r>
  <r>
    <x v="7"/>
    <n v="22000"/>
    <n v="16500"/>
    <n v="71500"/>
    <n v="0"/>
    <n v="0"/>
    <n v="0"/>
  </r>
  <r>
    <x v="7"/>
    <n v="11999.996999999999"/>
    <n v="25999.9935"/>
    <n v="41999.989499999996"/>
    <n v="12647.584499999999"/>
    <n v="27403.099750000001"/>
    <n v="44266.545749999997"/>
  </r>
  <r>
    <x v="7"/>
    <n v="0"/>
    <n v="0"/>
    <n v="0"/>
    <n v="0"/>
    <n v="0"/>
    <n v="0"/>
  </r>
  <r>
    <x v="7"/>
    <n v="0"/>
    <n v="0"/>
    <n v="0"/>
    <n v="-80.802799999999991"/>
    <n v="-229.97719999999998"/>
    <n v="0"/>
  </r>
  <r>
    <x v="7"/>
    <n v="278316.96800000005"/>
    <n v="69579.242000000013"/>
    <n v="0"/>
    <n v="184704.48800000001"/>
    <n v="46176.122000000003"/>
    <n v="0"/>
  </r>
  <r>
    <x v="7"/>
    <n v="525482.61899999995"/>
    <n v="157644.78569999998"/>
    <n v="1068481.3252999999"/>
    <n v="489453.95399999997"/>
    <n v="146836.1862"/>
    <n v="995223.03979999991"/>
  </r>
  <r>
    <x v="7"/>
    <n v="30000"/>
    <n v="65000"/>
    <n v="105000"/>
    <n v="16342.342499999999"/>
    <n v="35408.408750000002"/>
    <n v="57198.198750000003"/>
  </r>
  <r>
    <x v="7"/>
    <n v="30000"/>
    <n v="60000"/>
    <n v="110000.00000000001"/>
    <n v="84"/>
    <n v="168"/>
    <n v="308"/>
  </r>
  <r>
    <x v="7"/>
    <n v="450000"/>
    <n v="1050000"/>
    <n v="0"/>
    <n v="163419.111"/>
    <n v="381311.25899999996"/>
    <n v="0"/>
  </r>
  <r>
    <x v="7"/>
    <n v="1437677.6789999998"/>
    <n v="431303.30369999993"/>
    <n v="2923277.9472999997"/>
    <n v="1003970.5709999999"/>
    <n v="301191.17129999999"/>
    <n v="2041406.8276999998"/>
  </r>
  <r>
    <x v="7"/>
    <n v="3312.45"/>
    <n v="11041.5"/>
    <n v="7729.0499999999993"/>
    <n v="0"/>
    <n v="0"/>
    <n v="0"/>
  </r>
  <r>
    <x v="7"/>
    <n v="3750"/>
    <n v="12500"/>
    <n v="8750"/>
    <n v="0"/>
    <n v="0"/>
    <n v="0"/>
  </r>
  <r>
    <x v="7"/>
    <n v="0"/>
    <n v="0"/>
    <n v="0"/>
    <n v="0"/>
    <n v="0"/>
    <n v="0"/>
  </r>
  <r>
    <x v="7"/>
    <n v="0"/>
    <n v="0"/>
    <n v="0"/>
    <n v="0"/>
    <n v="0"/>
    <n v="0"/>
  </r>
  <r>
    <x v="7"/>
    <n v="0"/>
    <n v="0"/>
    <n v="0"/>
    <n v="0"/>
    <n v="0"/>
    <n v="0"/>
  </r>
  <r>
    <x v="7"/>
    <n v="45000"/>
    <n v="240000"/>
    <n v="15000"/>
    <n v="0"/>
    <n v="0"/>
    <n v="0"/>
  </r>
  <r>
    <x v="7"/>
    <n v="252886.88"/>
    <n v="328752.94400000002"/>
    <n v="429907.696"/>
    <n v="133464.1875"/>
    <n v="173503.44375000001"/>
    <n v="226889.11874999999"/>
  </r>
  <r>
    <x v="7"/>
    <n v="0"/>
    <n v="0"/>
    <n v="0"/>
    <n v="0"/>
    <n v="0"/>
    <n v="0"/>
  </r>
  <r>
    <x v="7"/>
    <n v="38035"/>
    <n v="0"/>
    <n v="114105"/>
    <n v="2521.9"/>
    <n v="0"/>
    <n v="7565.7000000000007"/>
  </r>
  <r>
    <x v="7"/>
    <n v="32000"/>
    <n v="8000"/>
    <n v="0"/>
    <n v="15404.816000000001"/>
    <n v="3851.2040000000002"/>
    <n v="0"/>
  </r>
  <r>
    <x v="7"/>
    <n v="0"/>
    <n v="0"/>
    <n v="0"/>
    <n v="-90.522000000000006"/>
    <n v="-60.348000000000006"/>
    <n v="-150.87"/>
  </r>
  <r>
    <x v="7"/>
    <n v="600000"/>
    <n v="400000"/>
    <n v="1000000"/>
    <n v="191256.03599999999"/>
    <n v="127504.024"/>
    <n v="318760.06"/>
  </r>
  <r>
    <x v="7"/>
    <n v="24404883.032000002"/>
    <n v="6101220.7580000004"/>
    <n v="0"/>
    <n v="21139735.952000003"/>
    <n v="5284933.9880000008"/>
    <n v="0"/>
  </r>
  <r>
    <x v="7"/>
    <n v="8801871.1325000003"/>
    <n v="11442432.472250002"/>
    <n v="14963180.925249999"/>
    <n v="8148512.2649999997"/>
    <n v="10593065.944499999"/>
    <n v="13852470.850499999"/>
  </r>
  <r>
    <x v="7"/>
    <n v="212551.01699999999"/>
    <n v="63765.305099999998"/>
    <n v="432187.06790000002"/>
    <n v="190574.58"/>
    <n v="57172.373999999996"/>
    <n v="387501.64599999995"/>
  </r>
  <r>
    <x v="7"/>
    <n v="0"/>
    <n v="0"/>
    <n v="0"/>
    <n v="0"/>
    <n v="0"/>
    <n v="0"/>
  </r>
  <r>
    <x v="7"/>
    <n v="0"/>
    <n v="0"/>
    <n v="0"/>
    <n v="0"/>
    <n v="0"/>
    <n v="0"/>
  </r>
  <r>
    <x v="7"/>
    <n v="3000"/>
    <n v="6500"/>
    <n v="10500"/>
    <n v="2760.2879999999996"/>
    <n v="5980.6239999999998"/>
    <n v="9661.0079999999998"/>
  </r>
  <r>
    <x v="7"/>
    <n v="438311.32250000001"/>
    <n v="157792.07610000001"/>
    <n v="1157141.8914000001"/>
    <n v="446211.04"/>
    <n v="160635.97439999998"/>
    <n v="1177997.1455999999"/>
  </r>
  <r>
    <x v="7"/>
    <n v="0"/>
    <n v="0"/>
    <n v="0"/>
    <n v="0"/>
    <n v="0"/>
    <n v="0"/>
  </r>
  <r>
    <x v="7"/>
    <n v="56778.6"/>
    <n v="17033.579999999998"/>
    <n v="115449.81999999999"/>
    <n v="56778.6"/>
    <n v="17033.579999999998"/>
    <n v="115449.81999999999"/>
  </r>
  <r>
    <x v="7"/>
    <n v="21168"/>
    <n v="0"/>
    <n v="37632"/>
    <n v="0"/>
    <n v="0"/>
    <n v="0"/>
  </r>
  <r>
    <x v="7"/>
    <n v="0"/>
    <n v="0"/>
    <n v="0"/>
    <n v="0"/>
    <n v="0"/>
    <n v="0"/>
  </r>
  <r>
    <x v="7"/>
    <n v="0"/>
    <n v="0"/>
    <n v="70000"/>
    <n v="0"/>
    <n v="0"/>
    <n v="8408.2199999999993"/>
  </r>
  <r>
    <x v="7"/>
    <n v="0"/>
    <n v="0"/>
    <n v="420000"/>
    <n v="0"/>
    <n v="0"/>
    <n v="54381.5"/>
  </r>
  <r>
    <x v="7"/>
    <n v="13382.07"/>
    <n v="0"/>
    <n v="20930.93"/>
    <n v="0"/>
    <n v="0"/>
    <n v="0"/>
  </r>
  <r>
    <x v="7"/>
    <n v="18000"/>
    <n v="0"/>
    <n v="32000"/>
    <n v="0"/>
    <n v="0"/>
    <n v="0"/>
  </r>
  <r>
    <x v="7"/>
    <n v="0"/>
    <n v="0"/>
    <n v="0"/>
    <n v="0"/>
    <n v="0"/>
    <n v="0"/>
  </r>
  <r>
    <x v="7"/>
    <n v="0"/>
    <n v="0"/>
    <n v="30000"/>
    <n v="0"/>
    <n v="0"/>
    <n v="0"/>
  </r>
  <r>
    <x v="7"/>
    <n v="11520"/>
    <n v="0"/>
    <n v="20480"/>
    <n v="4089.6"/>
    <n v="0"/>
    <n v="7270.4000000000005"/>
  </r>
  <r>
    <x v="7"/>
    <n v="0"/>
    <n v="0"/>
    <n v="0"/>
    <n v="0"/>
    <n v="0"/>
    <n v="0"/>
  </r>
  <r>
    <x v="7"/>
    <n v="0"/>
    <n v="0"/>
    <n v="0"/>
    <n v="0"/>
    <n v="0"/>
    <n v="0"/>
  </r>
  <r>
    <x v="7"/>
    <n v="3600"/>
    <n v="0"/>
    <n v="6400"/>
    <n v="1119.0168000000001"/>
    <n v="0"/>
    <n v="1989.3632"/>
  </r>
  <r>
    <x v="7"/>
    <n v="0"/>
    <n v="0"/>
    <n v="0"/>
    <n v="0"/>
    <n v="0"/>
    <n v="0"/>
  </r>
  <r>
    <x v="7"/>
    <n v="26600"/>
    <n v="0"/>
    <n v="43400"/>
    <n v="0"/>
    <n v="0"/>
    <n v="0"/>
  </r>
  <r>
    <x v="7"/>
    <n v="0"/>
    <n v="0"/>
    <n v="0"/>
    <n v="0"/>
    <n v="0"/>
    <n v="0"/>
  </r>
  <r>
    <x v="7"/>
    <n v="0"/>
    <n v="0"/>
    <n v="0"/>
    <n v="0"/>
    <n v="0"/>
    <n v="0"/>
  </r>
  <r>
    <x v="7"/>
    <n v="0"/>
    <n v="0"/>
    <n v="0"/>
    <n v="0"/>
    <n v="0"/>
    <n v="0"/>
  </r>
  <r>
    <x v="7"/>
    <n v="46200"/>
    <n v="41800"/>
    <n v="22000"/>
    <n v="28826.573999999997"/>
    <n v="26081.185999999998"/>
    <n v="13726.94"/>
  </r>
  <r>
    <x v="7"/>
    <n v="35700"/>
    <n v="0"/>
    <n v="49300"/>
    <n v="3413.7599999999998"/>
    <n v="0"/>
    <n v="4714.24"/>
  </r>
  <r>
    <x v="7"/>
    <n v="0"/>
    <n v="0"/>
    <n v="0"/>
    <n v="0"/>
    <n v="0"/>
    <n v="0"/>
  </r>
  <r>
    <x v="7"/>
    <n v="20880"/>
    <n v="0"/>
    <n v="37120"/>
    <n v="7202.4083999999993"/>
    <n v="0"/>
    <n v="12804.2816"/>
  </r>
  <r>
    <x v="7"/>
    <n v="0"/>
    <n v="0"/>
    <n v="0"/>
    <n v="0"/>
    <n v="0"/>
    <n v="0"/>
  </r>
  <r>
    <x v="7"/>
    <n v="272019.65399999998"/>
    <n v="81605.896200000003"/>
    <n v="553106.6298"/>
    <n v="272019.56099999999"/>
    <n v="81605.868300000002"/>
    <n v="553106.44070000004"/>
  </r>
  <r>
    <x v="7"/>
    <n v="54403.871999999996"/>
    <n v="16321.161599999999"/>
    <n v="110621.2064"/>
    <n v="54403.799999999996"/>
    <n v="16321.14"/>
    <n v="110621.06"/>
  </r>
  <r>
    <x v="7"/>
    <n v="133660.79999999999"/>
    <n v="120931.2"/>
    <n v="63648"/>
    <n v="55396.32"/>
    <n v="50120.480000000003"/>
    <n v="26379.200000000001"/>
  </r>
  <r>
    <x v="7"/>
    <n v="64500"/>
    <n v="70500"/>
    <n v="15000"/>
    <n v="11722.3375"/>
    <n v="12812.787499999999"/>
    <n v="2726.125"/>
  </r>
  <r>
    <x v="7"/>
    <n v="0"/>
    <n v="0"/>
    <n v="114000"/>
    <n v="0"/>
    <n v="0"/>
    <n v="42648.32"/>
  </r>
  <r>
    <x v="7"/>
    <n v="0"/>
    <n v="620000"/>
    <n v="0"/>
    <n v="0"/>
    <n v="620085.01"/>
    <n v="0"/>
  </r>
  <r>
    <x v="7"/>
    <n v="0"/>
    <n v="80000"/>
    <n v="0"/>
    <n v="0"/>
    <n v="0"/>
    <n v="0"/>
  </r>
  <r>
    <x v="7"/>
    <n v="30000"/>
    <n v="70000"/>
    <n v="0"/>
    <n v="3000"/>
    <n v="7000"/>
    <n v="0"/>
  </r>
  <r>
    <x v="7"/>
    <n v="0"/>
    <n v="50000"/>
    <n v="0"/>
    <n v="0"/>
    <n v="0"/>
    <n v="0"/>
  </r>
  <r>
    <x v="7"/>
    <n v="0"/>
    <n v="0"/>
    <n v="20000"/>
    <n v="0"/>
    <n v="0"/>
    <n v="0"/>
  </r>
  <r>
    <x v="7"/>
    <n v="3566.6000000000004"/>
    <n v="7133.2000000000007"/>
    <n v="7133.2000000000007"/>
    <n v="2032.2280000000001"/>
    <n v="4064.4560000000001"/>
    <n v="4064.4560000000001"/>
  </r>
  <r>
    <x v="7"/>
    <n v="0"/>
    <n v="0"/>
    <n v="0"/>
    <n v="0"/>
    <n v="0"/>
    <n v="0"/>
  </r>
  <r>
    <x v="7"/>
    <n v="0"/>
    <n v="0"/>
    <n v="0"/>
    <n v="0"/>
    <n v="0"/>
    <n v="0"/>
  </r>
  <r>
    <x v="7"/>
    <n v="0"/>
    <n v="75000"/>
    <n v="0"/>
    <n v="0"/>
    <n v="5858.15"/>
    <n v="0"/>
  </r>
  <r>
    <x v="7"/>
    <n v="0"/>
    <n v="75000"/>
    <n v="0"/>
    <n v="0"/>
    <n v="6072.89"/>
    <n v="0"/>
  </r>
  <r>
    <x v="7"/>
    <n v="0"/>
    <n v="0"/>
    <n v="0"/>
    <n v="0"/>
    <n v="0"/>
    <n v="0"/>
  </r>
  <r>
    <x v="7"/>
    <n v="0"/>
    <n v="0"/>
    <n v="0"/>
    <n v="0"/>
    <n v="0"/>
    <n v="0"/>
  </r>
  <r>
    <x v="7"/>
    <n v="0"/>
    <n v="0"/>
    <n v="0"/>
    <n v="0"/>
    <n v="0"/>
    <n v="0"/>
  </r>
  <r>
    <x v="7"/>
    <n v="0"/>
    <n v="0"/>
    <n v="0"/>
    <n v="0"/>
    <n v="0"/>
    <n v="0"/>
  </r>
  <r>
    <x v="7"/>
    <n v="0"/>
    <n v="0"/>
    <n v="0"/>
    <n v="0"/>
    <n v="0"/>
    <n v="0"/>
  </r>
  <r>
    <x v="7"/>
    <n v="0"/>
    <n v="0"/>
    <n v="0"/>
    <n v="0"/>
    <n v="0"/>
    <n v="0"/>
  </r>
  <r>
    <x v="7"/>
    <n v="0"/>
    <n v="0"/>
    <n v="0"/>
    <n v="0"/>
    <n v="0"/>
    <n v="0"/>
  </r>
  <r>
    <x v="8"/>
    <n v="0"/>
    <n v="0"/>
    <n v="226750.16"/>
    <n v="0"/>
    <n v="0"/>
    <n v="202079.64"/>
  </r>
  <r>
    <x v="8"/>
    <n v="0"/>
    <n v="0"/>
    <n v="0"/>
    <n v="0"/>
    <n v="0"/>
    <n v="0"/>
  </r>
  <r>
    <x v="8"/>
    <n v="0"/>
    <n v="0"/>
    <n v="10676"/>
    <n v="0"/>
    <n v="0"/>
    <n v="5580"/>
  </r>
  <r>
    <x v="8"/>
    <n v="0"/>
    <n v="2879"/>
    <n v="2879"/>
    <n v="0"/>
    <n v="6598.84"/>
    <n v="6598.84"/>
  </r>
  <r>
    <x v="8"/>
    <n v="0"/>
    <n v="3827"/>
    <n v="3827"/>
    <n v="0"/>
    <n v="0"/>
    <n v="0"/>
  </r>
  <r>
    <x v="8"/>
    <n v="0"/>
    <n v="0"/>
    <n v="405526.4"/>
    <n v="0"/>
    <n v="0"/>
    <n v="3890"/>
  </r>
  <r>
    <x v="8"/>
    <n v="0"/>
    <n v="0"/>
    <n v="0"/>
    <n v="0"/>
    <n v="0"/>
    <n v="0"/>
  </r>
  <r>
    <x v="8"/>
    <n v="133950"/>
    <n v="246050"/>
    <n v="0"/>
    <n v="13604.737499999999"/>
    <n v="24990.262499999997"/>
    <n v="0"/>
  </r>
  <r>
    <x v="8"/>
    <n v="0"/>
    <n v="0"/>
    <n v="0"/>
    <n v="0"/>
    <n v="0"/>
    <n v="0"/>
  </r>
  <r>
    <x v="8"/>
    <n v="0"/>
    <n v="0"/>
    <n v="0"/>
    <n v="0"/>
    <n v="0"/>
    <n v="0"/>
  </r>
  <r>
    <x v="9"/>
    <n v="0"/>
    <n v="0"/>
    <n v="1310416"/>
    <n v="0"/>
    <n v="0"/>
    <n v="1759098.35"/>
  </r>
  <r>
    <x v="9"/>
    <n v="0"/>
    <n v="0"/>
    <n v="747128"/>
    <n v="0"/>
    <n v="0"/>
    <n v="642527.06999999995"/>
  </r>
  <r>
    <x v="9"/>
    <n v="0"/>
    <n v="0"/>
    <n v="216486"/>
    <n v="0"/>
    <n v="0"/>
    <n v="149438.87"/>
  </r>
  <r>
    <x v="9"/>
    <n v="0"/>
    <n v="0"/>
    <n v="70809"/>
    <n v="0"/>
    <n v="0"/>
    <n v="100134.24"/>
  </r>
  <r>
    <x v="9"/>
    <n v="0"/>
    <n v="0"/>
    <n v="736348"/>
    <n v="0"/>
    <n v="0"/>
    <n v="256353.18"/>
  </r>
  <r>
    <x v="9"/>
    <n v="0"/>
    <n v="0"/>
    <n v="27874"/>
    <n v="0"/>
    <n v="0"/>
    <n v="26043.89"/>
  </r>
  <r>
    <x v="9"/>
    <n v="0"/>
    <n v="0"/>
    <n v="14039"/>
    <n v="0"/>
    <n v="0"/>
    <n v="0"/>
  </r>
  <r>
    <x v="9"/>
    <n v="3885200"/>
    <n v="7114800"/>
    <n v="0"/>
    <n v="3885176.6464160006"/>
    <n v="7114757.2335840007"/>
    <n v="0"/>
  </r>
  <r>
    <x v="9"/>
    <n v="20000"/>
    <n v="180000"/>
    <n v="0"/>
    <n v="22650.016000000003"/>
    <n v="203850.144"/>
    <n v="0"/>
  </r>
  <r>
    <x v="9"/>
    <n v="0"/>
    <n v="0"/>
    <n v="0"/>
    <n v="0"/>
    <n v="0"/>
    <n v="0"/>
  </r>
  <r>
    <x v="9"/>
    <n v="1367946.591"/>
    <n v="1600043.409"/>
    <n v="0"/>
    <n v="1341427.0733050001"/>
    <n v="1569024.3766950001"/>
    <n v="0"/>
  </r>
  <r>
    <x v="9"/>
    <n v="0"/>
    <n v="0"/>
    <n v="1518454.61"/>
    <n v="0"/>
    <n v="0"/>
    <n v="1443523.99"/>
  </r>
  <r>
    <x v="9"/>
    <n v="0"/>
    <n v="0"/>
    <n v="0"/>
    <n v="0"/>
    <n v="0"/>
    <n v="0"/>
  </r>
  <r>
    <x v="9"/>
    <n v="130093.18559999998"/>
    <n v="411961.75439999998"/>
    <n v="0"/>
    <n v="98580.919200000004"/>
    <n v="312172.91080000001"/>
    <n v="0"/>
  </r>
  <r>
    <x v="9"/>
    <n v="581836.64399999997"/>
    <n v="2024958.3560000001"/>
    <n v="0"/>
    <n v="662857.38691200002"/>
    <n v="2306933.7730880002"/>
    <n v="0"/>
  </r>
  <r>
    <x v="9"/>
    <n v="793.15679999999998"/>
    <n v="8078.8431999999993"/>
    <n v="0"/>
    <n v="96.265919999999994"/>
    <n v="980.5340799999999"/>
    <n v="0"/>
  </r>
  <r>
    <x v="9"/>
    <n v="0"/>
    <n v="0"/>
    <n v="0"/>
    <n v="0"/>
    <n v="0"/>
    <n v="0"/>
  </r>
  <r>
    <x v="9"/>
    <n v="1074"/>
    <n v="3926"/>
    <n v="0"/>
    <n v="511.22399999999999"/>
    <n v="1868.7760000000001"/>
    <n v="0"/>
  </r>
  <r>
    <x v="9"/>
    <n v="5663.4984749999994"/>
    <n v="48018.951524999997"/>
    <n v="0"/>
    <n v="2321.5971300000001"/>
    <n v="19684.062869999998"/>
    <n v="0"/>
  </r>
  <r>
    <x v="9"/>
    <n v="471333.5"/>
    <n v="463666.5"/>
    <n v="0"/>
    <n v="298787.40465500002"/>
    <n v="293927.14534500003"/>
    <n v="0"/>
  </r>
  <r>
    <x v="9"/>
    <n v="201867.989428"/>
    <n v="0"/>
    <n v="548013.10057200002"/>
    <n v="201853.04613599999"/>
    <n v="0"/>
    <n v="547972.533864"/>
  </r>
  <r>
    <x v="9"/>
    <n v="1022"/>
    <n v="3978"/>
    <n v="0"/>
    <n v="554.94600000000003"/>
    <n v="2160.0540000000001"/>
    <n v="0"/>
  </r>
  <r>
    <x v="9"/>
    <n v="215894.79957100001"/>
    <n v="611605.3904289999"/>
    <n v="0"/>
    <n v="222005.343689"/>
    <n v="628915.86631099996"/>
    <n v="0"/>
  </r>
  <r>
    <x v="9"/>
    <n v="0"/>
    <n v="0"/>
    <n v="0"/>
    <n v="0"/>
    <n v="0"/>
    <n v="0"/>
  </r>
  <r>
    <x v="9"/>
    <n v="0"/>
    <n v="0"/>
    <n v="0"/>
    <n v="0"/>
    <n v="0"/>
    <n v="0"/>
  </r>
  <r>
    <x v="9"/>
    <n v="720858.68145000003"/>
    <n v="170190.36855000001"/>
    <n v="0"/>
    <n v="527296.58908000006"/>
    <n v="124491.53092"/>
    <n v="0"/>
  </r>
  <r>
    <x v="9"/>
    <n v="1266582.9605"/>
    <n v="1787632.0395000002"/>
    <n v="0"/>
    <n v="786151.48855100002"/>
    <n v="1109559.8414490002"/>
    <n v="0"/>
  </r>
  <r>
    <x v="9"/>
    <n v="0"/>
    <n v="0"/>
    <n v="0"/>
    <n v="0"/>
    <n v="0"/>
    <n v="0"/>
  </r>
  <r>
    <x v="9"/>
    <n v="975.0498"/>
    <n v="3806.9502000000002"/>
    <n v="0"/>
    <n v="0"/>
    <n v="0"/>
    <n v="0"/>
  </r>
  <r>
    <x v="9"/>
    <n v="138269.98617299998"/>
    <n v="0"/>
    <n v="161729.98382699999"/>
    <n v="129995.817193"/>
    <n v="0"/>
    <n v="152051.95280700002"/>
  </r>
  <r>
    <x v="9"/>
    <n v="0"/>
    <n v="0"/>
    <n v="0"/>
    <n v="0"/>
    <n v="0"/>
    <n v="0"/>
  </r>
  <r>
    <x v="9"/>
    <n v="50000"/>
    <n v="0"/>
    <n v="0"/>
    <n v="0"/>
    <n v="0"/>
    <n v="0"/>
  </r>
  <r>
    <x v="9"/>
    <n v="9999.7800000000007"/>
    <n v="0"/>
    <n v="0"/>
    <n v="10297.299999999999"/>
    <n v="0"/>
    <n v="0"/>
  </r>
  <r>
    <x v="9"/>
    <n v="86891.934000000008"/>
    <n v="130337.90099999998"/>
    <n v="217229.83499999999"/>
    <n v="42389.274000000005"/>
    <n v="63583.910999999993"/>
    <n v="105973.185"/>
  </r>
  <r>
    <x v="9"/>
    <n v="8000"/>
    <n v="12000"/>
    <n v="20000"/>
    <n v="5533"/>
    <n v="8299.5"/>
    <n v="13832.5"/>
  </r>
  <r>
    <x v="9"/>
    <n v="167884.40854400001"/>
    <n v="307439.51145600004"/>
    <n v="0"/>
    <n v="139493.17179600001"/>
    <n v="255447.85820400005"/>
    <n v="0"/>
  </r>
  <r>
    <x v="9"/>
    <n v="0"/>
    <n v="0"/>
    <n v="25000"/>
    <n v="0"/>
    <n v="0"/>
    <n v="0"/>
  </r>
  <r>
    <x v="9"/>
    <n v="0"/>
    <n v="0"/>
    <n v="0"/>
    <n v="0"/>
    <n v="0"/>
    <n v="0"/>
  </r>
  <r>
    <x v="9"/>
    <n v="0"/>
    <n v="0"/>
    <n v="16176"/>
    <n v="0"/>
    <n v="0"/>
    <n v="0"/>
  </r>
  <r>
    <x v="9"/>
    <n v="1412.2584000000002"/>
    <n v="99463.3416"/>
    <n v="0"/>
    <n v="274.10362000000003"/>
    <n v="19304.72638"/>
    <n v="0"/>
  </r>
  <r>
    <x v="9"/>
    <n v="39.9"/>
    <n v="5660.1"/>
    <n v="0"/>
    <n v="10.64"/>
    <n v="1509.36"/>
    <n v="0"/>
  </r>
  <r>
    <x v="9"/>
    <n v="283.5"/>
    <n v="1966.5"/>
    <n v="0"/>
    <n v="75.599999999999994"/>
    <n v="524.4"/>
    <n v="0"/>
  </r>
  <r>
    <x v="9"/>
    <n v="532.79366000000005"/>
    <n v="37523.896339999999"/>
    <n v="0"/>
    <n v="0"/>
    <n v="0"/>
    <n v="0"/>
  </r>
  <r>
    <x v="9"/>
    <n v="100.49665"/>
    <n v="199.49335000000002"/>
    <n v="0"/>
    <n v="26.8"/>
    <n v="53.2"/>
    <n v="0"/>
  </r>
  <r>
    <x v="9"/>
    <n v="6400.8"/>
    <n v="31699.199999999997"/>
    <n v="0"/>
    <n v="1887.7790400000001"/>
    <n v="9349.0009599999994"/>
    <n v="0"/>
  </r>
  <r>
    <x v="9"/>
    <n v="0"/>
    <n v="0"/>
    <n v="0"/>
    <n v="0"/>
    <n v="0"/>
    <n v="0"/>
  </r>
  <r>
    <x v="9"/>
    <n v="1200000"/>
    <n v="0"/>
    <n v="0"/>
    <n v="13878.57"/>
    <n v="0"/>
    <n v="0"/>
  </r>
  <r>
    <x v="9"/>
    <n v="20270.039999999997"/>
    <n v="36989.96"/>
    <n v="0"/>
    <n v="10901.960999999999"/>
    <n v="19894.539000000001"/>
    <n v="0"/>
  </r>
  <r>
    <x v="9"/>
    <n v="4983.1499999999996"/>
    <n v="15866.85"/>
    <n v="0"/>
    <n v="1586.1234999999999"/>
    <n v="5050.3765000000003"/>
    <n v="0"/>
  </r>
  <r>
    <x v="9"/>
    <n v="2258.6576799999998"/>
    <n v="29553.422320000001"/>
    <n v="0"/>
    <n v="0"/>
    <n v="0"/>
    <n v="0"/>
  </r>
  <r>
    <x v="9"/>
    <n v="181.34921999999997"/>
    <n v="4468.6307799999995"/>
    <n v="0"/>
    <n v="48.36"/>
    <n v="1191.6399999999999"/>
    <n v="0"/>
  </r>
  <r>
    <x v="9"/>
    <n v="40000"/>
    <n v="160000"/>
    <n v="0"/>
    <n v="13743.84"/>
    <n v="54975.360000000001"/>
    <n v="0"/>
  </r>
  <r>
    <x v="9"/>
    <n v="0"/>
    <n v="0"/>
    <n v="0"/>
    <n v="0"/>
    <n v="0"/>
    <n v="0"/>
  </r>
  <r>
    <x v="9"/>
    <n v="88.8"/>
    <n v="211.2"/>
    <n v="0"/>
    <n v="23.68"/>
    <n v="56.319999999999993"/>
    <n v="0"/>
  </r>
  <r>
    <x v="9"/>
    <n v="1412.07"/>
    <n v="2217.9299999999998"/>
    <n v="0"/>
    <n v="0"/>
    <n v="0"/>
    <n v="0"/>
  </r>
  <r>
    <x v="9"/>
    <n v="3123.0619199999996"/>
    <n v="11819.818079999999"/>
    <n v="0"/>
    <n v="0"/>
    <n v="0"/>
    <n v="0"/>
  </r>
  <r>
    <x v="9"/>
    <n v="609.75"/>
    <n v="1640.25"/>
    <n v="0"/>
    <n v="162.60000000000002"/>
    <n v="437.4"/>
    <n v="0"/>
  </r>
  <r>
    <x v="9"/>
    <n v="0"/>
    <n v="0"/>
    <n v="0"/>
    <n v="0"/>
    <n v="0"/>
    <n v="0"/>
  </r>
  <r>
    <x v="9"/>
    <n v="5113.8473400000003"/>
    <n v="14111.142660000001"/>
    <n v="0"/>
    <n v="510.72"/>
    <n v="1409.28"/>
    <n v="0"/>
  </r>
  <r>
    <x v="9"/>
    <n v="19336.816800000001"/>
    <n v="53357.983200000002"/>
    <n v="0"/>
    <n v="7766.1386599999996"/>
    <n v="21429.871339999998"/>
    <n v="0"/>
  </r>
  <r>
    <x v="9"/>
    <n v="35600"/>
    <n v="5000"/>
    <n v="59400"/>
    <n v="45676.896840000001"/>
    <n v="6415.2945"/>
    <n v="76213.698659999995"/>
  </r>
  <r>
    <x v="9"/>
    <n v="0"/>
    <n v="100000"/>
    <n v="0"/>
    <n v="0"/>
    <n v="99848.18"/>
    <n v="0"/>
  </r>
  <r>
    <x v="9"/>
    <n v="26775"/>
    <n v="14625"/>
    <n v="33600"/>
    <n v="0"/>
    <n v="0"/>
    <n v="0"/>
  </r>
  <r>
    <x v="9"/>
    <n v="0"/>
    <n v="0"/>
    <n v="0"/>
    <n v="0"/>
    <n v="0"/>
    <n v="0"/>
  </r>
  <r>
    <x v="9"/>
    <n v="0"/>
    <n v="0"/>
    <n v="0"/>
    <n v="0"/>
    <n v="0"/>
    <n v="0"/>
  </r>
  <r>
    <x v="9"/>
    <n v="0"/>
    <n v="0"/>
    <n v="0"/>
    <n v="0"/>
    <n v="0"/>
    <n v="0"/>
  </r>
  <r>
    <x v="9"/>
    <n v="0"/>
    <n v="0"/>
    <n v="0"/>
    <n v="0"/>
    <n v="0"/>
    <n v="0"/>
  </r>
  <r>
    <x v="10"/>
    <n v="40460"/>
    <n v="29770.000000000004"/>
    <n v="29770.000000000004"/>
    <n v="56.644000000000005"/>
    <n v="41.678000000000004"/>
    <n v="41.678000000000004"/>
  </r>
  <r>
    <x v="10"/>
    <n v="0"/>
    <n v="0"/>
    <n v="498630.35"/>
    <n v="0"/>
    <n v="0"/>
    <n v="452483.71"/>
  </r>
  <r>
    <x v="10"/>
    <n v="0"/>
    <n v="0"/>
    <n v="321438.39"/>
    <n v="0"/>
    <n v="0"/>
    <n v="261774.05"/>
  </r>
  <r>
    <x v="10"/>
    <n v="0"/>
    <n v="0"/>
    <n v="91748.85"/>
    <n v="0"/>
    <n v="0"/>
    <n v="7362.01"/>
  </r>
  <r>
    <x v="10"/>
    <n v="0"/>
    <n v="0"/>
    <n v="16779.169999999998"/>
    <n v="0"/>
    <n v="0"/>
    <n v="0"/>
  </r>
  <r>
    <x v="10"/>
    <n v="0"/>
    <n v="0"/>
    <n v="18546.25"/>
    <n v="0"/>
    <n v="0"/>
    <n v="0"/>
  </r>
  <r>
    <x v="10"/>
    <n v="0"/>
    <n v="0"/>
    <n v="21969.71"/>
    <n v="0"/>
    <n v="0"/>
    <n v="22706.92"/>
  </r>
  <r>
    <x v="10"/>
    <n v="0"/>
    <n v="0"/>
    <n v="36449.57"/>
    <n v="0"/>
    <n v="0"/>
    <n v="27465"/>
  </r>
  <r>
    <x v="10"/>
    <n v="0"/>
    <n v="0"/>
    <n v="546114.4"/>
    <n v="0"/>
    <n v="0"/>
    <n v="252981.28"/>
  </r>
  <r>
    <x v="10"/>
    <n v="14999"/>
    <n v="134991"/>
    <n v="0"/>
    <n v="14096.893"/>
    <n v="126872.037"/>
    <n v="0"/>
  </r>
  <r>
    <x v="10"/>
    <n v="2361674.3049900001"/>
    <n v="6756759.3050099993"/>
    <n v="0"/>
    <n v="2043324.1079299999"/>
    <n v="5845958.1620699996"/>
    <n v="0"/>
  </r>
  <r>
    <x v="10"/>
    <n v="325897.908"/>
    <n v="1032010.042"/>
    <n v="0"/>
    <n v="144978.31200000001"/>
    <n v="459097.98800000001"/>
    <n v="0"/>
  </r>
  <r>
    <x v="10"/>
    <n v="140789.87519999998"/>
    <n v="141241.12480000002"/>
    <n v="0"/>
    <n v="170256.72268800001"/>
    <n v="170802.41731200001"/>
    <n v="0"/>
  </r>
  <r>
    <x v="10"/>
    <n v="604671.86703999992"/>
    <n v="706980.77295999997"/>
    <n v="0"/>
    <n v="132300.91941"/>
    <n v="154685.89059"/>
    <n v="0"/>
  </r>
  <r>
    <x v="10"/>
    <n v="4537.8"/>
    <n v="4462.2"/>
    <n v="0"/>
    <n v="0"/>
    <n v="0"/>
    <n v="0"/>
  </r>
  <r>
    <x v="10"/>
    <n v="174907.17811000001"/>
    <n v="500410.11189"/>
    <n v="0"/>
    <n v="165676.54761000001"/>
    <n v="474001.24239000003"/>
    <n v="0"/>
  </r>
  <r>
    <x v="10"/>
    <n v="1669111.99"/>
    <n v="0"/>
    <n v="0"/>
    <n v="309738.57"/>
    <n v="0"/>
    <n v="0"/>
  </r>
  <r>
    <x v="10"/>
    <n v="0"/>
    <n v="0"/>
    <n v="0"/>
    <n v="0"/>
    <n v="0"/>
    <n v="0"/>
  </r>
  <r>
    <x v="10"/>
    <n v="269280"/>
    <n v="530720"/>
    <n v="0"/>
    <n v="22846.586994000001"/>
    <n v="45028.003005999999"/>
    <n v="0"/>
  </r>
  <r>
    <x v="10"/>
    <n v="234345"/>
    <n v="307785"/>
    <n v="307870"/>
    <n v="57266.782884"/>
    <n v="75213.282851999989"/>
    <n v="75234.054264000006"/>
  </r>
  <r>
    <x v="10"/>
    <n v="12988"/>
    <n v="27012"/>
    <n v="0"/>
    <n v="2545.6480000000001"/>
    <n v="5294.3519999999999"/>
    <n v="0"/>
  </r>
  <r>
    <x v="10"/>
    <n v="16530.050810000001"/>
    <n v="47292.539189999996"/>
    <n v="0"/>
    <n v="10731.95249"/>
    <n v="30704.157510000001"/>
    <n v="0"/>
  </r>
  <r>
    <x v="10"/>
    <n v="0"/>
    <n v="0"/>
    <n v="0"/>
    <n v="2779.7893760000002"/>
    <n v="11287.970624"/>
    <n v="0"/>
  </r>
  <r>
    <x v="10"/>
    <n v="55600"/>
    <n v="97200"/>
    <n v="97200"/>
    <n v="19122.832704"/>
    <n v="33430.563648000003"/>
    <n v="33430.563648000003"/>
  </r>
  <r>
    <x v="10"/>
    <n v="12996"/>
    <n v="27004"/>
    <n v="0"/>
    <n v="6480.5008859999998"/>
    <n v="13465.639114"/>
    <n v="0"/>
  </r>
  <r>
    <x v="10"/>
    <n v="180285.95"/>
    <n v="0"/>
    <n v="0"/>
    <n v="31831.53"/>
    <n v="0"/>
    <n v="0"/>
  </r>
  <r>
    <x v="10"/>
    <n v="18194.591240000002"/>
    <n v="25458.458760000005"/>
    <n v="0"/>
    <n v="18194.745456000001"/>
    <n v="25458.674544000001"/>
    <n v="0"/>
  </r>
  <r>
    <x v="10"/>
    <n v="362665.16717199999"/>
    <n v="222836.60929200001"/>
    <n v="222755.78353600003"/>
    <n v="211453.81009899999"/>
    <n v="129926.042889"/>
    <n v="129878.91701200001"/>
  </r>
  <r>
    <x v="10"/>
    <n v="1175503.9842000001"/>
    <n v="259787.81580000001"/>
    <n v="0"/>
    <n v="676289.03706"/>
    <n v="149460.70293999999"/>
    <n v="0"/>
  </r>
  <r>
    <x v="10"/>
    <n v="550000"/>
    <n v="0"/>
    <n v="0"/>
    <n v="601223.14"/>
    <n v="0"/>
    <n v="0"/>
  </r>
  <r>
    <x v="10"/>
    <n v="83568"/>
    <n v="0"/>
    <n v="0"/>
    <n v="280"/>
    <n v="0"/>
    <n v="0"/>
  </r>
  <r>
    <x v="10"/>
    <n v="277029.53770799999"/>
    <n v="266103.74524799996"/>
    <n v="266184.67704400001"/>
    <n v="44216.089050000002"/>
    <n v="42472.246800000001"/>
    <n v="42485.164150000004"/>
  </r>
  <r>
    <x v="10"/>
    <n v="1861450.2376799998"/>
    <n v="1772243.3572799999"/>
    <n v="1772784.00504"/>
    <n v="1567839.6261440001"/>
    <n v="1492703.541824"/>
    <n v="1493158.912032"/>
  </r>
  <r>
    <x v="10"/>
    <n v="813.45600000000002"/>
    <n v="2546.5439999999999"/>
    <n v="0"/>
    <n v="813.45600000000002"/>
    <n v="2546.5439999999999"/>
    <n v="0"/>
  </r>
  <r>
    <x v="10"/>
    <n v="0"/>
    <n v="0"/>
    <n v="0"/>
    <n v="0"/>
    <n v="0"/>
    <n v="0"/>
  </r>
  <r>
    <x v="10"/>
    <n v="746.36800000000005"/>
    <n v="3173.6320000000001"/>
    <n v="0"/>
    <n v="757.55780800000002"/>
    <n v="3221.212192"/>
    <n v="0"/>
  </r>
  <r>
    <x v="10"/>
    <n v="0"/>
    <n v="0"/>
    <n v="0"/>
    <n v="0"/>
    <n v="0"/>
    <n v="0"/>
  </r>
  <r>
    <x v="10"/>
    <n v="1994.1843599999997"/>
    <n v="4016.0156400000001"/>
    <n v="0"/>
    <n v="2312.5365059999999"/>
    <n v="4657.1334940000006"/>
    <n v="0"/>
  </r>
  <r>
    <x v="10"/>
    <n v="20131.396197000002"/>
    <n v="52887.813803000012"/>
    <n v="0"/>
    <n v="18851.268714000002"/>
    <n v="49524.751286000006"/>
    <n v="0"/>
  </r>
  <r>
    <x v="10"/>
    <n v="2216.2464800000002"/>
    <n v="9423.7035200000009"/>
    <n v="0"/>
    <n v="466.91411200000005"/>
    <n v="1985.365888"/>
    <n v="0"/>
  </r>
  <r>
    <x v="10"/>
    <n v="496.92983999999996"/>
    <n v="7583.2301600000001"/>
    <n v="0"/>
    <n v="453.78697499999998"/>
    <n v="6924.8630249999997"/>
    <n v="0"/>
  </r>
  <r>
    <x v="10"/>
    <n v="771.96"/>
    <n v="2028.0400000000002"/>
    <n v="0"/>
    <n v="771.96"/>
    <n v="2028.0400000000002"/>
    <n v="0"/>
  </r>
  <r>
    <x v="10"/>
    <n v="10901.198"/>
    <n v="58888.801999999996"/>
    <n v="0"/>
    <n v="4696.7731140000005"/>
    <n v="25372.196886000002"/>
    <n v="0"/>
  </r>
  <r>
    <x v="10"/>
    <n v="9737.7279999999992"/>
    <n v="39542.271999999997"/>
    <n v="0"/>
    <n v="4331.2220639999996"/>
    <n v="17587.917935999998"/>
    <n v="0"/>
  </r>
  <r>
    <x v="10"/>
    <n v="0"/>
    <n v="448880"/>
    <n v="0"/>
    <n v="0"/>
    <n v="76863.259999999995"/>
    <n v="0"/>
  </r>
  <r>
    <x v="10"/>
    <n v="194534.74752"/>
    <n v="242621.98848000003"/>
    <n v="109289.18400000001"/>
    <n v="168194.23987999998"/>
    <n v="209770.34411999999"/>
    <n v="94491.146000000008"/>
  </r>
  <r>
    <x v="10"/>
    <n v="0"/>
    <n v="0"/>
    <n v="0"/>
    <n v="0"/>
    <n v="0"/>
    <n v="0"/>
  </r>
  <r>
    <x v="10"/>
    <n v="0"/>
    <n v="0"/>
    <n v="125000"/>
    <n v="0"/>
    <n v="0"/>
    <n v="2164.17"/>
  </r>
  <r>
    <x v="10"/>
    <n v="116.55"/>
    <n v="933.45"/>
    <n v="0"/>
    <n v="31.080000000000002"/>
    <n v="248.92000000000002"/>
    <n v="0"/>
  </r>
  <r>
    <x v="10"/>
    <n v="25000"/>
    <n v="25000"/>
    <n v="0"/>
    <n v="14141.17"/>
    <n v="14141.17"/>
    <n v="0"/>
  </r>
  <r>
    <x v="10"/>
    <n v="65790"/>
    <n v="95709.999999999985"/>
    <n v="8500"/>
    <n v="41067.56151"/>
    <n v="59744.281989999989"/>
    <n v="5305.8865000000005"/>
  </r>
  <r>
    <x v="10"/>
    <n v="740.45999999999992"/>
    <n v="549.54"/>
    <n v="0"/>
    <n v="2486.8664800000001"/>
    <n v="1845.6535200000001"/>
    <n v="0"/>
  </r>
  <r>
    <x v="10"/>
    <n v="0"/>
    <n v="0"/>
    <n v="0"/>
    <n v="0"/>
    <n v="0"/>
    <n v="0"/>
  </r>
  <r>
    <x v="10"/>
    <n v="7760"/>
    <n v="72240"/>
    <n v="0"/>
    <n v="4244.0594300000002"/>
    <n v="39509.130570000001"/>
    <n v="0"/>
  </r>
  <r>
    <x v="10"/>
    <n v="73763.199999999997"/>
    <n v="133436.80000000002"/>
    <n v="0"/>
    <n v="119.25999999999999"/>
    <n v="215.74"/>
    <n v="0"/>
  </r>
  <r>
    <x v="10"/>
    <n v="853.65000000000009"/>
    <n v="2296.35"/>
    <n v="0"/>
    <n v="227.64000000000001"/>
    <n v="612.36"/>
    <n v="0"/>
  </r>
  <r>
    <x v="10"/>
    <n v="944.35"/>
    <n v="4105.6499999999996"/>
    <n v="0"/>
    <n v="0"/>
    <n v="0"/>
    <n v="0"/>
  </r>
  <r>
    <x v="10"/>
    <n v="251.25000000000003"/>
    <n v="498.75"/>
    <n v="0"/>
    <n v="67"/>
    <n v="133"/>
    <n v="0"/>
  </r>
  <r>
    <x v="10"/>
    <n v="5619.6"/>
    <n v="27830.399999999998"/>
    <n v="0"/>
    <n v="1800.3720000000001"/>
    <n v="8916.1279999999988"/>
    <n v="0"/>
  </r>
  <r>
    <x v="10"/>
    <n v="552000"/>
    <n v="648000"/>
    <n v="0"/>
    <n v="97980"/>
    <n v="115020.00000000001"/>
    <n v="0"/>
  </r>
  <r>
    <x v="10"/>
    <n v="2620.0149999999999"/>
    <n v="2620.0149999999999"/>
    <n v="0"/>
    <n v="3158.2849999999999"/>
    <n v="3158.2849999999999"/>
    <n v="0"/>
  </r>
  <r>
    <x v="10"/>
    <n v="5700.15"/>
    <n v="18149.849999999999"/>
    <n v="0"/>
    <n v="1594.4884999999999"/>
    <n v="5077.0114999999996"/>
    <n v="0"/>
  </r>
  <r>
    <x v="10"/>
    <n v="174800"/>
    <n v="83220"/>
    <n v="121980"/>
    <n v="8006.6265999999996"/>
    <n v="3811.8504899999998"/>
    <n v="5587.2329099999997"/>
  </r>
  <r>
    <x v="10"/>
    <n v="17162.32"/>
    <n v="47357.68"/>
    <n v="0"/>
    <n v="1840.72"/>
    <n v="5079.28"/>
    <n v="0"/>
  </r>
  <r>
    <x v="10"/>
    <n v="817.95999999999992"/>
    <n v="2042.04"/>
    <n v="0"/>
    <n v="1437.7906399999997"/>
    <n v="3589.4493599999996"/>
    <n v="0"/>
  </r>
  <r>
    <x v="10"/>
    <n v="187.2"/>
    <n v="4612.8"/>
    <n v="0"/>
    <n v="49.92"/>
    <n v="1230.08"/>
    <n v="0"/>
  </r>
  <r>
    <x v="10"/>
    <n v="8972.369999999999"/>
    <n v="33957.630000000005"/>
    <n v="0"/>
    <n v="0"/>
    <n v="0"/>
    <n v="0"/>
  </r>
  <r>
    <x v="10"/>
    <n v="0"/>
    <n v="0"/>
    <n v="0"/>
    <n v="0"/>
    <n v="0"/>
    <n v="0"/>
  </r>
  <r>
    <x v="10"/>
    <n v="283635"/>
    <n v="211365"/>
    <n v="0"/>
    <n v="36486.995489999994"/>
    <n v="27190.13451"/>
    <n v="0"/>
  </r>
  <r>
    <x v="10"/>
    <n v="10290.779999999999"/>
    <n v="18779.22"/>
    <n v="0"/>
    <n v="594.71999999999991"/>
    <n v="1085.28"/>
    <n v="0"/>
  </r>
  <r>
    <x v="10"/>
    <n v="1.9600000000000004E-3"/>
    <n v="0.13804000000000002"/>
    <n v="0"/>
    <n v="0"/>
    <n v="0"/>
    <n v="0"/>
  </r>
  <r>
    <x v="10"/>
    <n v="207.9"/>
    <n v="1442.1"/>
    <n v="0"/>
    <n v="55.44"/>
    <n v="384.56"/>
    <n v="0"/>
  </r>
  <r>
    <x v="10"/>
    <n v="0"/>
    <n v="0"/>
    <n v="0"/>
    <n v="0"/>
    <n v="0"/>
    <n v="0"/>
  </r>
  <r>
    <x v="10"/>
    <n v="0"/>
    <n v="0"/>
    <n v="0"/>
    <n v="0"/>
    <n v="0"/>
    <n v="0"/>
  </r>
  <r>
    <x v="10"/>
    <n v="48.300000000000004"/>
    <n v="6851.7"/>
    <n v="0"/>
    <n v="12.88"/>
    <n v="1827.12"/>
    <n v="0"/>
  </r>
  <r>
    <x v="10"/>
    <n v="472.16838000000001"/>
    <n v="1357.9416199999998"/>
    <n v="0"/>
    <n v="1155.30078"/>
    <n v="3322.6092199999998"/>
    <n v="0"/>
  </r>
  <r>
    <x v="10"/>
    <n v="0"/>
    <n v="0"/>
    <n v="0"/>
    <n v="0"/>
    <n v="0"/>
    <n v="0"/>
  </r>
  <r>
    <x v="10"/>
    <n v="0"/>
    <n v="0"/>
    <n v="0"/>
    <n v="0"/>
    <n v="0"/>
    <n v="0"/>
  </r>
  <r>
    <x v="1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2" cacheId="30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7" firstHeaderRow="0" firstDataRow="1" firstDataCol="1"/>
  <pivotFields count="7">
    <pivotField axis="axisRow" showAll="0">
      <items count="12">
        <item h="1" x="0"/>
        <item h="1" x="1"/>
        <item h="1" x="2"/>
        <item h="1" x="3"/>
        <item h="1" x="4"/>
        <item x="6"/>
        <item h="1" x="7"/>
        <item h="1" x="8"/>
        <item h="1" x="5"/>
        <item x="9"/>
        <item x="10"/>
        <item t="default"/>
      </items>
    </pivotField>
    <pivotField dataField="1" numFmtId="168" showAll="0"/>
    <pivotField dataField="1" numFmtId="168" showAll="0"/>
    <pivotField dataField="1" numFmtId="168" showAll="0"/>
    <pivotField dataField="1" numFmtId="168" showAll="0"/>
    <pivotField dataField="1" numFmtId="168" showAll="0"/>
    <pivotField dataField="1" numFmtId="168" showAll="0"/>
  </pivotFields>
  <rowFields count="1">
    <field x="0"/>
  </rowFields>
  <rowItems count="4">
    <i>
      <x v="5"/>
    </i>
    <i>
      <x v="9"/>
    </i>
    <i>
      <x v="10"/>
    </i>
    <i t="grand">
      <x/>
    </i>
  </rowItems>
  <colFields count="1">
    <field x="-2"/>
  </colFields>
  <colItems count="6">
    <i>
      <x/>
    </i>
    <i i="1">
      <x v="1"/>
    </i>
    <i i="2">
      <x v="2"/>
    </i>
    <i i="3">
      <x v="3"/>
    </i>
    <i i="4">
      <x v="4"/>
    </i>
    <i i="5">
      <x v="5"/>
    </i>
  </colItems>
  <dataFields count="6">
    <dataField name="Sum of 21_22 Growth Budget" fld="1" baseField="0" baseItem="0"/>
    <dataField name="Sum of 21_22 Los Budget" fld="2" baseField="0" baseItem="0"/>
    <dataField name="Sum of 21_22 Renewals Budget" fld="3" baseField="0" baseItem="0"/>
    <dataField name="Sum of 21_22 Growth Actuals" fld="4" baseField="0" baseItem="0"/>
    <dataField name="Sum of 21_22 Los Actuals" fld="5" baseField="0" baseItem="0"/>
    <dataField name="Sum of 21_22 Renewals Actuals" fld="6"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8" dT="2022-09-21T22:27:26.40" personId="{5B229F5B-DC72-47A4-A2E5-779360961E62}" id="{4A604487-EC43-4D2E-841B-A34AEACF6ED2}">
    <text>Taken from - DIA Report -  General-Level2-Report excluding: General Rate commercial, General Rate CBD Commercial, Genera Rate - Primary Ind, General rate 50% comm</text>
  </threadedComment>
</ThreadedComments>
</file>

<file path=xl/threadedComments/threadedComment2.xml><?xml version="1.0" encoding="utf-8"?>
<ThreadedComments xmlns="http://schemas.microsoft.com/office/spreadsheetml/2018/threadedcomments" xmlns:x="http://schemas.openxmlformats.org/spreadsheetml/2006/main">
  <threadedComment ref="J26" dT="2022-07-15T04:30:26.08" personId="{988316C7-3923-4648-9F71-E7E776165778}" id="{7AB8B952-BBB9-4F90-865A-97C9F9A539A1}">
    <text>Why did we not ask about unplanned interruptions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ui=en-us&amp;rs=en-us&amp;ad=us" TargetMode="External"/><Relationship Id="rId2" Type="http://schemas.openxmlformats.org/officeDocument/2006/relationships/hyperlink" Target="https://support.office.com/en-us/article/enable-or-disable-macros-in-office-files-12b036fd-d140-4e74-b45e-16fed1a7e5c6" TargetMode="External"/><Relationship Id="rId1" Type="http://schemas.openxmlformats.org/officeDocument/2006/relationships/hyperlink" Target="mailto:Lesley.smith@waternz.org.nz" TargetMode="External"/><Relationship Id="rId6" Type="http://schemas.openxmlformats.org/officeDocument/2006/relationships/printerSettings" Target="../printerSettings/printerSettings1.bin"/><Relationship Id="rId5" Type="http://schemas.openxmlformats.org/officeDocument/2006/relationships/hyperlink" Target="https://www.waternz.org.nz/DefinitionsGuide" TargetMode="External"/><Relationship Id="rId4" Type="http://schemas.openxmlformats.org/officeDocument/2006/relationships/hyperlink" Target="https://www.taumataarowai.govt.nz/assets/Uploads/Network-Performance/Drinking-water-network-environmental-performance-measures-and-guidance-material.pdf"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B2:L20"/>
  <sheetViews>
    <sheetView showGridLines="0" topLeftCell="A12" zoomScaleNormal="100" workbookViewId="0">
      <selection activeCell="L6" sqref="L6"/>
    </sheetView>
  </sheetViews>
  <sheetFormatPr defaultRowHeight="14.25"/>
  <cols>
    <col min="1" max="1" width="5.42578125" customWidth="1"/>
    <col min="2" max="2" width="13.5703125" customWidth="1"/>
    <col min="3" max="3" width="17" customWidth="1"/>
    <col min="4" max="4" width="18.42578125" customWidth="1"/>
    <col min="5" max="11" width="18.7109375" customWidth="1"/>
  </cols>
  <sheetData>
    <row r="2" spans="2:12" ht="19.5">
      <c r="B2" s="5" t="s">
        <v>0</v>
      </c>
      <c r="C2" s="5"/>
    </row>
    <row r="3" spans="2:12" ht="23.65" thickBot="1">
      <c r="B3" s="14" t="s">
        <v>1</v>
      </c>
      <c r="C3" s="14"/>
      <c r="D3" s="14"/>
      <c r="E3" s="14"/>
      <c r="F3" s="14"/>
      <c r="G3" s="14"/>
      <c r="H3" s="14"/>
      <c r="I3" s="14"/>
      <c r="J3" s="14"/>
    </row>
    <row r="4" spans="2:12" ht="19.899999999999999" thickTop="1">
      <c r="B4" s="5"/>
      <c r="C4" s="5"/>
      <c r="D4" s="5"/>
      <c r="E4" s="5"/>
      <c r="F4" s="5"/>
      <c r="G4" s="5"/>
      <c r="H4" s="5"/>
    </row>
    <row r="5" spans="2:12" ht="66" customHeight="1">
      <c r="B5" s="778" t="s">
        <v>2</v>
      </c>
      <c r="C5" s="778"/>
      <c r="D5" s="778"/>
      <c r="E5" s="778"/>
      <c r="F5" s="778"/>
      <c r="G5" s="778"/>
      <c r="H5" s="778"/>
      <c r="I5" s="778"/>
      <c r="J5" s="778"/>
    </row>
    <row r="6" spans="2:12" s="2" customFormat="1" ht="45" customHeight="1">
      <c r="B6" s="782" t="s">
        <v>3</v>
      </c>
      <c r="C6" s="783"/>
      <c r="D6" s="783"/>
      <c r="E6" s="783"/>
      <c r="F6" s="783"/>
      <c r="G6" s="783"/>
      <c r="H6" s="783"/>
      <c r="I6" s="783"/>
      <c r="J6" s="783"/>
    </row>
    <row r="7" spans="2:12" s="166" customFormat="1" ht="70.5" customHeight="1">
      <c r="B7" s="784" t="s">
        <v>4</v>
      </c>
      <c r="C7" s="784"/>
      <c r="D7" s="784"/>
      <c r="E7" s="784"/>
      <c r="F7" s="784"/>
      <c r="G7" s="784"/>
      <c r="H7" s="784"/>
      <c r="I7" s="784"/>
      <c r="J7" s="784"/>
    </row>
    <row r="8" spans="2:12" s="108" customFormat="1" ht="83.25" customHeight="1">
      <c r="B8" s="785" t="s">
        <v>5</v>
      </c>
      <c r="C8" s="785"/>
      <c r="D8" s="785"/>
      <c r="E8" s="785"/>
      <c r="F8" s="785"/>
      <c r="G8" s="785"/>
      <c r="H8" s="785"/>
      <c r="I8" s="785"/>
      <c r="J8" s="785"/>
    </row>
    <row r="9" spans="2:12" ht="100.5" customHeight="1">
      <c r="B9" s="781" t="s">
        <v>6</v>
      </c>
      <c r="C9" s="781"/>
      <c r="D9" s="781"/>
      <c r="E9" s="781"/>
      <c r="F9" s="781"/>
      <c r="G9" s="781"/>
      <c r="H9" s="781"/>
      <c r="I9" s="781"/>
      <c r="J9" s="781"/>
    </row>
    <row r="10" spans="2:12" ht="43.5" customHeight="1">
      <c r="B10" s="780" t="s">
        <v>7</v>
      </c>
      <c r="C10" s="781"/>
      <c r="D10" s="781"/>
      <c r="E10" s="781"/>
      <c r="F10" s="781"/>
      <c r="G10" s="781"/>
      <c r="H10" s="781"/>
      <c r="I10" s="781"/>
      <c r="J10" s="781"/>
    </row>
    <row r="11" spans="2:12" ht="88.5" customHeight="1">
      <c r="B11" s="779" t="s">
        <v>8</v>
      </c>
      <c r="C11" s="786"/>
      <c r="D11" s="786"/>
      <c r="E11" s="786"/>
      <c r="F11" s="786"/>
      <c r="G11" s="786"/>
      <c r="H11" s="786"/>
      <c r="I11" s="786"/>
      <c r="J11" s="786"/>
    </row>
    <row r="12" spans="2:12" ht="15.75">
      <c r="B12" s="105"/>
    </row>
    <row r="13" spans="2:12">
      <c r="B13" s="15" t="s">
        <v>9</v>
      </c>
      <c r="C13" s="15" t="s">
        <v>10</v>
      </c>
      <c r="D13" s="15" t="s">
        <v>11</v>
      </c>
      <c r="E13" s="15" t="s">
        <v>12</v>
      </c>
      <c r="F13" s="15" t="s">
        <v>13</v>
      </c>
      <c r="G13" s="16" t="s">
        <v>14</v>
      </c>
      <c r="H13" s="16" t="s">
        <v>15</v>
      </c>
      <c r="I13" s="16" t="s">
        <v>16</v>
      </c>
      <c r="J13" s="16" t="s">
        <v>17</v>
      </c>
      <c r="K13" s="16" t="s">
        <v>18</v>
      </c>
      <c r="L13" s="16" t="s">
        <v>19</v>
      </c>
    </row>
    <row r="14" spans="2:12" ht="196.5" customHeight="1">
      <c r="B14" s="112" t="s">
        <v>20</v>
      </c>
      <c r="C14" s="112" t="s">
        <v>21</v>
      </c>
      <c r="D14" s="112" t="s">
        <v>22</v>
      </c>
      <c r="E14" s="112" t="s">
        <v>23</v>
      </c>
      <c r="F14" s="112" t="s">
        <v>24</v>
      </c>
      <c r="G14" s="112" t="s">
        <v>25</v>
      </c>
      <c r="H14" s="144" t="s">
        <v>26</v>
      </c>
      <c r="I14" s="114" t="s">
        <v>27</v>
      </c>
      <c r="J14" s="114" t="s">
        <v>28</v>
      </c>
      <c r="K14" s="114" t="s">
        <v>29</v>
      </c>
      <c r="L14" s="114" t="s">
        <v>30</v>
      </c>
    </row>
    <row r="15" spans="2:12">
      <c r="B15" s="102"/>
      <c r="C15" s="102"/>
      <c r="D15" s="102"/>
      <c r="E15" s="102"/>
      <c r="F15" s="102"/>
      <c r="G15" s="108"/>
      <c r="H15" s="108"/>
      <c r="I15" s="108"/>
      <c r="J15" s="108"/>
    </row>
    <row r="16" spans="2:12" ht="24.75" customHeight="1">
      <c r="B16" s="778" t="s">
        <v>27</v>
      </c>
      <c r="C16" s="778"/>
      <c r="D16" s="778"/>
      <c r="E16" s="778"/>
      <c r="F16" s="778"/>
      <c r="G16" s="778"/>
      <c r="H16" s="778"/>
      <c r="I16" s="778"/>
      <c r="J16" s="778"/>
    </row>
    <row r="17" spans="2:10" ht="32.25" customHeight="1">
      <c r="B17" s="113"/>
      <c r="C17" s="111" t="s">
        <v>31</v>
      </c>
      <c r="D17" s="111" t="s">
        <v>32</v>
      </c>
      <c r="E17" s="111" t="s">
        <v>33</v>
      </c>
      <c r="F17" s="111" t="s">
        <v>34</v>
      </c>
      <c r="G17" s="111" t="s">
        <v>35</v>
      </c>
      <c r="H17" s="109"/>
      <c r="I17" s="106"/>
    </row>
    <row r="18" spans="2:10" ht="78" customHeight="1">
      <c r="B18" s="113" t="s">
        <v>36</v>
      </c>
      <c r="C18" s="110" t="s">
        <v>37</v>
      </c>
      <c r="D18" s="110" t="s">
        <v>38</v>
      </c>
      <c r="E18" s="110" t="s">
        <v>39</v>
      </c>
      <c r="F18" s="110" t="s">
        <v>40</v>
      </c>
      <c r="G18" s="110" t="s">
        <v>41</v>
      </c>
      <c r="H18" s="109"/>
      <c r="I18" s="106"/>
    </row>
    <row r="19" spans="2:10" ht="124.5" customHeight="1">
      <c r="B19" s="113" t="s">
        <v>42</v>
      </c>
      <c r="C19" s="110" t="s">
        <v>43</v>
      </c>
      <c r="D19" s="110" t="s">
        <v>44</v>
      </c>
      <c r="E19" s="110" t="s">
        <v>45</v>
      </c>
      <c r="F19" s="110" t="s">
        <v>46</v>
      </c>
      <c r="G19" s="110" t="s">
        <v>47</v>
      </c>
      <c r="H19" s="109"/>
      <c r="I19" s="106"/>
    </row>
    <row r="20" spans="2:10" ht="15.75">
      <c r="B20" s="106"/>
      <c r="C20" s="107"/>
      <c r="D20" s="107"/>
      <c r="E20" s="107"/>
      <c r="F20" s="107"/>
      <c r="G20" s="107"/>
      <c r="H20" s="107"/>
      <c r="I20" s="107"/>
      <c r="J20" s="107"/>
    </row>
  </sheetData>
  <mergeCells count="8">
    <mergeCell ref="B5:J5"/>
    <mergeCell ref="B11:J11"/>
    <mergeCell ref="B16:J16"/>
    <mergeCell ref="B10:J10"/>
    <mergeCell ref="B9:J9"/>
    <mergeCell ref="B6:J6"/>
    <mergeCell ref="B7:J7"/>
    <mergeCell ref="B8:J8"/>
  </mergeCells>
  <dataValidations count="2">
    <dataValidation allowBlank="1" showInputMessage="1" showErrorMessage="1" prompt="Near misses reported by staff and contractors working on drinking, waste and stormwater networks. Further detail is included in defintioins guidelines." sqref="F15 H14" xr:uid="{00000000-0002-0000-0000-000000000000}"/>
    <dataValidation type="list" allowBlank="1" showInputMessage="1" showErrorMessage="1" sqref="G15 I14" xr:uid="{00000000-0002-0000-0000-000001000000}">
      <formula1>Data_confidence</formula1>
    </dataValidation>
  </dataValidations>
  <hyperlinks>
    <hyperlink ref="B5" r:id="rId1" display="mailto:Lesley.smith@waternz.org.nz" xr:uid="{00000000-0004-0000-0000-000000000000}"/>
    <hyperlink ref="B10:J10" r:id="rId2" display="https://support.office.com/en-us/article/enable-or-disable-macros-in-office-files-12b036fd-d140-4e74-b45e-16fed1a7e5c6" xr:uid="{00000000-0004-0000-0000-000001000000}"/>
    <hyperlink ref="B9:J9" r:id="rId3" display="https://support.microsoft.com/en-us/office/enable-or-disable-macros-in-office-files-12b036fd-d140-4e74-b45e-16fed1a7e5c6?ui=en-us&amp;rs=en-us&amp;ad=us" xr:uid="{00000000-0004-0000-0000-000002000000}"/>
    <hyperlink ref="B7:J7" r:id="rId4" display="Changes have been made to align measures with Taumata Arowai's Network Environmental Performance Measures. Taumata Arowai measure codes have been used to cross-reference measures. Further information on the Taumata Arowai measures is available here: https://www.taumataarowai.govt.nz/for-water-suppliers/network-environmental-performance-measures/" xr:uid="{00000000-0004-0000-0000-000003000000}"/>
    <hyperlink ref="B6:J6" r:id="rId5" display="https://www.waternz.org.nz/DefinitionsGuide" xr:uid="{00000000-0004-0000-0000-000004000000}"/>
  </hyperlinks>
  <pageMargins left="0.25" right="0.25" top="0.75" bottom="0.75" header="0.3" footer="0.3"/>
  <pageSetup paperSize="9" orientation="portrait" verticalDpi="0"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5"/>
  </sheetPr>
  <dimension ref="B1:N27"/>
  <sheetViews>
    <sheetView showGridLines="0" zoomScale="85" zoomScaleNormal="85" workbookViewId="0">
      <pane xSplit="7" ySplit="5" topLeftCell="H15" activePane="bottomRight" state="frozen"/>
      <selection pane="bottomRight" activeCell="H12" sqref="H12"/>
      <selection pane="bottomLeft" activeCell="A6" sqref="A6"/>
      <selection pane="topRight" activeCell="H1" sqref="H1"/>
    </sheetView>
  </sheetViews>
  <sheetFormatPr defaultRowHeight="14.25"/>
  <cols>
    <col min="2" max="2" width="55.5703125" style="48" hidden="1" customWidth="1"/>
    <col min="3" max="3" width="14.140625" customWidth="1"/>
    <col min="4" max="4" width="15.7109375" customWidth="1"/>
    <col min="5" max="5" width="53.42578125" customWidth="1"/>
    <col min="6" max="6" width="15.7109375" customWidth="1"/>
    <col min="7" max="7" width="15.7109375" style="1" customWidth="1"/>
    <col min="8" max="9" width="15.7109375" customWidth="1"/>
    <col min="10" max="10" width="30.7109375" customWidth="1"/>
    <col min="11" max="11" width="17.5703125" customWidth="1"/>
    <col min="12" max="12" width="30.7109375" customWidth="1"/>
    <col min="13" max="14" width="33.85546875" hidden="1" customWidth="1"/>
  </cols>
  <sheetData>
    <row r="1" spans="2:14">
      <c r="C1" s="4"/>
      <c r="D1" s="2"/>
      <c r="E1" s="2"/>
      <c r="F1" s="2"/>
      <c r="H1" s="1"/>
      <c r="I1" s="1"/>
      <c r="J1" s="1"/>
      <c r="K1" s="1"/>
      <c r="L1" s="1"/>
      <c r="M1" s="1"/>
      <c r="N1" s="1"/>
    </row>
    <row r="2" spans="2:14" ht="19.5">
      <c r="C2" s="5" t="s">
        <v>0</v>
      </c>
      <c r="D2" s="2"/>
      <c r="E2" s="2"/>
      <c r="F2" s="2"/>
      <c r="H2" s="1"/>
      <c r="I2" s="1"/>
      <c r="J2" s="1"/>
      <c r="K2" s="1"/>
      <c r="L2" s="1"/>
      <c r="M2" s="1"/>
      <c r="N2" s="1"/>
    </row>
    <row r="3" spans="2:14" ht="23.65" thickBot="1">
      <c r="C3" s="14" t="s">
        <v>48</v>
      </c>
      <c r="D3" s="13"/>
      <c r="E3" s="14" t="s">
        <v>49</v>
      </c>
      <c r="H3" s="1"/>
      <c r="I3" s="1"/>
      <c r="J3" s="1"/>
      <c r="K3" s="1"/>
      <c r="L3" s="1"/>
      <c r="M3" s="1"/>
      <c r="N3" s="1"/>
    </row>
    <row r="4" spans="2:14" ht="14.65" thickTop="1">
      <c r="C4" s="4"/>
      <c r="D4" s="2"/>
      <c r="E4" s="2"/>
      <c r="F4" s="2"/>
      <c r="H4" s="1"/>
      <c r="I4" s="1"/>
      <c r="J4" s="1"/>
      <c r="K4" s="1"/>
      <c r="L4" s="1"/>
      <c r="M4" s="1"/>
      <c r="N4" s="1"/>
    </row>
    <row r="5" spans="2:14" s="2" customFormat="1" ht="20.100000000000001" customHeight="1">
      <c r="B5" s="48" t="s">
        <v>50</v>
      </c>
      <c r="C5" s="235" t="s">
        <v>51</v>
      </c>
      <c r="D5" s="15" t="s">
        <v>9</v>
      </c>
      <c r="E5" s="15" t="s">
        <v>11</v>
      </c>
      <c r="F5" s="15" t="s">
        <v>12</v>
      </c>
      <c r="G5" s="16" t="s">
        <v>14</v>
      </c>
      <c r="H5" s="234" t="s">
        <v>15</v>
      </c>
      <c r="I5" s="234" t="s">
        <v>16</v>
      </c>
      <c r="J5" s="16" t="s">
        <v>18</v>
      </c>
      <c r="K5" s="16" t="s">
        <v>17</v>
      </c>
      <c r="L5" s="16" t="s">
        <v>19</v>
      </c>
      <c r="M5" s="16" t="s">
        <v>52</v>
      </c>
      <c r="N5" s="16" t="s">
        <v>53</v>
      </c>
    </row>
    <row r="6" spans="2:14" ht="20.100000000000001" customHeight="1">
      <c r="B6" s="104" t="str">
        <f>E6&amp;" ["&amp;D6&amp;"]"</f>
        <v>Total Area [CB1]</v>
      </c>
      <c r="C6" s="236" t="s">
        <v>54</v>
      </c>
      <c r="D6" s="21" t="s">
        <v>55</v>
      </c>
      <c r="E6" s="21" t="s">
        <v>56</v>
      </c>
      <c r="F6" s="93" t="s">
        <v>57</v>
      </c>
      <c r="G6" s="135">
        <f>IF(ISBLANK('Previous years'!B4),"",'Previous years'!B4)</f>
        <v>9375.1977179000005</v>
      </c>
      <c r="H6" s="312">
        <f>'Previous years'!C4</f>
        <v>9375.1977179000005</v>
      </c>
      <c r="I6" s="304"/>
      <c r="J6" s="23"/>
      <c r="K6" s="25" t="s">
        <v>58</v>
      </c>
      <c r="L6" s="221"/>
      <c r="M6" s="229"/>
      <c r="N6" s="118"/>
    </row>
    <row r="7" spans="2:14" ht="20.100000000000001" customHeight="1">
      <c r="B7" s="104" t="str">
        <f t="shared" ref="B7:B27" si="0">E7&amp;" ["&amp;D7&amp;"]"</f>
        <v>Total Population [CB2]</v>
      </c>
      <c r="C7" s="237" t="s">
        <v>54</v>
      </c>
      <c r="D7" s="22" t="s">
        <v>59</v>
      </c>
      <c r="E7" s="22" t="s">
        <v>60</v>
      </c>
      <c r="F7" s="22" t="s">
        <v>61</v>
      </c>
      <c r="G7" s="136">
        <f>IF(ISBLANK('Previous years'!B5),"",'Previous years'!B5)</f>
        <v>47400</v>
      </c>
      <c r="H7" s="313">
        <f>'Previous years'!C5</f>
        <v>48300</v>
      </c>
      <c r="I7" s="305"/>
      <c r="J7" s="24"/>
      <c r="K7" s="25" t="s">
        <v>58</v>
      </c>
      <c r="L7" s="222"/>
      <c r="M7" s="25"/>
      <c r="N7" s="24"/>
    </row>
    <row r="8" spans="2:14" ht="20.100000000000001" customHeight="1">
      <c r="B8" s="104" t="str">
        <f t="shared" si="0"/>
        <v>Residential properties [CB3]</v>
      </c>
      <c r="C8" s="237" t="s">
        <v>54</v>
      </c>
      <c r="D8" s="145" t="s">
        <v>62</v>
      </c>
      <c r="E8" s="22" t="s">
        <v>63</v>
      </c>
      <c r="F8" s="22" t="s">
        <v>61</v>
      </c>
      <c r="G8" s="136">
        <f>IF(ISBLANK('Previous years'!B6),"",'Previous years'!B6)</f>
        <v>28124</v>
      </c>
      <c r="H8" s="316">
        <v>28144</v>
      </c>
      <c r="I8" s="308"/>
      <c r="J8" s="91" t="s">
        <v>64</v>
      </c>
      <c r="K8" s="12" t="s">
        <v>65</v>
      </c>
      <c r="L8" s="758" t="s">
        <v>66</v>
      </c>
      <c r="M8" s="11"/>
      <c r="N8" s="12"/>
    </row>
    <row r="9" spans="2:14" ht="20.100000000000001" customHeight="1">
      <c r="B9" s="104" t="str">
        <f t="shared" si="0"/>
        <v>Non-residential properties [CB4]</v>
      </c>
      <c r="C9" s="237" t="s">
        <v>54</v>
      </c>
      <c r="D9" s="22" t="s">
        <v>67</v>
      </c>
      <c r="E9" s="22" t="s">
        <v>68</v>
      </c>
      <c r="F9" s="22" t="s">
        <v>61</v>
      </c>
      <c r="G9" s="136">
        <f>IF(ISBLANK('Previous years'!B7),"",'Previous years'!B7)</f>
        <v>2939</v>
      </c>
      <c r="H9" s="316">
        <v>3040</v>
      </c>
      <c r="I9" s="308"/>
      <c r="J9" s="91" t="s">
        <v>64</v>
      </c>
      <c r="K9" s="12" t="s">
        <v>65</v>
      </c>
      <c r="L9" s="758" t="s">
        <v>69</v>
      </c>
      <c r="M9" s="11"/>
      <c r="N9" s="12"/>
    </row>
    <row r="10" spans="2:14" ht="20.100000000000001" customHeight="1">
      <c r="B10" s="104" t="str">
        <f t="shared" si="0"/>
        <v>Total  Properties [CB5]</v>
      </c>
      <c r="C10" s="237" t="s">
        <v>54</v>
      </c>
      <c r="D10" s="22" t="s">
        <v>70</v>
      </c>
      <c r="E10" s="22" t="s">
        <v>71</v>
      </c>
      <c r="F10" s="22" t="s">
        <v>61</v>
      </c>
      <c r="G10" s="136">
        <f>IF(ISBLANK('Previous years'!B8),"",'Previous years'!B8)</f>
        <v>31063</v>
      </c>
      <c r="H10" s="313">
        <f>IF(SUM(H8,H9)=0,"",SUM(H8,H9))</f>
        <v>31184</v>
      </c>
      <c r="I10" s="305" t="s">
        <v>72</v>
      </c>
      <c r="J10" s="24">
        <v>0</v>
      </c>
      <c r="K10" s="25" t="s">
        <v>72</v>
      </c>
      <c r="L10" s="222"/>
      <c r="M10" s="25"/>
      <c r="N10" s="24"/>
    </row>
    <row r="11" spans="2:14" ht="20.100000000000001" customHeight="1" thickBot="1">
      <c r="B11" s="104" t="str">
        <f t="shared" si="0"/>
        <v>Household Occupancy  [CB6]</v>
      </c>
      <c r="C11" s="238" t="s">
        <v>54</v>
      </c>
      <c r="D11" s="115" t="s">
        <v>73</v>
      </c>
      <c r="E11" s="115" t="s">
        <v>74</v>
      </c>
      <c r="F11" s="115" t="s">
        <v>61</v>
      </c>
      <c r="G11" s="137">
        <f>IF(ISBLANK('Previous years'!B9),"",'Previous years'!B9)</f>
        <v>1.6853932584269662</v>
      </c>
      <c r="H11" s="314">
        <f>IFERROR(H7/H8,"")</f>
        <v>1.7161739624786811</v>
      </c>
      <c r="I11" s="306" t="s">
        <v>72</v>
      </c>
      <c r="J11" s="116">
        <v>0</v>
      </c>
      <c r="K11" s="117" t="s">
        <v>72</v>
      </c>
      <c r="L11" s="224"/>
      <c r="M11" s="230"/>
      <c r="N11" s="119"/>
    </row>
    <row r="12" spans="2:14" ht="20.100000000000001" customHeight="1">
      <c r="B12" s="104" t="str">
        <f t="shared" si="0"/>
        <v>Internal staff [CB10]</v>
      </c>
      <c r="C12" s="236" t="s">
        <v>75</v>
      </c>
      <c r="D12" s="21" t="s">
        <v>76</v>
      </c>
      <c r="E12" s="21" t="s">
        <v>77</v>
      </c>
      <c r="F12" s="21" t="s">
        <v>78</v>
      </c>
      <c r="G12" s="138">
        <f>IF(ISBLANK('Previous years'!B10),"",'Previous years'!B10)</f>
        <v>19.5</v>
      </c>
      <c r="H12" s="315"/>
      <c r="I12" s="307"/>
      <c r="J12" s="10" t="s">
        <v>79</v>
      </c>
      <c r="K12" s="10">
        <v>0</v>
      </c>
      <c r="L12" s="225"/>
      <c r="M12" s="211"/>
      <c r="N12" s="92"/>
    </row>
    <row r="13" spans="2:14" ht="20.100000000000001" customHeight="1">
      <c r="B13" s="104" t="str">
        <f t="shared" si="0"/>
        <v>Staff vacancies [CB10a]</v>
      </c>
      <c r="C13" s="237" t="s">
        <v>75</v>
      </c>
      <c r="D13" s="22" t="s">
        <v>80</v>
      </c>
      <c r="E13" s="22" t="s">
        <v>81</v>
      </c>
      <c r="F13" s="22" t="s">
        <v>78</v>
      </c>
      <c r="G13" s="138">
        <f>IF(ISBLANK('Previous years'!B11),"",'Previous years'!B11)</f>
        <v>2</v>
      </c>
      <c r="H13" s="316"/>
      <c r="I13" s="308"/>
      <c r="J13" s="12" t="s">
        <v>79</v>
      </c>
      <c r="K13" s="12">
        <v>0</v>
      </c>
      <c r="L13" s="223"/>
      <c r="M13" s="209"/>
      <c r="N13" s="91"/>
    </row>
    <row r="14" spans="2:14" ht="20.100000000000001" customHeight="1">
      <c r="B14" s="104" t="str">
        <f t="shared" si="0"/>
        <v>Contracted staff [CB11]</v>
      </c>
      <c r="C14" s="237" t="s">
        <v>75</v>
      </c>
      <c r="D14" s="22" t="s">
        <v>82</v>
      </c>
      <c r="E14" s="22" t="s">
        <v>83</v>
      </c>
      <c r="F14" s="52" t="s">
        <v>78</v>
      </c>
      <c r="G14" s="138">
        <f>IF(ISBLANK('Previous years'!B12),"",'Previous years'!B12)</f>
        <v>37</v>
      </c>
      <c r="H14" s="317"/>
      <c r="I14" s="309"/>
      <c r="J14" s="99" t="s">
        <v>84</v>
      </c>
      <c r="K14" s="99">
        <v>0</v>
      </c>
      <c r="L14" s="226"/>
      <c r="M14" s="231"/>
      <c r="N14" s="98"/>
    </row>
    <row r="15" spans="2:14" ht="20.100000000000001" customHeight="1">
      <c r="B15" s="104" t="str">
        <f t="shared" si="0"/>
        <v>Near miss reports [CB12]</v>
      </c>
      <c r="C15" s="237" t="s">
        <v>75</v>
      </c>
      <c r="D15" s="22" t="s">
        <v>85</v>
      </c>
      <c r="E15" s="22" t="s">
        <v>86</v>
      </c>
      <c r="F15" s="22" t="s">
        <v>61</v>
      </c>
      <c r="G15" s="138" t="str">
        <f>IF(ISBLANK('Previous years'!B13),"",'Previous years'!B13)</f>
        <v/>
      </c>
      <c r="H15" s="317"/>
      <c r="I15" s="309"/>
      <c r="J15" s="99" t="s">
        <v>84</v>
      </c>
      <c r="K15" s="99">
        <v>0</v>
      </c>
      <c r="L15" s="226"/>
      <c r="M15" s="231"/>
      <c r="N15" s="98"/>
    </row>
    <row r="16" spans="2:14" ht="20.100000000000001" customHeight="1">
      <c r="B16" s="104" t="str">
        <f t="shared" si="0"/>
        <v>Lost time injuries [CB13]</v>
      </c>
      <c r="C16" s="237" t="s">
        <v>75</v>
      </c>
      <c r="D16" s="22" t="s">
        <v>87</v>
      </c>
      <c r="E16" s="22" t="s">
        <v>88</v>
      </c>
      <c r="F16" s="22" t="s">
        <v>89</v>
      </c>
      <c r="G16" s="138" t="str">
        <f>IF(ISBLANK('Previous years'!B14),"",'Previous years'!B14)</f>
        <v/>
      </c>
      <c r="H16" s="317"/>
      <c r="I16" s="309"/>
      <c r="J16" s="99" t="s">
        <v>84</v>
      </c>
      <c r="K16" s="99">
        <v>0</v>
      </c>
      <c r="L16" s="226"/>
      <c r="M16" s="231"/>
      <c r="N16" s="98"/>
    </row>
    <row r="17" spans="2:14" ht="20.100000000000001" customHeight="1">
      <c r="B17" s="104" t="str">
        <f t="shared" si="0"/>
        <v>Staff training hours [CB14a]</v>
      </c>
      <c r="C17" s="237" t="s">
        <v>75</v>
      </c>
      <c r="D17" s="156" t="s">
        <v>90</v>
      </c>
      <c r="E17" s="22" t="s">
        <v>91</v>
      </c>
      <c r="F17" s="52" t="s">
        <v>92</v>
      </c>
      <c r="G17" s="138" t="str">
        <f>IF(ISBLANK('Previous years'!B15),"",'Previous years'!B15)</f>
        <v/>
      </c>
      <c r="H17" s="317"/>
      <c r="I17" s="309"/>
      <c r="J17" s="99" t="s">
        <v>93</v>
      </c>
      <c r="K17" s="99" t="e">
        <v>#N/A</v>
      </c>
      <c r="L17" s="226"/>
      <c r="M17" s="231"/>
      <c r="N17" s="98"/>
    </row>
    <row r="18" spans="2:14" ht="20.100000000000001" customHeight="1">
      <c r="B18" s="104" t="str">
        <f t="shared" si="0"/>
        <v>Staff training enrolments [CB14b]</v>
      </c>
      <c r="C18" s="237"/>
      <c r="D18" s="156" t="s">
        <v>94</v>
      </c>
      <c r="E18" s="156" t="s">
        <v>95</v>
      </c>
      <c r="F18" s="156" t="s">
        <v>61</v>
      </c>
      <c r="G18" s="138" t="str">
        <f>IF(ISBLANK('Previous years'!B16),"",'Previous years'!B16)</f>
        <v/>
      </c>
      <c r="H18" s="317"/>
      <c r="I18" s="309"/>
      <c r="J18" s="99" t="s">
        <v>93</v>
      </c>
      <c r="K18" s="99">
        <v>0</v>
      </c>
      <c r="L18" s="226"/>
      <c r="M18" s="231"/>
      <c r="N18" s="98"/>
    </row>
    <row r="19" spans="2:14" ht="20.100000000000001" customHeight="1">
      <c r="B19" s="104" t="str">
        <f t="shared" si="0"/>
        <v>Staff with a relevant Bachelors degree [CB15a]</v>
      </c>
      <c r="C19" s="237" t="s">
        <v>75</v>
      </c>
      <c r="D19" s="156" t="s">
        <v>96</v>
      </c>
      <c r="E19" s="156" t="s">
        <v>97</v>
      </c>
      <c r="F19" s="101" t="s">
        <v>61</v>
      </c>
      <c r="G19" s="139" t="str">
        <f>IF(ISBLANK('Previous years'!B17),"",'Previous years'!B17)</f>
        <v/>
      </c>
      <c r="H19" s="317"/>
      <c r="I19" s="309"/>
      <c r="J19" s="99" t="s">
        <v>93</v>
      </c>
      <c r="K19" s="99" t="e">
        <v>#N/A</v>
      </c>
      <c r="L19" s="226"/>
      <c r="M19" s="231"/>
      <c r="N19" s="98"/>
    </row>
    <row r="20" spans="2:14" ht="20.100000000000001" customHeight="1">
      <c r="B20" s="104" t="str">
        <f t="shared" si="0"/>
        <v>Staff with a NZ Diploma [CB15c]</v>
      </c>
      <c r="C20" s="237" t="s">
        <v>75</v>
      </c>
      <c r="D20" s="156" t="s">
        <v>98</v>
      </c>
      <c r="E20" s="156" t="s">
        <v>99</v>
      </c>
      <c r="F20" s="101" t="s">
        <v>61</v>
      </c>
      <c r="G20" s="139" t="str">
        <f>IF(ISBLANK('Previous years'!B18),"",'Previous years'!B18)</f>
        <v/>
      </c>
      <c r="H20" s="317"/>
      <c r="I20" s="309"/>
      <c r="J20" s="99" t="s">
        <v>93</v>
      </c>
      <c r="K20" s="99">
        <v>0</v>
      </c>
      <c r="L20" s="226"/>
      <c r="M20" s="231"/>
      <c r="N20" s="98"/>
    </row>
    <row r="21" spans="2:14" ht="20.100000000000001" customHeight="1">
      <c r="B21" s="104" t="str">
        <f t="shared" si="0"/>
        <v>Staff with a NZ Certificate [CB15b]</v>
      </c>
      <c r="C21" s="237" t="s">
        <v>75</v>
      </c>
      <c r="D21" s="156" t="s">
        <v>100</v>
      </c>
      <c r="E21" s="156" t="s">
        <v>101</v>
      </c>
      <c r="F21" s="101" t="s">
        <v>61</v>
      </c>
      <c r="G21" s="139" t="str">
        <f>IF(ISBLANK('Previous years'!B19),"",'Previous years'!B19)</f>
        <v/>
      </c>
      <c r="H21" s="316"/>
      <c r="I21" s="308"/>
      <c r="J21" s="99" t="s">
        <v>93</v>
      </c>
      <c r="K21" s="99">
        <v>0</v>
      </c>
      <c r="L21" s="226"/>
      <c r="M21" s="209"/>
      <c r="N21" s="91"/>
    </row>
    <row r="22" spans="2:14" ht="20.100000000000001" customHeight="1">
      <c r="B22" s="104" t="str">
        <f t="shared" si="0"/>
        <v>Staff with completed apprenticeships [CB15d]</v>
      </c>
      <c r="C22" s="237" t="s">
        <v>75</v>
      </c>
      <c r="D22" s="156" t="s">
        <v>102</v>
      </c>
      <c r="E22" s="156" t="s">
        <v>103</v>
      </c>
      <c r="F22" s="101" t="s">
        <v>61</v>
      </c>
      <c r="G22" s="139" t="str">
        <f>IF(ISBLANK('Previous years'!B20),"",'Previous years'!B20)</f>
        <v/>
      </c>
      <c r="H22" s="317"/>
      <c r="I22" s="309"/>
      <c r="J22" s="99" t="s">
        <v>93</v>
      </c>
      <c r="K22" s="99">
        <v>0</v>
      </c>
      <c r="L22" s="226"/>
      <c r="M22" s="231"/>
      <c r="N22" s="98"/>
    </row>
    <row r="23" spans="2:14" ht="20.100000000000001" customHeight="1" thickBot="1">
      <c r="B23" s="104" t="str">
        <f t="shared" si="0"/>
        <v>Continuing professional development enrolments [CB16]</v>
      </c>
      <c r="C23" s="239" t="s">
        <v>75</v>
      </c>
      <c r="D23" s="66" t="s">
        <v>104</v>
      </c>
      <c r="E23" s="66" t="s">
        <v>105</v>
      </c>
      <c r="F23" s="65" t="s">
        <v>61</v>
      </c>
      <c r="G23" s="140" t="str">
        <f>IF(ISBLANK('Previous years'!B21),"",'Previous years'!B21)</f>
        <v/>
      </c>
      <c r="H23" s="318"/>
      <c r="I23" s="310"/>
      <c r="J23" s="68" t="s">
        <v>93</v>
      </c>
      <c r="K23" s="68">
        <v>0</v>
      </c>
      <c r="L23" s="227"/>
      <c r="M23" s="67"/>
      <c r="N23" s="68"/>
    </row>
    <row r="24" spans="2:14" ht="20.100000000000001" customHeight="1">
      <c r="B24" s="104" t="str">
        <f t="shared" si="0"/>
        <v>Analogue SCADA/telemetry [CB19a]</v>
      </c>
      <c r="C24" s="236" t="s">
        <v>106</v>
      </c>
      <c r="D24" s="21" t="s">
        <v>107</v>
      </c>
      <c r="E24" s="21" t="s">
        <v>108</v>
      </c>
      <c r="F24" s="21" t="s">
        <v>109</v>
      </c>
      <c r="G24" s="141">
        <f>IF(ISBLANK('Previous years'!B22),"",'Previous years'!B22)</f>
        <v>0.3</v>
      </c>
      <c r="H24" s="319">
        <f>G24</f>
        <v>0.3</v>
      </c>
      <c r="I24" s="311" t="s">
        <v>33</v>
      </c>
      <c r="J24" s="10" t="s">
        <v>84</v>
      </c>
      <c r="K24" s="10">
        <v>0</v>
      </c>
      <c r="L24" s="225"/>
      <c r="M24" s="232"/>
      <c r="N24" s="90"/>
    </row>
    <row r="25" spans="2:14" ht="20.100000000000001" customHeight="1">
      <c r="B25" s="104" t="str">
        <f t="shared" si="0"/>
        <v>Digital SCADA/telemetry [CB19b]</v>
      </c>
      <c r="C25" s="237" t="s">
        <v>106</v>
      </c>
      <c r="D25" s="22" t="s">
        <v>110</v>
      </c>
      <c r="E25" s="22" t="s">
        <v>111</v>
      </c>
      <c r="F25" s="22" t="s">
        <v>109</v>
      </c>
      <c r="G25" s="142">
        <f>IF(ISBLANK('Previous years'!B23),"",'Previous years'!B23)</f>
        <v>0.7</v>
      </c>
      <c r="H25" s="319">
        <f>G25</f>
        <v>0.7</v>
      </c>
      <c r="I25" s="311" t="s">
        <v>33</v>
      </c>
      <c r="J25" s="12" t="s">
        <v>84</v>
      </c>
      <c r="K25" s="12">
        <v>0</v>
      </c>
      <c r="L25" s="223"/>
      <c r="M25" s="96"/>
      <c r="N25" s="94"/>
    </row>
    <row r="26" spans="2:14" ht="20.100000000000001" customHeight="1">
      <c r="B26" s="104" t="str">
        <f t="shared" si="0"/>
        <v>SCADA/telemetry controls [CB19c]</v>
      </c>
      <c r="C26" s="237" t="s">
        <v>106</v>
      </c>
      <c r="D26" s="22" t="s">
        <v>112</v>
      </c>
      <c r="E26" s="22" t="s">
        <v>113</v>
      </c>
      <c r="F26" s="22" t="s">
        <v>109</v>
      </c>
      <c r="G26" s="142">
        <f>IF(ISBLANK('Previous years'!B24),"",'Previous years'!B24)</f>
        <v>0.45</v>
      </c>
      <c r="H26" s="319">
        <f>G26</f>
        <v>0.45</v>
      </c>
      <c r="I26" s="311" t="s">
        <v>33</v>
      </c>
      <c r="J26" s="12" t="s">
        <v>84</v>
      </c>
      <c r="K26" s="12">
        <v>0</v>
      </c>
      <c r="L26" s="223"/>
      <c r="M26" s="96"/>
      <c r="N26" s="94"/>
    </row>
    <row r="27" spans="2:14" ht="20.100000000000001" customHeight="1" thickBot="1">
      <c r="B27" s="104" t="str">
        <f t="shared" si="0"/>
        <v>SCADA/telemetry monitoring [CB19d]</v>
      </c>
      <c r="C27" s="240" t="s">
        <v>106</v>
      </c>
      <c r="D27" s="87" t="s">
        <v>114</v>
      </c>
      <c r="E27" s="87" t="s">
        <v>115</v>
      </c>
      <c r="F27" s="87" t="s">
        <v>109</v>
      </c>
      <c r="G27" s="143">
        <f>IF(ISBLANK('Previous years'!B25),"",'Previous years'!B25)</f>
        <v>1</v>
      </c>
      <c r="H27" s="319">
        <f>G27</f>
        <v>1</v>
      </c>
      <c r="I27" s="311" t="s">
        <v>33</v>
      </c>
      <c r="J27" s="88" t="s">
        <v>84</v>
      </c>
      <c r="K27" s="88">
        <v>0</v>
      </c>
      <c r="L27" s="228"/>
      <c r="M27" s="233"/>
      <c r="N27" s="89"/>
    </row>
  </sheetData>
  <dataValidations count="16">
    <dataValidation type="list" allowBlank="1" showInputMessage="1" showErrorMessage="1" sqref="I8:I9 I12:I27" xr:uid="{00000000-0002-0000-0100-000000000000}">
      <formula1>Data_confidence</formula1>
    </dataValidation>
    <dataValidation allowBlank="1" showInputMessage="1" showErrorMessage="1" prompt="Total number of properties other than residential including commercial properties and other public buildings (e.g. public schools and hospitals) in the area under the participants jurisdiction." sqref="H9" xr:uid="{00000000-0002-0000-0100-000001000000}"/>
    <dataValidation allowBlank="1" showInputMessage="1" showErrorMessage="1" prompt="The number of full time employees on the organisations payroll directly or indirectly involved in the delivery of 3 waters services. _x000a_Further details on staff providing overhead functions is included in the definitions guidelines." sqref="H12" xr:uid="{00000000-0002-0000-0100-000002000000}"/>
    <dataValidation allowBlank="1" showInputMessage="1" showErrorMessage="1" prompt="The number of vacancies in water, wastewater and stormwater services as time of reporting. " sqref="H13" xr:uid="{00000000-0002-0000-0100-000003000000}"/>
    <dataValidation allowBlank="1" showInputMessage="1" showErrorMessage="1" prompt="The number of full-time employees not on the organisations payroll but exclusively involved in the delivery of 3 waters services for the organisation. Further detail is included in defintioins guidelines." sqref="H14" xr:uid="{00000000-0002-0000-0100-000004000000}"/>
    <dataValidation allowBlank="1" showInputMessage="1" showErrorMessage="1" prompt="The approximate proportion of the SCADA system utilising analogue communications." sqref="H24:H27" xr:uid="{00000000-0002-0000-0100-000005000000}"/>
    <dataValidation allowBlank="1" showInputMessage="1" showErrorMessage="1" prompt="Number of staff holding an NZQA accredited Diploma in Water Treatment, Wastewater Treatment, Engineering or Drinking Water Assesment, or an equivalent overseas qualification (specify international qualifications in the comments field)" sqref="H20" xr:uid="{00000000-0002-0000-0100-000009000000}"/>
    <dataValidation allowBlank="1" showInputMessage="1" showErrorMessage="1" prompt="Number of staff with a Bachelor degree or higher in Engineering, Engineering Technology, Science, Health Science or Environmental Science. If a bachelors is held in another 3 waters related field, include this and list the degree in the comments field." sqref="H19" xr:uid="{00000000-0002-0000-0100-00000A000000}"/>
    <dataValidation allowBlank="1" showInputMessage="1" showErrorMessage="1" prompt="Number of staff holding an NZQA accredited Certificate in Water Treatment, Wastewater Treatment, Water Reticulation, Pipe Installations or Utilities maintenance (specify international qualifications in the comments field)" sqref="H21" xr:uid="{00000000-0002-0000-0100-00000B000000}"/>
    <dataValidation allowBlank="1" showInputMessage="1" showErrorMessage="1" prompt="Near misses reported by staff and contractors working on drinking, waste and stormwater networks. Further detail is included in defintion guidelines." sqref="H15" xr:uid="{00000000-0002-0000-0100-00000C000000}"/>
    <dataValidation allowBlank="1" showInputMessage="1" showErrorMessage="1" prompt="Loss of at least one complete shift or day off work (or more) by a staff or contractors as a result of a workplace incident causing illness or injury. Record as the number of days lost per full time employee. " sqref="H16" xr:uid="{00000000-0002-0000-0100-00000D000000}"/>
    <dataValidation allowBlank="1" showInputMessage="1" showErrorMessage="1" prompt="The average number of hours per year spent per staff member  in proffessional training or development activities. Further detail is included in definition guidelines." sqref="H17" xr:uid="{00000000-0002-0000-0100-00000E000000}"/>
    <dataValidation allowBlank="1" showInputMessage="1" showErrorMessage="1" prompt="The number of staff (included in field CB10) enrolled in a continuing professional development programme. List programmes in the comments field (e.g. Water Industry Professional Programme, Engineering New Zealand, New Zealand Planning Institute etc.)" sqref="H23" xr:uid="{00000000-0002-0000-0100-00000F000000}"/>
    <dataValidation allowBlank="1" showInputMessage="1" showErrorMessage="1" prompt="Number of staff having completed water treatment, wastewater treatment or pipeline construction and maintenance apprenticeships, registered on the NZQA framework." sqref="H22" xr:uid="{00000000-0002-0000-0100-000010000000}"/>
    <dataValidation allowBlank="1" showInputMessage="1" showErrorMessage="1" prompt="Residential properties including occupied and unoccupied dwellings.  Multi-unit premises should be counted based on the number of separately occupied dwellings. " sqref="H8" xr:uid="{00000000-0002-0000-0100-000011000000}"/>
    <dataValidation allowBlank="1" showInputMessage="1" showErrorMessage="1" prompt="The number of staff who are currently enrolled in training but have not yet completed any of the qualifications listed in CB15a-CB15d." sqref="H18" xr:uid="{00000000-0002-0000-0100-000012000000}"/>
  </dataValidation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3"/>
    <pageSetUpPr fitToPage="1"/>
  </sheetPr>
  <dimension ref="B2:AJ109"/>
  <sheetViews>
    <sheetView showGridLines="0" tabSelected="1" topLeftCell="D1" zoomScale="85" zoomScaleNormal="85" workbookViewId="0">
      <selection activeCell="AS11" sqref="AS11"/>
    </sheetView>
  </sheetViews>
  <sheetFormatPr defaultRowHeight="14.25"/>
  <cols>
    <col min="1" max="1" width="16.28515625" customWidth="1"/>
    <col min="2" max="2" width="66" style="104" hidden="1" customWidth="1"/>
    <col min="3" max="3" width="22.28515625" style="4" customWidth="1"/>
    <col min="4" max="4" width="17.28515625" style="1" customWidth="1"/>
    <col min="5" max="5" width="17.28515625" style="1" hidden="1" customWidth="1"/>
    <col min="6" max="6" width="51" style="2" customWidth="1"/>
    <col min="7" max="7" width="17.28515625" style="1" customWidth="1"/>
    <col min="8" max="8" width="17.28515625" style="1" hidden="1" customWidth="1"/>
    <col min="9" max="9" width="17.28515625" style="1" customWidth="1"/>
    <col min="10" max="10" width="15.7109375" style="1" customWidth="1"/>
    <col min="11" max="11" width="17.7109375" style="1" customWidth="1"/>
    <col min="12" max="12" width="22.42578125" style="1" customWidth="1"/>
    <col min="13" max="13" width="31.7109375" style="1" customWidth="1"/>
    <col min="14" max="14" width="63.28515625" style="1" customWidth="1"/>
    <col min="15" max="34" width="15.7109375" hidden="1" customWidth="1"/>
    <col min="35" max="36" width="30.7109375" style="1" hidden="1" customWidth="1"/>
  </cols>
  <sheetData>
    <row r="2" spans="2:36" ht="19.5">
      <c r="C2" s="5" t="s">
        <v>116</v>
      </c>
    </row>
    <row r="3" spans="2:36" ht="23.65" thickBot="1">
      <c r="C3" s="14" t="s">
        <v>117</v>
      </c>
      <c r="D3" s="14" t="str">
        <f>Common!E3</f>
        <v>Queenstown-Lakes</v>
      </c>
      <c r="F3" s="14"/>
    </row>
    <row r="4" spans="2:36" ht="14.65" thickTop="1"/>
    <row r="5" spans="2:36" s="2" customFormat="1" ht="20.100000000000001" customHeight="1">
      <c r="B5" s="104" t="s">
        <v>50</v>
      </c>
      <c r="C5" s="49" t="s">
        <v>51</v>
      </c>
      <c r="D5" s="42" t="s">
        <v>9</v>
      </c>
      <c r="E5" s="42" t="s">
        <v>10</v>
      </c>
      <c r="F5" s="43" t="s">
        <v>11</v>
      </c>
      <c r="G5" s="42" t="s">
        <v>12</v>
      </c>
      <c r="H5" s="42" t="s">
        <v>118</v>
      </c>
      <c r="I5" s="42" t="s">
        <v>14</v>
      </c>
      <c r="J5" s="186" t="s">
        <v>119</v>
      </c>
      <c r="K5" s="289" t="s">
        <v>16</v>
      </c>
      <c r="L5" s="42" t="s">
        <v>18</v>
      </c>
      <c r="M5" s="42" t="s">
        <v>17</v>
      </c>
      <c r="N5" s="186" t="s">
        <v>19</v>
      </c>
      <c r="O5" s="42" t="s">
        <v>120</v>
      </c>
      <c r="P5" s="42" t="s">
        <v>121</v>
      </c>
      <c r="Q5" s="42" t="s">
        <v>122</v>
      </c>
      <c r="R5" s="42" t="s">
        <v>123</v>
      </c>
      <c r="S5" s="42" t="s">
        <v>124</v>
      </c>
      <c r="T5" s="42" t="s">
        <v>125</v>
      </c>
      <c r="U5" s="42" t="s">
        <v>126</v>
      </c>
      <c r="V5" s="42" t="s">
        <v>127</v>
      </c>
      <c r="W5" s="42" t="s">
        <v>128</v>
      </c>
      <c r="X5" s="42" t="s">
        <v>129</v>
      </c>
      <c r="Y5" s="42" t="s">
        <v>130</v>
      </c>
      <c r="Z5" s="42" t="s">
        <v>131</v>
      </c>
      <c r="AA5" s="42" t="s">
        <v>132</v>
      </c>
      <c r="AB5" s="42" t="s">
        <v>133</v>
      </c>
      <c r="AC5" s="42" t="s">
        <v>134</v>
      </c>
      <c r="AD5" s="42" t="s">
        <v>135</v>
      </c>
      <c r="AE5" s="42" t="s">
        <v>136</v>
      </c>
      <c r="AF5" s="42" t="s">
        <v>137</v>
      </c>
      <c r="AG5" s="42" t="s">
        <v>138</v>
      </c>
      <c r="AH5" s="42" t="s">
        <v>139</v>
      </c>
      <c r="AI5" s="186" t="s">
        <v>52</v>
      </c>
      <c r="AJ5" s="186" t="s">
        <v>53</v>
      </c>
    </row>
    <row r="6" spans="2:36" s="3" customFormat="1" ht="20.100000000000001" customHeight="1">
      <c r="B6" s="104" t="str">
        <f t="shared" ref="B6:B16" si="0">F6&amp;" ["&amp;D6&amp;"]"</f>
        <v>Drinking water networks [WST1]</v>
      </c>
      <c r="C6" s="26" t="s">
        <v>140</v>
      </c>
      <c r="D6" s="495" t="s">
        <v>141</v>
      </c>
      <c r="E6" s="495" t="s">
        <v>142</v>
      </c>
      <c r="F6" s="496" t="s">
        <v>143</v>
      </c>
      <c r="G6" s="497" t="s">
        <v>61</v>
      </c>
      <c r="H6" s="123" t="s">
        <v>144</v>
      </c>
      <c r="I6" s="123" t="str">
        <f>'Previous years'!E4</f>
        <v/>
      </c>
      <c r="J6" s="769">
        <v>1</v>
      </c>
      <c r="K6" s="290"/>
      <c r="L6" s="9" t="s">
        <v>64</v>
      </c>
      <c r="M6" s="9"/>
      <c r="N6" s="770" t="s">
        <v>145</v>
      </c>
      <c r="AI6" s="212"/>
      <c r="AJ6" s="212"/>
    </row>
    <row r="7" spans="2:36" s="3" customFormat="1" ht="20.100000000000001" customHeight="1">
      <c r="B7" s="104" t="str">
        <f t="shared" si="0"/>
        <v>Water treatment plants [WSA4]</v>
      </c>
      <c r="C7" s="26" t="s">
        <v>146</v>
      </c>
      <c r="D7" s="128" t="s">
        <v>147</v>
      </c>
      <c r="E7" s="128" t="s">
        <v>148</v>
      </c>
      <c r="F7" s="7" t="s">
        <v>149</v>
      </c>
      <c r="G7" s="128" t="s">
        <v>61</v>
      </c>
      <c r="H7" s="128" t="s">
        <v>144</v>
      </c>
      <c r="I7" s="128">
        <f>'Previous years'!E5</f>
        <v>12</v>
      </c>
      <c r="J7" s="411">
        <v>12</v>
      </c>
      <c r="K7" s="291" t="s">
        <v>150</v>
      </c>
      <c r="L7" s="9" t="s">
        <v>64</v>
      </c>
      <c r="M7" s="9" t="s">
        <v>151</v>
      </c>
      <c r="N7" s="212"/>
      <c r="AI7" s="212"/>
      <c r="AJ7" s="212"/>
    </row>
    <row r="8" spans="2:36" s="3" customFormat="1" ht="20.100000000000001" customHeight="1">
      <c r="B8" s="104" t="str">
        <f t="shared" si="0"/>
        <v>Water reservoirs [WSA6]</v>
      </c>
      <c r="C8" s="26" t="s">
        <v>152</v>
      </c>
      <c r="D8" s="125" t="s">
        <v>153</v>
      </c>
      <c r="E8" s="125" t="s">
        <v>154</v>
      </c>
      <c r="F8" s="6" t="s">
        <v>155</v>
      </c>
      <c r="G8" s="125" t="s">
        <v>61</v>
      </c>
      <c r="H8" s="125" t="s">
        <v>156</v>
      </c>
      <c r="I8" s="125">
        <f>'Previous years'!E6</f>
        <v>47</v>
      </c>
      <c r="J8" s="411">
        <v>52</v>
      </c>
      <c r="K8" s="291" t="s">
        <v>150</v>
      </c>
      <c r="L8" s="11" t="s">
        <v>64</v>
      </c>
      <c r="M8" s="11" t="s">
        <v>151</v>
      </c>
      <c r="N8" s="91" t="s">
        <v>157</v>
      </c>
      <c r="AI8" s="210"/>
      <c r="AJ8" s="210"/>
    </row>
    <row r="9" spans="2:36" s="3" customFormat="1" ht="20.100000000000001" customHeight="1">
      <c r="B9" s="104" t="str">
        <f t="shared" si="0"/>
        <v>Water pump stations [WSA5]</v>
      </c>
      <c r="C9" s="27"/>
      <c r="D9" s="125" t="s">
        <v>158</v>
      </c>
      <c r="E9" s="125" t="s">
        <v>159</v>
      </c>
      <c r="F9" s="6" t="s">
        <v>160</v>
      </c>
      <c r="G9" s="125" t="s">
        <v>61</v>
      </c>
      <c r="H9" s="125" t="s">
        <v>144</v>
      </c>
      <c r="I9" s="125">
        <f>'Previous years'!E7</f>
        <v>33</v>
      </c>
      <c r="J9" s="411">
        <v>34</v>
      </c>
      <c r="K9" s="291" t="s">
        <v>150</v>
      </c>
      <c r="L9" s="11" t="s">
        <v>64</v>
      </c>
      <c r="M9" s="11" t="s">
        <v>151</v>
      </c>
      <c r="N9" s="210"/>
      <c r="AI9" s="210"/>
      <c r="AJ9" s="210"/>
    </row>
    <row r="10" spans="2:36" s="3" customFormat="1" ht="20.100000000000001" customHeight="1">
      <c r="B10" s="104" t="str">
        <f t="shared" si="0"/>
        <v>Water supply kilometres of pipe [WSA1a]</v>
      </c>
      <c r="C10" s="26"/>
      <c r="D10" s="128" t="s">
        <v>161</v>
      </c>
      <c r="E10" s="128" t="s">
        <v>162</v>
      </c>
      <c r="F10" s="56" t="s">
        <v>163</v>
      </c>
      <c r="G10" s="128" t="s">
        <v>164</v>
      </c>
      <c r="H10" s="128" t="s">
        <v>144</v>
      </c>
      <c r="I10" s="128">
        <f>'Previous years'!E8</f>
        <v>701.33799999999997</v>
      </c>
      <c r="J10" s="769">
        <v>619.62</v>
      </c>
      <c r="K10" s="291" t="s">
        <v>33</v>
      </c>
      <c r="L10" s="9" t="s">
        <v>64</v>
      </c>
      <c r="M10" s="9" t="s">
        <v>151</v>
      </c>
      <c r="N10" s="212" t="s">
        <v>165</v>
      </c>
      <c r="O10" s="42" t="s">
        <v>120</v>
      </c>
      <c r="P10" s="42" t="s">
        <v>121</v>
      </c>
      <c r="Q10" s="42" t="s">
        <v>122</v>
      </c>
      <c r="R10" s="42" t="s">
        <v>123</v>
      </c>
      <c r="S10" s="42" t="s">
        <v>124</v>
      </c>
      <c r="T10" s="42" t="s">
        <v>125</v>
      </c>
      <c r="U10" s="42" t="s">
        <v>126</v>
      </c>
      <c r="V10" s="42" t="s">
        <v>127</v>
      </c>
      <c r="W10" s="42" t="s">
        <v>128</v>
      </c>
      <c r="X10" s="42" t="s">
        <v>129</v>
      </c>
      <c r="Y10" s="42" t="s">
        <v>130</v>
      </c>
      <c r="Z10" s="42" t="s">
        <v>131</v>
      </c>
      <c r="AA10" s="42" t="s">
        <v>132</v>
      </c>
      <c r="AB10" s="42" t="s">
        <v>133</v>
      </c>
      <c r="AC10" s="42" t="s">
        <v>134</v>
      </c>
      <c r="AD10" s="42" t="s">
        <v>135</v>
      </c>
      <c r="AE10" s="42" t="s">
        <v>136</v>
      </c>
      <c r="AF10" s="42" t="s">
        <v>137</v>
      </c>
      <c r="AG10" s="42" t="s">
        <v>138</v>
      </c>
      <c r="AH10" s="42" t="s">
        <v>139</v>
      </c>
      <c r="AI10" s="212"/>
      <c r="AJ10" s="212"/>
    </row>
    <row r="11" spans="2:36" s="3" customFormat="1" ht="20.100000000000001" customHeight="1">
      <c r="B11" s="104" t="str">
        <f t="shared" si="0"/>
        <v>Network name [WST1a]</v>
      </c>
      <c r="C11" s="26"/>
      <c r="D11" s="497" t="s">
        <v>166</v>
      </c>
      <c r="E11" s="497"/>
      <c r="F11" s="498" t="s">
        <v>167</v>
      </c>
      <c r="G11" s="497" t="s">
        <v>168</v>
      </c>
      <c r="H11" s="128"/>
      <c r="I11" s="128" t="str">
        <f>'Previous years'!E9</f>
        <v/>
      </c>
      <c r="J11" s="413"/>
      <c r="K11" s="292"/>
      <c r="L11" s="9"/>
      <c r="M11" s="9"/>
      <c r="N11" s="189"/>
      <c r="O11" s="11"/>
      <c r="P11" s="12"/>
      <c r="Q11" s="12"/>
      <c r="R11" s="12"/>
      <c r="S11" s="12"/>
      <c r="T11" s="12"/>
      <c r="U11" s="12"/>
      <c r="V11" s="12"/>
      <c r="W11" s="12"/>
      <c r="X11" s="12"/>
      <c r="Y11" s="12"/>
      <c r="Z11" s="12"/>
      <c r="AA11" s="12"/>
      <c r="AB11" s="12"/>
      <c r="AC11" s="12"/>
      <c r="AD11" s="12"/>
      <c r="AE11" s="12"/>
      <c r="AF11" s="12"/>
      <c r="AG11" s="12"/>
      <c r="AH11" s="11"/>
      <c r="AI11" s="212"/>
      <c r="AJ11" s="212"/>
    </row>
    <row r="12" spans="2:36" s="3" customFormat="1" ht="20.100000000000001" customHeight="1">
      <c r="B12" s="104" t="str">
        <f t="shared" si="0"/>
        <v>Drinking water abstraction points [WST2]</v>
      </c>
      <c r="C12" s="26"/>
      <c r="D12" s="497" t="s">
        <v>169</v>
      </c>
      <c r="E12" s="497" t="s">
        <v>170</v>
      </c>
      <c r="F12" s="498" t="s">
        <v>171</v>
      </c>
      <c r="G12" s="497" t="s">
        <v>61</v>
      </c>
      <c r="H12" s="128" t="s">
        <v>172</v>
      </c>
      <c r="I12" s="128" t="str">
        <f>'Previous years'!E10</f>
        <v/>
      </c>
      <c r="J12" s="413" t="str">
        <f>IF(SUM(O12:AH12)=0,"",SUM(O12:AH12))</f>
        <v/>
      </c>
      <c r="K12" s="292"/>
      <c r="L12" s="9"/>
      <c r="M12" s="9"/>
      <c r="N12" s="189"/>
      <c r="O12" s="11"/>
      <c r="P12" s="12"/>
      <c r="Q12" s="12"/>
      <c r="R12" s="12"/>
      <c r="S12" s="12"/>
      <c r="T12" s="12"/>
      <c r="U12" s="12"/>
      <c r="V12" s="12"/>
      <c r="W12" s="12"/>
      <c r="X12" s="12"/>
      <c r="Y12" s="12"/>
      <c r="Z12" s="12"/>
      <c r="AA12" s="12"/>
      <c r="AB12" s="12"/>
      <c r="AC12" s="12"/>
      <c r="AD12" s="12"/>
      <c r="AE12" s="12"/>
      <c r="AF12" s="12"/>
      <c r="AG12" s="12"/>
      <c r="AH12" s="11"/>
      <c r="AI12" s="212"/>
      <c r="AJ12" s="212"/>
    </row>
    <row r="13" spans="2:36" s="3" customFormat="1" ht="20.100000000000001" customHeight="1" thickBot="1">
      <c r="B13" s="104" t="str">
        <f t="shared" si="0"/>
        <v>Drinking water network source type [WST3]</v>
      </c>
      <c r="C13" s="175"/>
      <c r="D13" s="499" t="s">
        <v>173</v>
      </c>
      <c r="E13" s="499" t="s">
        <v>174</v>
      </c>
      <c r="F13" s="500" t="s">
        <v>175</v>
      </c>
      <c r="G13" s="499" t="s">
        <v>176</v>
      </c>
      <c r="H13" s="176" t="s">
        <v>172</v>
      </c>
      <c r="I13" s="176" t="str">
        <f>'Previous years'!E11</f>
        <v/>
      </c>
      <c r="J13" s="412"/>
      <c r="K13" s="293"/>
      <c r="L13" s="178"/>
      <c r="M13" s="178"/>
      <c r="N13" s="191"/>
      <c r="O13" s="178"/>
      <c r="P13" s="178"/>
      <c r="Q13" s="178"/>
      <c r="R13" s="178"/>
      <c r="S13" s="178"/>
      <c r="T13" s="178"/>
      <c r="U13" s="178"/>
      <c r="V13" s="178"/>
      <c r="W13" s="178"/>
      <c r="X13" s="178"/>
      <c r="Y13" s="178"/>
      <c r="Z13" s="178"/>
      <c r="AA13" s="178"/>
      <c r="AB13" s="178"/>
      <c r="AC13" s="178"/>
      <c r="AD13" s="178"/>
      <c r="AE13" s="178"/>
      <c r="AF13" s="178"/>
      <c r="AG13" s="178"/>
      <c r="AH13" s="178"/>
      <c r="AI13" s="254"/>
      <c r="AJ13" s="254"/>
    </row>
    <row r="14" spans="2:36" s="3" customFormat="1" ht="20.100000000000001" customHeight="1">
      <c r="B14" s="104" t="str">
        <f t="shared" si="0"/>
        <v>Residential connections in the drinking water network [WSB2]</v>
      </c>
      <c r="C14" s="26" t="s">
        <v>140</v>
      </c>
      <c r="D14" s="128" t="s">
        <v>177</v>
      </c>
      <c r="E14" s="128" t="s">
        <v>178</v>
      </c>
      <c r="F14" s="7" t="s">
        <v>179</v>
      </c>
      <c r="G14" s="128" t="s">
        <v>61</v>
      </c>
      <c r="H14" s="128" t="s">
        <v>172</v>
      </c>
      <c r="I14" s="128">
        <f>'Previous years'!E12</f>
        <v>25582</v>
      </c>
      <c r="J14" s="765">
        <f>MROUND(I14*1.05,50)</f>
        <v>26850</v>
      </c>
      <c r="K14" s="292" t="s">
        <v>33</v>
      </c>
      <c r="L14" s="9" t="s">
        <v>180</v>
      </c>
      <c r="M14" s="9" t="s">
        <v>181</v>
      </c>
      <c r="N14" s="189"/>
      <c r="O14" s="11"/>
      <c r="P14" s="12"/>
      <c r="Q14" s="12"/>
      <c r="R14" s="12"/>
      <c r="S14" s="12"/>
      <c r="T14" s="12"/>
      <c r="U14" s="12"/>
      <c r="V14" s="12"/>
      <c r="W14" s="12"/>
      <c r="X14" s="12"/>
      <c r="Y14" s="12"/>
      <c r="Z14" s="12"/>
      <c r="AA14" s="12"/>
      <c r="AB14" s="12"/>
      <c r="AC14" s="12"/>
      <c r="AD14" s="12"/>
      <c r="AE14" s="12"/>
      <c r="AF14" s="12"/>
      <c r="AG14" s="12"/>
      <c r="AH14" s="11"/>
      <c r="AI14" s="212"/>
      <c r="AJ14" s="212"/>
    </row>
    <row r="15" spans="2:36" s="3" customFormat="1" ht="20.100000000000001" customHeight="1">
      <c r="B15" s="104" t="str">
        <f t="shared" si="0"/>
        <v>Non-residential connections in the drinking water network [WSB3]</v>
      </c>
      <c r="C15" s="26" t="s">
        <v>182</v>
      </c>
      <c r="D15" s="125" t="s">
        <v>183</v>
      </c>
      <c r="E15" s="125" t="s">
        <v>184</v>
      </c>
      <c r="F15" s="6" t="s">
        <v>185</v>
      </c>
      <c r="G15" s="125" t="s">
        <v>61</v>
      </c>
      <c r="H15" s="125" t="s">
        <v>172</v>
      </c>
      <c r="I15" s="125">
        <f>'Previous years'!E13</f>
        <v>2251</v>
      </c>
      <c r="J15" s="765">
        <f>MROUND(I15*1.05,50)</f>
        <v>2350</v>
      </c>
      <c r="K15" s="292" t="s">
        <v>33</v>
      </c>
      <c r="L15" s="11" t="s">
        <v>180</v>
      </c>
      <c r="M15" s="9" t="s">
        <v>181</v>
      </c>
      <c r="N15" s="190"/>
      <c r="O15" s="100"/>
      <c r="P15" s="99"/>
      <c r="Q15" s="99"/>
      <c r="R15" s="99"/>
      <c r="S15" s="99"/>
      <c r="T15" s="99"/>
      <c r="U15" s="99"/>
      <c r="V15" s="99"/>
      <c r="W15" s="99"/>
      <c r="X15" s="99"/>
      <c r="Y15" s="99"/>
      <c r="Z15" s="99"/>
      <c r="AA15" s="99"/>
      <c r="AB15" s="99"/>
      <c r="AC15" s="99"/>
      <c r="AD15" s="99"/>
      <c r="AE15" s="99"/>
      <c r="AF15" s="99"/>
      <c r="AG15" s="99"/>
      <c r="AH15" s="100"/>
      <c r="AI15" s="210"/>
      <c r="AJ15" s="210"/>
    </row>
    <row r="16" spans="2:36" s="3" customFormat="1" ht="20.100000000000001" customHeight="1">
      <c r="B16" s="104" t="str">
        <f t="shared" si="0"/>
        <v>Total population served by the drinking water network [WSB1a]</v>
      </c>
      <c r="C16" s="26" t="s">
        <v>186</v>
      </c>
      <c r="D16" s="123" t="s">
        <v>187</v>
      </c>
      <c r="E16" s="123" t="s">
        <v>188</v>
      </c>
      <c r="F16" s="199" t="s">
        <v>189</v>
      </c>
      <c r="G16" s="128" t="s">
        <v>61</v>
      </c>
      <c r="H16" s="123" t="s">
        <v>172</v>
      </c>
      <c r="I16" s="123">
        <f>'Previous years'!E14</f>
        <v>43115.730337078647</v>
      </c>
      <c r="J16" s="765">
        <f>'[1]Supply Water Consumption'!$M$21</f>
        <v>48300</v>
      </c>
      <c r="K16" s="292" t="s">
        <v>33</v>
      </c>
      <c r="L16" s="11" t="s">
        <v>180</v>
      </c>
      <c r="M16" s="9" t="s">
        <v>190</v>
      </c>
      <c r="N16" s="190" t="s">
        <v>191</v>
      </c>
      <c r="O16" s="11"/>
      <c r="P16" s="12"/>
      <c r="Q16" s="12"/>
      <c r="R16" s="12"/>
      <c r="S16" s="12"/>
      <c r="T16" s="12"/>
      <c r="U16" s="12"/>
      <c r="V16" s="12"/>
      <c r="W16" s="12"/>
      <c r="X16" s="12"/>
      <c r="Y16" s="12"/>
      <c r="Z16" s="12"/>
      <c r="AA16" s="12"/>
      <c r="AB16" s="12"/>
      <c r="AC16" s="12"/>
      <c r="AD16" s="12"/>
      <c r="AE16" s="12"/>
      <c r="AF16" s="12"/>
      <c r="AG16" s="12"/>
      <c r="AH16" s="11"/>
      <c r="AI16" s="210"/>
      <c r="AJ16" s="210"/>
    </row>
    <row r="17" spans="2:36" s="3" customFormat="1" ht="20.100000000000001" customHeight="1">
      <c r="B17" s="104" t="str">
        <f t="shared" ref="B17:B71" si="1">F17&amp;" ["&amp;D17&amp;"]"</f>
        <v>Water Supply Service Coverage [WSB1b]</v>
      </c>
      <c r="C17" s="27"/>
      <c r="D17" s="124" t="s">
        <v>192</v>
      </c>
      <c r="E17" s="124"/>
      <c r="F17" s="200" t="s">
        <v>193</v>
      </c>
      <c r="G17" s="125" t="s">
        <v>109</v>
      </c>
      <c r="H17" s="124" t="s">
        <v>172</v>
      </c>
      <c r="I17" s="124">
        <f>'Previous years'!E15</f>
        <v>0.90961456407338925</v>
      </c>
      <c r="J17" s="427">
        <f>IFERROR(J14/Common!H8,"")</f>
        <v>0.95402217168845938</v>
      </c>
      <c r="K17" s="290" t="s">
        <v>72</v>
      </c>
      <c r="L17" s="25"/>
      <c r="M17" s="25"/>
      <c r="N17" s="192"/>
      <c r="O17" s="25"/>
      <c r="P17" s="25"/>
      <c r="Q17" s="25"/>
      <c r="R17" s="25"/>
      <c r="S17" s="25"/>
      <c r="T17" s="25"/>
      <c r="U17" s="25"/>
      <c r="V17" s="25"/>
      <c r="W17" s="25"/>
      <c r="X17" s="25"/>
      <c r="Y17" s="25"/>
      <c r="Z17" s="25"/>
      <c r="AA17" s="25"/>
      <c r="AB17" s="25"/>
      <c r="AC17" s="25"/>
      <c r="AD17" s="25"/>
      <c r="AE17" s="25"/>
      <c r="AF17" s="25"/>
      <c r="AG17" s="25"/>
      <c r="AH17" s="25"/>
      <c r="AI17" s="210"/>
      <c r="AJ17" s="210"/>
    </row>
    <row r="18" spans="2:36" s="3" customFormat="1" ht="20.100000000000001" customHeight="1" thickBot="1">
      <c r="B18" s="104" t="str">
        <f t="shared" si="1"/>
        <v>Total connections to water networks [WSB4]</v>
      </c>
      <c r="C18" s="57"/>
      <c r="D18" s="130" t="s">
        <v>194</v>
      </c>
      <c r="E18" s="130"/>
      <c r="F18" s="55" t="s">
        <v>195</v>
      </c>
      <c r="G18" s="130" t="s">
        <v>61</v>
      </c>
      <c r="H18" s="130" t="s">
        <v>172</v>
      </c>
      <c r="I18" s="130">
        <f>'Previous years'!E16</f>
        <v>27833</v>
      </c>
      <c r="J18" s="428">
        <f>IF(SUMIF(J14:J15,"&gt;=0",J14:J15)=0,"",SUMIF(J14:J15,"&gt;=0",J14:J15))</f>
        <v>29200</v>
      </c>
      <c r="K18" s="294" t="s">
        <v>72</v>
      </c>
      <c r="L18" s="59"/>
      <c r="M18" s="59"/>
      <c r="N18" s="193"/>
      <c r="O18" s="59"/>
      <c r="P18" s="59"/>
      <c r="Q18" s="59"/>
      <c r="R18" s="59"/>
      <c r="S18" s="59"/>
      <c r="T18" s="59"/>
      <c r="U18" s="59"/>
      <c r="V18" s="59"/>
      <c r="W18" s="59"/>
      <c r="X18" s="59"/>
      <c r="Y18" s="59"/>
      <c r="Z18" s="59"/>
      <c r="AA18" s="59"/>
      <c r="AB18" s="59"/>
      <c r="AC18" s="59"/>
      <c r="AD18" s="59"/>
      <c r="AE18" s="59"/>
      <c r="AF18" s="59"/>
      <c r="AG18" s="59"/>
      <c r="AH18" s="59"/>
      <c r="AI18" s="196"/>
      <c r="AJ18" s="196"/>
    </row>
    <row r="19" spans="2:36" s="3" customFormat="1" ht="20.100000000000001" customHeight="1">
      <c r="B19" s="104" t="str">
        <f t="shared" si="1"/>
        <v>Water Supplied to the drinking water network [WSB5]</v>
      </c>
      <c r="C19" s="26" t="s">
        <v>196</v>
      </c>
      <c r="D19" s="129" t="s">
        <v>197</v>
      </c>
      <c r="E19" s="129" t="s">
        <v>198</v>
      </c>
      <c r="F19" s="56" t="s">
        <v>199</v>
      </c>
      <c r="G19" s="129" t="s">
        <v>200</v>
      </c>
      <c r="H19" s="129" t="s">
        <v>172</v>
      </c>
      <c r="I19" s="766">
        <f>'Previous years'!E17</f>
        <v>12251029</v>
      </c>
      <c r="J19" s="771">
        <f>10512000000/1000</f>
        <v>10512000</v>
      </c>
      <c r="K19" s="291" t="s">
        <v>33</v>
      </c>
      <c r="L19" s="9" t="s">
        <v>84</v>
      </c>
      <c r="M19" s="9" t="s">
        <v>201</v>
      </c>
      <c r="N19" s="189"/>
      <c r="O19" s="11"/>
      <c r="P19" s="12"/>
      <c r="Q19" s="12"/>
      <c r="R19" s="12"/>
      <c r="S19" s="12"/>
      <c r="T19" s="12"/>
      <c r="U19" s="12"/>
      <c r="V19" s="12"/>
      <c r="W19" s="12"/>
      <c r="X19" s="12"/>
      <c r="Y19" s="12"/>
      <c r="Z19" s="12"/>
      <c r="AA19" s="12"/>
      <c r="AB19" s="12"/>
      <c r="AC19" s="12"/>
      <c r="AD19" s="12"/>
      <c r="AE19" s="12"/>
      <c r="AF19" s="12"/>
      <c r="AG19" s="12"/>
      <c r="AH19" s="11"/>
      <c r="AI19" s="212"/>
      <c r="AJ19" s="212"/>
    </row>
    <row r="20" spans="2:36" s="3" customFormat="1" ht="20.100000000000001" customHeight="1">
      <c r="B20" s="104" t="str">
        <f>F20&amp;" ["&amp;D20&amp;"]"</f>
        <v>Non-residential water use  [WSB7]</v>
      </c>
      <c r="C20" s="26" t="s">
        <v>202</v>
      </c>
      <c r="D20" s="128" t="s">
        <v>203</v>
      </c>
      <c r="E20" s="128" t="s">
        <v>204</v>
      </c>
      <c r="F20" s="7" t="s">
        <v>205</v>
      </c>
      <c r="G20" s="128" t="s">
        <v>200</v>
      </c>
      <c r="H20" s="128" t="s">
        <v>172</v>
      </c>
      <c r="I20" s="767">
        <f>'Previous years'!E18</f>
        <v>2450205.8000000003</v>
      </c>
      <c r="J20" s="771">
        <v>3300000</v>
      </c>
      <c r="K20" s="291" t="s">
        <v>33</v>
      </c>
      <c r="L20" s="9" t="s">
        <v>206</v>
      </c>
      <c r="M20" s="9" t="s">
        <v>207</v>
      </c>
      <c r="N20" s="189" t="s">
        <v>208</v>
      </c>
      <c r="O20" s="11"/>
      <c r="P20" s="12"/>
      <c r="Q20" s="12"/>
      <c r="R20" s="12"/>
      <c r="S20" s="12"/>
      <c r="T20" s="12"/>
      <c r="U20" s="12"/>
      <c r="V20" s="12"/>
      <c r="W20" s="12"/>
      <c r="X20" s="12"/>
      <c r="Y20" s="12"/>
      <c r="Z20" s="12"/>
      <c r="AA20" s="12"/>
      <c r="AB20" s="12"/>
      <c r="AC20" s="12"/>
      <c r="AD20" s="12"/>
      <c r="AE20" s="12"/>
      <c r="AF20" s="12"/>
      <c r="AG20" s="12"/>
      <c r="AH20" s="11"/>
      <c r="AI20" s="212"/>
      <c r="AJ20" s="212"/>
    </row>
    <row r="21" spans="2:36" s="3" customFormat="1" ht="20.100000000000001" customHeight="1">
      <c r="B21" s="104" t="str">
        <f t="shared" si="1"/>
        <v>Water imported from other suppliers [WSB5a]</v>
      </c>
      <c r="C21" s="26"/>
      <c r="D21" s="126" t="s">
        <v>209</v>
      </c>
      <c r="E21" s="126" t="s">
        <v>210</v>
      </c>
      <c r="F21" s="41" t="s">
        <v>211</v>
      </c>
      <c r="G21" s="126" t="s">
        <v>200</v>
      </c>
      <c r="H21" s="126" t="s">
        <v>144</v>
      </c>
      <c r="I21" s="126">
        <f>'Previous years'!E19</f>
        <v>0</v>
      </c>
      <c r="J21" s="411">
        <v>0</v>
      </c>
      <c r="K21" s="291"/>
      <c r="L21" s="11" t="s">
        <v>206</v>
      </c>
      <c r="M21" s="9" t="s">
        <v>207</v>
      </c>
      <c r="N21" s="190"/>
      <c r="AI21" s="210"/>
      <c r="AJ21" s="210"/>
    </row>
    <row r="22" spans="2:36" s="3" customFormat="1" ht="20.100000000000001" customHeight="1" thickBot="1">
      <c r="B22" s="104" t="str">
        <f t="shared" si="1"/>
        <v>Water exported to other suppliers [WSB5b]</v>
      </c>
      <c r="C22" s="57"/>
      <c r="D22" s="130" t="s">
        <v>212</v>
      </c>
      <c r="E22" s="130" t="s">
        <v>213</v>
      </c>
      <c r="F22" s="55" t="s">
        <v>214</v>
      </c>
      <c r="G22" s="130" t="s">
        <v>200</v>
      </c>
      <c r="H22" s="130" t="s">
        <v>144</v>
      </c>
      <c r="I22" s="130">
        <f>'Previous years'!E20</f>
        <v>0</v>
      </c>
      <c r="J22" s="412">
        <v>160000</v>
      </c>
      <c r="K22" s="295" t="s">
        <v>33</v>
      </c>
      <c r="L22" s="178" t="s">
        <v>206</v>
      </c>
      <c r="M22" s="178" t="s">
        <v>207</v>
      </c>
      <c r="N22" s="191" t="s">
        <v>215</v>
      </c>
      <c r="AI22" s="254"/>
      <c r="AJ22" s="254"/>
    </row>
    <row r="23" spans="2:36" s="3" customFormat="1" ht="20.100000000000001" customHeight="1">
      <c r="B23" s="104" t="str">
        <f t="shared" si="1"/>
        <v>Number of resource consents that are held [WST4]</v>
      </c>
      <c r="C23" s="26" t="s">
        <v>216</v>
      </c>
      <c r="D23" s="497" t="s">
        <v>217</v>
      </c>
      <c r="E23" s="129" t="s">
        <v>218</v>
      </c>
      <c r="F23" s="498" t="s">
        <v>219</v>
      </c>
      <c r="G23" s="497" t="s">
        <v>61</v>
      </c>
      <c r="H23" s="129" t="s">
        <v>144</v>
      </c>
      <c r="I23" s="129" t="str">
        <f>'Previous years'!E21</f>
        <v/>
      </c>
      <c r="J23" s="413">
        <v>15</v>
      </c>
      <c r="K23" s="290"/>
      <c r="L23" s="9" t="s">
        <v>206</v>
      </c>
      <c r="M23" s="9" t="s">
        <v>220</v>
      </c>
      <c r="N23" s="189"/>
      <c r="AI23" s="212"/>
      <c r="AJ23" s="212"/>
    </row>
    <row r="24" spans="2:36" s="3" customFormat="1" ht="20.100000000000001" customHeight="1">
      <c r="B24" s="104" t="str">
        <f t="shared" si="1"/>
        <v>Type of resources consent  [WST5]</v>
      </c>
      <c r="C24" s="26" t="s">
        <v>221</v>
      </c>
      <c r="D24" s="501" t="s">
        <v>222</v>
      </c>
      <c r="E24" s="126" t="s">
        <v>223</v>
      </c>
      <c r="F24" s="149" t="s">
        <v>224</v>
      </c>
      <c r="G24" s="501" t="s">
        <v>176</v>
      </c>
      <c r="H24" s="126" t="s">
        <v>172</v>
      </c>
      <c r="I24" s="126" t="str">
        <f>'Previous years'!E22</f>
        <v/>
      </c>
      <c r="J24" s="411"/>
      <c r="K24" s="290"/>
      <c r="L24" s="11" t="s">
        <v>206</v>
      </c>
      <c r="M24" s="11" t="s">
        <v>220</v>
      </c>
      <c r="N24" s="190"/>
      <c r="O24" s="11"/>
      <c r="P24" s="12"/>
      <c r="Q24" s="12"/>
      <c r="R24" s="12"/>
      <c r="S24" s="12"/>
      <c r="T24" s="12"/>
      <c r="U24" s="12"/>
      <c r="V24" s="12"/>
      <c r="W24" s="12"/>
      <c r="X24" s="12"/>
      <c r="Y24" s="12"/>
      <c r="Z24" s="12"/>
      <c r="AA24" s="12"/>
      <c r="AB24" s="12"/>
      <c r="AC24" s="12"/>
      <c r="AD24" s="12"/>
      <c r="AE24" s="12"/>
      <c r="AF24" s="12"/>
      <c r="AG24" s="12"/>
      <c r="AH24" s="11"/>
      <c r="AI24" s="210"/>
      <c r="AJ24" s="210"/>
    </row>
    <row r="25" spans="2:36" s="3" customFormat="1" ht="20.100000000000001" customHeight="1">
      <c r="B25" s="104" t="str">
        <f t="shared" si="1"/>
        <v>Resource consent reference numbers [WST6]</v>
      </c>
      <c r="C25" s="27"/>
      <c r="D25" s="501" t="s">
        <v>225</v>
      </c>
      <c r="E25" s="126" t="s">
        <v>226</v>
      </c>
      <c r="F25" s="149" t="s">
        <v>227</v>
      </c>
      <c r="G25" s="501" t="s">
        <v>168</v>
      </c>
      <c r="H25" s="126" t="s">
        <v>172</v>
      </c>
      <c r="I25" s="126" t="str">
        <f>'Previous years'!E23</f>
        <v/>
      </c>
      <c r="J25" s="411"/>
      <c r="K25" s="290"/>
      <c r="L25" s="11" t="s">
        <v>206</v>
      </c>
      <c r="M25" s="11" t="s">
        <v>220</v>
      </c>
      <c r="N25" s="190"/>
      <c r="O25" s="11"/>
      <c r="P25" s="12"/>
      <c r="Q25" s="12"/>
      <c r="R25" s="12"/>
      <c r="S25" s="12"/>
      <c r="T25" s="12"/>
      <c r="U25" s="12"/>
      <c r="V25" s="12"/>
      <c r="W25" s="12"/>
      <c r="X25" s="12"/>
      <c r="Y25" s="12"/>
      <c r="Z25" s="12"/>
      <c r="AA25" s="12"/>
      <c r="AB25" s="12"/>
      <c r="AC25" s="12"/>
      <c r="AD25" s="12"/>
      <c r="AE25" s="12"/>
      <c r="AF25" s="12"/>
      <c r="AG25" s="12"/>
      <c r="AH25" s="11"/>
      <c r="AI25" s="210"/>
      <c r="AJ25" s="210"/>
    </row>
    <row r="26" spans="2:36" s="3" customFormat="1" ht="20.100000000000001" customHeight="1" thickBot="1">
      <c r="B26" s="104" t="str">
        <f t="shared" si="1"/>
        <v>Expiry dates for resource consents [WST7]</v>
      </c>
      <c r="C26" s="57"/>
      <c r="D26" s="502" t="s">
        <v>228</v>
      </c>
      <c r="E26" s="127" t="s">
        <v>229</v>
      </c>
      <c r="F26" s="146" t="s">
        <v>230</v>
      </c>
      <c r="G26" s="502" t="s">
        <v>231</v>
      </c>
      <c r="H26" s="127" t="s">
        <v>172</v>
      </c>
      <c r="I26" s="127" t="str">
        <f>'Previous years'!E24</f>
        <v/>
      </c>
      <c r="J26" s="414"/>
      <c r="K26" s="293"/>
      <c r="L26" s="179" t="s">
        <v>206</v>
      </c>
      <c r="M26" s="179" t="s">
        <v>220</v>
      </c>
      <c r="N26" s="194"/>
      <c r="O26" s="208"/>
      <c r="P26" s="208"/>
      <c r="Q26" s="208"/>
      <c r="R26" s="208"/>
      <c r="S26" s="208"/>
      <c r="T26" s="208"/>
      <c r="U26" s="208"/>
      <c r="V26" s="208"/>
      <c r="W26" s="208"/>
      <c r="X26" s="208"/>
      <c r="Y26" s="208"/>
      <c r="Z26" s="208"/>
      <c r="AA26" s="208"/>
      <c r="AB26" s="208"/>
      <c r="AC26" s="208"/>
      <c r="AD26" s="208"/>
      <c r="AE26" s="208"/>
      <c r="AF26" s="208"/>
      <c r="AG26" s="178"/>
      <c r="AH26" s="208"/>
      <c r="AI26" s="196"/>
      <c r="AJ26" s="196"/>
    </row>
    <row r="27" spans="2:36" s="3" customFormat="1" ht="20.100000000000001" customHeight="1">
      <c r="B27" s="104" t="str">
        <f t="shared" ref="B27:B36" si="2">F27&amp;" ["&amp;D27&amp;"]"</f>
        <v>Median hours to attend to an urgent fault [WSS10a]</v>
      </c>
      <c r="C27" s="26" t="s">
        <v>232</v>
      </c>
      <c r="D27" s="128" t="s">
        <v>233</v>
      </c>
      <c r="E27" s="128" t="s">
        <v>234</v>
      </c>
      <c r="F27" s="7" t="s">
        <v>235</v>
      </c>
      <c r="G27" s="128" t="s">
        <v>236</v>
      </c>
      <c r="H27" s="128" t="s">
        <v>144</v>
      </c>
      <c r="I27" s="128">
        <f>'Previous years'!E25</f>
        <v>0.43666666666666665</v>
      </c>
      <c r="J27" s="413">
        <f>28.4/60</f>
        <v>0.47333333333333333</v>
      </c>
      <c r="K27" s="292" t="s">
        <v>150</v>
      </c>
      <c r="L27" s="9" t="s">
        <v>84</v>
      </c>
      <c r="M27" s="9" t="s">
        <v>201</v>
      </c>
      <c r="N27" s="189"/>
      <c r="AI27" s="212"/>
      <c r="AJ27" s="212"/>
    </row>
    <row r="28" spans="2:36" s="3" customFormat="1" ht="20.100000000000001" customHeight="1">
      <c r="B28" s="104" t="str">
        <f t="shared" si="2"/>
        <v>Median hours to resolve an urgent fault [WSS10b]</v>
      </c>
      <c r="C28" s="27"/>
      <c r="D28" s="125" t="s">
        <v>237</v>
      </c>
      <c r="E28" s="125" t="s">
        <v>238</v>
      </c>
      <c r="F28" s="6" t="s">
        <v>239</v>
      </c>
      <c r="G28" s="125" t="s">
        <v>236</v>
      </c>
      <c r="H28" s="125" t="s">
        <v>144</v>
      </c>
      <c r="I28" s="125">
        <f>'Previous years'!E26</f>
        <v>6.7666666666666666</v>
      </c>
      <c r="J28" s="413">
        <f>277/60</f>
        <v>4.6166666666666663</v>
      </c>
      <c r="K28" s="292" t="s">
        <v>150</v>
      </c>
      <c r="L28" s="9" t="s">
        <v>84</v>
      </c>
      <c r="M28" s="9" t="s">
        <v>201</v>
      </c>
      <c r="N28" s="189"/>
      <c r="AI28" s="212"/>
      <c r="AJ28" s="212"/>
    </row>
    <row r="29" spans="2:36" s="3" customFormat="1" ht="20.100000000000001" customHeight="1">
      <c r="B29" s="104" t="str">
        <f t="shared" si="2"/>
        <v>Median hours to attend to a non-urgent fault [WSS10c]</v>
      </c>
      <c r="C29" s="27"/>
      <c r="D29" s="125" t="s">
        <v>240</v>
      </c>
      <c r="E29" s="125" t="s">
        <v>241</v>
      </c>
      <c r="F29" s="6" t="s">
        <v>242</v>
      </c>
      <c r="G29" s="125" t="s">
        <v>236</v>
      </c>
      <c r="H29" s="125" t="s">
        <v>144</v>
      </c>
      <c r="I29" s="125">
        <f>'Previous years'!E27</f>
        <v>10.783333333333333</v>
      </c>
      <c r="J29" s="411">
        <f>797/60</f>
        <v>13.283333333333333</v>
      </c>
      <c r="K29" s="292" t="s">
        <v>150</v>
      </c>
      <c r="L29" s="11" t="s">
        <v>84</v>
      </c>
      <c r="M29" s="9" t="s">
        <v>201</v>
      </c>
      <c r="N29" s="190"/>
      <c r="AI29" s="210"/>
      <c r="AJ29" s="210"/>
    </row>
    <row r="30" spans="2:36" s="3" customFormat="1" ht="20.100000000000001" customHeight="1" thickBot="1">
      <c r="B30" s="104" t="str">
        <f t="shared" si="2"/>
        <v>Median hours to resolve a non-urgent fault [WSS10d]</v>
      </c>
      <c r="C30" s="175"/>
      <c r="D30" s="176" t="s">
        <v>243</v>
      </c>
      <c r="E30" s="176" t="s">
        <v>244</v>
      </c>
      <c r="F30" s="177" t="s">
        <v>245</v>
      </c>
      <c r="G30" s="176" t="s">
        <v>236</v>
      </c>
      <c r="H30" s="176" t="s">
        <v>144</v>
      </c>
      <c r="I30" s="176">
        <f>'Previous years'!E28</f>
        <v>42.85</v>
      </c>
      <c r="J30" s="412">
        <f>3356/60</f>
        <v>55.93333333333333</v>
      </c>
      <c r="K30" s="292" t="s">
        <v>150</v>
      </c>
      <c r="L30" s="178" t="s">
        <v>84</v>
      </c>
      <c r="M30" s="9" t="s">
        <v>201</v>
      </c>
      <c r="N30" s="191"/>
      <c r="AI30" s="254"/>
      <c r="AJ30" s="254"/>
    </row>
    <row r="31" spans="2:36" s="3" customFormat="1" ht="20.100000000000001" customHeight="1">
      <c r="B31" s="104" t="str">
        <f t="shared" si="2"/>
        <v>Planned interruptions to water supply [WSS3]</v>
      </c>
      <c r="C31" s="26" t="s">
        <v>246</v>
      </c>
      <c r="D31" s="128" t="s">
        <v>247</v>
      </c>
      <c r="E31" s="128" t="s">
        <v>248</v>
      </c>
      <c r="F31" s="7" t="s">
        <v>249</v>
      </c>
      <c r="G31" s="128" t="s">
        <v>250</v>
      </c>
      <c r="H31" s="128" t="s">
        <v>144</v>
      </c>
      <c r="I31" s="128">
        <f>'Previous years'!E29</f>
        <v>47</v>
      </c>
      <c r="J31" s="413"/>
      <c r="K31" s="292"/>
      <c r="L31" s="9" t="s">
        <v>84</v>
      </c>
      <c r="M31" s="9" t="s">
        <v>251</v>
      </c>
      <c r="N31" s="189"/>
      <c r="AI31" s="212"/>
      <c r="AJ31" s="212"/>
    </row>
    <row r="32" spans="2:36" s="3" customFormat="1" ht="20.100000000000001" customHeight="1">
      <c r="B32" s="104" t="str">
        <f t="shared" si="2"/>
        <v>Third party incidents water supply [WSS4]</v>
      </c>
      <c r="C32" s="26" t="s">
        <v>252</v>
      </c>
      <c r="D32" s="125" t="s">
        <v>253</v>
      </c>
      <c r="E32" s="125" t="s">
        <v>254</v>
      </c>
      <c r="F32" s="6" t="s">
        <v>255</v>
      </c>
      <c r="G32" s="125" t="s">
        <v>250</v>
      </c>
      <c r="H32" s="125" t="s">
        <v>144</v>
      </c>
      <c r="I32" s="125">
        <f>'Previous years'!E30</f>
        <v>50</v>
      </c>
      <c r="J32" s="411"/>
      <c r="K32" s="291"/>
      <c r="L32" s="11" t="s">
        <v>84</v>
      </c>
      <c r="M32" s="11" t="s">
        <v>251</v>
      </c>
      <c r="N32" s="190"/>
      <c r="AI32" s="210"/>
      <c r="AJ32" s="210"/>
    </row>
    <row r="33" spans="2:36" s="3" customFormat="1" ht="20.100000000000001" customHeight="1">
      <c r="B33" s="104" t="str">
        <f t="shared" si="2"/>
        <v>Unplanned total interruptions water supply [WSS1]</v>
      </c>
      <c r="C33" s="444"/>
      <c r="D33" s="126" t="s">
        <v>256</v>
      </c>
      <c r="E33" s="126"/>
      <c r="F33" s="41" t="s">
        <v>257</v>
      </c>
      <c r="G33" s="128" t="s">
        <v>250</v>
      </c>
      <c r="H33" s="126" t="s">
        <v>144</v>
      </c>
      <c r="I33" s="126">
        <f>'Previous years'!E31</f>
        <v>133</v>
      </c>
      <c r="J33" s="413"/>
      <c r="K33" s="292"/>
      <c r="L33" s="9" t="s">
        <v>84</v>
      </c>
      <c r="M33" s="9" t="s">
        <v>251</v>
      </c>
      <c r="N33" s="189"/>
      <c r="AI33" s="212"/>
      <c r="AJ33" s="212"/>
    </row>
    <row r="34" spans="2:36" s="3" customFormat="1" ht="20.100000000000001" customHeight="1" thickBot="1">
      <c r="B34" s="104" t="str">
        <f t="shared" si="2"/>
        <v>Unplanned interruption frequency water supply [WSS2]</v>
      </c>
      <c r="C34" s="57"/>
      <c r="D34" s="127" t="s">
        <v>258</v>
      </c>
      <c r="E34" s="127"/>
      <c r="F34" s="58" t="s">
        <v>259</v>
      </c>
      <c r="G34" s="130" t="s">
        <v>260</v>
      </c>
      <c r="H34" s="127" t="s">
        <v>144</v>
      </c>
      <c r="I34" s="127">
        <f>'Previous years'!E32</f>
        <v>4.7785003413214531</v>
      </c>
      <c r="J34" s="415">
        <f>IFERROR((J33/J18)*1000,"")</f>
        <v>0</v>
      </c>
      <c r="K34" s="294" t="s">
        <v>72</v>
      </c>
      <c r="L34" s="59"/>
      <c r="M34" s="59"/>
      <c r="N34" s="193"/>
      <c r="AI34" s="196"/>
      <c r="AJ34" s="196"/>
    </row>
    <row r="35" spans="2:36" s="3" customFormat="1" ht="20.100000000000001" customHeight="1">
      <c r="B35" s="104" t="str">
        <f t="shared" si="2"/>
        <v>Percentage of pipelines that have received a condition grading [WSA2f]</v>
      </c>
      <c r="C35" s="26" t="s">
        <v>261</v>
      </c>
      <c r="D35" s="497" t="s">
        <v>262</v>
      </c>
      <c r="E35" s="497" t="s">
        <v>263</v>
      </c>
      <c r="F35" s="498" t="s">
        <v>264</v>
      </c>
      <c r="G35" s="497" t="s">
        <v>109</v>
      </c>
      <c r="H35" s="128" t="s">
        <v>144</v>
      </c>
      <c r="I35" s="443"/>
      <c r="J35" s="416"/>
      <c r="K35" s="292"/>
      <c r="L35" s="9" t="s">
        <v>84</v>
      </c>
      <c r="M35" s="9" t="s">
        <v>251</v>
      </c>
      <c r="N35" s="189"/>
      <c r="AI35" s="212"/>
      <c r="AJ35" s="212"/>
    </row>
    <row r="36" spans="2:36" s="3" customFormat="1" ht="20.100000000000001" customHeight="1">
      <c r="B36" s="104" t="str">
        <f t="shared" si="2"/>
        <v>Percentage of pipelines in poor or very poor condition [WSA2d]</v>
      </c>
      <c r="C36" s="27"/>
      <c r="D36" s="501" t="s">
        <v>265</v>
      </c>
      <c r="E36" s="501" t="s">
        <v>266</v>
      </c>
      <c r="F36" s="149" t="s">
        <v>267</v>
      </c>
      <c r="G36" s="501" t="s">
        <v>109</v>
      </c>
      <c r="H36" s="125" t="s">
        <v>144</v>
      </c>
      <c r="I36" s="124"/>
      <c r="J36" s="416"/>
      <c r="K36" s="292"/>
      <c r="L36" s="9" t="s">
        <v>84</v>
      </c>
      <c r="M36" s="9" t="s">
        <v>251</v>
      </c>
      <c r="N36" s="189"/>
      <c r="AI36" s="212"/>
      <c r="AJ36" s="212"/>
    </row>
    <row r="37" spans="2:36" s="3" customFormat="1" ht="20.100000000000001" customHeight="1">
      <c r="B37" s="104" t="str">
        <f t="shared" ref="B37:B49" si="3">F37&amp;" ["&amp;D37&amp;"]"</f>
        <v>Average age of water pipelines [WSA3]</v>
      </c>
      <c r="C37" s="27"/>
      <c r="D37" s="125" t="s">
        <v>268</v>
      </c>
      <c r="E37" s="125" t="s">
        <v>269</v>
      </c>
      <c r="F37" s="6" t="s">
        <v>270</v>
      </c>
      <c r="G37" s="125" t="s">
        <v>271</v>
      </c>
      <c r="H37" s="125" t="s">
        <v>144</v>
      </c>
      <c r="I37" s="125">
        <f>'Previous years'!E35</f>
        <v>19.3</v>
      </c>
      <c r="J37" s="768">
        <v>19.404897160709321</v>
      </c>
      <c r="K37" s="291" t="s">
        <v>150</v>
      </c>
      <c r="L37" s="11" t="s">
        <v>206</v>
      </c>
      <c r="M37" s="11" t="s">
        <v>272</v>
      </c>
      <c r="N37" s="190"/>
      <c r="AI37" s="210"/>
      <c r="AJ37" s="210"/>
    </row>
    <row r="38" spans="2:36" s="3" customFormat="1" ht="20.100000000000001" customHeight="1">
      <c r="B38" s="104" t="str">
        <f t="shared" si="3"/>
        <v>Percentage of above ground assets that have received a condition grading [WSA13c]</v>
      </c>
      <c r="C38" s="26"/>
      <c r="D38" s="497" t="s">
        <v>273</v>
      </c>
      <c r="E38" s="497" t="s">
        <v>274</v>
      </c>
      <c r="F38" s="498" t="s">
        <v>275</v>
      </c>
      <c r="G38" s="497" t="s">
        <v>109</v>
      </c>
      <c r="H38" s="128" t="s">
        <v>144</v>
      </c>
      <c r="I38" s="128"/>
      <c r="J38" s="416"/>
      <c r="K38" s="292"/>
      <c r="L38" s="9" t="s">
        <v>206</v>
      </c>
      <c r="M38" s="9" t="s">
        <v>276</v>
      </c>
      <c r="N38" s="189"/>
      <c r="AI38" s="212"/>
      <c r="AJ38" s="212"/>
    </row>
    <row r="39" spans="2:36" s="3" customFormat="1" ht="20.100000000000001" customHeight="1" thickBot="1">
      <c r="B39" s="104" t="str">
        <f t="shared" si="3"/>
        <v>Percentage of above ground assets in poor or very poor condition [WSA2d+WSA2g]</v>
      </c>
      <c r="C39" s="57"/>
      <c r="D39" s="502" t="s">
        <v>277</v>
      </c>
      <c r="E39" s="502" t="s">
        <v>278</v>
      </c>
      <c r="F39" s="146" t="s">
        <v>279</v>
      </c>
      <c r="G39" s="502" t="s">
        <v>109</v>
      </c>
      <c r="H39" s="130" t="s">
        <v>144</v>
      </c>
      <c r="I39" s="130" t="str">
        <f>'Previous years'!E37</f>
        <v/>
      </c>
      <c r="J39" s="417"/>
      <c r="K39" s="295"/>
      <c r="L39" s="178" t="s">
        <v>64</v>
      </c>
      <c r="M39" s="178" t="s">
        <v>280</v>
      </c>
      <c r="N39" s="191"/>
      <c r="O39" s="42" t="s">
        <v>120</v>
      </c>
      <c r="P39" s="42" t="s">
        <v>121</v>
      </c>
      <c r="Q39" s="42" t="s">
        <v>122</v>
      </c>
      <c r="R39" s="42" t="s">
        <v>123</v>
      </c>
      <c r="S39" s="42" t="s">
        <v>124</v>
      </c>
      <c r="T39" s="42" t="s">
        <v>125</v>
      </c>
      <c r="U39" s="42" t="s">
        <v>126</v>
      </c>
      <c r="V39" s="42" t="s">
        <v>127</v>
      </c>
      <c r="W39" s="42" t="s">
        <v>128</v>
      </c>
      <c r="X39" s="42" t="s">
        <v>129</v>
      </c>
      <c r="Y39" s="42" t="s">
        <v>130</v>
      </c>
      <c r="Z39" s="42" t="s">
        <v>131</v>
      </c>
      <c r="AA39" s="42" t="s">
        <v>132</v>
      </c>
      <c r="AB39" s="42" t="s">
        <v>133</v>
      </c>
      <c r="AC39" s="42" t="s">
        <v>134</v>
      </c>
      <c r="AD39" s="42" t="s">
        <v>135</v>
      </c>
      <c r="AE39" s="42" t="s">
        <v>136</v>
      </c>
      <c r="AF39" s="42" t="s">
        <v>137</v>
      </c>
      <c r="AG39" s="42" t="s">
        <v>138</v>
      </c>
      <c r="AH39" s="42" t="s">
        <v>139</v>
      </c>
      <c r="AI39" s="254"/>
      <c r="AJ39" s="254"/>
    </row>
    <row r="40" spans="2:36" s="3" customFormat="1" ht="20.100000000000001" customHeight="1">
      <c r="B40" s="104" t="str">
        <f t="shared" si="3"/>
        <v>Average system pressure [WSE2]</v>
      </c>
      <c r="C40" s="26" t="s">
        <v>281</v>
      </c>
      <c r="D40" s="128" t="s">
        <v>282</v>
      </c>
      <c r="E40" s="128" t="s">
        <v>283</v>
      </c>
      <c r="F40" s="7" t="s">
        <v>284</v>
      </c>
      <c r="G40" s="128" t="s">
        <v>285</v>
      </c>
      <c r="H40" s="128" t="s">
        <v>172</v>
      </c>
      <c r="I40" s="128">
        <f>'Previous years'!E38</f>
        <v>60</v>
      </c>
      <c r="J40" s="432">
        <v>60</v>
      </c>
      <c r="K40" s="292" t="s">
        <v>33</v>
      </c>
      <c r="L40" s="9" t="s">
        <v>206</v>
      </c>
      <c r="M40" s="9" t="s">
        <v>286</v>
      </c>
      <c r="N40" s="189" t="s">
        <v>287</v>
      </c>
      <c r="O40" s="11"/>
      <c r="P40" s="12"/>
      <c r="Q40" s="12"/>
      <c r="R40" s="12"/>
      <c r="S40" s="12"/>
      <c r="T40" s="12"/>
      <c r="U40" s="12"/>
      <c r="V40" s="12"/>
      <c r="W40" s="12"/>
      <c r="X40" s="12"/>
      <c r="Y40" s="12"/>
      <c r="Z40" s="12"/>
      <c r="AA40" s="12"/>
      <c r="AB40" s="12"/>
      <c r="AC40" s="12"/>
      <c r="AD40" s="12"/>
      <c r="AE40" s="12"/>
      <c r="AF40" s="12"/>
      <c r="AG40" s="11"/>
      <c r="AH40" s="11"/>
      <c r="AI40" s="212"/>
      <c r="AJ40" s="212"/>
    </row>
    <row r="41" spans="2:36" s="3" customFormat="1" ht="20.100000000000001" customHeight="1" thickBot="1">
      <c r="B41" s="104" t="str">
        <f t="shared" si="3"/>
        <v>Has a reference level for water pressure been set [WST8]</v>
      </c>
      <c r="C41" s="180"/>
      <c r="D41" s="503" t="s">
        <v>288</v>
      </c>
      <c r="E41" s="503" t="s">
        <v>289</v>
      </c>
      <c r="F41" s="504" t="s">
        <v>290</v>
      </c>
      <c r="G41" s="503" t="s">
        <v>291</v>
      </c>
      <c r="H41" s="181" t="s">
        <v>144</v>
      </c>
      <c r="I41" s="181" t="str">
        <f>'Previous years'!E39</f>
        <v/>
      </c>
      <c r="J41" s="431" t="s">
        <v>292</v>
      </c>
      <c r="K41" s="293"/>
      <c r="L41" s="178" t="s">
        <v>206</v>
      </c>
      <c r="M41" s="178"/>
      <c r="N41" s="191"/>
      <c r="AI41" s="254"/>
      <c r="AJ41" s="254"/>
    </row>
    <row r="42" spans="2:36" s="3" customFormat="1" ht="20.100000000000001" customHeight="1">
      <c r="B42" s="104" t="str">
        <f t="shared" si="3"/>
        <v>Number of days water restrictions applied [WSS11]</v>
      </c>
      <c r="C42" s="26" t="s">
        <v>293</v>
      </c>
      <c r="D42" s="497" t="s">
        <v>294</v>
      </c>
      <c r="E42" s="497" t="s">
        <v>295</v>
      </c>
      <c r="F42" s="498" t="s">
        <v>296</v>
      </c>
      <c r="G42" s="497" t="s">
        <v>61</v>
      </c>
      <c r="H42" s="128" t="s">
        <v>144</v>
      </c>
      <c r="I42" s="128"/>
      <c r="J42" s="413"/>
      <c r="K42" s="292"/>
      <c r="L42" s="9" t="s">
        <v>84</v>
      </c>
      <c r="M42" s="9" t="s">
        <v>251</v>
      </c>
      <c r="N42" s="189"/>
      <c r="AI42" s="212"/>
      <c r="AJ42" s="212"/>
    </row>
    <row r="43" spans="2:36" s="3" customFormat="1" ht="20.100000000000001" customHeight="1" thickBot="1">
      <c r="B43" s="104" t="str">
        <f t="shared" si="3"/>
        <v>Number of connections affected by restrictions [WST9]</v>
      </c>
      <c r="C43" s="180"/>
      <c r="D43" s="503" t="s">
        <v>297</v>
      </c>
      <c r="E43" s="503" t="s">
        <v>298</v>
      </c>
      <c r="F43" s="504" t="s">
        <v>299</v>
      </c>
      <c r="G43" s="503" t="s">
        <v>109</v>
      </c>
      <c r="H43" s="181" t="s">
        <v>144</v>
      </c>
      <c r="I43" s="181" t="str">
        <f>'Previous years'!E41</f>
        <v/>
      </c>
      <c r="J43" s="478"/>
      <c r="K43" s="298"/>
      <c r="L43" s="410" t="s">
        <v>84</v>
      </c>
      <c r="M43" s="179" t="s">
        <v>251</v>
      </c>
      <c r="N43" s="194"/>
      <c r="O43" s="435"/>
      <c r="AI43" s="433"/>
      <c r="AJ43" s="212"/>
    </row>
    <row r="44" spans="2:36" s="3" customFormat="1" ht="20.100000000000001" customHeight="1">
      <c r="B44" s="104" t="str">
        <f t="shared" si="3"/>
        <v>Has the FENZ Code of Practice (SNZ PAS 4509:2008) been adopted [WST10]</v>
      </c>
      <c r="C44" s="26" t="s">
        <v>300</v>
      </c>
      <c r="D44" s="505" t="s">
        <v>301</v>
      </c>
      <c r="E44" s="506" t="s">
        <v>302</v>
      </c>
      <c r="F44" s="507" t="s">
        <v>303</v>
      </c>
      <c r="G44" s="505" t="s">
        <v>291</v>
      </c>
      <c r="H44" s="182" t="s">
        <v>144</v>
      </c>
      <c r="I44" s="479" t="str">
        <f>'Previous years'!E42</f>
        <v/>
      </c>
      <c r="J44" s="411"/>
      <c r="K44" s="429"/>
      <c r="L44" s="430" t="s">
        <v>84</v>
      </c>
      <c r="M44" s="188" t="s">
        <v>251</v>
      </c>
      <c r="N44" s="198"/>
      <c r="O44" s="434"/>
      <c r="P44" s="434"/>
      <c r="Q44" s="434"/>
      <c r="R44" s="434"/>
      <c r="S44" s="434"/>
      <c r="T44" s="434"/>
      <c r="U44" s="434"/>
      <c r="V44" s="434"/>
      <c r="W44" s="434"/>
      <c r="X44" s="434"/>
      <c r="Y44" s="434"/>
      <c r="Z44" s="434"/>
      <c r="AA44" s="434"/>
      <c r="AB44" s="434"/>
      <c r="AC44" s="434"/>
      <c r="AD44" s="434"/>
      <c r="AE44" s="434"/>
      <c r="AF44" s="434"/>
      <c r="AG44" s="434"/>
      <c r="AH44" s="434"/>
      <c r="AI44" s="303"/>
      <c r="AJ44" s="210"/>
    </row>
    <row r="45" spans="2:36" s="3" customFormat="1" ht="20.100000000000001" customHeight="1" thickBot="1">
      <c r="B45" s="104" t="str">
        <f t="shared" si="3"/>
        <v>Fire hydrants tested in the previous five years [WSS12a]</v>
      </c>
      <c r="C45" s="180"/>
      <c r="D45" s="176" t="s">
        <v>304</v>
      </c>
      <c r="E45" s="176" t="s">
        <v>305</v>
      </c>
      <c r="F45" s="177" t="s">
        <v>306</v>
      </c>
      <c r="G45" s="176" t="s">
        <v>109</v>
      </c>
      <c r="H45" s="176" t="s">
        <v>144</v>
      </c>
      <c r="I45" s="445">
        <f>'Previous years'!E43</f>
        <v>0</v>
      </c>
      <c r="J45" s="418"/>
      <c r="K45" s="295"/>
      <c r="L45" s="178" t="s">
        <v>84</v>
      </c>
      <c r="M45" s="178" t="s">
        <v>251</v>
      </c>
      <c r="N45" s="191"/>
      <c r="O45" s="42" t="s">
        <v>120</v>
      </c>
      <c r="P45" s="42" t="s">
        <v>121</v>
      </c>
      <c r="Q45" s="42" t="s">
        <v>122</v>
      </c>
      <c r="R45" s="42" t="s">
        <v>123</v>
      </c>
      <c r="S45" s="42" t="s">
        <v>124</v>
      </c>
      <c r="T45" s="42" t="s">
        <v>125</v>
      </c>
      <c r="U45" s="42" t="s">
        <v>126</v>
      </c>
      <c r="V45" s="42" t="s">
        <v>127</v>
      </c>
      <c r="W45" s="42" t="s">
        <v>128</v>
      </c>
      <c r="X45" s="42" t="s">
        <v>129</v>
      </c>
      <c r="Y45" s="42" t="s">
        <v>130</v>
      </c>
      <c r="Z45" s="42" t="s">
        <v>131</v>
      </c>
      <c r="AA45" s="42" t="s">
        <v>132</v>
      </c>
      <c r="AB45" s="42" t="s">
        <v>133</v>
      </c>
      <c r="AC45" s="42" t="s">
        <v>134</v>
      </c>
      <c r="AD45" s="42" t="s">
        <v>135</v>
      </c>
      <c r="AE45" s="42" t="s">
        <v>136</v>
      </c>
      <c r="AF45" s="42" t="s">
        <v>137</v>
      </c>
      <c r="AG45" s="42" t="s">
        <v>138</v>
      </c>
      <c r="AH45" s="42" t="s">
        <v>139</v>
      </c>
      <c r="AI45" s="254"/>
      <c r="AJ45" s="254"/>
    </row>
    <row r="46" spans="2:36" s="3" customFormat="1" ht="20.100000000000001" customHeight="1" thickBot="1">
      <c r="B46" s="104" t="str">
        <f t="shared" si="3"/>
        <v>Estimated total drinking water network water loss [WSE1a]</v>
      </c>
      <c r="C46" s="26" t="s">
        <v>307</v>
      </c>
      <c r="D46" s="129" t="s">
        <v>308</v>
      </c>
      <c r="E46" s="129" t="s">
        <v>309</v>
      </c>
      <c r="F46" s="56" t="s">
        <v>310</v>
      </c>
      <c r="G46" s="129" t="s">
        <v>200</v>
      </c>
      <c r="H46" s="129" t="s">
        <v>172</v>
      </c>
      <c r="I46" s="772">
        <f>'Previous years'!E44</f>
        <v>3752138.39</v>
      </c>
      <c r="J46" s="773">
        <v>2040000</v>
      </c>
      <c r="K46" s="295" t="s">
        <v>33</v>
      </c>
      <c r="L46" s="9" t="s">
        <v>206</v>
      </c>
      <c r="M46" s="179" t="s">
        <v>207</v>
      </c>
      <c r="N46" s="189"/>
      <c r="O46" s="11"/>
      <c r="P46" s="12"/>
      <c r="Q46" s="12"/>
      <c r="R46" s="12"/>
      <c r="S46" s="12"/>
      <c r="T46" s="12"/>
      <c r="U46" s="12"/>
      <c r="V46" s="12"/>
      <c r="W46" s="12"/>
      <c r="X46" s="12"/>
      <c r="Y46" s="12"/>
      <c r="Z46" s="12"/>
      <c r="AA46" s="12"/>
      <c r="AB46" s="12"/>
      <c r="AC46" s="12"/>
      <c r="AD46" s="12"/>
      <c r="AE46" s="12"/>
      <c r="AF46" s="12"/>
      <c r="AG46" s="11"/>
      <c r="AH46" s="11"/>
      <c r="AI46" s="212"/>
      <c r="AJ46" s="212"/>
    </row>
    <row r="47" spans="2:36" s="3" customFormat="1" ht="20.100000000000001" customHeight="1" thickBot="1">
      <c r="B47" s="104" t="str">
        <f t="shared" ref="B47" si="4">F47&amp;" ["&amp;D47&amp;"]"</f>
        <v>Current annual real loss [WSE1d]</v>
      </c>
      <c r="C47" s="27"/>
      <c r="D47" s="126" t="s">
        <v>311</v>
      </c>
      <c r="E47" s="126" t="s">
        <v>312</v>
      </c>
      <c r="F47" s="41" t="s">
        <v>313</v>
      </c>
      <c r="G47" s="126" t="s">
        <v>314</v>
      </c>
      <c r="H47" s="126" t="s">
        <v>172</v>
      </c>
      <c r="I47" s="126">
        <f>'Previous years'!E45</f>
        <v>553</v>
      </c>
      <c r="J47" s="486">
        <v>355</v>
      </c>
      <c r="K47" s="295" t="s">
        <v>33</v>
      </c>
      <c r="L47" s="11" t="s">
        <v>206</v>
      </c>
      <c r="M47" s="179" t="s">
        <v>207</v>
      </c>
      <c r="N47" s="190"/>
      <c r="O47" s="11"/>
      <c r="P47" s="12"/>
      <c r="Q47" s="12"/>
      <c r="R47" s="12"/>
      <c r="S47" s="12"/>
      <c r="T47" s="12"/>
      <c r="U47" s="12"/>
      <c r="V47" s="12"/>
      <c r="W47" s="12"/>
      <c r="X47" s="12"/>
      <c r="Y47" s="12"/>
      <c r="Z47" s="12"/>
      <c r="AA47" s="12"/>
      <c r="AB47" s="12"/>
      <c r="AC47" s="12"/>
      <c r="AD47" s="12"/>
      <c r="AE47" s="12"/>
      <c r="AF47" s="12"/>
      <c r="AG47" s="11"/>
      <c r="AH47" s="11"/>
      <c r="AI47" s="210"/>
      <c r="AJ47" s="210"/>
    </row>
    <row r="48" spans="2:36" s="3" customFormat="1" ht="20.100000000000001" customHeight="1" thickBot="1">
      <c r="B48" s="104" t="str">
        <f t="shared" si="3"/>
        <v>Current annual real loss [WSE1e]</v>
      </c>
      <c r="C48" s="27"/>
      <c r="D48" s="126" t="s">
        <v>315</v>
      </c>
      <c r="E48" s="126" t="s">
        <v>312</v>
      </c>
      <c r="F48" s="41" t="s">
        <v>313</v>
      </c>
      <c r="G48" s="126" t="s">
        <v>316</v>
      </c>
      <c r="H48" s="126" t="s">
        <v>172</v>
      </c>
      <c r="I48" s="126">
        <f>'Previous years'!E46</f>
        <v>16.861525247562504</v>
      </c>
      <c r="J48" s="413">
        <v>11.6</v>
      </c>
      <c r="K48" s="295" t="s">
        <v>33</v>
      </c>
      <c r="L48" s="11" t="s">
        <v>206</v>
      </c>
      <c r="M48" s="179" t="s">
        <v>207</v>
      </c>
      <c r="N48" s="190"/>
      <c r="O48" s="11"/>
      <c r="P48" s="12"/>
      <c r="Q48" s="12"/>
      <c r="R48" s="12"/>
      <c r="S48" s="12"/>
      <c r="T48" s="12"/>
      <c r="U48" s="12"/>
      <c r="V48" s="12"/>
      <c r="W48" s="12"/>
      <c r="X48" s="12"/>
      <c r="Y48" s="12"/>
      <c r="Z48" s="12"/>
      <c r="AA48" s="12"/>
      <c r="AB48" s="12"/>
      <c r="AC48" s="12"/>
      <c r="AD48" s="12"/>
      <c r="AE48" s="12"/>
      <c r="AF48" s="12"/>
      <c r="AG48" s="11"/>
      <c r="AH48" s="11"/>
      <c r="AI48" s="210"/>
      <c r="AJ48" s="210"/>
    </row>
    <row r="49" spans="2:36" s="3" customFormat="1" ht="20.100000000000001" customHeight="1" thickBot="1">
      <c r="B49" s="104" t="str">
        <f t="shared" si="3"/>
        <v>ILI ( infrastructure leakage index (=CARL/UARL)) [WSE1h]</v>
      </c>
      <c r="C49" s="57"/>
      <c r="D49" s="130" t="s">
        <v>317</v>
      </c>
      <c r="E49" s="130" t="s">
        <v>318</v>
      </c>
      <c r="F49" s="55" t="s">
        <v>319</v>
      </c>
      <c r="G49" s="130" t="s">
        <v>320</v>
      </c>
      <c r="H49" s="130" t="s">
        <v>172</v>
      </c>
      <c r="I49" s="130">
        <f>'Previous years'!E47</f>
        <v>11.512343045326439</v>
      </c>
      <c r="J49" s="431">
        <v>4.4000000000000004</v>
      </c>
      <c r="K49" s="295" t="s">
        <v>33</v>
      </c>
      <c r="L49" s="179" t="s">
        <v>206</v>
      </c>
      <c r="M49" s="179" t="s">
        <v>207</v>
      </c>
      <c r="N49" s="194" t="s">
        <v>287</v>
      </c>
      <c r="O49" s="179"/>
      <c r="P49" s="179"/>
      <c r="Q49" s="179"/>
      <c r="R49" s="179"/>
      <c r="S49" s="179"/>
      <c r="T49" s="179"/>
      <c r="U49" s="179"/>
      <c r="V49" s="179"/>
      <c r="W49" s="179"/>
      <c r="X49" s="179"/>
      <c r="Y49" s="179"/>
      <c r="Z49" s="179"/>
      <c r="AA49" s="179"/>
      <c r="AB49" s="179"/>
      <c r="AC49" s="179"/>
      <c r="AD49" s="179"/>
      <c r="AE49" s="179"/>
      <c r="AF49" s="179"/>
      <c r="AG49" s="179"/>
      <c r="AH49" s="179"/>
      <c r="AI49" s="196"/>
      <c r="AJ49" s="196"/>
    </row>
    <row r="50" spans="2:36" s="3" customFormat="1" ht="20.100000000000001" customHeight="1">
      <c r="B50" s="104" t="str">
        <f t="shared" si="1"/>
        <v>Median residential water consumption (L/day/connection) [WSB8]</v>
      </c>
      <c r="C50" s="26" t="s">
        <v>321</v>
      </c>
      <c r="D50" s="183" t="s">
        <v>322</v>
      </c>
      <c r="E50" s="183" t="s">
        <v>323</v>
      </c>
      <c r="F50" s="201" t="s">
        <v>324</v>
      </c>
      <c r="G50" s="129" t="s">
        <v>325</v>
      </c>
      <c r="H50" s="183" t="s">
        <v>172</v>
      </c>
      <c r="I50" s="183">
        <f>'Previous years'!E48</f>
        <v>384.3548300335317</v>
      </c>
      <c r="J50" s="480">
        <f>IFERROR((J19-J20-J21-J46)/(365*J14)*1000,"")</f>
        <v>527.74163924389688</v>
      </c>
      <c r="K50" s="290" t="s">
        <v>72</v>
      </c>
      <c r="L50" s="9" t="s">
        <v>206</v>
      </c>
      <c r="M50" s="9">
        <v>0</v>
      </c>
      <c r="N50" s="189"/>
      <c r="O50" s="211"/>
      <c r="P50" s="211"/>
      <c r="Q50" s="211"/>
      <c r="R50" s="211"/>
      <c r="S50" s="211"/>
      <c r="T50" s="211"/>
      <c r="U50" s="211"/>
      <c r="V50" s="211"/>
      <c r="W50" s="211"/>
      <c r="X50" s="211"/>
      <c r="Y50" s="211"/>
      <c r="Z50" s="211"/>
      <c r="AA50" s="211"/>
      <c r="AB50" s="211"/>
      <c r="AC50" s="211"/>
      <c r="AD50" s="211"/>
      <c r="AE50" s="211"/>
      <c r="AF50" s="211"/>
      <c r="AG50" s="211"/>
      <c r="AH50" s="211"/>
      <c r="AI50" s="212"/>
      <c r="AJ50" s="212"/>
    </row>
    <row r="51" spans="2:36" s="3" customFormat="1" ht="20.100000000000001" customHeight="1">
      <c r="B51" s="104" t="str">
        <f t="shared" si="1"/>
        <v>Is there a water conservation education programme in place [WST10]</v>
      </c>
      <c r="C51" s="167"/>
      <c r="D51" s="508" t="s">
        <v>301</v>
      </c>
      <c r="E51" s="508" t="s">
        <v>326</v>
      </c>
      <c r="F51" s="509" t="s">
        <v>327</v>
      </c>
      <c r="G51" s="510" t="s">
        <v>291</v>
      </c>
      <c r="H51" s="168" t="s">
        <v>144</v>
      </c>
      <c r="I51" s="168" t="str">
        <f>'Previous years'!E49</f>
        <v/>
      </c>
      <c r="J51" s="411" t="s">
        <v>328</v>
      </c>
      <c r="K51" s="290"/>
      <c r="L51" s="9" t="s">
        <v>206</v>
      </c>
      <c r="M51" s="9" t="s">
        <v>207</v>
      </c>
      <c r="N51" s="189"/>
      <c r="AI51" s="212"/>
      <c r="AJ51" s="212"/>
    </row>
    <row r="52" spans="2:36" s="3" customFormat="1" ht="20.100000000000001" customHeight="1">
      <c r="B52" s="104" t="str">
        <f t="shared" ref="B52:B60" si="5">F52&amp;" ["&amp;D52&amp;"]"</f>
        <v>Residential connections with water meters [WSA9a]</v>
      </c>
      <c r="C52" s="27"/>
      <c r="D52" s="125" t="s">
        <v>329</v>
      </c>
      <c r="E52" s="125" t="s">
        <v>330</v>
      </c>
      <c r="F52" s="6" t="s">
        <v>331</v>
      </c>
      <c r="G52" s="125" t="s">
        <v>61</v>
      </c>
      <c r="H52" s="125" t="s">
        <v>144</v>
      </c>
      <c r="I52" s="125">
        <f>'Previous years'!E50</f>
        <v>960</v>
      </c>
      <c r="J52" s="411">
        <f>I52*1.05</f>
        <v>1008</v>
      </c>
      <c r="K52" s="291" t="s">
        <v>33</v>
      </c>
      <c r="L52" s="9" t="s">
        <v>206</v>
      </c>
      <c r="M52" s="189" t="s">
        <v>332</v>
      </c>
      <c r="N52" s="189" t="s">
        <v>332</v>
      </c>
      <c r="AG52" s="3" t="str">
        <f t="shared" ref="AG52" si="6">IF(ISBLANK(AG49),"",(AG49+(AG51*200)))</f>
        <v/>
      </c>
      <c r="AI52" s="212"/>
      <c r="AJ52" s="212"/>
    </row>
    <row r="53" spans="2:36" s="3" customFormat="1" ht="20.100000000000001" customHeight="1" thickBot="1">
      <c r="B53" s="104" t="str">
        <f t="shared" si="5"/>
        <v>Non-residential connections with water meters [WSA9b]</v>
      </c>
      <c r="C53" s="57"/>
      <c r="D53" s="130" t="s">
        <v>333</v>
      </c>
      <c r="E53" s="130" t="s">
        <v>334</v>
      </c>
      <c r="F53" s="55" t="s">
        <v>335</v>
      </c>
      <c r="G53" s="130" t="s">
        <v>61</v>
      </c>
      <c r="H53" s="130" t="s">
        <v>144</v>
      </c>
      <c r="I53" s="130">
        <f>'Previous years'!E51</f>
        <v>71</v>
      </c>
      <c r="J53" s="411">
        <f>I53*1.05</f>
        <v>74.55</v>
      </c>
      <c r="K53" s="291" t="s">
        <v>33</v>
      </c>
      <c r="L53" s="179" t="s">
        <v>206</v>
      </c>
      <c r="M53" s="189" t="s">
        <v>332</v>
      </c>
      <c r="N53" s="189" t="s">
        <v>332</v>
      </c>
      <c r="AI53" s="196"/>
      <c r="AJ53" s="196"/>
    </row>
    <row r="54" spans="2:36" s="3" customFormat="1" ht="20.100000000000001" customHeight="1">
      <c r="B54" s="104" t="str">
        <f t="shared" si="5"/>
        <v>Water supply grid electricity use [WSE3]</v>
      </c>
      <c r="C54" s="26" t="s">
        <v>336</v>
      </c>
      <c r="D54" s="511" t="s">
        <v>337</v>
      </c>
      <c r="E54" s="511" t="s">
        <v>338</v>
      </c>
      <c r="F54" s="512" t="s">
        <v>339</v>
      </c>
      <c r="G54" s="497" t="s">
        <v>340</v>
      </c>
      <c r="H54" s="134" t="s">
        <v>144</v>
      </c>
      <c r="I54" s="134"/>
      <c r="J54" s="419"/>
      <c r="K54" s="292"/>
      <c r="L54" s="9" t="s">
        <v>341</v>
      </c>
      <c r="M54" s="9" t="s">
        <v>280</v>
      </c>
      <c r="N54" s="189"/>
      <c r="AI54" s="212"/>
      <c r="AJ54" s="212"/>
    </row>
    <row r="55" spans="2:36" s="3" customFormat="1" ht="20.100000000000001" customHeight="1">
      <c r="B55" s="104" t="str">
        <f t="shared" si="5"/>
        <v>Water supply energy use from other fuels [WSE3a]</v>
      </c>
      <c r="C55" s="27"/>
      <c r="D55" s="501" t="s">
        <v>342</v>
      </c>
      <c r="E55" s="501" t="s">
        <v>343</v>
      </c>
      <c r="F55" s="149" t="s">
        <v>344</v>
      </c>
      <c r="G55" s="501" t="s">
        <v>345</v>
      </c>
      <c r="H55" s="126" t="s">
        <v>144</v>
      </c>
      <c r="I55" s="126"/>
      <c r="J55" s="420"/>
      <c r="K55" s="297"/>
      <c r="L55" s="9" t="s">
        <v>341</v>
      </c>
      <c r="M55" s="209" t="s">
        <v>280</v>
      </c>
      <c r="N55" s="210"/>
      <c r="AI55" s="210"/>
      <c r="AJ55" s="210"/>
    </row>
    <row r="56" spans="2:36" s="3" customFormat="1" ht="20.100000000000001" customHeight="1" thickBot="1">
      <c r="B56" s="104" t="str">
        <f t="shared" si="5"/>
        <v>Water supply energy generation [WSE4]</v>
      </c>
      <c r="C56" s="57"/>
      <c r="D56" s="130" t="s">
        <v>346</v>
      </c>
      <c r="E56" s="130" t="s">
        <v>347</v>
      </c>
      <c r="F56" s="55" t="s">
        <v>348</v>
      </c>
      <c r="G56" s="130" t="s">
        <v>345</v>
      </c>
      <c r="H56" s="130" t="s">
        <v>144</v>
      </c>
      <c r="I56" s="130">
        <f>'Previous years'!E54</f>
        <v>0</v>
      </c>
      <c r="J56" s="421"/>
      <c r="K56" s="298"/>
      <c r="L56" s="9" t="s">
        <v>341</v>
      </c>
      <c r="M56" s="153" t="s">
        <v>280</v>
      </c>
      <c r="N56" s="196"/>
      <c r="AI56" s="196"/>
      <c r="AJ56" s="196"/>
    </row>
    <row r="57" spans="2:36" s="3" customFormat="1" ht="20.100000000000001" customHeight="1" thickBot="1">
      <c r="B57" s="104" t="str">
        <f t="shared" si="5"/>
        <v>Has an assessment been undertaken to identify critical water supply assets [WST11]</v>
      </c>
      <c r="C57" s="60" t="s">
        <v>349</v>
      </c>
      <c r="D57" s="513" t="s">
        <v>350</v>
      </c>
      <c r="E57" s="513" t="s">
        <v>351</v>
      </c>
      <c r="F57" s="514" t="s">
        <v>352</v>
      </c>
      <c r="G57" s="515" t="s">
        <v>291</v>
      </c>
      <c r="H57" s="438" t="s">
        <v>144</v>
      </c>
      <c r="I57" s="438" t="str">
        <f>'Previous years'!E55</f>
        <v/>
      </c>
      <c r="J57" s="439" t="s">
        <v>292</v>
      </c>
      <c r="K57" s="440"/>
      <c r="L57" s="441"/>
      <c r="M57" s="442"/>
      <c r="N57" s="197"/>
      <c r="AI57" s="212"/>
      <c r="AJ57" s="212"/>
    </row>
    <row r="58" spans="2:36" s="3" customFormat="1" ht="20.100000000000001" customHeight="1">
      <c r="B58" s="104" t="str">
        <f t="shared" si="5"/>
        <v>Has a climate change risk assessment been undertaken for water supply networks [WSCC1]</v>
      </c>
      <c r="C58" s="26" t="s">
        <v>353</v>
      </c>
      <c r="D58" s="511" t="s">
        <v>354</v>
      </c>
      <c r="E58" s="511"/>
      <c r="F58" s="512" t="s">
        <v>355</v>
      </c>
      <c r="G58" s="497" t="s">
        <v>291</v>
      </c>
      <c r="H58" s="134" t="s">
        <v>144</v>
      </c>
      <c r="I58" s="134" t="str">
        <f>'Previous years'!E56</f>
        <v/>
      </c>
      <c r="J58" s="422" t="s">
        <v>328</v>
      </c>
      <c r="K58" s="299"/>
      <c r="L58" s="9" t="s">
        <v>356</v>
      </c>
      <c r="M58" s="9"/>
      <c r="N58" s="189"/>
      <c r="AI58" s="212"/>
      <c r="AJ58" s="212"/>
    </row>
    <row r="59" spans="2:36" s="3" customFormat="1" ht="20.100000000000001" customHeight="1">
      <c r="B59" s="104" t="str">
        <f t="shared" si="5"/>
        <v>Is there a climate change adapataion plan in place for water supply networks [WSCC2]</v>
      </c>
      <c r="C59" s="26"/>
      <c r="D59" s="511" t="s">
        <v>357</v>
      </c>
      <c r="E59" s="511"/>
      <c r="F59" s="512" t="s">
        <v>358</v>
      </c>
      <c r="G59" s="497" t="s">
        <v>291</v>
      </c>
      <c r="H59" s="134" t="s">
        <v>144</v>
      </c>
      <c r="I59" s="134" t="str">
        <f>'Previous years'!E57</f>
        <v/>
      </c>
      <c r="J59" s="422" t="s">
        <v>328</v>
      </c>
      <c r="K59" s="299"/>
      <c r="L59" s="9" t="s">
        <v>356</v>
      </c>
      <c r="M59" s="9"/>
      <c r="N59" s="189"/>
      <c r="AI59" s="212"/>
      <c r="AJ59" s="212"/>
    </row>
    <row r="60" spans="2:36" s="3" customFormat="1" ht="20.100000000000001" customHeight="1" thickBot="1">
      <c r="B60" s="104" t="str">
        <f t="shared" si="5"/>
        <v>Has an emissions baseline been set for forecast water supply investments [WSCC3]</v>
      </c>
      <c r="C60" s="175"/>
      <c r="D60" s="516" t="s">
        <v>359</v>
      </c>
      <c r="E60" s="516"/>
      <c r="F60" s="517" t="s">
        <v>360</v>
      </c>
      <c r="G60" s="499" t="s">
        <v>291</v>
      </c>
      <c r="H60" s="184" t="s">
        <v>144</v>
      </c>
      <c r="I60" s="184" t="str">
        <f>'Previous years'!E58</f>
        <v/>
      </c>
      <c r="J60" s="423" t="s">
        <v>328</v>
      </c>
      <c r="K60" s="293"/>
      <c r="L60" s="178" t="s">
        <v>356</v>
      </c>
      <c r="M60" s="178"/>
      <c r="N60" s="191"/>
      <c r="AI60" s="254"/>
      <c r="AJ60" s="254"/>
    </row>
    <row r="61" spans="2:36" s="3" customFormat="1" ht="20.100000000000001" customHeight="1">
      <c r="B61" s="104" t="str">
        <f t="shared" si="1"/>
        <v>Drinking water clarity complaints [WSS5a]</v>
      </c>
      <c r="C61" s="26" t="s">
        <v>361</v>
      </c>
      <c r="D61" s="125" t="s">
        <v>362</v>
      </c>
      <c r="E61" s="125"/>
      <c r="F61" s="6" t="s">
        <v>363</v>
      </c>
      <c r="G61" s="125" t="s">
        <v>61</v>
      </c>
      <c r="H61" s="125" t="s">
        <v>144</v>
      </c>
      <c r="I61" s="125">
        <f>'Previous years'!E59</f>
        <v>41</v>
      </c>
      <c r="J61" s="411">
        <v>34</v>
      </c>
      <c r="K61" s="291" t="s">
        <v>150</v>
      </c>
      <c r="L61" s="11" t="s">
        <v>84</v>
      </c>
      <c r="M61" s="11" t="s">
        <v>251</v>
      </c>
      <c r="N61" s="190"/>
      <c r="AI61" s="210"/>
      <c r="AJ61" s="210"/>
    </row>
    <row r="62" spans="2:36" s="3" customFormat="1" ht="20.100000000000001" customHeight="1">
      <c r="B62" s="104" t="str">
        <f t="shared" si="1"/>
        <v>Drinking water taste complaints [WSS5b]</v>
      </c>
      <c r="C62" s="27"/>
      <c r="D62" s="125" t="s">
        <v>364</v>
      </c>
      <c r="E62" s="125"/>
      <c r="F62" s="6" t="s">
        <v>365</v>
      </c>
      <c r="G62" s="125" t="s">
        <v>61</v>
      </c>
      <c r="H62" s="125" t="s">
        <v>144</v>
      </c>
      <c r="I62" s="125">
        <f>'Previous years'!E60</f>
        <v>5</v>
      </c>
      <c r="J62" s="411">
        <v>7</v>
      </c>
      <c r="K62" s="291" t="s">
        <v>150</v>
      </c>
      <c r="L62" s="11" t="s">
        <v>84</v>
      </c>
      <c r="M62" s="11" t="s">
        <v>251</v>
      </c>
      <c r="N62" s="190"/>
      <c r="AI62" s="210"/>
      <c r="AJ62" s="210"/>
    </row>
    <row r="63" spans="2:36" s="3" customFormat="1" ht="20.100000000000001" customHeight="1">
      <c r="B63" s="104" t="str">
        <f t="shared" si="1"/>
        <v>Drinking water odour complaints [WSS5c]</v>
      </c>
      <c r="C63" s="27"/>
      <c r="D63" s="125" t="s">
        <v>366</v>
      </c>
      <c r="E63" s="125"/>
      <c r="F63" s="6" t="s">
        <v>367</v>
      </c>
      <c r="G63" s="125" t="s">
        <v>61</v>
      </c>
      <c r="H63" s="125" t="s">
        <v>144</v>
      </c>
      <c r="I63" s="125">
        <f>'Previous years'!E61</f>
        <v>2</v>
      </c>
      <c r="J63" s="411">
        <v>3</v>
      </c>
      <c r="K63" s="291" t="s">
        <v>150</v>
      </c>
      <c r="L63" s="11" t="s">
        <v>84</v>
      </c>
      <c r="M63" s="11" t="s">
        <v>251</v>
      </c>
      <c r="N63" s="190"/>
      <c r="AI63" s="210"/>
      <c r="AJ63" s="210"/>
    </row>
    <row r="64" spans="2:36" s="3" customFormat="1" ht="20.100000000000001" customHeight="1">
      <c r="B64" s="104" t="str">
        <f t="shared" si="1"/>
        <v>Drinking water pressure or flow complaints [WSS5d]</v>
      </c>
      <c r="C64" s="27"/>
      <c r="D64" s="125" t="s">
        <v>368</v>
      </c>
      <c r="E64" s="125"/>
      <c r="F64" s="6" t="s">
        <v>369</v>
      </c>
      <c r="G64" s="125" t="s">
        <v>61</v>
      </c>
      <c r="H64" s="125" t="s">
        <v>144</v>
      </c>
      <c r="I64" s="125">
        <f>'Previous years'!E62</f>
        <v>75</v>
      </c>
      <c r="J64" s="411">
        <v>103</v>
      </c>
      <c r="K64" s="291" t="s">
        <v>150</v>
      </c>
      <c r="L64" s="11" t="s">
        <v>84</v>
      </c>
      <c r="M64" s="11" t="s">
        <v>251</v>
      </c>
      <c r="N64" s="190"/>
      <c r="AI64" s="210"/>
      <c r="AJ64" s="210"/>
    </row>
    <row r="65" spans="2:36" s="3" customFormat="1" ht="20.100000000000001" customHeight="1">
      <c r="B65" s="104" t="str">
        <f t="shared" si="1"/>
        <v>Continuity of water supply complaints [WSS5e]</v>
      </c>
      <c r="C65" s="27"/>
      <c r="D65" s="125" t="s">
        <v>370</v>
      </c>
      <c r="E65" s="125"/>
      <c r="F65" s="6" t="s">
        <v>371</v>
      </c>
      <c r="G65" s="125" t="s">
        <v>61</v>
      </c>
      <c r="H65" s="125" t="s">
        <v>144</v>
      </c>
      <c r="I65" s="125">
        <f>'Previous years'!E63</f>
        <v>72</v>
      </c>
      <c r="J65" s="411">
        <v>78</v>
      </c>
      <c r="K65" s="291" t="s">
        <v>150</v>
      </c>
      <c r="L65" s="9" t="s">
        <v>84</v>
      </c>
      <c r="M65" s="11" t="s">
        <v>251</v>
      </c>
      <c r="N65" s="189"/>
      <c r="AI65" s="212"/>
      <c r="AJ65" s="212"/>
    </row>
    <row r="66" spans="2:36" s="3" customFormat="1" ht="20.100000000000001" customHeight="1">
      <c r="B66" s="104" t="str">
        <f t="shared" si="1"/>
        <v>The authorities response to any of these issues [WSS5f]</v>
      </c>
      <c r="C66" s="27"/>
      <c r="D66" s="125" t="s">
        <v>372</v>
      </c>
      <c r="E66" s="125"/>
      <c r="F66" s="6" t="s">
        <v>373</v>
      </c>
      <c r="G66" s="125" t="s">
        <v>61</v>
      </c>
      <c r="H66" s="125" t="s">
        <v>144</v>
      </c>
      <c r="I66" s="125">
        <f>'Previous years'!E64</f>
        <v>1</v>
      </c>
      <c r="J66" s="411">
        <v>0</v>
      </c>
      <c r="K66" s="291" t="s">
        <v>150</v>
      </c>
      <c r="L66" s="9" t="s">
        <v>84</v>
      </c>
      <c r="M66" s="11" t="s">
        <v>251</v>
      </c>
      <c r="N66" s="189"/>
      <c r="AI66" s="212"/>
      <c r="AJ66" s="212"/>
    </row>
    <row r="67" spans="2:36" s="3" customFormat="1" ht="20.100000000000001" customHeight="1">
      <c r="B67" s="104" t="str">
        <f>F67&amp;" ["&amp;D67&amp;"]"</f>
        <v>Water supply complaints [WSS5]</v>
      </c>
      <c r="C67" s="26"/>
      <c r="D67" s="128" t="s">
        <v>374</v>
      </c>
      <c r="E67" s="128"/>
      <c r="F67" s="7" t="s">
        <v>375</v>
      </c>
      <c r="G67" s="128" t="s">
        <v>61</v>
      </c>
      <c r="H67" s="128" t="s">
        <v>144</v>
      </c>
      <c r="I67" s="128">
        <f>'Previous years'!E65</f>
        <v>196</v>
      </c>
      <c r="J67" s="424">
        <f>IF(NOT(COUNTA(J61:J66)),"",SUM(J61:J66))</f>
        <v>225</v>
      </c>
      <c r="K67" s="290" t="s">
        <v>72</v>
      </c>
      <c r="L67" s="28"/>
      <c r="M67" s="28"/>
      <c r="N67" s="195"/>
      <c r="AI67" s="212"/>
      <c r="AJ67" s="212"/>
    </row>
    <row r="68" spans="2:36" s="3" customFormat="1" ht="20.100000000000001" customHeight="1" thickBot="1">
      <c r="B68" s="104" t="str">
        <f t="shared" si="1"/>
        <v>Water supply complaints frequency [WSS6]</v>
      </c>
      <c r="C68" s="57"/>
      <c r="D68" s="130" t="s">
        <v>376</v>
      </c>
      <c r="E68" s="130"/>
      <c r="F68" s="55" t="s">
        <v>377</v>
      </c>
      <c r="G68" s="130" t="s">
        <v>260</v>
      </c>
      <c r="H68" s="130" t="s">
        <v>144</v>
      </c>
      <c r="I68" s="130">
        <f>'Previous years'!E66</f>
        <v>7.0420005030000361</v>
      </c>
      <c r="J68" s="415">
        <f>IFERROR((J67*1000)/J18,"")</f>
        <v>7.7054794520547949</v>
      </c>
      <c r="K68" s="294" t="s">
        <v>72</v>
      </c>
      <c r="L68" s="59"/>
      <c r="M68" s="59"/>
      <c r="N68" s="193"/>
      <c r="O68" s="42" t="s">
        <v>120</v>
      </c>
      <c r="P68" s="42" t="s">
        <v>121</v>
      </c>
      <c r="Q68" s="42" t="s">
        <v>122</v>
      </c>
      <c r="R68" s="42" t="s">
        <v>123</v>
      </c>
      <c r="S68" s="42" t="s">
        <v>124</v>
      </c>
      <c r="T68" s="42" t="s">
        <v>125</v>
      </c>
      <c r="U68" s="42" t="s">
        <v>126</v>
      </c>
      <c r="V68" s="42" t="s">
        <v>127</v>
      </c>
      <c r="W68" s="42" t="s">
        <v>128</v>
      </c>
      <c r="X68" s="42" t="s">
        <v>129</v>
      </c>
      <c r="Y68" s="42" t="s">
        <v>130</v>
      </c>
      <c r="Z68" s="42" t="s">
        <v>131</v>
      </c>
      <c r="AA68" s="42" t="s">
        <v>132</v>
      </c>
      <c r="AB68" s="42" t="s">
        <v>133</v>
      </c>
      <c r="AC68" s="42" t="s">
        <v>134</v>
      </c>
      <c r="AD68" s="42" t="s">
        <v>135</v>
      </c>
      <c r="AE68" s="42" t="s">
        <v>136</v>
      </c>
      <c r="AF68" s="42" t="s">
        <v>137</v>
      </c>
      <c r="AG68" s="42" t="s">
        <v>138</v>
      </c>
      <c r="AH68" s="42" t="s">
        <v>139</v>
      </c>
      <c r="AI68" s="196"/>
      <c r="AJ68" s="196"/>
    </row>
    <row r="69" spans="2:36" s="3" customFormat="1" ht="20.100000000000001" customHeight="1">
      <c r="B69" s="104" t="str">
        <f t="shared" si="1"/>
        <v>Fixed charge: non-residential water [WSS7a]</v>
      </c>
      <c r="C69" s="26" t="s">
        <v>378</v>
      </c>
      <c r="D69" s="126" t="s">
        <v>379</v>
      </c>
      <c r="E69" s="126"/>
      <c r="F69" s="41" t="s">
        <v>380</v>
      </c>
      <c r="G69" s="126" t="s">
        <v>381</v>
      </c>
      <c r="H69" s="126" t="s">
        <v>172</v>
      </c>
      <c r="I69" s="446">
        <f>'Previous years'!E67</f>
        <v>839.81596731674881</v>
      </c>
      <c r="J69" s="599">
        <f>'Median rates'!F63</f>
        <v>764.44378992979614</v>
      </c>
      <c r="K69" s="299"/>
      <c r="L69" s="9" t="s">
        <v>382</v>
      </c>
      <c r="M69" s="9" t="s">
        <v>383</v>
      </c>
      <c r="N69" s="189"/>
      <c r="O69" s="11"/>
      <c r="P69" s="11"/>
      <c r="Q69" s="11"/>
      <c r="R69" s="11"/>
      <c r="S69" s="11"/>
      <c r="T69" s="11"/>
      <c r="U69" s="11"/>
      <c r="V69" s="11"/>
      <c r="W69" s="11"/>
      <c r="X69" s="11"/>
      <c r="Y69" s="11"/>
      <c r="Z69" s="11"/>
      <c r="AA69" s="11"/>
      <c r="AB69" s="11"/>
      <c r="AC69" s="11"/>
      <c r="AD69" s="11"/>
      <c r="AE69" s="11"/>
      <c r="AF69" s="11"/>
      <c r="AG69" s="11"/>
      <c r="AH69" s="11"/>
      <c r="AI69" s="210"/>
      <c r="AJ69" s="212"/>
    </row>
    <row r="70" spans="2:36" s="3" customFormat="1" ht="20.100000000000001" customHeight="1">
      <c r="B70" s="104" t="str">
        <f t="shared" si="1"/>
        <v>Fixed charge type: non-residential water [WSS7b]</v>
      </c>
      <c r="C70" s="27"/>
      <c r="D70" s="126" t="s">
        <v>384</v>
      </c>
      <c r="E70" s="126"/>
      <c r="F70" s="41" t="s">
        <v>385</v>
      </c>
      <c r="G70" s="126" t="s">
        <v>176</v>
      </c>
      <c r="H70" s="126" t="s">
        <v>172</v>
      </c>
      <c r="I70" s="126" t="str">
        <f>'Previous years'!E68</f>
        <v>Targeted Rate</v>
      </c>
      <c r="J70" s="411" t="s">
        <v>386</v>
      </c>
      <c r="K70" s="290"/>
      <c r="L70" s="11" t="s">
        <v>382</v>
      </c>
      <c r="M70" s="9" t="s">
        <v>383</v>
      </c>
      <c r="N70" s="190"/>
      <c r="O70" s="11"/>
      <c r="P70" s="11"/>
      <c r="Q70" s="11"/>
      <c r="R70" s="11"/>
      <c r="S70" s="11"/>
      <c r="T70" s="11"/>
      <c r="U70" s="11"/>
      <c r="V70" s="11"/>
      <c r="W70" s="11"/>
      <c r="X70" s="11"/>
      <c r="Y70" s="11"/>
      <c r="Z70" s="11"/>
      <c r="AA70" s="11"/>
      <c r="AB70" s="11"/>
      <c r="AC70" s="11"/>
      <c r="AD70" s="11"/>
      <c r="AE70" s="11"/>
      <c r="AF70" s="11"/>
      <c r="AG70" s="11"/>
      <c r="AH70" s="11"/>
      <c r="AI70" s="210"/>
      <c r="AJ70" s="210"/>
    </row>
    <row r="71" spans="2:36" s="3" customFormat="1" ht="20.100000000000001" customHeight="1">
      <c r="B71" s="104" t="str">
        <f t="shared" si="1"/>
        <v>Volumetric Charge: non-residential water [WSS7c]</v>
      </c>
      <c r="C71" s="27"/>
      <c r="D71" s="126" t="s">
        <v>387</v>
      </c>
      <c r="E71" s="126"/>
      <c r="F71" s="41" t="s">
        <v>388</v>
      </c>
      <c r="G71" s="126" t="s">
        <v>389</v>
      </c>
      <c r="H71" s="126" t="s">
        <v>172</v>
      </c>
      <c r="I71" s="446" t="str">
        <f>'Previous years'!E69</f>
        <v/>
      </c>
      <c r="J71" s="425" t="str">
        <f>IF(NOT(COUNTA(O71:AH71)),"",MEDIAN(O71:AH71))</f>
        <v/>
      </c>
      <c r="K71" s="290"/>
      <c r="L71" s="11" t="s">
        <v>341</v>
      </c>
      <c r="M71" s="11"/>
      <c r="N71" s="190"/>
      <c r="O71" s="11"/>
      <c r="P71" s="11"/>
      <c r="Q71" s="11"/>
      <c r="R71" s="11"/>
      <c r="S71" s="11"/>
      <c r="T71" s="11"/>
      <c r="U71" s="11"/>
      <c r="V71" s="11"/>
      <c r="W71" s="11"/>
      <c r="X71" s="11"/>
      <c r="Y71" s="11"/>
      <c r="Z71" s="11"/>
      <c r="AA71" s="11"/>
      <c r="AB71" s="11"/>
      <c r="AC71" s="11"/>
      <c r="AD71" s="11"/>
      <c r="AE71" s="11"/>
      <c r="AF71" s="11"/>
      <c r="AG71" s="11"/>
      <c r="AH71" s="11"/>
      <c r="AI71" s="210"/>
      <c r="AJ71" s="210"/>
    </row>
    <row r="72" spans="2:36" s="3" customFormat="1" ht="20.100000000000001" customHeight="1">
      <c r="B72" s="104" t="str">
        <f t="shared" ref="B72:B109" si="7">F72&amp;" ["&amp;D72&amp;"]"</f>
        <v>Fixed charge: residential water [WSS8a]</v>
      </c>
      <c r="C72" s="27"/>
      <c r="D72" s="125" t="s">
        <v>390</v>
      </c>
      <c r="E72" s="125"/>
      <c r="F72" s="6" t="s">
        <v>391</v>
      </c>
      <c r="G72" s="125" t="s">
        <v>381</v>
      </c>
      <c r="H72" s="125" t="s">
        <v>172</v>
      </c>
      <c r="I72" s="447">
        <f>'Previous years'!E70</f>
        <v>481.78551731985988</v>
      </c>
      <c r="J72" s="425">
        <f>'Median rates'!F26</f>
        <v>467.40864121146751</v>
      </c>
      <c r="K72" s="290"/>
      <c r="L72" s="11" t="s">
        <v>382</v>
      </c>
      <c r="M72" s="9" t="s">
        <v>383</v>
      </c>
      <c r="N72" s="190"/>
      <c r="O72" s="11"/>
      <c r="P72" s="11"/>
      <c r="Q72" s="11"/>
      <c r="R72" s="11"/>
      <c r="S72" s="11"/>
      <c r="T72" s="11"/>
      <c r="U72" s="11"/>
      <c r="V72" s="11"/>
      <c r="W72" s="11"/>
      <c r="X72" s="11"/>
      <c r="Y72" s="11"/>
      <c r="Z72" s="11"/>
      <c r="AA72" s="11"/>
      <c r="AB72" s="11"/>
      <c r="AC72" s="11"/>
      <c r="AD72" s="11"/>
      <c r="AE72" s="11"/>
      <c r="AF72" s="11"/>
      <c r="AG72" s="11"/>
      <c r="AH72" s="11"/>
      <c r="AI72" s="210"/>
      <c r="AJ72" s="210"/>
    </row>
    <row r="73" spans="2:36" s="3" customFormat="1" ht="20.100000000000001" customHeight="1">
      <c r="B73" s="104" t="str">
        <f t="shared" si="7"/>
        <v>Fixed charge type: residential water [WSS8b]</v>
      </c>
      <c r="C73" s="27"/>
      <c r="D73" s="126" t="s">
        <v>392</v>
      </c>
      <c r="E73" s="126"/>
      <c r="F73" s="41" t="s">
        <v>393</v>
      </c>
      <c r="G73" s="126" t="s">
        <v>176</v>
      </c>
      <c r="H73" s="126" t="s">
        <v>172</v>
      </c>
      <c r="I73" s="126" t="str">
        <f>'Previous years'!E71</f>
        <v>Targeted Rate</v>
      </c>
      <c r="J73" s="411" t="s">
        <v>386</v>
      </c>
      <c r="K73" s="290"/>
      <c r="L73" s="11" t="s">
        <v>382</v>
      </c>
      <c r="M73" s="9" t="s">
        <v>383</v>
      </c>
      <c r="N73" s="190"/>
      <c r="O73" s="11"/>
      <c r="P73" s="11"/>
      <c r="Q73" s="11"/>
      <c r="R73" s="11"/>
      <c r="S73" s="11"/>
      <c r="T73" s="11"/>
      <c r="U73" s="11"/>
      <c r="V73" s="11"/>
      <c r="W73" s="11"/>
      <c r="X73" s="11"/>
      <c r="Y73" s="11"/>
      <c r="Z73" s="11"/>
      <c r="AA73" s="11"/>
      <c r="AB73" s="11"/>
      <c r="AC73" s="11"/>
      <c r="AD73" s="11"/>
      <c r="AE73" s="11"/>
      <c r="AF73" s="11"/>
      <c r="AG73" s="11"/>
      <c r="AH73" s="11"/>
      <c r="AI73" s="210"/>
      <c r="AJ73" s="210"/>
    </row>
    <row r="74" spans="2:36" s="3" customFormat="1" ht="20.100000000000001" customHeight="1">
      <c r="B74" s="104" t="str">
        <f t="shared" si="7"/>
        <v>Volumetric charge: residential water [WSS8c]</v>
      </c>
      <c r="C74" s="27"/>
      <c r="D74" s="126" t="s">
        <v>394</v>
      </c>
      <c r="E74" s="126"/>
      <c r="F74" s="41" t="s">
        <v>395</v>
      </c>
      <c r="G74" s="126" t="s">
        <v>389</v>
      </c>
      <c r="H74" s="126" t="s">
        <v>172</v>
      </c>
      <c r="I74" s="446" t="str">
        <f>'Previous years'!E72</f>
        <v/>
      </c>
      <c r="J74" s="425" t="str">
        <f>IF(NOT(COUNTA(O74:AH74)),"",MEDIAN(O74:AH74))</f>
        <v/>
      </c>
      <c r="K74" s="290"/>
      <c r="L74" s="11" t="s">
        <v>341</v>
      </c>
      <c r="M74" s="11"/>
      <c r="N74" s="190"/>
      <c r="O74" s="11"/>
      <c r="P74" s="11"/>
      <c r="Q74" s="11"/>
      <c r="R74" s="11"/>
      <c r="S74" s="11"/>
      <c r="T74" s="11"/>
      <c r="U74" s="11"/>
      <c r="V74" s="11"/>
      <c r="W74" s="11"/>
      <c r="X74" s="11"/>
      <c r="Y74" s="11"/>
      <c r="Z74" s="11"/>
      <c r="AA74" s="11"/>
      <c r="AB74" s="11"/>
      <c r="AC74" s="11"/>
      <c r="AD74" s="11"/>
      <c r="AE74" s="11"/>
      <c r="AF74" s="11"/>
      <c r="AG74" s="11"/>
      <c r="AH74" s="11"/>
      <c r="AI74" s="210"/>
      <c r="AJ74" s="210"/>
    </row>
    <row r="75" spans="2:36" s="3" customFormat="1" ht="20.100000000000001" customHeight="1" thickBot="1">
      <c r="B75" s="104" t="str">
        <f t="shared" si="7"/>
        <v>Average residential water charge based on 200 m3/yr  [WSS9]</v>
      </c>
      <c r="C75" s="57"/>
      <c r="D75" s="127" t="s">
        <v>396</v>
      </c>
      <c r="E75" s="127"/>
      <c r="F75" s="58" t="s">
        <v>397</v>
      </c>
      <c r="G75" s="127" t="s">
        <v>398</v>
      </c>
      <c r="H75" s="127" t="s">
        <v>172</v>
      </c>
      <c r="I75" s="448">
        <f>'Previous years'!E73</f>
        <v>481.78551731985988</v>
      </c>
      <c r="J75" s="426" t="str">
        <f>IFERROR(J72+(J74*200),"")</f>
        <v/>
      </c>
      <c r="K75" s="294" t="s">
        <v>72</v>
      </c>
      <c r="L75" s="59"/>
      <c r="M75" s="59"/>
      <c r="N75" s="193"/>
      <c r="O75" s="207" t="str">
        <f>IF(ISBLANK(O72),"",(O72+(O74*200)))</f>
        <v/>
      </c>
      <c r="P75" s="207" t="str">
        <f t="shared" ref="P75:AH75" si="8">IF(ISBLANK(P72),"",(P72+(P74*200)))</f>
        <v/>
      </c>
      <c r="Q75" s="207" t="str">
        <f t="shared" si="8"/>
        <v/>
      </c>
      <c r="R75" s="207" t="str">
        <f t="shared" si="8"/>
        <v/>
      </c>
      <c r="S75" s="207" t="str">
        <f t="shared" si="8"/>
        <v/>
      </c>
      <c r="T75" s="207" t="str">
        <f t="shared" si="8"/>
        <v/>
      </c>
      <c r="U75" s="207" t="str">
        <f t="shared" si="8"/>
        <v/>
      </c>
      <c r="V75" s="207" t="str">
        <f t="shared" si="8"/>
        <v/>
      </c>
      <c r="W75" s="207" t="str">
        <f t="shared" si="8"/>
        <v/>
      </c>
      <c r="X75" s="207" t="str">
        <f t="shared" si="8"/>
        <v/>
      </c>
      <c r="Y75" s="207" t="str">
        <f t="shared" si="8"/>
        <v/>
      </c>
      <c r="Z75" s="207" t="str">
        <f t="shared" si="8"/>
        <v/>
      </c>
      <c r="AA75" s="207" t="str">
        <f t="shared" si="8"/>
        <v/>
      </c>
      <c r="AB75" s="207" t="str">
        <f t="shared" si="8"/>
        <v/>
      </c>
      <c r="AC75" s="207" t="str">
        <f t="shared" si="8"/>
        <v/>
      </c>
      <c r="AD75" s="207" t="str">
        <f t="shared" si="8"/>
        <v/>
      </c>
      <c r="AE75" s="207" t="str">
        <f t="shared" si="8"/>
        <v/>
      </c>
      <c r="AF75" s="207" t="str">
        <f t="shared" si="8"/>
        <v/>
      </c>
      <c r="AG75" s="207" t="str">
        <f t="shared" si="8"/>
        <v/>
      </c>
      <c r="AH75" s="207" t="str">
        <f t="shared" si="8"/>
        <v/>
      </c>
      <c r="AI75" s="196"/>
      <c r="AJ75" s="196"/>
    </row>
    <row r="76" spans="2:36" s="3" customFormat="1" ht="20.100000000000001" customHeight="1">
      <c r="B76" s="104" t="str">
        <f t="shared" si="7"/>
        <v>Revenue from supply of water to other local authorities [WSF1]</v>
      </c>
      <c r="C76" s="26" t="s">
        <v>399</v>
      </c>
      <c r="D76" s="157" t="s">
        <v>400</v>
      </c>
      <c r="E76" s="157"/>
      <c r="F76" s="202" t="s">
        <v>401</v>
      </c>
      <c r="G76" s="128" t="s">
        <v>381</v>
      </c>
      <c r="H76" s="157" t="s">
        <v>144</v>
      </c>
      <c r="I76" s="157">
        <f>'Previous years'!E74</f>
        <v>0</v>
      </c>
      <c r="K76" s="292"/>
      <c r="L76" s="9" t="s">
        <v>341</v>
      </c>
      <c r="M76" s="9" t="s">
        <v>402</v>
      </c>
      <c r="N76" s="189"/>
      <c r="AI76" s="212"/>
      <c r="AJ76" s="212"/>
    </row>
    <row r="77" spans="2:36" s="3" customFormat="1" ht="20.100000000000001" customHeight="1">
      <c r="B77" s="104" t="str">
        <f t="shared" si="7"/>
        <v>Operating revenue: water supply [WSF2]</v>
      </c>
      <c r="C77" s="27"/>
      <c r="D77" s="158" t="s">
        <v>403</v>
      </c>
      <c r="E77" s="158"/>
      <c r="F77" s="203" t="s">
        <v>404</v>
      </c>
      <c r="G77" s="125" t="s">
        <v>381</v>
      </c>
      <c r="H77" s="158" t="s">
        <v>144</v>
      </c>
      <c r="I77" s="158">
        <f>'Previous years'!E75</f>
        <v>9647695.7100000009</v>
      </c>
      <c r="J77" s="425" cm="1">
        <f t="array" ref="J77">SUM(SUMIF('WS P_L'!$B$11:$B$34,{"1101","1699","1999"},'WS P_L'!$I$11:$I$34))</f>
        <v>10313139.869999999</v>
      </c>
      <c r="K77" s="291"/>
      <c r="L77" s="11" t="s">
        <v>382</v>
      </c>
      <c r="M77" s="11" t="s">
        <v>405</v>
      </c>
      <c r="N77" s="190"/>
      <c r="AI77" s="210"/>
      <c r="AJ77" s="210"/>
    </row>
    <row r="78" spans="2:36" s="3" customFormat="1" ht="20.100000000000001" customHeight="1">
      <c r="B78" s="104" t="str">
        <f t="shared" si="7"/>
        <v>Development contribution revenue: water supply [WSF3]</v>
      </c>
      <c r="C78" s="27"/>
      <c r="D78" s="158" t="s">
        <v>406</v>
      </c>
      <c r="E78" s="158"/>
      <c r="F78" s="203" t="s">
        <v>407</v>
      </c>
      <c r="G78" s="125" t="s">
        <v>381</v>
      </c>
      <c r="H78" s="158" t="s">
        <v>144</v>
      </c>
      <c r="I78" s="158">
        <f>'Previous years'!E76</f>
        <v>4562106.17</v>
      </c>
      <c r="J78" s="389">
        <f>SUM(SUMIF('WS P_L'!$B$11:$B$34,1500,'WS P_L'!$I$11:$I$34))</f>
        <v>4044289.42</v>
      </c>
      <c r="K78" s="291"/>
      <c r="L78" s="11" t="s">
        <v>382</v>
      </c>
      <c r="M78" s="11" t="s">
        <v>405</v>
      </c>
      <c r="N78" s="190"/>
      <c r="AI78" s="210"/>
      <c r="AJ78" s="210"/>
    </row>
    <row r="79" spans="2:36" s="3" customFormat="1" ht="20.100000000000001" customHeight="1">
      <c r="B79" s="104" t="str">
        <f t="shared" si="7"/>
        <v>Total revenue: water supply [WSF4]</v>
      </c>
      <c r="C79" s="27"/>
      <c r="D79" s="158" t="s">
        <v>408</v>
      </c>
      <c r="E79" s="158"/>
      <c r="F79" s="203" t="s">
        <v>409</v>
      </c>
      <c r="G79" s="125" t="s">
        <v>381</v>
      </c>
      <c r="H79" s="158" t="s">
        <v>144</v>
      </c>
      <c r="I79" s="158">
        <f>'Previous years'!E77</f>
        <v>14209801.880000001</v>
      </c>
      <c r="J79" s="392">
        <f>IF(SUMIF(J77:J78,"&gt;=0",J77:J78)=0,"",SUMIF(J77:J78,"&gt;=0",J77:J78))</f>
        <v>14357429.289999999</v>
      </c>
      <c r="K79" s="290" t="s">
        <v>72</v>
      </c>
      <c r="L79" s="25"/>
      <c r="M79" s="25"/>
      <c r="N79" s="192"/>
      <c r="AI79" s="210"/>
      <c r="AJ79" s="210"/>
    </row>
    <row r="80" spans="2:36" s="3" customFormat="1" ht="20.100000000000001" customHeight="1">
      <c r="B80" s="104" t="str">
        <f t="shared" si="7"/>
        <v>Revenue per property: water supply [WSF5]</v>
      </c>
      <c r="C80" s="27"/>
      <c r="D80" s="158" t="s">
        <v>410</v>
      </c>
      <c r="E80" s="158"/>
      <c r="F80" s="203" t="s">
        <v>411</v>
      </c>
      <c r="G80" s="125" t="s">
        <v>412</v>
      </c>
      <c r="H80" s="158" t="s">
        <v>144</v>
      </c>
      <c r="I80" s="158">
        <f>'Previous years'!E78</f>
        <v>510.53791829842277</v>
      </c>
      <c r="J80" s="392">
        <f>IFERROR(J79/J18,"")</f>
        <v>491.69278390410955</v>
      </c>
      <c r="K80" s="290" t="s">
        <v>72</v>
      </c>
      <c r="L80" s="25"/>
      <c r="M80" s="25"/>
      <c r="N80" s="192"/>
      <c r="AI80" s="210"/>
      <c r="AJ80" s="210"/>
    </row>
    <row r="81" spans="2:36" s="3" customFormat="1" ht="20.100000000000001" customHeight="1" thickBot="1">
      <c r="B81" s="104" t="str">
        <f t="shared" si="7"/>
        <v>Debt funding: water supply [WSF6]</v>
      </c>
      <c r="C81" s="57"/>
      <c r="D81" s="159" t="s">
        <v>413</v>
      </c>
      <c r="E81" s="159"/>
      <c r="F81" s="204" t="s">
        <v>414</v>
      </c>
      <c r="G81" s="130" t="s">
        <v>381</v>
      </c>
      <c r="H81" s="159" t="s">
        <v>144</v>
      </c>
      <c r="I81" s="159">
        <f>'Previous years'!E79</f>
        <v>1292515</v>
      </c>
      <c r="J81" s="393">
        <v>9177975.2288585603</v>
      </c>
      <c r="K81" s="298"/>
      <c r="L81" s="11" t="s">
        <v>415</v>
      </c>
      <c r="M81" s="11" t="s">
        <v>416</v>
      </c>
      <c r="N81" s="194"/>
      <c r="AI81" s="196"/>
      <c r="AJ81" s="196"/>
    </row>
    <row r="82" spans="2:36" s="3" customFormat="1" ht="20.100000000000001" customHeight="1" thickBot="1">
      <c r="B82" s="104" t="str">
        <f>F82&amp;" ["&amp;D82&amp;"]"</f>
        <v>External grants: water supply [WSF25]</v>
      </c>
      <c r="C82" s="60" t="s">
        <v>417</v>
      </c>
      <c r="D82" s="161" t="s">
        <v>418</v>
      </c>
      <c r="E82" s="161"/>
      <c r="F82" s="205" t="s">
        <v>419</v>
      </c>
      <c r="G82" s="131" t="s">
        <v>381</v>
      </c>
      <c r="H82" s="161" t="s">
        <v>144</v>
      </c>
      <c r="I82" s="161">
        <f>'Previous years'!E80</f>
        <v>2388380.5</v>
      </c>
      <c r="J82" s="394"/>
      <c r="K82" s="300"/>
      <c r="L82" s="187" t="s">
        <v>341</v>
      </c>
      <c r="M82" s="187" t="s">
        <v>420</v>
      </c>
      <c r="N82" s="197"/>
      <c r="AI82" s="255"/>
      <c r="AJ82" s="255"/>
    </row>
    <row r="83" spans="2:36" s="3" customFormat="1" ht="20.100000000000001" customHeight="1">
      <c r="B83" s="104" t="str">
        <f t="shared" si="7"/>
        <v>Energy costs: water supply [WSF7]</v>
      </c>
      <c r="C83" s="62" t="s">
        <v>421</v>
      </c>
      <c r="D83" s="160" t="s">
        <v>422</v>
      </c>
      <c r="E83" s="160"/>
      <c r="F83" s="206" t="s">
        <v>423</v>
      </c>
      <c r="G83" s="132" t="s">
        <v>381</v>
      </c>
      <c r="H83" s="160" t="s">
        <v>144</v>
      </c>
      <c r="I83" s="160">
        <f>'Previous years'!E81</f>
        <v>961100</v>
      </c>
      <c r="J83" s="395">
        <f>SUM(SUMIF('WS P_L'!$B$11:$B$34,2330,'WS P_L'!$I$11:$I$34))</f>
        <v>1013271.62</v>
      </c>
      <c r="K83" s="301"/>
      <c r="L83" s="9" t="s">
        <v>382</v>
      </c>
      <c r="M83" s="11" t="s">
        <v>405</v>
      </c>
      <c r="N83" s="198"/>
      <c r="AI83" s="256"/>
      <c r="AJ83" s="256"/>
    </row>
    <row r="84" spans="2:36" s="3" customFormat="1" ht="20.100000000000001" customHeight="1">
      <c r="B84" s="104" t="str">
        <f t="shared" si="7"/>
        <v>Chemicals and consumables: water supply [WSF8]</v>
      </c>
      <c r="C84" s="27"/>
      <c r="D84" s="158" t="s">
        <v>424</v>
      </c>
      <c r="E84" s="158"/>
      <c r="F84" s="203" t="s">
        <v>425</v>
      </c>
      <c r="G84" s="125" t="s">
        <v>381</v>
      </c>
      <c r="H84" s="158" t="s">
        <v>144</v>
      </c>
      <c r="I84" s="158" t="str">
        <f>'Previous years'!E82</f>
        <v/>
      </c>
      <c r="J84" s="389"/>
      <c r="K84" s="291"/>
      <c r="L84" s="9" t="s">
        <v>341</v>
      </c>
      <c r="M84" s="11" t="s">
        <v>420</v>
      </c>
      <c r="N84" s="190"/>
      <c r="AI84" s="210"/>
      <c r="AJ84" s="210"/>
    </row>
    <row r="85" spans="2:36" s="3" customFormat="1" ht="20.100000000000001" customHeight="1">
      <c r="B85" s="104" t="str">
        <f t="shared" si="7"/>
        <v>Routine maintenance: water supply [WSF9a]</v>
      </c>
      <c r="C85" s="27"/>
      <c r="D85" s="158" t="s">
        <v>426</v>
      </c>
      <c r="E85" s="158"/>
      <c r="F85" s="203" t="s">
        <v>427</v>
      </c>
      <c r="G85" s="125" t="s">
        <v>381</v>
      </c>
      <c r="H85" s="158" t="s">
        <v>144</v>
      </c>
      <c r="I85" s="158">
        <f>'Previous years'!E83</f>
        <v>1316368.1599999999</v>
      </c>
      <c r="J85" s="389">
        <v>1438352.4899999995</v>
      </c>
      <c r="K85" s="291"/>
      <c r="L85" s="9" t="s">
        <v>382</v>
      </c>
      <c r="M85" s="11" t="s">
        <v>428</v>
      </c>
      <c r="N85" s="190"/>
      <c r="AI85" s="210"/>
      <c r="AJ85" s="210"/>
    </row>
    <row r="86" spans="2:36" s="3" customFormat="1" ht="20.100000000000001" customHeight="1">
      <c r="B86" s="104" t="str">
        <f t="shared" si="7"/>
        <v>Reactive maintenance: water supply [WSF9b]</v>
      </c>
      <c r="C86" s="27"/>
      <c r="D86" s="158" t="s">
        <v>429</v>
      </c>
      <c r="E86" s="158"/>
      <c r="F86" s="203" t="s">
        <v>430</v>
      </c>
      <c r="G86" s="125" t="s">
        <v>381</v>
      </c>
      <c r="H86" s="158" t="s">
        <v>144</v>
      </c>
      <c r="I86" s="158">
        <f>'Previous years'!E84</f>
        <v>1818731.15</v>
      </c>
      <c r="J86" s="391">
        <v>1896655.1999999993</v>
      </c>
      <c r="K86" s="292"/>
      <c r="L86" s="9" t="s">
        <v>382</v>
      </c>
      <c r="M86" s="11" t="s">
        <v>428</v>
      </c>
      <c r="N86" s="189"/>
      <c r="AI86" s="212"/>
      <c r="AJ86" s="212"/>
    </row>
    <row r="87" spans="2:36" s="3" customFormat="1" ht="20.100000000000001" customHeight="1">
      <c r="B87" s="104" t="str">
        <f t="shared" si="7"/>
        <v>Management costs: water supply [WSF10]</v>
      </c>
      <c r="C87" s="27"/>
      <c r="D87" s="158" t="s">
        <v>431</v>
      </c>
      <c r="E87" s="158"/>
      <c r="F87" s="203" t="s">
        <v>432</v>
      </c>
      <c r="G87" s="125" t="s">
        <v>381</v>
      </c>
      <c r="H87" s="158" t="s">
        <v>144</v>
      </c>
      <c r="I87" s="158">
        <f>'Previous years'!E85</f>
        <v>1116746.79</v>
      </c>
      <c r="J87" s="391">
        <v>1420074.9599999988</v>
      </c>
      <c r="K87" s="292"/>
      <c r="L87" s="9" t="s">
        <v>382</v>
      </c>
      <c r="M87" s="11" t="s">
        <v>428</v>
      </c>
      <c r="N87" s="189"/>
      <c r="AI87" s="212"/>
      <c r="AJ87" s="212"/>
    </row>
    <row r="88" spans="2:36" s="3" customFormat="1" ht="20.100000000000001" customHeight="1">
      <c r="B88" s="104" t="str">
        <f t="shared" si="7"/>
        <v>Council contract management Costs : water supply [WSF11]</v>
      </c>
      <c r="C88" s="27"/>
      <c r="D88" s="158" t="s">
        <v>433</v>
      </c>
      <c r="E88" s="158"/>
      <c r="F88" s="203" t="s">
        <v>434</v>
      </c>
      <c r="G88" s="125" t="s">
        <v>381</v>
      </c>
      <c r="H88" s="158" t="s">
        <v>144</v>
      </c>
      <c r="I88" s="158">
        <f>'Previous years'!E86</f>
        <v>0</v>
      </c>
      <c r="J88" s="389"/>
      <c r="K88" s="291"/>
      <c r="L88" s="11" t="s">
        <v>341</v>
      </c>
      <c r="M88" s="11" t="s">
        <v>420</v>
      </c>
      <c r="N88" s="190"/>
      <c r="AI88" s="210"/>
      <c r="AJ88" s="210"/>
    </row>
    <row r="89" spans="2:36" s="3" customFormat="1" ht="20.100000000000001" customHeight="1">
      <c r="B89" s="104" t="str">
        <f t="shared" si="7"/>
        <v>Operating cost: water supply [WSF12]</v>
      </c>
      <c r="C89" s="27"/>
      <c r="D89" s="158" t="s">
        <v>435</v>
      </c>
      <c r="E89" s="158"/>
      <c r="F89" s="203" t="s">
        <v>436</v>
      </c>
      <c r="G89" s="125" t="s">
        <v>381</v>
      </c>
      <c r="H89" s="158" t="s">
        <v>144</v>
      </c>
      <c r="I89" s="158">
        <f>'Previous years'!E87</f>
        <v>5212946.0999999996</v>
      </c>
      <c r="J89" s="396">
        <f>IF(SUMIF(J83:J88,"&gt;=0",J83:J88)=0,"",SUMIF(J83:J88,"&gt;=0",J83:J88))</f>
        <v>5768354.2699999977</v>
      </c>
      <c r="K89" s="299" t="s">
        <v>72</v>
      </c>
      <c r="L89" s="28"/>
      <c r="M89" s="28"/>
      <c r="N89" s="195"/>
      <c r="AI89" s="212"/>
      <c r="AJ89" s="212"/>
    </row>
    <row r="90" spans="2:36" s="3" customFormat="1" ht="20.100000000000001" customHeight="1" thickBot="1">
      <c r="B90" s="104" t="str">
        <f t="shared" si="7"/>
        <v>Operating cost per property: water supply [WSF13]</v>
      </c>
      <c r="C90" s="27"/>
      <c r="D90" s="158" t="s">
        <v>437</v>
      </c>
      <c r="E90" s="158"/>
      <c r="F90" s="203" t="s">
        <v>438</v>
      </c>
      <c r="G90" s="125" t="s">
        <v>412</v>
      </c>
      <c r="H90" s="158" t="s">
        <v>144</v>
      </c>
      <c r="I90" s="158">
        <f>'Previous years'!E88</f>
        <v>187.29371968526567</v>
      </c>
      <c r="J90" s="392">
        <f>IFERROR(J89/J18,"")</f>
        <v>197.54637910958897</v>
      </c>
      <c r="K90" s="290" t="s">
        <v>72</v>
      </c>
      <c r="L90" s="25"/>
      <c r="M90" s="25"/>
      <c r="N90" s="192"/>
      <c r="AI90" s="210"/>
      <c r="AJ90" s="210"/>
    </row>
    <row r="91" spans="2:36" s="3" customFormat="1" ht="20.100000000000001" customHeight="1" thickBot="1">
      <c r="B91" s="104" t="str">
        <f t="shared" si="7"/>
        <v>Annual depreciation: water supply [WSF14]</v>
      </c>
      <c r="C91" s="27"/>
      <c r="D91" s="158" t="s">
        <v>439</v>
      </c>
      <c r="E91" s="158"/>
      <c r="F91" s="203" t="s">
        <v>440</v>
      </c>
      <c r="G91" s="125" t="s">
        <v>381</v>
      </c>
      <c r="H91" s="158" t="s">
        <v>144</v>
      </c>
      <c r="I91" s="158">
        <f>'Previous years'!E89</f>
        <v>5290202.1100000003</v>
      </c>
      <c r="J91" s="395">
        <f>SUM(SUMIF('WS P_L'!$B$11:$B$34,2001,'WS P_L'!$I$11:$I$34))</f>
        <v>5931724.0999999996</v>
      </c>
      <c r="K91" s="291"/>
      <c r="L91" s="11" t="s">
        <v>382</v>
      </c>
      <c r="M91" s="11" t="s">
        <v>405</v>
      </c>
      <c r="N91" s="190"/>
      <c r="AI91" s="210"/>
      <c r="AJ91" s="210"/>
    </row>
    <row r="92" spans="2:36" s="3" customFormat="1" ht="20.100000000000001" customHeight="1">
      <c r="B92" s="104" t="str">
        <f t="shared" si="7"/>
        <v>Interest: water supply [WSF15a]</v>
      </c>
      <c r="C92" s="27"/>
      <c r="D92" s="158" t="s">
        <v>441</v>
      </c>
      <c r="E92" s="158"/>
      <c r="F92" s="203" t="s">
        <v>442</v>
      </c>
      <c r="G92" s="125" t="s">
        <v>381</v>
      </c>
      <c r="H92" s="158" t="s">
        <v>144</v>
      </c>
      <c r="I92" s="158">
        <f>'Previous years'!E90</f>
        <v>703394.48</v>
      </c>
      <c r="J92" s="395">
        <f>SUM(SUMIF('WS P_L'!$B$11:$B$34,2800,'WS P_L'!$I$11:$I$34))</f>
        <v>1007074.78</v>
      </c>
      <c r="K92" s="291"/>
      <c r="L92" s="11" t="s">
        <v>382</v>
      </c>
      <c r="M92" s="11" t="s">
        <v>405</v>
      </c>
      <c r="N92" s="190"/>
      <c r="AI92" s="210"/>
      <c r="AJ92" s="210"/>
    </row>
    <row r="93" spans="2:36" s="3" customFormat="1" ht="20.100000000000001" customHeight="1">
      <c r="B93" s="104" t="str">
        <f t="shared" si="7"/>
        <v>Debt affordability: water supply [WSF15b]</v>
      </c>
      <c r="C93" s="27"/>
      <c r="D93" s="124" t="s">
        <v>443</v>
      </c>
      <c r="E93" s="124"/>
      <c r="F93" s="200" t="s">
        <v>444</v>
      </c>
      <c r="G93" s="125" t="s">
        <v>109</v>
      </c>
      <c r="H93" s="124" t="s">
        <v>144</v>
      </c>
      <c r="I93" s="124">
        <f>'Previous years'!E91</f>
        <v>4.9500653558725051E-2</v>
      </c>
      <c r="J93" s="296">
        <f>IFERROR(J92/J79,"")</f>
        <v>7.0143112646316924E-2</v>
      </c>
      <c r="K93" s="290" t="s">
        <v>72</v>
      </c>
      <c r="L93" s="25"/>
      <c r="M93" s="25"/>
      <c r="N93" s="192"/>
      <c r="AI93" s="210"/>
      <c r="AJ93" s="210"/>
    </row>
    <row r="94" spans="2:36" s="3" customFormat="1" ht="20.100000000000001" customHeight="1">
      <c r="B94" s="104" t="str">
        <f t="shared" si="7"/>
        <v>Operational cost coverage: water supply [WSF16]</v>
      </c>
      <c r="C94" s="27"/>
      <c r="D94" s="124" t="s">
        <v>445</v>
      </c>
      <c r="E94" s="124"/>
      <c r="F94" s="200" t="s">
        <v>446</v>
      </c>
      <c r="G94" s="125" t="s">
        <v>109</v>
      </c>
      <c r="H94" s="124" t="s">
        <v>144</v>
      </c>
      <c r="I94" s="124">
        <f>'Previous years'!E92</f>
        <v>0.86089849268222429</v>
      </c>
      <c r="J94" s="296">
        <f>IFERROR((J77+J78)/(J89+J91+J92),"")</f>
        <v>1.1298698552318938</v>
      </c>
      <c r="K94" s="290" t="s">
        <v>72</v>
      </c>
      <c r="L94" s="25"/>
      <c r="M94" s="25"/>
      <c r="N94" s="192"/>
      <c r="AI94" s="210"/>
      <c r="AJ94" s="210"/>
    </row>
    <row r="95" spans="2:36" s="3" customFormat="1" ht="20.100000000000001" customHeight="1">
      <c r="B95" s="104" t="str">
        <f t="shared" si="7"/>
        <v>Total cost: water supply [WSF17]</v>
      </c>
      <c r="C95" s="27"/>
      <c r="D95" s="158" t="s">
        <v>447</v>
      </c>
      <c r="E95" s="158"/>
      <c r="F95" s="203" t="s">
        <v>448</v>
      </c>
      <c r="G95" s="125" t="s">
        <v>381</v>
      </c>
      <c r="H95" s="158" t="s">
        <v>144</v>
      </c>
      <c r="I95" s="158">
        <f>'Previous years'!E93</f>
        <v>22645031.109999999</v>
      </c>
      <c r="J95" s="392">
        <f>IF((SUMIF(J89,"&gt;=0",J89)+SUMIF(J91,"&gt;=0",J91)+SUMIF(J92,"&gt;=0",J92)+SUMIF(J101,"&gt;=0",J101))=0,"",SUMIF(J89,"&gt;=0",J89)+SUMIF(J91,"&gt;=0",J91)+SUMIF(J92,"&gt;=0",J92)+SUMIF(J101,"&gt;=0",J101))</f>
        <v>32267970.789999992</v>
      </c>
      <c r="K95" s="290" t="s">
        <v>72</v>
      </c>
      <c r="L95" s="25"/>
      <c r="M95" s="25"/>
      <c r="N95" s="192"/>
      <c r="AI95" s="210"/>
      <c r="AJ95" s="210"/>
    </row>
    <row r="96" spans="2:36" s="3" customFormat="1" ht="20.100000000000001" customHeight="1">
      <c r="B96" s="104" t="str">
        <f t="shared" si="7"/>
        <v>Total cost per property: water supply [WSF18]</v>
      </c>
      <c r="C96" s="27"/>
      <c r="D96" s="158" t="s">
        <v>449</v>
      </c>
      <c r="E96" s="158"/>
      <c r="F96" s="203" t="s">
        <v>450</v>
      </c>
      <c r="G96" s="125" t="s">
        <v>412</v>
      </c>
      <c r="H96" s="158" t="s">
        <v>144</v>
      </c>
      <c r="I96" s="158">
        <f>'Previous years'!E94</f>
        <v>813.60367585240544</v>
      </c>
      <c r="J96" s="392">
        <f>IFERROR(J95/J18,"")</f>
        <v>1105.067492808219</v>
      </c>
      <c r="K96" s="290" t="s">
        <v>72</v>
      </c>
      <c r="L96" s="25"/>
      <c r="M96" s="25"/>
      <c r="N96" s="192"/>
      <c r="AI96" s="210"/>
      <c r="AJ96" s="210"/>
    </row>
    <row r="97" spans="2:36" s="3" customFormat="1" ht="20.100000000000001" customHeight="1">
      <c r="B97" s="104" t="str">
        <f t="shared" si="7"/>
        <v>Budgeted capital expenditure: water supply [WSF19]</v>
      </c>
      <c r="C97" s="27"/>
      <c r="D97" s="158" t="s">
        <v>451</v>
      </c>
      <c r="E97" s="158"/>
      <c r="F97" s="203" t="s">
        <v>452</v>
      </c>
      <c r="G97" s="125" t="s">
        <v>381</v>
      </c>
      <c r="H97" s="158" t="s">
        <v>144</v>
      </c>
      <c r="I97" s="158">
        <f>'Previous years'!E95</f>
        <v>21979917.669999998</v>
      </c>
      <c r="J97" s="392">
        <f>IF(SUMIF(J98:J100,"&gt;=0",J98:J100)=0,"",SUMIF(J98:J100,"&gt;=0",J98:J100))</f>
        <v>31744611.399999999</v>
      </c>
      <c r="K97" s="290" t="s">
        <v>72</v>
      </c>
      <c r="L97" s="25"/>
      <c r="M97" s="25"/>
      <c r="N97" s="192"/>
      <c r="AI97" s="210"/>
      <c r="AJ97" s="210"/>
    </row>
    <row r="98" spans="2:36" s="3" customFormat="1" ht="20.100000000000001" customHeight="1">
      <c r="B98" s="104" t="str">
        <f t="shared" si="7"/>
        <v>Budgeted capital to meet additional demand [WSF19a]</v>
      </c>
      <c r="C98" s="27"/>
      <c r="D98" s="158" t="s">
        <v>453</v>
      </c>
      <c r="E98" s="158"/>
      <c r="F98" s="203" t="s">
        <v>454</v>
      </c>
      <c r="G98" s="125" t="s">
        <v>381</v>
      </c>
      <c r="H98" s="158" t="s">
        <v>144</v>
      </c>
      <c r="I98" s="158">
        <f>'Previous years'!E96</f>
        <v>11671354.385540003</v>
      </c>
      <c r="J98" s="391">
        <f>GETPIVOTDATA("Sum of 21_22 Growth Budget",'Capex Projects'!$A$3,"Programme","Water Supply")</f>
        <v>11927583.881887</v>
      </c>
      <c r="K98" s="292"/>
      <c r="L98" s="9" t="s">
        <v>382</v>
      </c>
      <c r="M98" s="9" t="s">
        <v>455</v>
      </c>
      <c r="N98" s="189"/>
      <c r="AI98" s="212"/>
      <c r="AJ98" s="212"/>
    </row>
    <row r="99" spans="2:36" s="3" customFormat="1" ht="20.100000000000001" customHeight="1">
      <c r="B99" s="104" t="str">
        <f t="shared" si="7"/>
        <v>Budgeted capital to improve the level of service [WSF19b]</v>
      </c>
      <c r="C99" s="27"/>
      <c r="D99" s="158" t="s">
        <v>456</v>
      </c>
      <c r="E99" s="158"/>
      <c r="F99" s="203" t="s">
        <v>457</v>
      </c>
      <c r="G99" s="125" t="s">
        <v>381</v>
      </c>
      <c r="H99" s="158" t="s">
        <v>144</v>
      </c>
      <c r="I99" s="158">
        <f>'Previous years'!E97</f>
        <v>7704196.4855199978</v>
      </c>
      <c r="J99" s="389">
        <f>GETPIVOTDATA("Sum of 21_22 Los Budget",'Capex Projects'!$A$3,"Programme","Water Supply")</f>
        <v>15204017.178493001</v>
      </c>
      <c r="K99" s="291"/>
      <c r="L99" s="9" t="s">
        <v>382</v>
      </c>
      <c r="M99" s="9" t="s">
        <v>455</v>
      </c>
      <c r="N99" s="190"/>
      <c r="AI99" s="210"/>
      <c r="AJ99" s="210"/>
    </row>
    <row r="100" spans="2:36" s="3" customFormat="1" ht="20.100000000000001" customHeight="1">
      <c r="B100" s="104" t="str">
        <f t="shared" si="7"/>
        <v>Budgeted capital to replace existing assets [WSF19c]</v>
      </c>
      <c r="C100" s="27"/>
      <c r="D100" s="158" t="s">
        <v>458</v>
      </c>
      <c r="E100" s="158"/>
      <c r="F100" s="203" t="s">
        <v>459</v>
      </c>
      <c r="G100" s="125" t="s">
        <v>381</v>
      </c>
      <c r="H100" s="158" t="s">
        <v>144</v>
      </c>
      <c r="I100" s="158">
        <f>'Previous years'!E98</f>
        <v>2604366.7989400006</v>
      </c>
      <c r="J100" s="391">
        <f>GETPIVOTDATA("Sum of 21_22 Renewals Budget",'Capex Projects'!$A$3,"Programme","Water Supply")</f>
        <v>4613010.3396199998</v>
      </c>
      <c r="K100" s="292"/>
      <c r="L100" s="9" t="s">
        <v>382</v>
      </c>
      <c r="M100" s="9" t="s">
        <v>455</v>
      </c>
      <c r="N100" s="189"/>
      <c r="AI100" s="212"/>
      <c r="AJ100" s="212"/>
    </row>
    <row r="101" spans="2:36" s="3" customFormat="1" ht="20.100000000000001" customHeight="1">
      <c r="B101" s="104" t="str">
        <f t="shared" si="7"/>
        <v>Actual capital expenditure: water supply [WSF20]</v>
      </c>
      <c r="C101" s="27"/>
      <c r="D101" s="158" t="s">
        <v>460</v>
      </c>
      <c r="E101" s="158"/>
      <c r="F101" s="203" t="s">
        <v>461</v>
      </c>
      <c r="G101" s="125" t="s">
        <v>381</v>
      </c>
      <c r="H101" s="158" t="s">
        <v>144</v>
      </c>
      <c r="I101" s="158">
        <f>'Previous years'!E99</f>
        <v>11438488.419999998</v>
      </c>
      <c r="J101" s="392">
        <f>IF(SUMIF(J102:J104,"&gt;=0",J102:J104)=0,"",SUMIF(J102:J104,"&gt;=0",J102:J104))</f>
        <v>19560817.639999997</v>
      </c>
      <c r="K101" s="290" t="s">
        <v>72</v>
      </c>
      <c r="L101" s="25"/>
      <c r="M101" s="25"/>
      <c r="N101" s="192"/>
      <c r="AI101" s="210"/>
      <c r="AJ101" s="210"/>
    </row>
    <row r="102" spans="2:36" s="3" customFormat="1" ht="20.100000000000001" customHeight="1">
      <c r="B102" s="104" t="str">
        <f t="shared" si="7"/>
        <v>Actual capital to meet additional demand [WSF20a]</v>
      </c>
      <c r="C102" s="27"/>
      <c r="D102" s="158" t="s">
        <v>462</v>
      </c>
      <c r="E102" s="158"/>
      <c r="F102" s="203" t="s">
        <v>463</v>
      </c>
      <c r="G102" s="125" t="s">
        <v>381</v>
      </c>
      <c r="H102" s="158" t="s">
        <v>144</v>
      </c>
      <c r="I102" s="158">
        <f>'Previous years'!E100</f>
        <v>5247675.2231299998</v>
      </c>
      <c r="J102" s="389">
        <f>GETPIVOTDATA("Sum of 21_22 Growth Actuals",'Capex Projects'!$A$3,"Programme","Water Supply")</f>
        <v>6671738.6793839997</v>
      </c>
      <c r="K102" s="291"/>
      <c r="L102" s="9" t="s">
        <v>382</v>
      </c>
      <c r="M102" s="9" t="s">
        <v>455</v>
      </c>
      <c r="N102" s="190"/>
      <c r="AI102" s="210"/>
      <c r="AJ102" s="210"/>
    </row>
    <row r="103" spans="2:36" s="3" customFormat="1" ht="20.100000000000001" customHeight="1">
      <c r="B103" s="104" t="str">
        <f t="shared" si="7"/>
        <v>Actual capital to improve the level of service [WSF20b]</v>
      </c>
      <c r="C103" s="27"/>
      <c r="D103" s="158" t="s">
        <v>464</v>
      </c>
      <c r="E103" s="158"/>
      <c r="F103" s="203" t="s">
        <v>465</v>
      </c>
      <c r="G103" s="125" t="s">
        <v>381</v>
      </c>
      <c r="H103" s="158" t="s">
        <v>144</v>
      </c>
      <c r="I103" s="158">
        <f>'Previous years'!E101</f>
        <v>4850437.8629719988</v>
      </c>
      <c r="J103" s="389">
        <f>GETPIVOTDATA("Sum of 21_22 Los Actuals",'Capex Projects'!$A$3,"Programme","Water Supply")</f>
        <v>9982528.2660999987</v>
      </c>
      <c r="K103" s="291"/>
      <c r="L103" s="9" t="s">
        <v>382</v>
      </c>
      <c r="M103" s="9" t="s">
        <v>455</v>
      </c>
      <c r="N103" s="190"/>
      <c r="AI103" s="210"/>
      <c r="AJ103" s="210"/>
    </row>
    <row r="104" spans="2:36" s="3" customFormat="1" ht="20.100000000000001" customHeight="1">
      <c r="B104" s="104" t="str">
        <f t="shared" si="7"/>
        <v>Actual capital to replace existing assets [WSF20c]</v>
      </c>
      <c r="C104" s="27"/>
      <c r="D104" s="158" t="s">
        <v>466</v>
      </c>
      <c r="E104" s="158"/>
      <c r="F104" s="203" t="s">
        <v>467</v>
      </c>
      <c r="G104" s="125" t="s">
        <v>381</v>
      </c>
      <c r="H104" s="158" t="s">
        <v>144</v>
      </c>
      <c r="I104" s="158">
        <f>'Previous years'!E102</f>
        <v>1340375.333898</v>
      </c>
      <c r="J104" s="391">
        <f>GETPIVOTDATA("Sum of 21_22 Renewals Actuals",'Capex Projects'!$A$3,"Programme","Water Supply")</f>
        <v>2906550.6945159989</v>
      </c>
      <c r="K104" s="292"/>
      <c r="L104" s="9" t="s">
        <v>382</v>
      </c>
      <c r="M104" s="9" t="s">
        <v>455</v>
      </c>
      <c r="N104" s="189"/>
      <c r="AI104" s="212"/>
      <c r="AJ104" s="212"/>
    </row>
    <row r="105" spans="2:36" s="3" customFormat="1" ht="20.100000000000001" customHeight="1" thickBot="1">
      <c r="B105" s="104" t="str">
        <f t="shared" si="7"/>
        <v>Actual capital expenditure per property: water supply [WSF21]</v>
      </c>
      <c r="C105" s="57"/>
      <c r="D105" s="159" t="s">
        <v>468</v>
      </c>
      <c r="E105" s="159"/>
      <c r="F105" s="204" t="s">
        <v>469</v>
      </c>
      <c r="G105" s="130" t="s">
        <v>412</v>
      </c>
      <c r="H105" s="159" t="s">
        <v>144</v>
      </c>
      <c r="I105" s="159">
        <f>'Previous years'!E103</f>
        <v>410.96857758775548</v>
      </c>
      <c r="J105" s="390">
        <f>IFERROR(J101/J18,"")</f>
        <v>669.89101506849306</v>
      </c>
      <c r="K105" s="294" t="s">
        <v>72</v>
      </c>
      <c r="L105" s="59"/>
      <c r="M105" s="59"/>
      <c r="N105" s="193"/>
      <c r="AI105" s="196"/>
      <c r="AJ105" s="196"/>
    </row>
    <row r="106" spans="2:36" s="3" customFormat="1" ht="20.100000000000001" customHeight="1">
      <c r="B106" s="104" t="str">
        <f t="shared" si="7"/>
        <v>Development contributions: water supply assets [WSF22]</v>
      </c>
      <c r="C106" s="62" t="s">
        <v>470</v>
      </c>
      <c r="D106" s="160" t="s">
        <v>471</v>
      </c>
      <c r="E106" s="160"/>
      <c r="F106" s="206" t="s">
        <v>472</v>
      </c>
      <c r="G106" s="132" t="s">
        <v>381</v>
      </c>
      <c r="H106" s="160" t="s">
        <v>144</v>
      </c>
      <c r="I106" s="160">
        <f>'Previous years'!E104</f>
        <v>8110448.5</v>
      </c>
      <c r="J106" s="395">
        <v>5057898.7699999996</v>
      </c>
      <c r="K106" s="301"/>
      <c r="L106" s="188" t="s">
        <v>382</v>
      </c>
      <c r="M106" s="188" t="s">
        <v>473</v>
      </c>
      <c r="N106" s="198"/>
      <c r="AI106" s="256"/>
      <c r="AJ106" s="256"/>
    </row>
    <row r="107" spans="2:36" s="3" customFormat="1" ht="20.100000000000001" customHeight="1">
      <c r="B107" s="104" t="str">
        <f t="shared" si="7"/>
        <v>Water treatment facility value at end of reporting year [WSF23a]</v>
      </c>
      <c r="C107" s="27"/>
      <c r="D107" s="158" t="s">
        <v>474</v>
      </c>
      <c r="E107" s="158"/>
      <c r="F107" s="203" t="s">
        <v>475</v>
      </c>
      <c r="G107" s="125" t="s">
        <v>381</v>
      </c>
      <c r="H107" s="158" t="s">
        <v>144</v>
      </c>
      <c r="I107" s="158">
        <f>'Previous years'!E105</f>
        <v>36560159</v>
      </c>
      <c r="J107" s="389">
        <v>50052610.369999997</v>
      </c>
      <c r="K107" s="291"/>
      <c r="L107" s="9" t="s">
        <v>382</v>
      </c>
      <c r="M107" s="9" t="s">
        <v>473</v>
      </c>
      <c r="N107" s="190"/>
      <c r="AI107" s="210"/>
      <c r="AJ107" s="210"/>
    </row>
    <row r="108" spans="2:36" s="3" customFormat="1" ht="20.100000000000001" customHeight="1">
      <c r="B108" s="104" t="str">
        <f t="shared" si="7"/>
        <v>Other water supply asset value [WSF23b]</v>
      </c>
      <c r="C108" s="27"/>
      <c r="D108" s="158" t="s">
        <v>476</v>
      </c>
      <c r="E108" s="158"/>
      <c r="F108" s="203" t="s">
        <v>477</v>
      </c>
      <c r="G108" s="125" t="s">
        <v>381</v>
      </c>
      <c r="H108" s="158" t="s">
        <v>144</v>
      </c>
      <c r="I108" s="158">
        <f>'Previous years'!E106</f>
        <v>239371338</v>
      </c>
      <c r="J108" s="389">
        <v>283423603.67000002</v>
      </c>
      <c r="K108" s="291"/>
      <c r="L108" s="9" t="s">
        <v>382</v>
      </c>
      <c r="M108" s="9" t="s">
        <v>473</v>
      </c>
      <c r="N108" s="190"/>
      <c r="AI108" s="210"/>
      <c r="AJ108" s="210"/>
    </row>
    <row r="109" spans="2:36" s="3" customFormat="1" ht="20.100000000000001" customHeight="1">
      <c r="B109" s="104" t="str">
        <f t="shared" si="7"/>
        <v>Decline in service potential: water supply [WSF24]</v>
      </c>
      <c r="C109" s="57"/>
      <c r="D109" s="130" t="s">
        <v>478</v>
      </c>
      <c r="E109" s="130"/>
      <c r="F109" s="55" t="s">
        <v>479</v>
      </c>
      <c r="G109" s="130" t="s">
        <v>61</v>
      </c>
      <c r="H109" s="130" t="s">
        <v>144</v>
      </c>
      <c r="I109" s="130">
        <f>'Previous years'!E107</f>
        <v>0.25336939988820195</v>
      </c>
      <c r="J109" s="302">
        <f>IFERROR(J104/J91,"")</f>
        <v>0.49000099221000504</v>
      </c>
      <c r="K109" s="294" t="s">
        <v>72</v>
      </c>
      <c r="L109" s="59"/>
      <c r="M109" s="59"/>
      <c r="N109" s="193"/>
      <c r="AI109" s="196"/>
      <c r="AJ109" s="196"/>
    </row>
  </sheetData>
  <autoFilter ref="A5:AJ109" xr:uid="{00000000-0009-0000-0000-000002000000}"/>
  <phoneticPr fontId="114" type="noConversion"/>
  <dataValidations count="77">
    <dataValidation allowBlank="1" showInputMessage="1" showErrorMessage="1" prompt="Any external grants received (not awarded) during the financial year for capital or operational costs related to the water supply scheme." sqref="J82" xr:uid="{00000000-0002-0000-0200-000000000000}"/>
    <dataValidation type="list" allowBlank="1" showInputMessage="1" showErrorMessage="1" sqref="K106:K108 J82 K91:K92 K98:K100 K102:K104 K81:K88 K52:K57 K14:K16 K42:K43 K35:K40 K7:K12 K27:K33 K19:K22 K76:K78 K45:K49 K61:K66" xr:uid="{00000000-0002-0000-0200-000001000000}">
      <formula1>Data_confidence</formula1>
    </dataValidation>
    <dataValidation allowBlank="1" showInputMessage="1" showErrorMessage="1" prompt="Weighted average age of all water pipelines within the total water serviced area. " sqref="J37" xr:uid="{20DEB651-54B2-453A-B58E-708E4D0E80CC}"/>
    <dataValidation allowBlank="1" showInputMessage="1" showErrorMessage="1" prompt="Number of residential properties with metered connections. " sqref="J52:J53" xr:uid="{00000000-0002-0000-0200-000003000000}"/>
    <dataValidation allowBlank="1" showInputMessage="1" showErrorMessage="1" prompt="The total grid-sourced electricity consumed by the drinking water network's pumps, water treatment plants, and other network components. Do not include electricity use related to fleet vehicles or offices.  _x000a_" sqref="J54" xr:uid="{00000000-0002-0000-0200-000005000000}"/>
    <dataValidation allowBlank="1" showInputMessage="1" showErrorMessage="1" prompt="The number of unplanned total interruptions to service experienced by properties excluding interruptions caused by third party damage. Further detail is provided in the definitions guidelines." sqref="J33" xr:uid="{00000000-0002-0000-0200-000006000000}"/>
    <dataValidation allowBlank="1" showInputMessage="1" showErrorMessage="1" prompt="Total number of planned interruptions to water service for maintenance or renewal works, excluding water meter or water restrictor replacements. Further detail is provided in the definitions guidelines." sqref="J31" xr:uid="{00000000-0002-0000-0200-000007000000}"/>
    <dataValidation allowBlank="1" showInputMessage="1" showErrorMessage="1" prompt="Automatically calculated by summing complaints by type. The value can be overwritten if a breakdown of water supply complaints by type is not known or other complaints are recorded. The defintion of a complaint is detailed in the definition guidelines." sqref="J67" xr:uid="{00000000-0002-0000-0200-000008000000}"/>
    <dataValidation type="list" allowBlank="1" showErrorMessage="1" sqref="O73:AH73 J73 O70:AH70 J70" xr:uid="{00000000-0002-0000-0200-000009000000}">
      <formula1>Charge_type</formula1>
    </dataValidation>
    <dataValidation allowBlank="1" showInputMessage="1" showErrorMessage="1" prompt="If multiple charges exist enter these in the columns to the right. If a single volumetric charge applies to all nonresidential properties enter it in this field. If the volumetric charge only applies in certain circumstances include these in the comments." sqref="J71 J69" xr:uid="{00000000-0002-0000-0200-00000A000000}"/>
    <dataValidation allowBlank="1" showInputMessage="1" showErrorMessage="1" prompt="This field is automatically calculated based on fixed residential and volumetric rates. If multiple charge regimes exist and charge does not represent average charges overwrite the calculated figure and provide detail in the comments field." sqref="AG52:AH52 J75 O75:AH75" xr:uid="{00000000-0002-0000-0200-00000B000000}"/>
    <dataValidation allowBlank="1" showInputMessage="1" showErrorMessage="1" prompt="From the time when the organisation receives notification to the time that service personnel reach the site in response to a fault or unplanned interruption to the water supply system." sqref="J27" xr:uid="{00000000-0002-0000-0200-00000C000000}"/>
    <dataValidation allowBlank="1" showInputMessage="1" showErrorMessage="1" prompt="From the time that the local authority receives notification to the time that service personnel confirm resolution in response to a fault or unplanned interruption to the water supply system." sqref="J28" xr:uid="{00000000-0002-0000-0200-00000D000000}"/>
    <dataValidation allowBlank="1" showInputMessage="1" showErrorMessage="1" prompt="From the time that the local authority receives notification to the time that service personnel reach the site in response to a non-urgent fault or unplanned interruption to the water supply system." sqref="J29" xr:uid="{00000000-0002-0000-0200-00000E000000}"/>
    <dataValidation allowBlank="1" showInputMessage="1" showErrorMessage="1" prompt="Operating Revenue associated with water supply. Excludes Development contributions. Further detail is provided in the definitions guidelines." sqref="J77" xr:uid="{00000000-0002-0000-0200-00000F000000}"/>
    <dataValidation allowBlank="1" showInputMessage="1" showErrorMessage="1" prompt="This cell is automatically calculated based on other supplied data." sqref="J79:J80 J89:J90 J93:J97 J101 J105 J109" xr:uid="{00000000-0002-0000-0200-000010000000}"/>
    <dataValidation allowBlank="1" showInputMessage="1" showErrorMessage="1" prompt="Increase in debt related to water supply (negative value to indicate decrease in debt). Debt is considered any funding that is required to be repayed including internal loans. Funding from reserves or developer contributions is not to be included." sqref="J81:J82" xr:uid="{00000000-0002-0000-0200-000011000000}"/>
    <dataValidation allowBlank="1" showInputMessage="1" showErrorMessage="1" prompt="Electricity, gas and diesel costs across the public water supply network. Excludes fleet vehicle use." sqref="J83 J91:J92" xr:uid="{00000000-0002-0000-0200-000012000000}"/>
    <dataValidation allowBlank="1" showInputMessage="1" showErrorMessage="1" prompt="Cost of chemicals and consumables used to treat water before supplying to customers. Does not include the cost of fluoride." sqref="J84" xr:uid="{00000000-0002-0000-0200-000013000000}"/>
    <dataValidation allowBlank="1" showInputMessage="1" showErrorMessage="1" prompt="The cost of all scheduled operational and maintenance works and external consultants and contractors used for such works. Does not include costs associated with chemicals and consumables, energy or reactive maintenance." sqref="J85" xr:uid="{00000000-0002-0000-0200-000014000000}"/>
    <dataValidation allowBlank="1" showInputMessage="1" showErrorMessage="1" prompt="All external costs associated with operation and maintenance of water supply, not included as routine maintenance, energy, chemicals or consumables." sqref="J86" xr:uid="{00000000-0002-0000-0200-000015000000}"/>
    <dataValidation allowBlank="1" showInputMessage="1" showErrorMessage="1" prompt="Organisational costs including costs related to salaries, accommodation, rate payment, IT,training, etc. " sqref="J87" xr:uid="{00000000-0002-0000-0200-000016000000}"/>
    <dataValidation allowBlank="1" showInputMessage="1" showErrorMessage="1" prompt="Council's contract management costs where management of the network is carried out by a Council Controlled Organisation or an external maintenance contractor.  " sqref="J88" xr:uid="{00000000-0002-0000-0200-000017000000}"/>
    <dataValidation allowBlank="1" showInputMessage="1" showErrorMessage="1" prompt="Budgeted capital related to growth including new works and subdivisions." sqref="J98" xr:uid="{00000000-0002-0000-0200-000018000000}"/>
    <dataValidation allowBlank="1" showInputMessage="1" showErrorMessage="1" prompt="Budgeted capital related to expenditure on existing assets that is not driven by asset condition or age." sqref="J99" xr:uid="{00000000-0002-0000-0200-000019000000}"/>
    <dataValidation allowBlank="1" showInputMessage="1" showErrorMessage="1" prompt="Budgeted capital related to renewals or replacements." sqref="J100" xr:uid="{00000000-0002-0000-0200-00001A000000}"/>
    <dataValidation allowBlank="1" showInputMessage="1" showErrorMessage="1" prompt="Actual capital related to growth including new works and subdivisions." sqref="J102" xr:uid="{00000000-0002-0000-0200-00001B000000}"/>
    <dataValidation allowBlank="1" showInputMessage="1" showErrorMessage="1" prompt="Actual capital related to expenditure on existing assets that is not driven by asset condition or age." sqref="J103" xr:uid="{00000000-0002-0000-0200-00001C000000}"/>
    <dataValidation allowBlank="1" showInputMessage="1" showErrorMessage="1" prompt="Actual capital related to renewals or replacements." sqref="J104" xr:uid="{00000000-0002-0000-0200-00001D000000}"/>
    <dataValidation allowBlank="1" showInputMessage="1" showErrorMessage="1" prompt="Value of assets vested in the council during the reporting year as part of development contributions." sqref="J106" xr:uid="{00000000-0002-0000-0200-00001E000000}"/>
    <dataValidation allowBlank="1" showInputMessage="1" showErrorMessage="1" prompt="The closing book value of water supply treatment plants and facilities." sqref="J107" xr:uid="{00000000-0002-0000-0200-00001F000000}"/>
    <dataValidation allowBlank="1" showInputMessage="1" showErrorMessage="1" prompt="The closing book value of other assets (such as reticulation systems). " sqref="J108" xr:uid="{00000000-0002-0000-0200-000020000000}"/>
    <dataValidation allowBlank="1" showInputMessage="1" showErrorMessage="1" prompt="Volume of water imported from a separate organisations supply that is used to supply the water network if any. " sqref="J21" xr:uid="{00000000-0002-0000-0200-000021000000}"/>
    <dataValidation allowBlank="1" showInputMessage="1" showErrorMessage="1" prompt="Volume of water provided from sources managed by the organisations that is exported for use to other water networks if any. " sqref="J22" xr:uid="{00000000-0002-0000-0200-000022000000}"/>
    <dataValidation allowBlank="1" showInputMessage="1" showErrorMessage="1" prompt="If multiple residential charges exist enter these in the columns to the right. If the average of these values does not represent the average customer charge overwrite the value in the data column and provide detail in the comments field. " sqref="J72" xr:uid="{00000000-0002-0000-0200-000023000000}"/>
    <dataValidation allowBlank="1" showInputMessage="1" showErrorMessage="1" prompt="If multiple charges exist enter these in the columns to the right. If a single volumetric charge applies to all residential properties enter it in this field. If the volumetric charge only applies in certain circumstances include these in the comments." sqref="J74" xr:uid="{00000000-0002-0000-0200-000024000000}"/>
    <dataValidation allowBlank="1" showInputMessage="1" showErrorMessage="1" prompt="This cell is automatically calculated based on other supplied data. " sqref="J68" xr:uid="{00000000-0002-0000-0200-000025000000}"/>
    <dataValidation allowBlank="1" showInputMessage="1" showErrorMessage="1" prompt="Detail on complaints definitions is included in the defintion guidelines." sqref="J61:J65" xr:uid="{00000000-0002-0000-0200-000026000000}"/>
    <dataValidation allowBlank="1" showInputMessage="1" showErrorMessage="1" prompt="The total energy consumed by wastewater pumps and treatment plants. Do not include office or fleet related energy consumption. Joules of energy provided by all energy sources including electricity, diesel, gas and biogas should be included. " sqref="J54" xr:uid="{00000000-0002-0000-0200-000027000000}"/>
    <dataValidation allowBlank="1" showInputMessage="1" showErrorMessage="1" prompt="Energy generated through use of turbines in the water network, or other areas of the water supply system. Provide details of generation in the comments field." sqref="J56" xr:uid="{00000000-0002-0000-0200-000028000000}"/>
    <dataValidation allowBlank="1" showInputMessage="1" showErrorMessage="1" prompt="Complaints about the authorities response to WSSS5a, WSSS5b, WSSS5c, WSSS5d, or WSSS5e" sqref="J66:J67" xr:uid="{00000000-0002-0000-0200-000029000000}"/>
    <dataValidation allowBlank="1" showInputMessage="1" showErrorMessage="1" prompt="The number of unplanned interruptions to service caused by third parties. Further detail is provided in the definitions guidelines." sqref="J32:J33 J37" xr:uid="{00000000-0002-0000-0200-00002A000000}"/>
    <dataValidation allowBlank="1" showInputMessage="1" showErrorMessage="1" prompt="From the time that the local authority receives notification to the time that service personnel confirm resolution in response to a non-urgent fault or unplanned interruption to the water supply system" sqref="J30:J33 J37" xr:uid="{00000000-0002-0000-0200-00002B000000}"/>
    <dataValidation allowBlank="1" showInputMessage="1" showErrorMessage="1" prompt="The proportion of fire hydrants inspected in the previous five years." sqref="J45" xr:uid="{00000000-0002-0000-0200-00002C000000}"/>
    <dataValidation allowBlank="1" showInputMessage="1" showErrorMessage="1" prompt="The number of distinct drinking water supply systems operated." sqref="J6" xr:uid="{00000000-0002-0000-0200-00002D000000}"/>
    <dataValidation allowBlank="1" showInputMessage="1" showErrorMessage="1" prompt="Number of water treatment plants operated." sqref="J7" xr:uid="{00000000-0002-0000-0200-00002E000000}"/>
    <dataValidation allowBlank="1" showInputMessage="1" showErrorMessage="1" prompt="Number of water supply reservoirs. Include distribution system reservoirs and tanks, and treated water reservoir and tanks. Exclude raw water storage, or small break pressure tanks." sqref="J8" xr:uid="{00000000-0002-0000-0200-00002F000000}"/>
    <dataValidation allowBlank="1" showInputMessage="1" showErrorMessage="1" prompt="Any pump station used to deliver drinking water after the final stage in the treatment processs. Do not inlcude pumps at treatment plants." sqref="J9" xr:uid="{00000000-0002-0000-0200-000030000000}"/>
    <dataValidation allowBlank="1" showInputMessage="1" showErrorMessage="1" prompt="Total length of public water mains, excluding private laterals." sqref="J10" xr:uid="{00000000-0002-0000-0200-000031000000}"/>
    <dataValidation allowBlank="1" showInputMessage="1" showErrorMessage="1" prompt="A text identifier for networks accounted for in WST1. List in the columns to the right if multiple networks are operated." sqref="J11" xr:uid="{00000000-0002-0000-0200-000032000000}"/>
    <dataValidation allowBlank="1" showInputMessage="1" showErrorMessage="1" prompt="Total number of physical points where water is abstracted to supply the water network. List in the columns to the right if data is available for individual networks." sqref="J12" xr:uid="{00000000-0002-0000-0200-000033000000}"/>
    <dataValidation allowBlank="1" showInputMessage="1" showErrorMessage="1" prompt="test" sqref="J12" xr:uid="{00000000-0002-0000-0200-000034000000}"/>
    <dataValidation allowBlank="1" showInputMessage="1" showErrorMessage="1" prompt="Total number of residential connections. List in the columns to the right if data is available for individual networks." sqref="J14:J16" xr:uid="{00000000-0002-0000-0200-000035000000}"/>
    <dataValidation allowBlank="1" showInputMessage="1" showErrorMessage="1" prompt="Water consumption for non-residential properties, including rural and agricultural uses, and outdoor areas. Further detail is in the defintions sheet. List in the columns to the right if data is available for individual networks." sqref="J20" xr:uid="{00000000-0002-0000-0200-000038000000}"/>
    <dataValidation allowBlank="1" showInputMessage="1" showErrorMessage="1" prompt="Water supplied to the network.  List in the columns to the right if data is available for individual networks." sqref="J19" xr:uid="{00000000-0002-0000-0200-000039000000}"/>
    <dataValidation allowBlank="1" showInputMessage="1" showErrorMessage="1" prompt="List in the columns to the right if data is available for individual networks." sqref="J19" xr:uid="{00000000-0002-0000-0200-00003A000000}"/>
    <dataValidation allowBlank="1" showInputMessage="1" showErrorMessage="1" prompt="The number of resource consents related to drinking water network operation." sqref="J23" xr:uid="{00000000-0002-0000-0200-00003B000000}"/>
    <dataValidation allowBlank="1" showInputMessage="1" showErrorMessage="1" prompt="This is a mandatory field for Drinking Water Network Environmental Performance reporting. It has been included here, for authorities wishing to record all measures for completeness. It will not be included in bechmarking." sqref="J25" xr:uid="{00000000-0002-0000-0200-00003C000000}"/>
    <dataValidation allowBlank="1" showInputMessage="1" showErrorMessage="1" prompt="_x000a_" sqref="J27" xr:uid="{00000000-0002-0000-0200-00003D000000}"/>
    <dataValidation allowBlank="1" showInputMessage="1" showErrorMessage="1" prompt="The percentage of above and below ground pipelines, by length, that have recieved a conditiong grading using a standardised structure. Include information on the apporach in the comments." sqref="J35" xr:uid="{00000000-0002-0000-0200-00003E000000}"/>
    <dataValidation allowBlank="1" showInputMessage="1" showErrorMessage="1" prompt="The percentage of pipelines, above and below ground, by length, that have recieved a poor or very poor condition grade. The definitions of poor and very poor should align with the IPWEA IIMM manual. If they do not, list deviations in the comments." sqref="J36" xr:uid="{00000000-0002-0000-0200-00003F000000}"/>
    <dataValidation allowBlank="1" showInputMessage="1" showErrorMessage="1" prompt="The proportion of above ground assets, of types specified in definitions guide, that have recieved a condition grading. Include the approach used to determine the condition grade in the comments field." sqref="J38" xr:uid="{00000000-0002-0000-0200-000040000000}"/>
    <dataValidation allowBlank="1" showInputMessage="1" showErrorMessage="1" prompt="The percentage of above ground assets, defined in WSA13c, that have recieved a poor or very poor condition grade, in alignment with the defintion in the IPWEA IIMM. If condition grades do not adhere to the definition, note deviations in the comments." sqref="J39" xr:uid="{00000000-0002-0000-0200-000041000000}"/>
    <dataValidation allowBlank="1" showInputMessage="1" showErrorMessage="1" prompt="Average distribution pressure. Methods for calculation are linked to in the definitions guide." sqref="J40" xr:uid="{00000000-0002-0000-0200-000042000000}"/>
    <dataValidation allowBlank="1" showInputMessage="1" showErrorMessage="1" prompt="The total number of days water restrictions were in place across the district." sqref="J42" xr:uid="{00000000-0002-0000-0200-000043000000}"/>
    <dataValidation allowBlank="1" showInputMessage="1" showErrorMessage="1" prompt="The proportion of customers affected by water resitrictions." sqref="J43" xr:uid="{00000000-0002-0000-0200-000044000000}"/>
    <dataValidation allowBlank="1" showInputMessage="1" showErrorMessage="1" prompt="This cell is automatically calculated based on other supplied data. It can be overwritten if a more accurate value is available." sqref="J17:J18 J34" xr:uid="{00000000-0002-0000-0200-000045000000}"/>
    <dataValidation type="list" allowBlank="1" showInputMessage="1" showErrorMessage="1" prompt="This cell is automatically calculated based on other supplied data. It can be overwritten if a more accurate value is available." sqref="J34" xr:uid="{00000000-0002-0000-0200-000046000000}">
      <formula1>Data_confidence</formula1>
    </dataValidation>
    <dataValidation allowBlank="1" showInputMessage="1" showErrorMessage="1" prompt="Total drinking water losses, calculated as the difference between system input and authorised consumption. List in the columns to the right if data is available for individual networks." sqref="J46" xr:uid="{00000000-0002-0000-0200-000047000000}"/>
    <dataValidation allowBlank="1" showInputMessage="1" showErrorMessage="1" prompt="List current annual real losses (the difference between water loss and apparent losses) for networks with a connection density of 20/km or higher. List data for individual networks in columns to the right if available." sqref="J47" xr:uid="{00000000-0002-0000-0200-000048000000}"/>
    <dataValidation allowBlank="1" showInputMessage="1" showErrorMessage="1" prompt="List current annual real losses (the difference between water loss and apparent losses) for networks with a connection density of less than 20/km. List data for individual networks in columns to the right if available." sqref="J48" xr:uid="{00000000-0002-0000-0200-000049000000}"/>
    <dataValidation allowBlank="1" showInputMessage="1" showErrorMessage="1" prompt="The infastructure leakage index (as defined in the Water New Zealand Water Loss Guidelines 2010). List data for individual networks in columns to the right if available." sqref="J49" xr:uid="{00000000-0002-0000-0200-00004A000000}"/>
    <dataValidation allowBlank="1" showInputMessage="1" showErrorMessage="1" prompt="This cell is automatically calculated based on other supplied data. It metered data is available overwrite with median use per connection." sqref="J50" xr:uid="{00000000-0002-0000-0200-00004B000000}"/>
    <dataValidation allowBlank="1" showInputMessage="1" showErrorMessage="1" prompt="The number of residential water meters." sqref="J52:J53" xr:uid="{00000000-0002-0000-0200-00004C000000}"/>
    <dataValidation allowBlank="1" showInputMessage="1" showErrorMessage="1" prompt="The total energy consumed from all sources other than electricity (e.g. biomass, diesel or gas) by water system pumps, water treatment plants, and other network components." sqref="J55" xr:uid="{00000000-0002-0000-0200-00004E000000}"/>
    <dataValidation allowBlank="1" showInputMessage="1" showErrorMessage="1" prompt="Expiry dates for each of the resource consents listed above." sqref="J26" xr:uid="{00000000-0002-0000-0200-00004F000000}"/>
    <dataValidation allowBlank="1" showInputMessage="1" showErrorMessage="1" prompt="Developer revenue (income) for the reporting year.  This includes all developer cash contributions. It excludes developer asset contributions." sqref="J78" xr:uid="{00000000-0002-0000-0200-000050000000}"/>
  </dataValidations>
  <pageMargins left="0.7" right="0.7" top="0.75" bottom="0.75" header="0.3" footer="0.3"/>
  <pageSetup paperSize="9" scale="32" orientation="portrait" r:id="rId1"/>
  <extLst>
    <ext xmlns:x14="http://schemas.microsoft.com/office/spreadsheetml/2009/9/main" uri="{CCE6A557-97BC-4b89-ADB6-D9C93CAAB3DF}">
      <x14:dataValidations xmlns:xm="http://schemas.microsoft.com/office/excel/2006/main" count="14">
        <x14:dataValidation type="list" allowBlank="1" showInputMessage="1" showErrorMessage="1" prompt="A yes/no response indicating if a water conservation programme is in place. Include relevant detail in the comments." xr:uid="{00000000-0002-0000-0200-000051000000}">
          <x14:formula1>
            <xm:f>'Data lists'!$C$1:$C$2</xm:f>
          </x14:formula1>
          <xm:sqref>J51</xm:sqref>
        </x14:dataValidation>
        <x14:dataValidation type="list" allowBlank="1" showInputMessage="1" showErrorMessage="1" prompt="A yes/no response indicating if a greenhouse gas emissions baseline has been developed for forecast operational and capital expenditure. Further references are provided in the definition guide." xr:uid="{00000000-0002-0000-0200-000052000000}">
          <x14:formula1>
            <xm:f>'Data lists'!$C$1:$C$2</xm:f>
          </x14:formula1>
          <xm:sqref>J60</xm:sqref>
        </x14:dataValidation>
        <x14:dataValidation type="list" allowBlank="1" showInputMessage="1" showErrorMessage="1" prompt="For each of the consents listed in WST5, list what the consent relates to. If more consents are held than space allowed for, provide a summary in the comments field." xr:uid="{00000000-0002-0000-0200-000053000000}">
          <x14:formula1>
            <xm:f>'Data lists'!$O$1:$O$5</xm:f>
          </x14:formula1>
          <xm:sqref>J24</xm:sqref>
        </x14:dataValidation>
        <x14:dataValidation type="list" allowBlank="1" showInputMessage="1" showErrorMessage="1" xr:uid="{00000000-0002-0000-0200-000054000000}">
          <x14:formula1>
            <xm:f>'Data lists'!$C$1:$C$2</xm:f>
          </x14:formula1>
          <xm:sqref>J60</xm:sqref>
        </x14:dataValidation>
        <x14:dataValidation type="list" allowBlank="1" showInputMessage="1" showErrorMessage="1" xr:uid="{00000000-0002-0000-0200-000055000000}">
          <x14:formula1>
            <xm:f>'Data lists'!$P$1:$P$6</xm:f>
          </x14:formula1>
          <xm:sqref>O13:AH13</xm:sqref>
        </x14:dataValidation>
        <x14:dataValidation type="list" allowBlank="1" showInputMessage="1" showErrorMessage="1" prompt="The source of drinking water for each network. List in the columns to the right if data is available for multiple networks. If multiple sources of water are used for a single network list in the comments field." xr:uid="{00000000-0002-0000-0200-000056000000}">
          <x14:formula1>
            <xm:f>'Data lists'!$P$1:$P$6</xm:f>
          </x14:formula1>
          <xm:sqref>J13</xm:sqref>
        </x14:dataValidation>
        <x14:dataValidation type="list" allowBlank="1" showInputMessage="1" showErrorMessage="1" prompt="A yes/no response indicating if SNZ PAS 4509:2008 has been adotped" xr:uid="{00000000-0002-0000-0200-000057000000}">
          <x14:formula1>
            <xm:f>'Data lists'!$C$1:$C$2</xm:f>
          </x14:formula1>
          <xm:sqref>J44</xm:sqref>
        </x14:dataValidation>
        <x14:dataValidation type="list" allowBlank="1" showInputMessage="1" showErrorMessage="1" prompt="A yes/no response indicating if a reference level for pressure has been set for e.g. customer levels of service, fire fighting requirements, backflow protection. If yes, provide detail in the comments field on the reference level set." xr:uid="{00000000-0002-0000-0200-000058000000}">
          <x14:formula1>
            <xm:f>'Data lists'!$C$1:$C$2</xm:f>
          </x14:formula1>
          <xm:sqref>J41</xm:sqref>
        </x14:dataValidation>
        <x14:dataValidation type="list" allowBlank="1" showInputMessage="1" showErrorMessage="1" prompt="A yes/no response indicating whether a comprehensive assessment of critical assets has been undertaken. A definition of critical assets is provided in the definitions guideline." xr:uid="{00000000-0002-0000-0200-000059000000}">
          <x14:formula1>
            <xm:f>'Data lists'!$C$1:$C$2</xm:f>
          </x14:formula1>
          <xm:sqref>J57</xm:sqref>
        </x14:dataValidation>
        <x14:dataValidation type="list" allowBlank="1" showInputMessage="1" showErrorMessage="1" prompt="adf" xr:uid="{00000000-0002-0000-0200-00005A000000}">
          <x14:formula1>
            <xm:f>'Data lists'!$C$1:$C$2</xm:f>
          </x14:formula1>
          <xm:sqref>J57</xm:sqref>
        </x14:dataValidation>
        <x14:dataValidation type="list" allowBlank="1" showInputMessage="1" showErrorMessage="1" prompt="A yes, no response to indicate if a risk assessment has been undertaken to assess risks climate change poses to water sources and network assets. If yes, include top three identified risks in the comments field." xr:uid="{00000000-0002-0000-0200-00005B000000}">
          <x14:formula1>
            <xm:f>'Data lists'!$C$1:$C$2</xm:f>
          </x14:formula1>
          <xm:sqref>J58</xm:sqref>
        </x14:dataValidation>
        <x14:dataValidation type="list" allowBlank="1" showInputMessage="1" showErrorMessage="1" prompt="A yes/no response to indicate if a risk assessment has been undertaken to assess risks climate change risks refferred to in WSCC1. Provide relevant detail in comments." xr:uid="{00000000-0002-0000-0200-00005C000000}">
          <x14:formula1>
            <xm:f>'Data lists'!$C$1:$C$2</xm:f>
          </x14:formula1>
          <xm:sqref>J59</xm:sqref>
        </x14:dataValidation>
        <x14:dataValidation type="list" allowBlank="1" showInputMessage="1" showErrorMessage="1" prompt="A yes, no response to indicate if a risk assessment has been undertaken to adress risks identified in WSCC1. Include any relevant detail in comments (e.g. assessed as part of district plan, regional plan, individual asset assessment)." xr:uid="{00000000-0002-0000-0200-00005D000000}">
          <x14:formula1>
            <xm:f>'Data lists'!$C$1:$C$2</xm:f>
          </x14:formula1>
          <xm:sqref>J59</xm:sqref>
        </x14:dataValidation>
        <x14:dataValidation type="list" allowBlank="1" showInputMessage="1" showErrorMessage="1" xr:uid="{00000000-0002-0000-0200-00005E000000}">
          <x14:formula1>
            <xm:f>'Data lists'!$O$1:$O$5</xm:f>
          </x14:formula1>
          <xm:sqref>O24:AH24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9"/>
  </sheetPr>
  <dimension ref="B2:AM148"/>
  <sheetViews>
    <sheetView showGridLines="0" zoomScale="85" zoomScaleNormal="85" workbookViewId="0">
      <pane xSplit="7" ySplit="5" topLeftCell="H110" activePane="bottomRight" state="frozen"/>
      <selection pane="bottomRight" activeCell="H126" sqref="H126"/>
      <selection pane="bottomLeft" activeCell="A6" sqref="A6"/>
      <selection pane="topRight" activeCell="H1" sqref="H1"/>
    </sheetView>
  </sheetViews>
  <sheetFormatPr defaultColWidth="9.140625" defaultRowHeight="14.25"/>
  <cols>
    <col min="2" max="2" width="92.7109375" style="104" hidden="1" customWidth="1"/>
    <col min="3" max="3" width="25.140625" style="48" customWidth="1"/>
    <col min="4" max="4" width="12" customWidth="1"/>
    <col min="5" max="5" width="71.5703125" customWidth="1"/>
    <col min="6" max="6" width="17" style="1" customWidth="1"/>
    <col min="7" max="7" width="20.42578125" style="1" customWidth="1"/>
    <col min="8" max="8" width="22.5703125" customWidth="1"/>
    <col min="9" max="9" width="21" customWidth="1"/>
    <col min="10" max="10" width="30.7109375" customWidth="1"/>
    <col min="11" max="11" width="24.5703125" customWidth="1"/>
    <col min="12" max="12" width="30.7109375" customWidth="1"/>
    <col min="13" max="30" width="15.7109375" style="95" hidden="1" customWidth="1"/>
    <col min="31" max="32" width="30.7109375" hidden="1" customWidth="1"/>
    <col min="33" max="33" width="9.140625" customWidth="1"/>
    <col min="34" max="34" width="36.42578125" bestFit="1" customWidth="1"/>
    <col min="35" max="35" width="27.7109375" bestFit="1" customWidth="1"/>
    <col min="36" max="36" width="15.85546875" bestFit="1" customWidth="1"/>
    <col min="37" max="37" width="14.140625" bestFit="1" customWidth="1"/>
    <col min="38" max="38" width="24.140625" bestFit="1" customWidth="1"/>
    <col min="39" max="39" width="23.85546875" bestFit="1" customWidth="1"/>
    <col min="40" max="689" width="9.140625" customWidth="1"/>
  </cols>
  <sheetData>
    <row r="2" spans="2:39" ht="20.100000000000001" customHeight="1">
      <c r="C2" s="5" t="str">
        <f>Common!C2</f>
        <v>National Performance Review 2021/22</v>
      </c>
      <c r="D2" s="2"/>
      <c r="H2" s="1"/>
      <c r="I2" s="1"/>
      <c r="J2" s="1"/>
      <c r="K2" s="1"/>
      <c r="L2" s="1"/>
      <c r="AE2" s="1"/>
      <c r="AF2" s="1"/>
    </row>
    <row r="3" spans="2:39" ht="23.65" thickBot="1">
      <c r="C3" s="30" t="s">
        <v>480</v>
      </c>
      <c r="D3" s="30" t="str">
        <f>Common!E3</f>
        <v>Queenstown-Lakes</v>
      </c>
      <c r="E3" s="30"/>
      <c r="H3" s="1"/>
      <c r="I3" s="1"/>
      <c r="J3" s="1"/>
      <c r="K3" s="1"/>
      <c r="L3" s="1"/>
      <c r="AE3" s="1"/>
      <c r="AF3" s="1"/>
    </row>
    <row r="4" spans="2:39" ht="20.100000000000001" customHeight="1" thickTop="1">
      <c r="C4" s="170"/>
      <c r="D4" s="2"/>
      <c r="H4" s="1"/>
      <c r="I4" s="1"/>
      <c r="J4" s="1"/>
      <c r="K4" s="1"/>
      <c r="L4" s="1"/>
      <c r="AE4" s="1"/>
      <c r="AF4" s="1"/>
    </row>
    <row r="5" spans="2:39" ht="20.100000000000001" customHeight="1">
      <c r="B5" s="104" t="s">
        <v>50</v>
      </c>
      <c r="C5" s="171"/>
      <c r="D5" s="19" t="s">
        <v>9</v>
      </c>
      <c r="E5" s="185" t="s">
        <v>11</v>
      </c>
      <c r="F5" s="20" t="s">
        <v>12</v>
      </c>
      <c r="G5" s="20" t="s">
        <v>14</v>
      </c>
      <c r="H5" s="266" t="s">
        <v>15</v>
      </c>
      <c r="I5" s="266" t="s">
        <v>16</v>
      </c>
      <c r="J5" s="20" t="s">
        <v>18</v>
      </c>
      <c r="K5" s="20" t="s">
        <v>17</v>
      </c>
      <c r="L5" s="20" t="s">
        <v>19</v>
      </c>
      <c r="AE5" s="20" t="s">
        <v>52</v>
      </c>
      <c r="AF5" s="20" t="s">
        <v>53</v>
      </c>
    </row>
    <row r="6" spans="2:39" ht="20.100000000000001" customHeight="1">
      <c r="C6" s="169" t="s">
        <v>481</v>
      </c>
      <c r="D6" s="214" t="s">
        <v>482</v>
      </c>
      <c r="E6" s="215" t="s">
        <v>483</v>
      </c>
      <c r="F6" s="214" t="s">
        <v>61</v>
      </c>
      <c r="G6" s="214">
        <f>'Previous years'!G4</f>
        <v>68</v>
      </c>
      <c r="H6" s="775">
        <v>73</v>
      </c>
      <c r="I6" s="344" t="s">
        <v>150</v>
      </c>
      <c r="J6" s="11" t="s">
        <v>64</v>
      </c>
      <c r="K6" s="12"/>
      <c r="L6" s="273"/>
      <c r="AE6" s="91"/>
      <c r="AF6" s="91"/>
    </row>
    <row r="7" spans="2:39" ht="20.100000000000001" customHeight="1">
      <c r="C7" s="169" t="s">
        <v>152</v>
      </c>
      <c r="D7" s="214" t="s">
        <v>484</v>
      </c>
      <c r="E7" s="247" t="s">
        <v>485</v>
      </c>
      <c r="F7" s="214" t="s">
        <v>164</v>
      </c>
      <c r="G7" s="214">
        <f>'Previous years'!G5</f>
        <v>613.904</v>
      </c>
      <c r="H7" s="776">
        <v>597.95000000000005</v>
      </c>
      <c r="I7" s="344" t="s">
        <v>33</v>
      </c>
      <c r="J7" s="100" t="s">
        <v>64</v>
      </c>
      <c r="K7" s="99" t="s">
        <v>151</v>
      </c>
      <c r="L7" s="276"/>
      <c r="AE7" s="241"/>
      <c r="AF7" s="241"/>
    </row>
    <row r="8" spans="2:39" ht="20.100000000000001" customHeight="1">
      <c r="C8" s="169"/>
      <c r="D8" s="214" t="s">
        <v>486</v>
      </c>
      <c r="E8" s="215" t="s">
        <v>487</v>
      </c>
      <c r="F8" s="214" t="s">
        <v>164</v>
      </c>
      <c r="G8" s="214">
        <f>'Previous years'!G6</f>
        <v>0</v>
      </c>
      <c r="H8" s="321">
        <v>0</v>
      </c>
      <c r="I8" s="345"/>
      <c r="J8" s="11" t="s">
        <v>64</v>
      </c>
      <c r="K8" s="99" t="s">
        <v>151</v>
      </c>
      <c r="L8" s="273"/>
      <c r="AE8" s="91"/>
      <c r="AF8" s="91"/>
    </row>
    <row r="9" spans="2:39" ht="20.100000000000001" customHeight="1">
      <c r="B9" s="104" t="e">
        <f>#REF!&amp;" ["&amp;#REF!&amp;"]"</f>
        <v>#REF!</v>
      </c>
      <c r="C9" s="169"/>
      <c r="D9" s="214" t="s">
        <v>488</v>
      </c>
      <c r="E9" s="215" t="s">
        <v>489</v>
      </c>
      <c r="F9" s="214" t="s">
        <v>61</v>
      </c>
      <c r="G9" s="214">
        <f>'Previous years'!G7</f>
        <v>6</v>
      </c>
      <c r="H9" s="322">
        <f>G9</f>
        <v>6</v>
      </c>
      <c r="I9" s="346"/>
      <c r="J9" s="11" t="s">
        <v>64</v>
      </c>
      <c r="K9" s="23"/>
      <c r="L9" s="273" t="s">
        <v>490</v>
      </c>
      <c r="M9" s="262" t="s">
        <v>491</v>
      </c>
      <c r="N9" s="262" t="s">
        <v>492</v>
      </c>
      <c r="O9" s="262" t="s">
        <v>493</v>
      </c>
      <c r="P9" s="262" t="s">
        <v>494</v>
      </c>
      <c r="Q9" s="262" t="s">
        <v>495</v>
      </c>
      <c r="R9" s="262" t="s">
        <v>496</v>
      </c>
      <c r="S9" s="262" t="s">
        <v>497</v>
      </c>
      <c r="T9" s="262" t="s">
        <v>498</v>
      </c>
      <c r="U9" s="262" t="s">
        <v>499</v>
      </c>
      <c r="V9" s="262" t="s">
        <v>500</v>
      </c>
      <c r="W9" s="262" t="s">
        <v>501</v>
      </c>
      <c r="X9" s="262" t="s">
        <v>502</v>
      </c>
      <c r="Y9" s="262" t="s">
        <v>503</v>
      </c>
      <c r="Z9" s="262" t="s">
        <v>504</v>
      </c>
      <c r="AA9" s="262" t="s">
        <v>505</v>
      </c>
      <c r="AB9" s="262" t="s">
        <v>506</v>
      </c>
      <c r="AC9" s="262" t="s">
        <v>507</v>
      </c>
      <c r="AD9" s="262" t="s">
        <v>508</v>
      </c>
      <c r="AE9" s="91"/>
      <c r="AF9" s="91"/>
    </row>
    <row r="10" spans="2:39" ht="20.100000000000001" customHeight="1" thickBot="1">
      <c r="B10" s="104" t="e">
        <f>#REF!&amp;" ["&amp;#REF!&amp;"]"</f>
        <v>#REF!</v>
      </c>
      <c r="C10" s="172"/>
      <c r="D10" s="216" t="s">
        <v>509</v>
      </c>
      <c r="E10" s="217" t="s">
        <v>510</v>
      </c>
      <c r="F10" s="216" t="s">
        <v>168</v>
      </c>
      <c r="G10" s="216" t="str">
        <f>'Previous years'!G8</f>
        <v/>
      </c>
      <c r="H10" s="323"/>
      <c r="I10" s="347"/>
      <c r="J10" s="11" t="s">
        <v>64</v>
      </c>
      <c r="K10" s="122"/>
      <c r="L10" s="277"/>
      <c r="M10" s="263"/>
      <c r="N10" s="263"/>
      <c r="O10" s="263"/>
      <c r="P10" s="263"/>
      <c r="Q10" s="263"/>
      <c r="R10" s="263"/>
      <c r="S10" s="263"/>
      <c r="T10" s="263"/>
      <c r="U10" s="263"/>
      <c r="V10" s="263"/>
      <c r="W10" s="263"/>
      <c r="X10" s="263"/>
      <c r="Y10" s="263"/>
      <c r="Z10" s="263"/>
      <c r="AA10" s="263"/>
      <c r="AB10" s="263"/>
      <c r="AC10" s="263"/>
      <c r="AD10" s="263"/>
      <c r="AE10" s="242"/>
      <c r="AF10" s="242"/>
    </row>
    <row r="11" spans="2:39" ht="20.100000000000001" customHeight="1">
      <c r="B11" s="104" t="e">
        <f>#REF!&amp;" ["&amp;#REF!&amp;"]"</f>
        <v>#REF!</v>
      </c>
      <c r="C11" s="169" t="s">
        <v>511</v>
      </c>
      <c r="D11" s="214" t="s">
        <v>512</v>
      </c>
      <c r="E11" s="215" t="s">
        <v>513</v>
      </c>
      <c r="F11" s="214" t="s">
        <v>200</v>
      </c>
      <c r="G11" s="214">
        <f>'Previous years'!G9</f>
        <v>4726397</v>
      </c>
      <c r="H11" s="324" t="str">
        <f>IF(SUM(M11:AD11)=0,"",SUM(M11:AD11))</f>
        <v/>
      </c>
      <c r="I11" s="348"/>
      <c r="J11" s="9" t="s">
        <v>514</v>
      </c>
      <c r="K11" s="10"/>
      <c r="L11" s="275"/>
      <c r="M11" s="523"/>
      <c r="N11" s="97"/>
      <c r="O11" s="97"/>
      <c r="P11" s="97"/>
      <c r="Q11" s="97"/>
      <c r="R11" s="97"/>
      <c r="S11" s="97"/>
      <c r="T11" s="97"/>
      <c r="U11" s="97"/>
      <c r="V11" s="97"/>
      <c r="W11" s="97"/>
      <c r="X11" s="97"/>
      <c r="Y11" s="97"/>
      <c r="Z11" s="97"/>
      <c r="AA11" s="97"/>
      <c r="AB11" s="97"/>
      <c r="AC11" s="97"/>
      <c r="AD11" s="524"/>
      <c r="AE11" s="92"/>
      <c r="AF11" s="92"/>
    </row>
    <row r="12" spans="2:39" ht="20.100000000000001" customHeight="1">
      <c r="B12" s="104" t="e">
        <f>#REF!&amp;" ["&amp;#REF!&amp;"]"</f>
        <v>#REF!</v>
      </c>
      <c r="C12" s="169" t="s">
        <v>515</v>
      </c>
      <c r="D12" s="214" t="s">
        <v>516</v>
      </c>
      <c r="E12" s="215" t="s">
        <v>517</v>
      </c>
      <c r="F12" s="214" t="s">
        <v>109</v>
      </c>
      <c r="G12" s="453" t="str">
        <f>'Previous years'!G10</f>
        <v/>
      </c>
      <c r="H12" s="384" t="str">
        <f>IFERROR(AVERAGE(M12:AD12),"")</f>
        <v/>
      </c>
      <c r="I12" s="348"/>
      <c r="J12" s="9" t="s">
        <v>514</v>
      </c>
      <c r="K12" s="286"/>
      <c r="L12" s="278"/>
      <c r="M12" s="522"/>
      <c r="N12" s="398"/>
      <c r="O12" s="398"/>
      <c r="P12" s="398"/>
      <c r="Q12" s="398"/>
      <c r="R12" s="398"/>
      <c r="S12" s="398"/>
      <c r="T12" s="398"/>
      <c r="U12" s="398"/>
      <c r="V12" s="398"/>
      <c r="W12" s="398"/>
      <c r="X12" s="398"/>
      <c r="Y12" s="398"/>
      <c r="Z12" s="398"/>
      <c r="AA12" s="398"/>
      <c r="AB12" s="398"/>
      <c r="AC12" s="398"/>
      <c r="AD12" s="522"/>
      <c r="AE12" s="211"/>
      <c r="AF12" s="211"/>
    </row>
    <row r="13" spans="2:39" ht="20.100000000000001" customHeight="1">
      <c r="B13" s="104" t="str">
        <f>E13&amp;" ["&amp;D13&amp;"]"</f>
        <v>Wastewater Imported for Treatment [WWB6]</v>
      </c>
      <c r="C13" s="169"/>
      <c r="D13" s="214" t="s">
        <v>518</v>
      </c>
      <c r="E13" s="215" t="s">
        <v>519</v>
      </c>
      <c r="F13" s="214" t="s">
        <v>200</v>
      </c>
      <c r="G13" s="214">
        <f>'Previous years'!G11</f>
        <v>0</v>
      </c>
      <c r="H13" s="324" t="str">
        <f>IF(SUM(M13:AD13)=0,"",SUM(M13:AD13))</f>
        <v/>
      </c>
      <c r="I13" s="349"/>
      <c r="J13" s="11" t="s">
        <v>514</v>
      </c>
      <c r="K13" s="12"/>
      <c r="L13" s="273"/>
      <c r="M13" s="133"/>
      <c r="N13" s="133"/>
      <c r="O13" s="133"/>
      <c r="P13" s="133"/>
      <c r="Q13" s="133"/>
      <c r="R13" s="133"/>
      <c r="S13" s="133"/>
      <c r="T13" s="133"/>
      <c r="U13" s="133"/>
      <c r="V13" s="133"/>
      <c r="W13" s="133"/>
      <c r="X13" s="133"/>
      <c r="Y13" s="133"/>
      <c r="Z13" s="133"/>
      <c r="AA13" s="133"/>
      <c r="AB13" s="133"/>
      <c r="AC13" s="133"/>
      <c r="AD13" s="133"/>
      <c r="AE13" s="91"/>
      <c r="AF13" s="91"/>
      <c r="AH13" s="762" t="s">
        <v>491</v>
      </c>
      <c r="AI13" s="763" t="s">
        <v>492</v>
      </c>
      <c r="AJ13" s="763" t="s">
        <v>493</v>
      </c>
      <c r="AK13" s="763" t="s">
        <v>494</v>
      </c>
      <c r="AL13" s="763" t="s">
        <v>495</v>
      </c>
      <c r="AM13" s="763" t="s">
        <v>496</v>
      </c>
    </row>
    <row r="14" spans="2:39" ht="20.100000000000001" customHeight="1">
      <c r="B14" s="104" t="str">
        <f>E14&amp;" ["&amp;D14&amp;"]"</f>
        <v>Wastewater Exported for Treatment [WWB5]</v>
      </c>
      <c r="C14" s="172"/>
      <c r="D14" s="216" t="s">
        <v>520</v>
      </c>
      <c r="E14" s="217" t="s">
        <v>521</v>
      </c>
      <c r="F14" s="216" t="s">
        <v>200</v>
      </c>
      <c r="G14" s="216">
        <f>'Previous years'!G12</f>
        <v>0</v>
      </c>
      <c r="H14" s="325" t="str">
        <f>IF(SUM(M14:AD14)=0,"",SUM(M14:AD14))</f>
        <v/>
      </c>
      <c r="I14" s="350"/>
      <c r="J14" s="265" t="s">
        <v>514</v>
      </c>
      <c r="K14" s="258"/>
      <c r="L14" s="277"/>
      <c r="M14" s="263"/>
      <c r="N14" s="263"/>
      <c r="O14" s="263"/>
      <c r="P14" s="263"/>
      <c r="Q14" s="263"/>
      <c r="R14" s="263"/>
      <c r="S14" s="263"/>
      <c r="T14" s="263"/>
      <c r="U14" s="263"/>
      <c r="V14" s="263"/>
      <c r="W14" s="263"/>
      <c r="X14" s="263"/>
      <c r="Y14" s="263"/>
      <c r="Z14" s="263"/>
      <c r="AA14" s="263"/>
      <c r="AB14" s="263"/>
      <c r="AC14" s="263"/>
      <c r="AD14" s="263"/>
      <c r="AE14" s="242"/>
      <c r="AF14" s="242"/>
      <c r="AH14" s="11" t="s">
        <v>522</v>
      </c>
      <c r="AI14" s="11" t="s">
        <v>523</v>
      </c>
      <c r="AJ14" s="11" t="s">
        <v>524</v>
      </c>
      <c r="AK14" s="11" t="s">
        <v>525</v>
      </c>
      <c r="AL14" s="11" t="s">
        <v>526</v>
      </c>
      <c r="AM14" s="11" t="s">
        <v>527</v>
      </c>
    </row>
    <row r="15" spans="2:39" ht="20.100000000000001" customHeight="1">
      <c r="B15" s="104" t="e">
        <f>#REF!&amp;" ["&amp;#REF!&amp;"]"</f>
        <v>#REF!</v>
      </c>
      <c r="C15" s="169" t="s">
        <v>528</v>
      </c>
      <c r="D15" s="214" t="s">
        <v>529</v>
      </c>
      <c r="E15" s="215" t="s">
        <v>530</v>
      </c>
      <c r="F15" s="214" t="s">
        <v>61</v>
      </c>
      <c r="G15" s="214" t="str">
        <f>'Previous years'!G13</f>
        <v/>
      </c>
      <c r="H15" s="324">
        <v>13</v>
      </c>
      <c r="I15" s="346"/>
      <c r="J15" s="9" t="s">
        <v>531</v>
      </c>
      <c r="K15" s="10"/>
      <c r="L15" s="278"/>
      <c r="M15" s="97"/>
      <c r="N15" s="97"/>
      <c r="O15" s="97"/>
      <c r="P15" s="97"/>
      <c r="Q15" s="97"/>
      <c r="R15" s="97"/>
      <c r="S15" s="97"/>
      <c r="T15" s="97"/>
      <c r="U15" s="97"/>
      <c r="V15" s="97"/>
      <c r="W15" s="97"/>
      <c r="X15" s="97"/>
      <c r="Y15" s="97"/>
      <c r="Z15" s="97"/>
      <c r="AA15" s="97"/>
      <c r="AB15" s="97"/>
      <c r="AC15" s="97"/>
      <c r="AD15" s="97"/>
      <c r="AE15" s="211"/>
      <c r="AF15" s="211"/>
      <c r="AH15" s="11">
        <v>2</v>
      </c>
      <c r="AI15" s="11">
        <v>4</v>
      </c>
      <c r="AJ15" s="11">
        <v>1</v>
      </c>
      <c r="AK15" s="11">
        <v>2</v>
      </c>
      <c r="AL15" s="11">
        <v>2</v>
      </c>
      <c r="AM15" s="11">
        <v>2</v>
      </c>
    </row>
    <row r="16" spans="2:39" ht="20.100000000000001" customHeight="1">
      <c r="B16" s="104" t="e">
        <f>#REF!&amp;" ["&amp;#REF!&amp;"]"</f>
        <v>#REF!</v>
      </c>
      <c r="C16" s="169"/>
      <c r="D16" s="214" t="s">
        <v>532</v>
      </c>
      <c r="E16" s="215" t="s">
        <v>533</v>
      </c>
      <c r="F16" s="214" t="s">
        <v>534</v>
      </c>
      <c r="G16" s="214" t="str">
        <f>'Previous years'!G14</f>
        <v/>
      </c>
      <c r="H16" s="328" t="str">
        <f>IF(NOT(COUNTA(M49:AD49)),"",SUM(M49:AD49))</f>
        <v/>
      </c>
      <c r="I16" s="351"/>
      <c r="J16" s="11" t="s">
        <v>531</v>
      </c>
      <c r="K16" s="12"/>
      <c r="L16" s="279"/>
      <c r="M16" s="487"/>
      <c r="N16" s="487"/>
      <c r="O16" s="487"/>
      <c r="P16" s="487"/>
      <c r="Q16" s="487"/>
      <c r="R16" s="487"/>
      <c r="S16" s="487"/>
      <c r="T16" s="487"/>
      <c r="U16" s="487"/>
      <c r="V16" s="487"/>
      <c r="W16" s="487"/>
      <c r="X16" s="487"/>
      <c r="Y16" s="487"/>
      <c r="Z16" s="487"/>
      <c r="AA16" s="487"/>
      <c r="AB16" s="487"/>
      <c r="AC16" s="487"/>
      <c r="AD16" s="487"/>
      <c r="AE16" s="209"/>
      <c r="AF16" s="209"/>
      <c r="AH16" s="764">
        <v>52674</v>
      </c>
      <c r="AI16" s="764">
        <v>51774</v>
      </c>
      <c r="AJ16" s="764">
        <v>53158</v>
      </c>
      <c r="AK16" s="764">
        <v>44877</v>
      </c>
      <c r="AL16" s="764">
        <v>53265</v>
      </c>
      <c r="AM16" s="764">
        <v>44896</v>
      </c>
    </row>
    <row r="17" spans="2:39" ht="20.100000000000001" customHeight="1">
      <c r="B17" s="104" t="e">
        <f>#REF!&amp;" ["&amp;#REF!&amp;"]"</f>
        <v>#REF!</v>
      </c>
      <c r="C17" s="169"/>
      <c r="D17" s="214" t="s">
        <v>535</v>
      </c>
      <c r="E17" s="215" t="s">
        <v>536</v>
      </c>
      <c r="F17" s="214" t="s">
        <v>176</v>
      </c>
      <c r="G17" s="214" t="str">
        <f>'Previous years'!G15</f>
        <v/>
      </c>
      <c r="H17" s="326" t="s">
        <v>537</v>
      </c>
      <c r="I17" s="351"/>
      <c r="J17" s="11" t="s">
        <v>531</v>
      </c>
      <c r="K17" s="24"/>
      <c r="L17" s="279"/>
      <c r="M17" s="133"/>
      <c r="N17" s="133"/>
      <c r="O17" s="133"/>
      <c r="P17" s="133"/>
      <c r="Q17" s="133"/>
      <c r="R17" s="133"/>
      <c r="S17" s="133"/>
      <c r="T17" s="133"/>
      <c r="U17" s="133"/>
      <c r="V17" s="133"/>
      <c r="W17" s="133"/>
      <c r="X17" s="133"/>
      <c r="Y17" s="133"/>
      <c r="Z17" s="133"/>
      <c r="AA17" s="133"/>
      <c r="AB17" s="133"/>
      <c r="AC17" s="133"/>
      <c r="AD17" s="133"/>
      <c r="AE17" s="209"/>
      <c r="AF17" s="209"/>
      <c r="AH17" t="s">
        <v>538</v>
      </c>
      <c r="AI17" t="s">
        <v>538</v>
      </c>
      <c r="AJ17" t="s">
        <v>538</v>
      </c>
      <c r="AK17" t="s">
        <v>538</v>
      </c>
      <c r="AL17" t="s">
        <v>538</v>
      </c>
      <c r="AM17" t="s">
        <v>538</v>
      </c>
    </row>
    <row r="18" spans="2:39" ht="20.100000000000001" customHeight="1">
      <c r="B18" s="104" t="e">
        <f>#REF!&amp;" ["&amp;#REF!&amp;"]"</f>
        <v>#REF!</v>
      </c>
      <c r="C18" s="172"/>
      <c r="D18" s="216" t="s">
        <v>539</v>
      </c>
      <c r="E18" s="217" t="s">
        <v>540</v>
      </c>
      <c r="F18" s="216" t="s">
        <v>176</v>
      </c>
      <c r="G18" s="455" t="str">
        <f>'Previous years'!G16</f>
        <v>No regulatory approach</v>
      </c>
      <c r="H18" s="325" t="s">
        <v>541</v>
      </c>
      <c r="I18" s="352"/>
      <c r="J18" s="265" t="s">
        <v>531</v>
      </c>
      <c r="K18" s="261"/>
      <c r="L18" s="277"/>
      <c r="M18" s="436"/>
      <c r="N18" s="437"/>
      <c r="O18" s="437"/>
      <c r="P18" s="437"/>
      <c r="Q18" s="437"/>
      <c r="R18" s="437"/>
      <c r="S18" s="437"/>
      <c r="T18" s="437"/>
      <c r="U18" s="437"/>
      <c r="V18" s="437"/>
      <c r="W18" s="437"/>
      <c r="X18" s="437"/>
      <c r="Y18" s="437"/>
      <c r="Z18" s="437"/>
      <c r="AA18" s="437"/>
      <c r="AB18" s="437"/>
      <c r="AC18" s="437"/>
      <c r="AD18" s="436"/>
      <c r="AE18" s="242"/>
      <c r="AF18" s="242"/>
    </row>
    <row r="19" spans="2:39" ht="20.100000000000001" customHeight="1">
      <c r="B19" s="104" t="e">
        <f>#REF!&amp;" ["&amp;#REF!&amp;"]"</f>
        <v>#REF!</v>
      </c>
      <c r="C19" s="169" t="s">
        <v>542</v>
      </c>
      <c r="D19" s="214" t="s">
        <v>543</v>
      </c>
      <c r="E19" s="215" t="s">
        <v>544</v>
      </c>
      <c r="F19" s="214" t="s">
        <v>545</v>
      </c>
      <c r="G19" s="214">
        <f>'Previous years'!G17</f>
        <v>3798</v>
      </c>
      <c r="H19" s="327" t="str">
        <f>IF(SUM(M19:AD19)=0,"",SUM(M19:AD19))</f>
        <v/>
      </c>
      <c r="I19" s="348"/>
      <c r="J19" s="9" t="s">
        <v>514</v>
      </c>
      <c r="K19" s="10"/>
      <c r="L19" s="278"/>
      <c r="M19" s="97"/>
      <c r="N19" s="97"/>
      <c r="O19" s="97"/>
      <c r="P19" s="97"/>
      <c r="Q19" s="97"/>
      <c r="R19" s="97"/>
      <c r="S19" s="97"/>
      <c r="T19" s="97"/>
      <c r="U19" s="97"/>
      <c r="V19" s="97"/>
      <c r="W19" s="97"/>
      <c r="X19" s="97"/>
      <c r="Y19" s="97"/>
      <c r="Z19" s="97"/>
      <c r="AA19" s="97"/>
      <c r="AB19" s="97"/>
      <c r="AC19" s="97"/>
      <c r="AD19" s="97"/>
      <c r="AE19" s="211"/>
      <c r="AF19" s="211"/>
    </row>
    <row r="20" spans="2:39" ht="20.100000000000001" customHeight="1">
      <c r="B20" s="104" t="e">
        <f>#REF!&amp;" ["&amp;#REF!&amp;"]"</f>
        <v>#REF!</v>
      </c>
      <c r="C20" s="169"/>
      <c r="D20" s="214" t="s">
        <v>546</v>
      </c>
      <c r="E20" s="215" t="s">
        <v>547</v>
      </c>
      <c r="F20" s="214" t="s">
        <v>109</v>
      </c>
      <c r="G20" s="453" t="str">
        <f>'Previous years'!G18</f>
        <v/>
      </c>
      <c r="H20" s="385" t="str">
        <f t="shared" ref="H20:H23" si="0">IFERROR(AVERAGE(M20:AD20),"")</f>
        <v/>
      </c>
      <c r="I20" s="348"/>
      <c r="J20" s="11" t="s">
        <v>514</v>
      </c>
      <c r="K20" s="12"/>
      <c r="L20" s="273"/>
      <c r="M20" s="488"/>
      <c r="N20" s="488"/>
      <c r="O20" s="488"/>
      <c r="P20" s="488"/>
      <c r="Q20" s="488"/>
      <c r="R20" s="488"/>
      <c r="S20" s="488"/>
      <c r="T20" s="488"/>
      <c r="U20" s="488"/>
      <c r="V20" s="488"/>
      <c r="W20" s="488"/>
      <c r="X20" s="488"/>
      <c r="Y20" s="488"/>
      <c r="Z20" s="488"/>
      <c r="AA20" s="488"/>
      <c r="AB20" s="488"/>
      <c r="AC20" s="488"/>
      <c r="AD20" s="488"/>
      <c r="AE20" s="91"/>
      <c r="AF20" s="91"/>
    </row>
    <row r="21" spans="2:39" ht="20.100000000000001" customHeight="1">
      <c r="B21" s="104" t="str">
        <f>E44&amp;" ["&amp;D44&amp;"]"</f>
        <v>Average Age of Wastewater Pipelines [WWA3]</v>
      </c>
      <c r="C21" s="169"/>
      <c r="D21" s="214" t="s">
        <v>548</v>
      </c>
      <c r="E21" s="215" t="s">
        <v>549</v>
      </c>
      <c r="F21" s="214" t="s">
        <v>109</v>
      </c>
      <c r="G21" s="453">
        <f>'Previous years'!G19</f>
        <v>0</v>
      </c>
      <c r="H21" s="385" t="str">
        <f t="shared" si="0"/>
        <v/>
      </c>
      <c r="I21" s="348"/>
      <c r="J21" s="11" t="s">
        <v>514</v>
      </c>
      <c r="K21" s="12"/>
      <c r="L21" s="273"/>
      <c r="M21" s="488"/>
      <c r="N21" s="488"/>
      <c r="O21" s="488"/>
      <c r="P21" s="488"/>
      <c r="Q21" s="488"/>
      <c r="R21" s="488"/>
      <c r="S21" s="488"/>
      <c r="T21" s="488"/>
      <c r="U21" s="488"/>
      <c r="V21" s="488"/>
      <c r="W21" s="488"/>
      <c r="X21" s="488"/>
      <c r="Y21" s="488"/>
      <c r="Z21" s="488"/>
      <c r="AA21" s="488"/>
      <c r="AB21" s="488"/>
      <c r="AC21" s="488"/>
      <c r="AD21" s="488"/>
      <c r="AE21" s="91"/>
      <c r="AF21" s="91"/>
    </row>
    <row r="22" spans="2:39" ht="20.100000000000001" customHeight="1">
      <c r="B22" s="104" t="str">
        <f>E45&amp;" ["&amp;D45&amp;"]"</f>
        <v>Wastewater CCTV inspection [WWA4]</v>
      </c>
      <c r="C22" s="169"/>
      <c r="D22" s="214" t="s">
        <v>550</v>
      </c>
      <c r="E22" s="215" t="s">
        <v>551</v>
      </c>
      <c r="F22" s="214" t="s">
        <v>109</v>
      </c>
      <c r="G22" s="453">
        <f>'Previous years'!G20</f>
        <v>1</v>
      </c>
      <c r="H22" s="385" t="str">
        <f t="shared" si="0"/>
        <v/>
      </c>
      <c r="I22" s="348"/>
      <c r="J22" s="11" t="s">
        <v>514</v>
      </c>
      <c r="K22" s="12"/>
      <c r="L22" s="273"/>
      <c r="M22" s="488"/>
      <c r="N22" s="488"/>
      <c r="O22" s="488"/>
      <c r="P22" s="488"/>
      <c r="Q22" s="488"/>
      <c r="R22" s="488"/>
      <c r="S22" s="488"/>
      <c r="T22" s="488"/>
      <c r="U22" s="488"/>
      <c r="V22" s="488"/>
      <c r="W22" s="488"/>
      <c r="X22" s="488"/>
      <c r="Y22" s="488"/>
      <c r="Z22" s="488"/>
      <c r="AA22" s="488"/>
      <c r="AB22" s="488"/>
      <c r="AC22" s="488"/>
      <c r="AD22" s="488"/>
      <c r="AE22" s="91"/>
      <c r="AF22" s="91"/>
    </row>
    <row r="23" spans="2:39" ht="20.100000000000001" customHeight="1">
      <c r="B23" s="104" t="str">
        <f>E6&amp;" ["&amp;D6&amp;"]"</f>
        <v>Wastewater Pump Stations [WWA5]</v>
      </c>
      <c r="C23" s="169"/>
      <c r="D23" s="214" t="s">
        <v>552</v>
      </c>
      <c r="E23" s="215" t="s">
        <v>553</v>
      </c>
      <c r="F23" s="214" t="s">
        <v>109</v>
      </c>
      <c r="G23" s="453">
        <f>'Previous years'!G21</f>
        <v>0</v>
      </c>
      <c r="H23" s="385" t="str">
        <f t="shared" si="0"/>
        <v/>
      </c>
      <c r="I23" s="348"/>
      <c r="J23" s="11" t="s">
        <v>514</v>
      </c>
      <c r="K23" s="12"/>
      <c r="L23" s="273"/>
      <c r="M23" s="488"/>
      <c r="N23" s="488"/>
      <c r="O23" s="488"/>
      <c r="P23" s="488"/>
      <c r="Q23" s="488"/>
      <c r="R23" s="488"/>
      <c r="S23" s="488"/>
      <c r="T23" s="488"/>
      <c r="U23" s="488"/>
      <c r="V23" s="488"/>
      <c r="W23" s="488"/>
      <c r="X23" s="488"/>
      <c r="Y23" s="488"/>
      <c r="Z23" s="488"/>
      <c r="AA23" s="488"/>
      <c r="AB23" s="488"/>
      <c r="AC23" s="488"/>
      <c r="AD23" s="488"/>
      <c r="AE23" s="91"/>
      <c r="AF23" s="91"/>
    </row>
    <row r="24" spans="2:39" ht="20.100000000000001" customHeight="1">
      <c r="B24" s="104" t="e">
        <f>#REF!&amp;" ["&amp;#REF!&amp;"]"</f>
        <v>#REF!</v>
      </c>
      <c r="C24" s="169"/>
      <c r="D24" s="214" t="s">
        <v>554</v>
      </c>
      <c r="E24" s="215" t="s">
        <v>555</v>
      </c>
      <c r="F24" s="214" t="s">
        <v>109</v>
      </c>
      <c r="G24" s="453">
        <f>'Previous years'!G22</f>
        <v>0</v>
      </c>
      <c r="I24" s="344"/>
      <c r="J24" s="11" t="s">
        <v>64</v>
      </c>
      <c r="K24" s="99" t="s">
        <v>151</v>
      </c>
      <c r="L24" s="273"/>
      <c r="M24" s="488"/>
      <c r="N24" s="488"/>
      <c r="O24" s="488"/>
      <c r="P24" s="488"/>
      <c r="Q24" s="488"/>
      <c r="R24" s="488"/>
      <c r="S24" s="488"/>
      <c r="T24" s="488"/>
      <c r="U24" s="488"/>
      <c r="V24" s="488"/>
      <c r="W24" s="488"/>
      <c r="X24" s="488"/>
      <c r="Y24" s="488"/>
      <c r="Z24" s="488"/>
      <c r="AA24" s="488"/>
      <c r="AB24" s="488"/>
      <c r="AC24" s="488"/>
      <c r="AD24" s="488"/>
      <c r="AE24" s="91"/>
      <c r="AF24" s="91"/>
    </row>
    <row r="25" spans="2:39" ht="20.100000000000001" customHeight="1" thickBot="1">
      <c r="B25" s="104" t="e">
        <f>#REF!&amp;" ["&amp;#REF!&amp;"]"</f>
        <v>#REF!</v>
      </c>
      <c r="C25" s="172"/>
      <c r="D25" s="216" t="s">
        <v>556</v>
      </c>
      <c r="E25" s="217" t="s">
        <v>557</v>
      </c>
      <c r="F25" s="216" t="s">
        <v>558</v>
      </c>
      <c r="G25" s="216" t="str">
        <f>'Previous years'!G23</f>
        <v/>
      </c>
      <c r="I25" s="344"/>
      <c r="J25" s="100" t="s">
        <v>64</v>
      </c>
      <c r="K25" s="99" t="s">
        <v>151</v>
      </c>
      <c r="L25" s="759" t="s">
        <v>559</v>
      </c>
      <c r="M25" s="489"/>
      <c r="N25" s="489"/>
      <c r="O25" s="489"/>
      <c r="P25" s="489"/>
      <c r="Q25" s="489"/>
      <c r="R25" s="489"/>
      <c r="S25" s="489"/>
      <c r="T25" s="489"/>
      <c r="U25" s="489"/>
      <c r="V25" s="489"/>
      <c r="W25" s="489"/>
      <c r="X25" s="489"/>
      <c r="Y25" s="489"/>
      <c r="Z25" s="489"/>
      <c r="AA25" s="489"/>
      <c r="AB25" s="489"/>
      <c r="AC25" s="489"/>
      <c r="AD25" s="489"/>
      <c r="AE25" s="242"/>
      <c r="AF25" s="242"/>
    </row>
    <row r="26" spans="2:39" ht="20.100000000000001" customHeight="1" thickBot="1">
      <c r="B26" s="104" t="e">
        <f>#REF!&amp;" ["&amp;#REF!&amp;"]"</f>
        <v>#REF!</v>
      </c>
      <c r="C26" s="173" t="s">
        <v>560</v>
      </c>
      <c r="D26" s="218" t="s">
        <v>561</v>
      </c>
      <c r="E26" s="219" t="s">
        <v>562</v>
      </c>
      <c r="F26" s="218" t="s">
        <v>61</v>
      </c>
      <c r="G26" s="469">
        <f>'Previous years'!G24</f>
        <v>2.1074990018824065</v>
      </c>
      <c r="H26" s="760"/>
      <c r="I26" s="345"/>
      <c r="J26" s="11" t="s">
        <v>64</v>
      </c>
      <c r="K26" s="99" t="s">
        <v>151</v>
      </c>
      <c r="L26" s="759" t="s">
        <v>563</v>
      </c>
      <c r="M26" s="263"/>
      <c r="N26" s="263"/>
      <c r="O26" s="263"/>
      <c r="P26" s="263"/>
      <c r="Q26" s="263"/>
      <c r="R26" s="263"/>
      <c r="S26" s="263"/>
      <c r="T26" s="263"/>
      <c r="U26" s="263"/>
      <c r="V26" s="263"/>
      <c r="W26" s="263"/>
      <c r="X26" s="263"/>
      <c r="Y26" s="263"/>
      <c r="Z26" s="263"/>
      <c r="AA26" s="263"/>
      <c r="AB26" s="263"/>
      <c r="AC26" s="263"/>
      <c r="AD26" s="263"/>
      <c r="AE26" s="243"/>
      <c r="AF26" s="243"/>
    </row>
    <row r="27" spans="2:39" ht="20.100000000000001" customHeight="1">
      <c r="B27" s="104" t="str">
        <f>E27&amp;" ["&amp;D27&amp;"]"</f>
        <v>Wastewater treatment plant process emissions [WWA7n]</v>
      </c>
      <c r="C27" s="169" t="s">
        <v>564</v>
      </c>
      <c r="D27" s="214" t="s">
        <v>565</v>
      </c>
      <c r="E27" s="215" t="s">
        <v>566</v>
      </c>
      <c r="F27" s="214" t="s">
        <v>567</v>
      </c>
      <c r="G27" s="214">
        <f>'Previous years'!G25</f>
        <v>5005</v>
      </c>
      <c r="H27" s="324" t="str">
        <f>IF(SUM(M27:AD27)=0,"",SUM(M27:AD27))</f>
        <v/>
      </c>
      <c r="I27" s="348"/>
      <c r="J27" s="9" t="s">
        <v>568</v>
      </c>
      <c r="K27" s="9"/>
      <c r="L27" s="278"/>
      <c r="M27" s="133"/>
      <c r="N27" s="264"/>
      <c r="O27" s="264"/>
      <c r="P27" s="264"/>
      <c r="Q27" s="264"/>
      <c r="R27" s="264"/>
      <c r="S27" s="264"/>
      <c r="T27" s="264"/>
      <c r="U27" s="264"/>
      <c r="V27" s="264"/>
      <c r="W27" s="264"/>
      <c r="X27" s="264"/>
      <c r="Y27" s="264"/>
      <c r="Z27" s="264"/>
      <c r="AA27" s="264"/>
      <c r="AB27" s="264"/>
      <c r="AC27" s="264"/>
      <c r="AD27" s="133"/>
      <c r="AE27" s="211"/>
      <c r="AF27" s="211"/>
    </row>
    <row r="28" spans="2:39" ht="20.100000000000001" customHeight="1">
      <c r="B28" s="104" t="str">
        <f>E28&amp;" ["&amp;D28&amp;"]"</f>
        <v>Wastewater treatment wetland emissions [WWA7o]</v>
      </c>
      <c r="C28" s="169" t="s">
        <v>569</v>
      </c>
      <c r="D28" s="214" t="s">
        <v>570</v>
      </c>
      <c r="E28" s="215" t="s">
        <v>571</v>
      </c>
      <c r="F28" s="214" t="s">
        <v>567</v>
      </c>
      <c r="G28" s="214">
        <f>'Previous years'!G26</f>
        <v>0</v>
      </c>
      <c r="H28" s="324" t="str">
        <f>IF(SUM(M28:AD28)=0,"",SUM(M28:AD28))</f>
        <v/>
      </c>
      <c r="I28" s="348"/>
      <c r="J28" s="9" t="s">
        <v>568</v>
      </c>
      <c r="K28" s="9"/>
      <c r="L28" s="278"/>
      <c r="M28" s="133"/>
      <c r="N28" s="264"/>
      <c r="O28" s="264"/>
      <c r="P28" s="264"/>
      <c r="Q28" s="264"/>
      <c r="R28" s="264"/>
      <c r="S28" s="264"/>
      <c r="T28" s="264"/>
      <c r="U28" s="264"/>
      <c r="V28" s="264"/>
      <c r="W28" s="264"/>
      <c r="X28" s="264"/>
      <c r="Y28" s="264"/>
      <c r="Z28" s="264"/>
      <c r="AA28" s="264"/>
      <c r="AB28" s="264"/>
      <c r="AC28" s="264"/>
      <c r="AD28" s="133"/>
      <c r="AE28" s="211"/>
      <c r="AF28" s="211"/>
    </row>
    <row r="29" spans="2:39" ht="20.100000000000001" customHeight="1">
      <c r="B29" s="104" t="str">
        <f>E29&amp;" ["&amp;D29&amp;"]"</f>
        <v>Wastewater effluent disposal emissions [WWA7p]</v>
      </c>
      <c r="C29" s="169"/>
      <c r="D29" s="214" t="s">
        <v>572</v>
      </c>
      <c r="E29" s="215" t="s">
        <v>573</v>
      </c>
      <c r="F29" s="214" t="s">
        <v>567</v>
      </c>
      <c r="G29" s="214">
        <f>'Previous years'!G27</f>
        <v>0</v>
      </c>
      <c r="H29" s="324" t="str">
        <f>IF(SUM(M29:AD29)=0,"",SUM(M29:AD29))</f>
        <v/>
      </c>
      <c r="I29" s="348"/>
      <c r="J29" s="9" t="s">
        <v>568</v>
      </c>
      <c r="K29" s="9"/>
      <c r="L29" s="278"/>
      <c r="M29" s="133"/>
      <c r="N29" s="264"/>
      <c r="O29" s="264"/>
      <c r="P29" s="264"/>
      <c r="Q29" s="264"/>
      <c r="R29" s="264"/>
      <c r="S29" s="264"/>
      <c r="T29" s="264"/>
      <c r="U29" s="264"/>
      <c r="V29" s="264"/>
      <c r="W29" s="264"/>
      <c r="X29" s="264"/>
      <c r="Y29" s="264"/>
      <c r="Z29" s="264"/>
      <c r="AA29" s="264"/>
      <c r="AB29" s="264"/>
      <c r="AC29" s="264"/>
      <c r="AD29" s="133"/>
      <c r="AE29" s="211"/>
      <c r="AF29" s="211"/>
    </row>
    <row r="30" spans="2:39" ht="20.100000000000001" customHeight="1">
      <c r="B30" s="104" t="str">
        <f>E30&amp;" ["&amp;D30&amp;"]"</f>
        <v>Wastewater sludge treatment emissions [WWA7q]</v>
      </c>
      <c r="C30" s="169"/>
      <c r="D30" s="214" t="s">
        <v>574</v>
      </c>
      <c r="E30" s="215" t="s">
        <v>575</v>
      </c>
      <c r="F30" s="214" t="s">
        <v>567</v>
      </c>
      <c r="G30" s="214">
        <f>'Previous years'!G28</f>
        <v>0</v>
      </c>
      <c r="H30" s="324" t="str">
        <f>IF(SUM(M30:AD30)=0,"",SUM(M30:AD30))</f>
        <v/>
      </c>
      <c r="I30" s="348"/>
      <c r="J30" s="11" t="s">
        <v>568</v>
      </c>
      <c r="K30" s="12"/>
      <c r="L30" s="273"/>
      <c r="M30" s="133"/>
      <c r="N30" s="264"/>
      <c r="O30" s="264"/>
      <c r="P30" s="264"/>
      <c r="Q30" s="264"/>
      <c r="R30" s="264"/>
      <c r="S30" s="264"/>
      <c r="T30" s="264"/>
      <c r="U30" s="264"/>
      <c r="V30" s="264"/>
      <c r="W30" s="264"/>
      <c r="X30" s="264"/>
      <c r="Y30" s="264"/>
      <c r="Z30" s="264"/>
      <c r="AA30" s="264"/>
      <c r="AB30" s="264"/>
      <c r="AC30" s="264"/>
      <c r="AD30" s="133"/>
      <c r="AE30" s="91"/>
      <c r="AF30" s="91"/>
    </row>
    <row r="31" spans="2:39" ht="20.100000000000001" customHeight="1">
      <c r="B31" s="104" t="str">
        <f>E31&amp;" ["&amp;D31&amp;"]"</f>
        <v>Wastewater sludge disposal emissions [WWA7r]</v>
      </c>
      <c r="C31" s="172"/>
      <c r="D31" s="216" t="s">
        <v>576</v>
      </c>
      <c r="E31" s="217" t="s">
        <v>577</v>
      </c>
      <c r="F31" s="216" t="s">
        <v>567</v>
      </c>
      <c r="G31" s="216">
        <f>'Previous years'!G29</f>
        <v>0</v>
      </c>
      <c r="H31" s="325" t="str">
        <f>IF(SUM(M31:AD31)=0,"",SUM(M31:AD31))</f>
        <v/>
      </c>
      <c r="I31" s="354"/>
      <c r="J31" s="268" t="s">
        <v>568</v>
      </c>
      <c r="K31" s="260"/>
      <c r="L31" s="281"/>
      <c r="M31" s="133"/>
      <c r="N31" s="264"/>
      <c r="O31" s="264"/>
      <c r="P31" s="264"/>
      <c r="Q31" s="264"/>
      <c r="R31" s="264"/>
      <c r="S31" s="264"/>
      <c r="T31" s="264"/>
      <c r="U31" s="264"/>
      <c r="V31" s="264"/>
      <c r="W31" s="264"/>
      <c r="X31" s="264"/>
      <c r="Y31" s="264"/>
      <c r="Z31" s="264"/>
      <c r="AA31" s="264"/>
      <c r="AB31" s="264"/>
      <c r="AC31" s="264"/>
      <c r="AD31" s="133"/>
      <c r="AE31" s="244"/>
      <c r="AF31" s="244"/>
    </row>
    <row r="32" spans="2:39" ht="20.100000000000001" customHeight="1">
      <c r="C32" s="169" t="s">
        <v>578</v>
      </c>
      <c r="D32" s="214" t="s">
        <v>579</v>
      </c>
      <c r="E32" s="215" t="s">
        <v>580</v>
      </c>
      <c r="F32" s="214" t="s">
        <v>61</v>
      </c>
      <c r="G32" s="214">
        <f>'Previous years'!G30</f>
        <v>24231</v>
      </c>
      <c r="H32" s="324">
        <f>G32*1.05</f>
        <v>25442.55</v>
      </c>
      <c r="I32" s="348" t="s">
        <v>33</v>
      </c>
      <c r="J32" s="9" t="s">
        <v>180</v>
      </c>
      <c r="K32" s="10" t="s">
        <v>332</v>
      </c>
      <c r="L32" s="275"/>
      <c r="AE32" s="92"/>
      <c r="AF32" s="92"/>
    </row>
    <row r="33" spans="2:32" ht="20.100000000000001" customHeight="1">
      <c r="C33" s="169" t="s">
        <v>186</v>
      </c>
      <c r="D33" s="214" t="s">
        <v>581</v>
      </c>
      <c r="E33" s="215" t="s">
        <v>582</v>
      </c>
      <c r="F33" s="214" t="s">
        <v>61</v>
      </c>
      <c r="G33" s="481">
        <f>'Previous years'!G31</f>
        <v>2939</v>
      </c>
      <c r="H33" s="324">
        <f>G33*1.05</f>
        <v>3085.9500000000003</v>
      </c>
      <c r="I33" s="348" t="s">
        <v>33</v>
      </c>
      <c r="J33" s="11" t="s">
        <v>180</v>
      </c>
      <c r="K33" s="10" t="s">
        <v>332</v>
      </c>
      <c r="L33" s="279"/>
      <c r="AE33" s="91"/>
      <c r="AF33" s="209"/>
    </row>
    <row r="34" spans="2:32" ht="20.100000000000001" customHeight="1">
      <c r="C34" s="169"/>
      <c r="D34" s="214" t="s">
        <v>583</v>
      </c>
      <c r="E34" s="215" t="s">
        <v>584</v>
      </c>
      <c r="F34" s="214" t="s">
        <v>61</v>
      </c>
      <c r="G34" s="481">
        <f>'Previous years'!G32</f>
        <v>40838.764044943819</v>
      </c>
      <c r="H34" s="490">
        <f>IFERROR(Common!H11*Wastewater!H32,"")</f>
        <v>43663.841849061966</v>
      </c>
      <c r="I34" s="351" t="s">
        <v>72</v>
      </c>
      <c r="J34" s="25"/>
      <c r="K34" s="24"/>
      <c r="L34" s="272"/>
      <c r="AE34" s="91"/>
      <c r="AF34" s="91"/>
    </row>
    <row r="35" spans="2:32" ht="20.100000000000001" customHeight="1">
      <c r="C35" s="169"/>
      <c r="D35" s="214" t="s">
        <v>585</v>
      </c>
      <c r="E35" s="215" t="s">
        <v>586</v>
      </c>
      <c r="F35" s="214" t="s">
        <v>109</v>
      </c>
      <c r="G35" s="453">
        <f>'Previous years'!G33</f>
        <v>0.86157730052624093</v>
      </c>
      <c r="H35" s="525">
        <f>IFERROR(H32/Common!H8,"")</f>
        <v>0.90401328880045473</v>
      </c>
      <c r="I35" s="351" t="s">
        <v>72</v>
      </c>
      <c r="J35" s="25"/>
      <c r="K35" s="24"/>
      <c r="L35" s="272"/>
      <c r="AE35" s="91"/>
      <c r="AF35" s="91"/>
    </row>
    <row r="36" spans="2:32" ht="20.100000000000001" customHeight="1">
      <c r="C36" s="172"/>
      <c r="D36" s="216" t="s">
        <v>587</v>
      </c>
      <c r="E36" s="217" t="s">
        <v>588</v>
      </c>
      <c r="F36" s="216" t="s">
        <v>61</v>
      </c>
      <c r="G36" s="216">
        <f>'Previous years'!G34</f>
        <v>27170</v>
      </c>
      <c r="H36" s="330">
        <f>IF(SUMIF(H32:H33,"&gt;=0",H32:H33)=0,"",SUMIF(H32:H33,"&gt;=0",H32:H33))</f>
        <v>28528.5</v>
      </c>
      <c r="I36" s="352" t="s">
        <v>72</v>
      </c>
      <c r="J36" s="269"/>
      <c r="K36" s="261"/>
      <c r="L36" s="274"/>
      <c r="AE36" s="242"/>
      <c r="AF36" s="242"/>
    </row>
    <row r="37" spans="2:32" ht="20.100000000000001" customHeight="1">
      <c r="B37" s="104" t="str">
        <f>E69&amp;" ["&amp;D69&amp;"]"</f>
        <v>Wastewater grid electricity use [WWT2]</v>
      </c>
      <c r="C37" s="169" t="s">
        <v>589</v>
      </c>
      <c r="D37" s="214" t="s">
        <v>590</v>
      </c>
      <c r="E37" s="215" t="s">
        <v>591</v>
      </c>
      <c r="F37" s="214" t="s">
        <v>236</v>
      </c>
      <c r="G37" s="214">
        <f>'Previous years'!G35</f>
        <v>0.28333333333333333</v>
      </c>
      <c r="H37" s="320">
        <f>27/60</f>
        <v>0.45</v>
      </c>
      <c r="I37" s="348" t="s">
        <v>150</v>
      </c>
      <c r="J37" s="9" t="s">
        <v>84</v>
      </c>
      <c r="K37" s="10" t="s">
        <v>592</v>
      </c>
      <c r="L37" s="276"/>
      <c r="AE37" s="241"/>
      <c r="AF37" s="241"/>
    </row>
    <row r="38" spans="2:32" ht="20.100000000000001" customHeight="1" thickBot="1">
      <c r="B38" s="104" t="str">
        <f>E70&amp;" ["&amp;D70&amp;"]"</f>
        <v>Wastewater energy use from other fuels [WWT3]</v>
      </c>
      <c r="C38" s="172" t="s">
        <v>593</v>
      </c>
      <c r="D38" s="216" t="s">
        <v>594</v>
      </c>
      <c r="E38" s="217" t="s">
        <v>595</v>
      </c>
      <c r="F38" s="216" t="s">
        <v>236</v>
      </c>
      <c r="G38" s="216">
        <f>'Previous years'!G36</f>
        <v>2.2000000000000002</v>
      </c>
      <c r="H38" s="325">
        <f>129/60</f>
        <v>2.15</v>
      </c>
      <c r="I38" s="348" t="s">
        <v>150</v>
      </c>
      <c r="J38" s="265" t="s">
        <v>84</v>
      </c>
      <c r="K38" s="10" t="s">
        <v>592</v>
      </c>
      <c r="L38" s="277"/>
      <c r="AE38" s="242"/>
      <c r="AF38" s="242"/>
    </row>
    <row r="39" spans="2:32" ht="20.100000000000001" customHeight="1">
      <c r="B39" s="104" t="str">
        <f>E71&amp;" ["&amp;D71&amp;"]"</f>
        <v>Wastewater energy generation [WWE5c]</v>
      </c>
      <c r="C39" s="169" t="s">
        <v>596</v>
      </c>
      <c r="D39" s="214" t="s">
        <v>597</v>
      </c>
      <c r="E39" s="215" t="s">
        <v>598</v>
      </c>
      <c r="F39" s="214" t="s">
        <v>250</v>
      </c>
      <c r="G39" s="214">
        <f>'Previous years'!G37</f>
        <v>0</v>
      </c>
      <c r="H39" s="320"/>
      <c r="I39" s="355"/>
      <c r="J39" s="270" t="s">
        <v>84</v>
      </c>
      <c r="K39" s="257"/>
      <c r="L39" s="276"/>
      <c r="AE39" s="241"/>
      <c r="AF39" s="241"/>
    </row>
    <row r="40" spans="2:32" ht="20.100000000000001" customHeight="1">
      <c r="B40" s="104" t="e">
        <f>#REF!&amp;" ["&amp;#REF!&amp;"]"</f>
        <v>#REF!</v>
      </c>
      <c r="C40" s="169"/>
      <c r="D40" s="214" t="s">
        <v>599</v>
      </c>
      <c r="E40" s="215" t="s">
        <v>600</v>
      </c>
      <c r="F40" s="214" t="s">
        <v>250</v>
      </c>
      <c r="G40" s="214">
        <f>'Previous years'!G38</f>
        <v>0</v>
      </c>
      <c r="H40" s="322"/>
      <c r="I40" s="349"/>
      <c r="J40" s="11" t="s">
        <v>84</v>
      </c>
      <c r="K40" s="12"/>
      <c r="L40" s="273"/>
      <c r="AE40" s="91"/>
      <c r="AF40" s="91"/>
    </row>
    <row r="41" spans="2:32" ht="20.100000000000001" customHeight="1">
      <c r="B41" s="104" t="e">
        <f>#REF!&amp;" ["&amp;#REF!&amp;"]"</f>
        <v>#REF!</v>
      </c>
      <c r="C41" s="172"/>
      <c r="D41" s="216" t="s">
        <v>601</v>
      </c>
      <c r="E41" s="217" t="s">
        <v>602</v>
      </c>
      <c r="F41" s="216" t="s">
        <v>260</v>
      </c>
      <c r="G41" s="470">
        <f>'Previous years'!G39</f>
        <v>0</v>
      </c>
      <c r="H41" s="471">
        <f>IFERROR(H39/H36*1000,"")</f>
        <v>0</v>
      </c>
      <c r="I41" s="352" t="s">
        <v>72</v>
      </c>
      <c r="J41" s="269"/>
      <c r="K41" s="261"/>
      <c r="L41" s="274"/>
      <c r="AE41" s="242"/>
      <c r="AF41" s="242"/>
    </row>
    <row r="42" spans="2:32" ht="20.100000000000001" customHeight="1">
      <c r="C42" s="169" t="s">
        <v>603</v>
      </c>
      <c r="D42" s="472" t="s">
        <v>604</v>
      </c>
      <c r="E42" s="473" t="s">
        <v>264</v>
      </c>
      <c r="F42" s="472" t="s">
        <v>109</v>
      </c>
      <c r="G42" s="453"/>
      <c r="H42" s="387"/>
      <c r="I42" s="345"/>
      <c r="J42" s="100" t="s">
        <v>84</v>
      </c>
      <c r="K42" s="99"/>
      <c r="L42" s="282"/>
      <c r="AE42" s="98"/>
      <c r="AF42" s="98"/>
    </row>
    <row r="43" spans="2:32" ht="20.100000000000001" customHeight="1">
      <c r="C43" s="169"/>
      <c r="D43" s="472" t="s">
        <v>605</v>
      </c>
      <c r="E43" s="473" t="s">
        <v>267</v>
      </c>
      <c r="F43" s="472" t="s">
        <v>109</v>
      </c>
      <c r="G43" s="453"/>
      <c r="H43" s="387"/>
      <c r="I43" s="345"/>
      <c r="J43" s="100" t="s">
        <v>84</v>
      </c>
      <c r="K43" s="99"/>
      <c r="L43" s="282"/>
      <c r="AE43" s="98"/>
      <c r="AF43" s="98"/>
    </row>
    <row r="44" spans="2:32" ht="20.100000000000001" customHeight="1">
      <c r="C44" s="169"/>
      <c r="D44" s="214" t="s">
        <v>606</v>
      </c>
      <c r="E44" s="215" t="s">
        <v>607</v>
      </c>
      <c r="F44" s="214" t="s">
        <v>271</v>
      </c>
      <c r="G44" s="214">
        <f>'Previous years'!G42</f>
        <v>21.1</v>
      </c>
      <c r="H44" s="777">
        <v>21.522000000000002</v>
      </c>
      <c r="I44" s="345" t="s">
        <v>150</v>
      </c>
      <c r="J44" s="100" t="s">
        <v>84</v>
      </c>
      <c r="K44" s="99" t="s">
        <v>272</v>
      </c>
      <c r="L44" s="282" t="s">
        <v>608</v>
      </c>
      <c r="AE44" s="98"/>
      <c r="AF44" s="98"/>
    </row>
    <row r="45" spans="2:32" ht="20.100000000000001" customHeight="1">
      <c r="C45" s="169"/>
      <c r="D45" s="214" t="s">
        <v>609</v>
      </c>
      <c r="E45" s="220" t="s">
        <v>610</v>
      </c>
      <c r="F45" s="214" t="s">
        <v>109</v>
      </c>
      <c r="G45" s="453">
        <f>'Previous years'!G43</f>
        <v>3.2814576871953924E-2</v>
      </c>
      <c r="H45" s="387"/>
      <c r="I45" s="345"/>
      <c r="J45" s="100" t="s">
        <v>84</v>
      </c>
      <c r="K45" s="99"/>
      <c r="L45" s="282"/>
      <c r="AE45" s="98"/>
      <c r="AF45" s="98"/>
    </row>
    <row r="46" spans="2:32" ht="20.100000000000001" customHeight="1">
      <c r="C46" s="169"/>
      <c r="D46" s="472" t="s">
        <v>611</v>
      </c>
      <c r="E46" s="473" t="s">
        <v>275</v>
      </c>
      <c r="F46" s="472" t="s">
        <v>109</v>
      </c>
      <c r="G46" s="453"/>
      <c r="H46" s="387"/>
      <c r="I46" s="345"/>
      <c r="J46" s="100" t="s">
        <v>84</v>
      </c>
      <c r="K46" s="99"/>
      <c r="L46" s="282"/>
      <c r="AE46" s="98"/>
      <c r="AF46" s="98"/>
    </row>
    <row r="47" spans="2:32" ht="20.100000000000001" customHeight="1">
      <c r="C47" s="172"/>
      <c r="D47" s="474" t="s">
        <v>612</v>
      </c>
      <c r="E47" s="475" t="s">
        <v>279</v>
      </c>
      <c r="F47" s="474" t="s">
        <v>109</v>
      </c>
      <c r="G47" s="454" t="str">
        <f>'Previous years'!G45</f>
        <v/>
      </c>
      <c r="H47" s="388"/>
      <c r="I47" s="350"/>
      <c r="J47" s="265" t="s">
        <v>84</v>
      </c>
      <c r="K47" s="258"/>
      <c r="L47" s="277"/>
      <c r="AE47" s="242"/>
      <c r="AF47" s="242"/>
    </row>
    <row r="48" spans="2:32" ht="20.100000000000001" customHeight="1">
      <c r="B48" s="104" t="str">
        <f>E10&amp;" ["&amp;D10&amp;"]"</f>
        <v>Wastewater treatment plant name [WWA7a]</v>
      </c>
      <c r="C48" s="169" t="s">
        <v>613</v>
      </c>
      <c r="D48" s="214" t="s">
        <v>614</v>
      </c>
      <c r="E48" s="215" t="s">
        <v>615</v>
      </c>
      <c r="F48" s="214" t="s">
        <v>61</v>
      </c>
      <c r="G48" s="214">
        <f>'Previous years'!G46</f>
        <v>57</v>
      </c>
      <c r="H48" s="332">
        <f>IF(NOT(COUNTA(H49:H50)),"",SUM(H49:H50))</f>
        <v>50</v>
      </c>
      <c r="I48" s="346" t="s">
        <v>72</v>
      </c>
      <c r="J48" s="28"/>
      <c r="K48" s="23"/>
      <c r="L48" s="283"/>
      <c r="AE48" s="92"/>
      <c r="AF48" s="92"/>
    </row>
    <row r="49" spans="2:32" ht="20.100000000000001" customHeight="1">
      <c r="B49" s="104" t="str">
        <f>E19&amp;" ["&amp;D19&amp;"]"</f>
        <v>Treatment Plant sludge production of wet sludge/biosolids [WWA7j-1]</v>
      </c>
      <c r="C49" s="169"/>
      <c r="D49" s="214" t="s">
        <v>616</v>
      </c>
      <c r="E49" s="215" t="s">
        <v>617</v>
      </c>
      <c r="F49" s="214" t="s">
        <v>61</v>
      </c>
      <c r="G49" s="214">
        <f>'Previous years'!G47</f>
        <v>57</v>
      </c>
      <c r="H49" s="331">
        <v>50</v>
      </c>
      <c r="I49" s="345" t="s">
        <v>150</v>
      </c>
      <c r="J49" s="100" t="s">
        <v>84</v>
      </c>
      <c r="K49" s="99" t="s">
        <v>618</v>
      </c>
      <c r="L49" s="282"/>
      <c r="AE49" s="98"/>
      <c r="AF49" s="98"/>
    </row>
    <row r="50" spans="2:32" ht="20.100000000000001" customHeight="1">
      <c r="B50" s="104" t="str">
        <f>E20&amp;" ["&amp;D20&amp;"]"</f>
        <v>Percentage of dry solids in wastewater sludge/biosolids [WWA7j-2]</v>
      </c>
      <c r="C50" s="169"/>
      <c r="D50" s="214" t="s">
        <v>619</v>
      </c>
      <c r="E50" s="215" t="s">
        <v>620</v>
      </c>
      <c r="F50" s="214" t="s">
        <v>61</v>
      </c>
      <c r="G50" s="214">
        <f>'Previous years'!G48</f>
        <v>0</v>
      </c>
      <c r="H50" s="404"/>
      <c r="I50" s="405"/>
      <c r="J50" s="406" t="s">
        <v>84</v>
      </c>
      <c r="K50" s="407"/>
      <c r="L50" s="408"/>
      <c r="AE50" s="91"/>
      <c r="AF50" s="91"/>
    </row>
    <row r="51" spans="2:32" ht="20.100000000000001" customHeight="1">
      <c r="C51" s="169"/>
      <c r="D51" s="214" t="s">
        <v>621</v>
      </c>
      <c r="E51" s="215" t="s">
        <v>622</v>
      </c>
      <c r="F51" s="214" t="s">
        <v>61</v>
      </c>
      <c r="G51" s="214">
        <f>'Previous years'!G49</f>
        <v>0</v>
      </c>
      <c r="H51" s="402"/>
      <c r="I51" s="405"/>
      <c r="J51" s="211" t="s">
        <v>84</v>
      </c>
      <c r="K51" s="211"/>
      <c r="L51" s="403"/>
      <c r="AE51" s="91"/>
      <c r="AF51" s="91"/>
    </row>
    <row r="52" spans="2:32" ht="20.100000000000001" customHeight="1">
      <c r="C52" s="169"/>
      <c r="D52" s="214" t="s">
        <v>623</v>
      </c>
      <c r="E52" s="215" t="s">
        <v>624</v>
      </c>
      <c r="F52" s="214" t="s">
        <v>61</v>
      </c>
      <c r="G52" s="214">
        <f>'Previous years'!G50</f>
        <v>0</v>
      </c>
      <c r="H52" s="324"/>
      <c r="I52" s="349"/>
      <c r="J52" s="11" t="s">
        <v>84</v>
      </c>
      <c r="K52" s="10"/>
      <c r="L52" s="275"/>
      <c r="AE52" s="91"/>
      <c r="AF52" s="91"/>
    </row>
    <row r="53" spans="2:32" ht="20.100000000000001" customHeight="1">
      <c r="C53" s="169"/>
      <c r="D53" s="214" t="s">
        <v>625</v>
      </c>
      <c r="E53" s="215" t="s">
        <v>626</v>
      </c>
      <c r="F53" s="214" t="s">
        <v>61</v>
      </c>
      <c r="G53" s="214">
        <f>'Previous years'!G51</f>
        <v>57</v>
      </c>
      <c r="H53" s="332">
        <f>IF(SUM(H48,H51,H52)=0,"",SUM(H48,H51,H52))</f>
        <v>50</v>
      </c>
      <c r="I53" s="351" t="s">
        <v>72</v>
      </c>
      <c r="J53" s="25"/>
      <c r="K53" s="23"/>
      <c r="L53" s="283"/>
      <c r="AE53" s="91"/>
      <c r="AF53" s="91"/>
    </row>
    <row r="54" spans="2:32" ht="20.100000000000001" customHeight="1">
      <c r="C54" s="169"/>
      <c r="D54" s="214" t="s">
        <v>627</v>
      </c>
      <c r="E54" s="215" t="s">
        <v>628</v>
      </c>
      <c r="F54" s="214" t="s">
        <v>61</v>
      </c>
      <c r="G54" s="214" t="str">
        <f>'Previous years'!G52</f>
        <v/>
      </c>
      <c r="H54" s="324"/>
      <c r="I54" s="349"/>
      <c r="J54" s="11" t="s">
        <v>84</v>
      </c>
      <c r="K54" s="10"/>
      <c r="L54" s="275"/>
      <c r="AE54" s="91"/>
      <c r="AF54" s="92"/>
    </row>
    <row r="55" spans="2:32" ht="20.100000000000001" customHeight="1">
      <c r="B55" s="104" t="str">
        <f>E15&amp;" ["&amp;D15&amp;"]"</f>
        <v>Number of consents at each treatment plant [WWA7g]</v>
      </c>
      <c r="C55" s="169"/>
      <c r="D55" s="214" t="s">
        <v>629</v>
      </c>
      <c r="E55" s="215" t="s">
        <v>630</v>
      </c>
      <c r="F55" s="288" t="s">
        <v>176</v>
      </c>
      <c r="G55" s="288" t="str">
        <f>'Previous years'!G53</f>
        <v>NZS4404</v>
      </c>
      <c r="H55" s="324" t="s">
        <v>631</v>
      </c>
      <c r="I55" s="351"/>
      <c r="J55" s="11"/>
      <c r="K55" s="23"/>
      <c r="L55" s="275"/>
      <c r="AE55" s="91"/>
      <c r="AF55" s="92"/>
    </row>
    <row r="56" spans="2:32" ht="20.100000000000001" customHeight="1">
      <c r="B56" s="104" t="str">
        <f>E16&amp;" ["&amp;D16&amp;"]"</f>
        <v>Treatment Plant effluent resource consent expiry date [WWA7h]</v>
      </c>
      <c r="C56" s="169"/>
      <c r="D56" s="214" t="s">
        <v>632</v>
      </c>
      <c r="E56" s="215" t="s">
        <v>633</v>
      </c>
      <c r="F56" s="288" t="s">
        <v>176</v>
      </c>
      <c r="G56" s="456" t="str">
        <f>'Previous years'!G54</f>
        <v/>
      </c>
      <c r="H56" s="324"/>
      <c r="I56" s="351"/>
      <c r="J56" s="11"/>
      <c r="K56" s="23"/>
      <c r="L56" s="275"/>
      <c r="AE56" s="91"/>
      <c r="AF56" s="211"/>
    </row>
    <row r="57" spans="2:32" ht="20.100000000000001" customHeight="1">
      <c r="B57" s="104" t="str">
        <f>E17&amp;" ["&amp;D17&amp;"]"</f>
        <v>Treatment plant effluent consent status [WWA7i]</v>
      </c>
      <c r="C57" s="169"/>
      <c r="D57" s="214" t="s">
        <v>634</v>
      </c>
      <c r="E57" s="215" t="s">
        <v>635</v>
      </c>
      <c r="F57" s="214" t="s">
        <v>291</v>
      </c>
      <c r="G57" s="214" t="str">
        <f>'Previous years'!G55</f>
        <v>Yes</v>
      </c>
      <c r="H57" s="324" t="s">
        <v>292</v>
      </c>
      <c r="I57" s="351"/>
      <c r="J57" s="11" t="s">
        <v>636</v>
      </c>
      <c r="K57" s="23"/>
      <c r="L57" s="275"/>
      <c r="AE57" s="91"/>
      <c r="AF57" s="92"/>
    </row>
    <row r="58" spans="2:32" ht="20.100000000000001" customHeight="1">
      <c r="B58" s="104" t="str">
        <f t="shared" ref="B58:B64" si="1">E19&amp;" ["&amp;D19&amp;"]"</f>
        <v>Treatment Plant sludge production of wet sludge/biosolids [WWA7j-1]</v>
      </c>
      <c r="C58" s="169"/>
      <c r="D58" s="214" t="s">
        <v>637</v>
      </c>
      <c r="E58" s="215" t="s">
        <v>638</v>
      </c>
      <c r="F58" s="214" t="s">
        <v>291</v>
      </c>
      <c r="G58" s="214" t="str">
        <f>'Previous years'!G56</f>
        <v>Yes</v>
      </c>
      <c r="H58" s="333" t="s">
        <v>292</v>
      </c>
      <c r="I58" s="351"/>
      <c r="J58" s="11" t="s">
        <v>636</v>
      </c>
      <c r="K58" s="23"/>
      <c r="L58" s="273"/>
      <c r="AE58" s="91"/>
      <c r="AF58" s="91"/>
    </row>
    <row r="59" spans="2:32" ht="20.100000000000001" customHeight="1">
      <c r="B59" s="104" t="str">
        <f t="shared" si="1"/>
        <v>Percentage of dry solids in wastewater sludge/biosolids [WWA7j-2]</v>
      </c>
      <c r="C59" s="169"/>
      <c r="D59" s="214" t="s">
        <v>639</v>
      </c>
      <c r="E59" s="215" t="s">
        <v>640</v>
      </c>
      <c r="F59" s="214" t="s">
        <v>291</v>
      </c>
      <c r="G59" s="214" t="str">
        <f>'Previous years'!G57</f>
        <v>Yes</v>
      </c>
      <c r="H59" s="334" t="s">
        <v>292</v>
      </c>
      <c r="I59" s="351"/>
      <c r="J59" s="11" t="s">
        <v>636</v>
      </c>
      <c r="K59" s="23"/>
      <c r="L59" s="273"/>
      <c r="AE59" s="91"/>
      <c r="AF59" s="91"/>
    </row>
    <row r="60" spans="2:32" ht="20.100000000000001" customHeight="1">
      <c r="B60" s="104" t="str">
        <f t="shared" si="1"/>
        <v>Disposal of wastewater sludge in year to on site stockpile [WWA7k-1]</v>
      </c>
      <c r="C60" s="172"/>
      <c r="D60" s="216" t="s">
        <v>641</v>
      </c>
      <c r="E60" s="217" t="s">
        <v>642</v>
      </c>
      <c r="F60" s="216" t="s">
        <v>291</v>
      </c>
      <c r="G60" s="216" t="str">
        <f>'Previous years'!G58</f>
        <v>No</v>
      </c>
      <c r="H60" s="329" t="s">
        <v>328</v>
      </c>
      <c r="I60" s="352"/>
      <c r="J60" s="265" t="s">
        <v>636</v>
      </c>
      <c r="K60" s="122"/>
      <c r="L60" s="281"/>
      <c r="AE60" s="244"/>
      <c r="AF60" s="244"/>
    </row>
    <row r="61" spans="2:32" ht="20.100000000000001" customHeight="1">
      <c r="B61" s="104" t="str">
        <f t="shared" si="1"/>
        <v>Disposal of wastewater sludge in year to landfill [WWA7k-2]</v>
      </c>
      <c r="C61" s="169" t="s">
        <v>643</v>
      </c>
      <c r="D61" s="214" t="s">
        <v>644</v>
      </c>
      <c r="E61" s="215" t="s">
        <v>645</v>
      </c>
      <c r="F61" s="214" t="s">
        <v>61</v>
      </c>
      <c r="G61" s="482">
        <f>'Previous years'!G59</f>
        <v>2</v>
      </c>
      <c r="H61" s="9">
        <v>2</v>
      </c>
      <c r="I61" s="349"/>
      <c r="J61" s="11" t="s">
        <v>531</v>
      </c>
      <c r="K61" s="12" t="s">
        <v>646</v>
      </c>
      <c r="L61" s="273"/>
      <c r="AE61" s="91"/>
      <c r="AF61" s="91"/>
    </row>
    <row r="62" spans="2:32" ht="20.100000000000001" customHeight="1">
      <c r="B62" s="104" t="str">
        <f t="shared" si="1"/>
        <v>Disposal of wastewater sludge in year to composting and reuse [WWA7k-3]</v>
      </c>
      <c r="C62" s="169"/>
      <c r="D62" s="214" t="s">
        <v>647</v>
      </c>
      <c r="E62" s="215" t="s">
        <v>648</v>
      </c>
      <c r="F62" s="214" t="s">
        <v>61</v>
      </c>
      <c r="G62" s="484">
        <f>'Previous years'!G60</f>
        <v>1</v>
      </c>
      <c r="H62" s="11">
        <v>0</v>
      </c>
      <c r="I62" s="349"/>
      <c r="J62" s="11" t="s">
        <v>531</v>
      </c>
      <c r="K62" s="12" t="s">
        <v>646</v>
      </c>
      <c r="L62" s="273"/>
      <c r="AE62" s="91"/>
      <c r="AF62" s="91"/>
    </row>
    <row r="63" spans="2:32" ht="20.100000000000001" customHeight="1">
      <c r="B63" s="104" t="str">
        <f t="shared" si="1"/>
        <v>Disposal of wastewater sludge in year to other routes [WWA7k-4]</v>
      </c>
      <c r="C63" s="169"/>
      <c r="D63" s="214" t="s">
        <v>649</v>
      </c>
      <c r="E63" s="215" t="s">
        <v>650</v>
      </c>
      <c r="F63" s="214" t="s">
        <v>61</v>
      </c>
      <c r="G63" s="484">
        <f>'Previous years'!G61</f>
        <v>0</v>
      </c>
      <c r="H63" s="11">
        <v>0</v>
      </c>
      <c r="I63" s="349"/>
      <c r="J63" s="11" t="s">
        <v>531</v>
      </c>
      <c r="K63" s="12" t="s">
        <v>646</v>
      </c>
      <c r="L63" s="273"/>
      <c r="AE63" s="91"/>
      <c r="AF63" s="91"/>
    </row>
    <row r="64" spans="2:32" ht="20.100000000000001" customHeight="1">
      <c r="B64" s="104" t="str">
        <f t="shared" si="1"/>
        <v>Last year desludged [WWA7k-5]</v>
      </c>
      <c r="C64" s="169"/>
      <c r="D64" s="214" t="s">
        <v>651</v>
      </c>
      <c r="E64" s="215" t="s">
        <v>652</v>
      </c>
      <c r="F64" s="214" t="s">
        <v>61</v>
      </c>
      <c r="G64" s="484">
        <f>'Previous years'!G62</f>
        <v>0</v>
      </c>
      <c r="H64" s="11">
        <v>0</v>
      </c>
      <c r="I64" s="349"/>
      <c r="J64" s="11" t="s">
        <v>531</v>
      </c>
      <c r="K64" s="12" t="s">
        <v>646</v>
      </c>
      <c r="L64" s="273"/>
      <c r="AE64" s="91"/>
      <c r="AF64" s="91"/>
    </row>
    <row r="65" spans="2:32" ht="20.100000000000001" customHeight="1">
      <c r="B65" s="104" t="e">
        <f>#REF!&amp;" ["&amp;#REF!&amp;"]"</f>
        <v>#REF!</v>
      </c>
      <c r="C65" s="169"/>
      <c r="D65" s="214" t="s">
        <v>653</v>
      </c>
      <c r="E65" s="215" t="s">
        <v>654</v>
      </c>
      <c r="F65" s="214" t="s">
        <v>61</v>
      </c>
      <c r="G65" s="484">
        <f>'Previous years'!G63</f>
        <v>5</v>
      </c>
      <c r="H65" s="11">
        <v>6</v>
      </c>
      <c r="I65" s="349"/>
      <c r="J65" s="11" t="s">
        <v>531</v>
      </c>
      <c r="K65" s="12" t="s">
        <v>646</v>
      </c>
      <c r="L65" s="273" t="s">
        <v>655</v>
      </c>
      <c r="AE65" s="245"/>
      <c r="AF65" s="245"/>
    </row>
    <row r="66" spans="2:32" ht="20.100000000000001" customHeight="1">
      <c r="B66" s="104" t="str">
        <f>E26&amp;" ["&amp;D26&amp;"]"</f>
        <v>Treatment plant peak wet to average dry weather flow ratio [WWA7m]</v>
      </c>
      <c r="C66" s="169"/>
      <c r="D66" s="214" t="s">
        <v>656</v>
      </c>
      <c r="E66" s="215" t="s">
        <v>657</v>
      </c>
      <c r="F66" s="214" t="s">
        <v>61</v>
      </c>
      <c r="G66" s="484">
        <f>'Previous years'!G64</f>
        <v>0</v>
      </c>
      <c r="H66" s="11">
        <v>0</v>
      </c>
      <c r="I66" s="349"/>
      <c r="J66" s="11" t="s">
        <v>531</v>
      </c>
      <c r="K66" s="12" t="s">
        <v>646</v>
      </c>
      <c r="L66" s="273"/>
      <c r="AE66" s="245"/>
      <c r="AF66" s="245"/>
    </row>
    <row r="67" spans="2:32" ht="20.100000000000001" customHeight="1">
      <c r="B67" s="104" t="str">
        <f>E48&amp;" ["&amp;D48&amp;"]"</f>
        <v>Dry Weather Wastewater Overflows [WWE1]</v>
      </c>
      <c r="C67" s="169"/>
      <c r="D67" s="214" t="s">
        <v>658</v>
      </c>
      <c r="E67" s="215" t="s">
        <v>659</v>
      </c>
      <c r="F67" s="214" t="s">
        <v>61</v>
      </c>
      <c r="G67" s="484">
        <f>'Previous years'!G65</f>
        <v>0</v>
      </c>
      <c r="H67" s="11">
        <v>0</v>
      </c>
      <c r="I67" s="349"/>
      <c r="J67" t="s">
        <v>531</v>
      </c>
      <c r="K67" s="12" t="s">
        <v>646</v>
      </c>
      <c r="L67" s="273"/>
      <c r="AE67" s="245"/>
      <c r="AF67" s="245"/>
    </row>
    <row r="68" spans="2:32" ht="20.100000000000001" customHeight="1">
      <c r="B68" s="104" t="str">
        <f>E49&amp;" ["&amp;D49&amp;"]"</f>
        <v>Overflows caused by blockages [WWE1a]</v>
      </c>
      <c r="C68" s="172"/>
      <c r="D68" s="216" t="s">
        <v>660</v>
      </c>
      <c r="E68" s="217" t="s">
        <v>661</v>
      </c>
      <c r="F68" s="216" t="s">
        <v>61</v>
      </c>
      <c r="G68" s="485">
        <f>'Previous years'!G66</f>
        <v>0</v>
      </c>
      <c r="H68" s="265">
        <v>0</v>
      </c>
      <c r="I68" s="350"/>
      <c r="J68" s="265" t="s">
        <v>531</v>
      </c>
      <c r="K68" s="277" t="s">
        <v>646</v>
      </c>
      <c r="L68" s="277"/>
      <c r="AE68" s="242"/>
      <c r="AF68" s="242"/>
    </row>
    <row r="69" spans="2:32" ht="20.100000000000001" customHeight="1">
      <c r="B69" s="104" t="str">
        <f>E50&amp;" ["&amp;D50&amp;"]"</f>
        <v>Overflows caused by plant failures [WWE1b]</v>
      </c>
      <c r="C69" s="169" t="s">
        <v>662</v>
      </c>
      <c r="D69" s="472" t="s">
        <v>663</v>
      </c>
      <c r="E69" s="473" t="s">
        <v>664</v>
      </c>
      <c r="F69" s="472" t="s">
        <v>340</v>
      </c>
      <c r="G69" s="482" t="str">
        <f>'Previous years'!G67</f>
        <v/>
      </c>
      <c r="H69" s="9"/>
      <c r="I69" s="348"/>
      <c r="J69" s="9" t="e">
        <v>#N/A</v>
      </c>
      <c r="K69" s="10"/>
      <c r="L69" s="275"/>
      <c r="AE69" s="92"/>
      <c r="AF69" s="92"/>
    </row>
    <row r="70" spans="2:32" ht="20.100000000000001" customHeight="1">
      <c r="B70" s="104" t="str">
        <f>E51&amp;" ["&amp;D51&amp;"]"</f>
        <v>Wet weather overflows from the wastewater network [WWE2a]</v>
      </c>
      <c r="C70" s="169"/>
      <c r="D70" s="472" t="s">
        <v>665</v>
      </c>
      <c r="E70" s="473" t="s">
        <v>666</v>
      </c>
      <c r="F70" s="472" t="s">
        <v>345</v>
      </c>
      <c r="G70" s="481" t="str">
        <f>'Previous years'!G68</f>
        <v/>
      </c>
      <c r="H70" s="11"/>
      <c r="I70" s="349"/>
      <c r="J70" s="11" t="e">
        <v>#N/A</v>
      </c>
      <c r="K70" s="12"/>
      <c r="L70" s="273"/>
      <c r="AE70" s="91"/>
      <c r="AF70" s="91"/>
    </row>
    <row r="71" spans="2:32" ht="20.100000000000001" customHeight="1">
      <c r="B71" s="104" t="str">
        <f>E52&amp;" ["&amp;D52&amp;"]"</f>
        <v>Wet weather overflows from combined stormwater and wastewater networks [WWE2b]</v>
      </c>
      <c r="C71" s="172"/>
      <c r="D71" s="216" t="s">
        <v>667</v>
      </c>
      <c r="E71" s="217" t="s">
        <v>668</v>
      </c>
      <c r="F71" s="216" t="s">
        <v>345</v>
      </c>
      <c r="G71" s="483" t="str">
        <f>'Previous years'!G69</f>
        <v/>
      </c>
      <c r="H71" s="268"/>
      <c r="I71" s="354"/>
      <c r="J71" s="265">
        <v>0</v>
      </c>
      <c r="K71" s="260"/>
      <c r="L71" s="281"/>
      <c r="AE71" s="244"/>
      <c r="AF71" s="244"/>
    </row>
    <row r="72" spans="2:32" ht="20.100000000000001" customHeight="1">
      <c r="B72" s="104" t="str">
        <f>E72&amp;" ["&amp;D72&amp;"]"</f>
        <v>Has a climate change risk assesment been undertaken for wastewater networks [WWCC1]</v>
      </c>
      <c r="C72" s="169" t="s">
        <v>353</v>
      </c>
      <c r="D72" s="472" t="s">
        <v>669</v>
      </c>
      <c r="E72" s="473" t="s">
        <v>670</v>
      </c>
      <c r="F72" s="472" t="s">
        <v>291</v>
      </c>
      <c r="G72" s="214"/>
      <c r="H72" s="324" t="s">
        <v>671</v>
      </c>
      <c r="I72" s="346"/>
      <c r="J72" s="9" t="e">
        <v>#N/A</v>
      </c>
      <c r="K72" s="23"/>
      <c r="L72" s="275"/>
      <c r="AE72" s="92"/>
      <c r="AF72" s="92"/>
    </row>
    <row r="73" spans="2:32" ht="20.100000000000001" customHeight="1">
      <c r="B73" s="104" t="str">
        <f>E73&amp;" ["&amp;D73&amp;"]"</f>
        <v>Is there a climate change adapataion plan in place for wastewater networks [WWCC2]</v>
      </c>
      <c r="C73" s="169"/>
      <c r="D73" s="472" t="s">
        <v>672</v>
      </c>
      <c r="E73" s="473" t="s">
        <v>673</v>
      </c>
      <c r="F73" s="472" t="s">
        <v>291</v>
      </c>
      <c r="G73" s="214"/>
      <c r="H73" s="322" t="s">
        <v>328</v>
      </c>
      <c r="I73" s="351"/>
      <c r="J73" s="11" t="e">
        <v>#N/A</v>
      </c>
      <c r="K73" s="24"/>
      <c r="L73" s="273"/>
      <c r="AE73" s="91"/>
      <c r="AF73" s="91"/>
    </row>
    <row r="74" spans="2:32" ht="20.100000000000001" customHeight="1">
      <c r="B74" s="104" t="str">
        <f>E74&amp;" ["&amp;D74&amp;"]"</f>
        <v>Has an emissions baseline been set for forecast wastewater investments [WWCC3]</v>
      </c>
      <c r="C74" s="172"/>
      <c r="D74" s="474" t="s">
        <v>674</v>
      </c>
      <c r="E74" s="475" t="s">
        <v>675</v>
      </c>
      <c r="F74" s="474" t="s">
        <v>291</v>
      </c>
      <c r="G74" s="216"/>
      <c r="H74" s="325" t="s">
        <v>328</v>
      </c>
      <c r="I74" s="352"/>
      <c r="J74" s="265" t="e">
        <v>#N/A</v>
      </c>
      <c r="K74" s="261"/>
      <c r="L74" s="277"/>
      <c r="AE74" s="242"/>
      <c r="AF74" s="242"/>
    </row>
    <row r="75" spans="2:32" ht="20.100000000000001" customHeight="1">
      <c r="B75"/>
      <c r="C75" s="173" t="s">
        <v>349</v>
      </c>
      <c r="D75" s="476" t="s">
        <v>676</v>
      </c>
      <c r="E75" s="477" t="s">
        <v>677</v>
      </c>
      <c r="F75" s="476" t="s">
        <v>291</v>
      </c>
      <c r="G75" s="285"/>
      <c r="H75" s="336" t="s">
        <v>292</v>
      </c>
      <c r="I75" s="356"/>
      <c r="J75" s="267" t="e">
        <v>#N/A</v>
      </c>
      <c r="K75" s="287"/>
      <c r="L75" s="280"/>
      <c r="AE75" s="243"/>
      <c r="AF75" s="243"/>
    </row>
    <row r="76" spans="2:32" ht="20.100000000000001" customHeight="1">
      <c r="B76"/>
      <c r="C76" s="169" t="s">
        <v>678</v>
      </c>
      <c r="D76" s="214" t="s">
        <v>679</v>
      </c>
      <c r="E76" s="215" t="s">
        <v>680</v>
      </c>
      <c r="F76" s="214" t="s">
        <v>291</v>
      </c>
      <c r="G76" s="214" t="str">
        <f>'Previous years'!G74</f>
        <v>Yes</v>
      </c>
      <c r="H76" s="324" t="s">
        <v>292</v>
      </c>
      <c r="I76" s="346"/>
      <c r="J76" s="9" t="s">
        <v>531</v>
      </c>
      <c r="K76" s="23"/>
      <c r="L76" s="275"/>
      <c r="AE76" s="92"/>
      <c r="AF76" s="92"/>
    </row>
    <row r="77" spans="2:32" ht="20.100000000000001" customHeight="1">
      <c r="B77"/>
      <c r="C77" s="169"/>
      <c r="D77" s="214" t="s">
        <v>681</v>
      </c>
      <c r="E77" s="215" t="s">
        <v>682</v>
      </c>
      <c r="F77" s="214" t="s">
        <v>61</v>
      </c>
      <c r="G77" s="214">
        <f>'Previous years'!G75</f>
        <v>0</v>
      </c>
      <c r="H77" s="322">
        <v>88</v>
      </c>
      <c r="I77" s="349"/>
      <c r="J77" s="11" t="s">
        <v>531</v>
      </c>
      <c r="K77" s="12" t="s">
        <v>420</v>
      </c>
      <c r="L77" s="273"/>
      <c r="AE77" s="91"/>
      <c r="AF77" s="91"/>
    </row>
    <row r="78" spans="2:32" ht="20.100000000000001" customHeight="1">
      <c r="B78"/>
      <c r="C78" s="169"/>
      <c r="D78" s="214" t="s">
        <v>683</v>
      </c>
      <c r="E78" s="215" t="s">
        <v>684</v>
      </c>
      <c r="F78" s="214" t="s">
        <v>61</v>
      </c>
      <c r="G78" s="214">
        <f>'Previous years'!G76</f>
        <v>0</v>
      </c>
      <c r="H78" s="322">
        <v>0</v>
      </c>
      <c r="I78" s="349"/>
      <c r="J78" s="11" t="s">
        <v>531</v>
      </c>
      <c r="K78" s="12" t="s">
        <v>420</v>
      </c>
      <c r="L78" s="273"/>
      <c r="AE78" s="91"/>
      <c r="AF78" s="91"/>
    </row>
    <row r="79" spans="2:32" ht="20.100000000000001" customHeight="1">
      <c r="B79"/>
      <c r="C79" s="172"/>
      <c r="D79" s="216" t="s">
        <v>685</v>
      </c>
      <c r="E79" s="217" t="s">
        <v>686</v>
      </c>
      <c r="F79" s="216" t="s">
        <v>687</v>
      </c>
      <c r="G79" s="216">
        <f>'Previous years'!G77</f>
        <v>0</v>
      </c>
      <c r="H79" s="325">
        <v>0</v>
      </c>
      <c r="I79" s="350"/>
      <c r="J79" s="265" t="s">
        <v>531</v>
      </c>
      <c r="K79" s="12" t="s">
        <v>420</v>
      </c>
      <c r="L79" s="277"/>
      <c r="AE79" s="242"/>
      <c r="AF79" s="242"/>
    </row>
    <row r="80" spans="2:32" ht="20.100000000000001" customHeight="1">
      <c r="B80" s="104" t="str">
        <f t="shared" ref="B80:B90" si="2">E56&amp;" ["&amp;D56&amp;"]"</f>
        <v>Sewage containment of the existing network [WWE8]</v>
      </c>
      <c r="C80" s="169" t="s">
        <v>378</v>
      </c>
      <c r="D80" s="214" t="s">
        <v>688</v>
      </c>
      <c r="E80" s="215" t="s">
        <v>689</v>
      </c>
      <c r="F80" s="214" t="s">
        <v>381</v>
      </c>
      <c r="G80" s="451">
        <f>'Previous years'!G78</f>
        <v>664</v>
      </c>
      <c r="H80" s="721">
        <f>'Median rates'!F31</f>
        <v>694</v>
      </c>
      <c r="I80" s="346"/>
      <c r="J80" s="9" t="s">
        <v>382</v>
      </c>
      <c r="K80" s="9" t="s">
        <v>383</v>
      </c>
      <c r="L80" s="278"/>
      <c r="AE80" s="91"/>
      <c r="AF80" s="211"/>
    </row>
    <row r="81" spans="2:32" ht="20.100000000000001" customHeight="1">
      <c r="B81" s="104" t="str">
        <f t="shared" si="2"/>
        <v>Overflows recorded through verbal reports [WWE9a]</v>
      </c>
      <c r="C81" s="169"/>
      <c r="D81" s="214" t="s">
        <v>690</v>
      </c>
      <c r="E81" s="215" t="s">
        <v>691</v>
      </c>
      <c r="F81" s="214" t="s">
        <v>176</v>
      </c>
      <c r="G81" s="214" t="str">
        <f>'Previous years'!G79</f>
        <v>Targeted Rate</v>
      </c>
      <c r="H81" s="335" t="s">
        <v>386</v>
      </c>
      <c r="I81" s="351"/>
      <c r="J81" s="11" t="s">
        <v>382</v>
      </c>
      <c r="K81" s="24"/>
      <c r="L81" s="273"/>
      <c r="AE81" s="91"/>
      <c r="AF81" s="91"/>
    </row>
    <row r="82" spans="2:32" ht="20.100000000000001" customHeight="1">
      <c r="B82" s="104" t="str">
        <f t="shared" si="2"/>
        <v>Overflows recorded through SCADA monitoring [WWE9b]</v>
      </c>
      <c r="C82" s="169"/>
      <c r="D82" s="214" t="s">
        <v>692</v>
      </c>
      <c r="E82" s="215" t="s">
        <v>693</v>
      </c>
      <c r="F82" s="214" t="s">
        <v>389</v>
      </c>
      <c r="G82" s="451" t="str">
        <f>'Previous years'!G80</f>
        <v/>
      </c>
      <c r="H82" s="339"/>
      <c r="I82" s="351"/>
      <c r="J82" s="11" t="s">
        <v>341</v>
      </c>
      <c r="K82" s="12"/>
      <c r="L82" s="273"/>
      <c r="AE82" s="91"/>
      <c r="AF82" s="91"/>
    </row>
    <row r="83" spans="2:32" ht="20.100000000000001" customHeight="1">
      <c r="B83" s="104" t="str">
        <f t="shared" si="2"/>
        <v>Overflows calculated through hydraulic models [WWE9c]</v>
      </c>
      <c r="C83" s="169"/>
      <c r="D83" s="214" t="s">
        <v>694</v>
      </c>
      <c r="E83" s="215" t="s">
        <v>695</v>
      </c>
      <c r="F83" s="214" t="s">
        <v>291</v>
      </c>
      <c r="G83" s="220" t="str">
        <f>'Previous years'!G81</f>
        <v/>
      </c>
      <c r="H83" s="337"/>
      <c r="I83" s="351"/>
      <c r="J83" s="11" t="s">
        <v>341</v>
      </c>
      <c r="K83" s="24"/>
      <c r="L83" s="273"/>
      <c r="AE83" s="91"/>
      <c r="AF83" s="91"/>
    </row>
    <row r="84" spans="2:32" ht="20.100000000000001" customHeight="1">
      <c r="B84" s="104" t="str">
        <f t="shared" si="2"/>
        <v>Overflows calculated through calibrated hydraulic models [WWE9d]</v>
      </c>
      <c r="C84" s="169"/>
      <c r="D84" s="214" t="s">
        <v>696</v>
      </c>
      <c r="E84" s="215" t="s">
        <v>697</v>
      </c>
      <c r="F84" s="214" t="s">
        <v>381</v>
      </c>
      <c r="G84" s="451">
        <f>'Previous years'!G82</f>
        <v>664</v>
      </c>
      <c r="H84" s="757">
        <f>'Median rates'!F68</f>
        <v>694</v>
      </c>
      <c r="I84" s="351"/>
      <c r="J84" s="11" t="s">
        <v>382</v>
      </c>
      <c r="K84" s="9" t="s">
        <v>383</v>
      </c>
      <c r="L84" s="273"/>
      <c r="AE84" s="91"/>
      <c r="AF84" s="91"/>
    </row>
    <row r="85" spans="2:32" ht="20.100000000000001" customHeight="1">
      <c r="B85" s="104" t="str">
        <f t="shared" si="2"/>
        <v>Wastewater consent abatement notices [WWE4a]</v>
      </c>
      <c r="C85" s="169"/>
      <c r="D85" s="214" t="s">
        <v>698</v>
      </c>
      <c r="E85" s="215" t="s">
        <v>699</v>
      </c>
      <c r="F85" s="214" t="s">
        <v>176</v>
      </c>
      <c r="G85" s="214" t="str">
        <f>'Previous years'!G83</f>
        <v>Targeted Rate</v>
      </c>
      <c r="H85" s="335" t="s">
        <v>386</v>
      </c>
      <c r="I85" s="351"/>
      <c r="J85" s="11" t="s">
        <v>382</v>
      </c>
      <c r="K85" s="24"/>
      <c r="L85" s="273"/>
      <c r="AE85" s="91"/>
      <c r="AF85" s="91"/>
    </row>
    <row r="86" spans="2:32" ht="20.100000000000001" customHeight="1">
      <c r="B86" s="104" t="str">
        <f t="shared" si="2"/>
        <v>Wastewater consent infringement notices [WWE4b]</v>
      </c>
      <c r="C86" s="169"/>
      <c r="D86" s="214" t="s">
        <v>700</v>
      </c>
      <c r="E86" s="215" t="s">
        <v>701</v>
      </c>
      <c r="F86" s="214" t="s">
        <v>389</v>
      </c>
      <c r="G86" s="451" t="str">
        <f>'Previous years'!G84</f>
        <v/>
      </c>
      <c r="H86" s="339"/>
      <c r="I86" s="351"/>
      <c r="J86" s="11" t="s">
        <v>341</v>
      </c>
      <c r="K86" s="12"/>
      <c r="L86" s="273"/>
      <c r="AE86" s="91"/>
      <c r="AF86" s="91"/>
    </row>
    <row r="87" spans="2:32" ht="20.100000000000001" customHeight="1">
      <c r="B87" s="104" t="str">
        <f t="shared" si="2"/>
        <v>Wastewater consent enforcement orders [WWE4c]</v>
      </c>
      <c r="C87" s="172"/>
      <c r="D87" s="216" t="s">
        <v>702</v>
      </c>
      <c r="E87" s="217" t="s">
        <v>703</v>
      </c>
      <c r="F87" s="216" t="s">
        <v>398</v>
      </c>
      <c r="G87" s="452">
        <f>'Previous years'!G85</f>
        <v>664</v>
      </c>
      <c r="H87" s="342">
        <f>IF((H84+(H86*200))=0,"",H84+(H86*200))</f>
        <v>694</v>
      </c>
      <c r="I87" s="352" t="s">
        <v>72</v>
      </c>
      <c r="J87" s="269"/>
      <c r="K87" s="261"/>
      <c r="L87" s="274"/>
      <c r="AE87" s="242"/>
      <c r="AF87" s="242"/>
    </row>
    <row r="88" spans="2:32" ht="20.100000000000001" customHeight="1">
      <c r="B88" s="104" t="str">
        <f t="shared" si="2"/>
        <v>Wastewater consent successful prosecutions [WWE4d]</v>
      </c>
      <c r="C88" s="169" t="s">
        <v>361</v>
      </c>
      <c r="D88" s="214" t="s">
        <v>704</v>
      </c>
      <c r="E88" s="215" t="s">
        <v>705</v>
      </c>
      <c r="F88" s="214" t="s">
        <v>61</v>
      </c>
      <c r="G88" s="214">
        <f>'Previous years'!G86</f>
        <v>204</v>
      </c>
      <c r="H88" s="332">
        <f>IF(NOT(COUNTA(Wastewater!H89:H92)),"",SUM(Wastewater!H89:H92))</f>
        <v>171</v>
      </c>
      <c r="I88" s="346" t="s">
        <v>72</v>
      </c>
      <c r="J88" s="28"/>
      <c r="K88" s="23"/>
      <c r="L88" s="283"/>
      <c r="AE88" s="92"/>
      <c r="AF88" s="92"/>
    </row>
    <row r="89" spans="2:32" ht="20.100000000000001" customHeight="1">
      <c r="B89" s="104" t="str">
        <f t="shared" si="2"/>
        <v>Wastewater treatment plant consent non-conformance [WWE4e]</v>
      </c>
      <c r="C89" s="169"/>
      <c r="D89" s="214" t="s">
        <v>706</v>
      </c>
      <c r="E89" s="215" t="s">
        <v>707</v>
      </c>
      <c r="F89" s="214" t="s">
        <v>61</v>
      </c>
      <c r="G89" s="214">
        <f>'Previous years'!G87</f>
        <v>46</v>
      </c>
      <c r="H89" s="322">
        <v>40</v>
      </c>
      <c r="I89" s="349" t="s">
        <v>150</v>
      </c>
      <c r="J89" s="11" t="s">
        <v>84</v>
      </c>
      <c r="K89" s="12"/>
      <c r="L89" s="273"/>
      <c r="AE89" s="91"/>
      <c r="AF89" s="91"/>
    </row>
    <row r="90" spans="2:32" ht="20.100000000000001" customHeight="1">
      <c r="B90" s="104" t="str">
        <f t="shared" si="2"/>
        <v>Wastewater network discharge non-conformance [WWE4f]</v>
      </c>
      <c r="C90" s="169"/>
      <c r="D90" s="214" t="s">
        <v>708</v>
      </c>
      <c r="E90" s="215" t="s">
        <v>709</v>
      </c>
      <c r="F90" s="214" t="s">
        <v>61</v>
      </c>
      <c r="G90" s="214">
        <f>'Previous years'!G88</f>
        <v>101</v>
      </c>
      <c r="H90" s="491">
        <v>89</v>
      </c>
      <c r="I90" s="349" t="s">
        <v>150</v>
      </c>
      <c r="J90" s="11" t="s">
        <v>84</v>
      </c>
      <c r="K90" s="12"/>
      <c r="L90" s="273"/>
      <c r="AE90" s="91"/>
      <c r="AF90" s="91"/>
    </row>
    <row r="91" spans="2:32" ht="20.100000000000001" customHeight="1">
      <c r="B91" s="104" t="str">
        <f>E18&amp;" ["&amp;D18&amp;"]"</f>
        <v>Wet weather overflow regulation approach [WWE4g]</v>
      </c>
      <c r="C91" s="169"/>
      <c r="D91" s="214" t="s">
        <v>710</v>
      </c>
      <c r="E91" s="215" t="s">
        <v>711</v>
      </c>
      <c r="F91" s="214" t="s">
        <v>61</v>
      </c>
      <c r="G91" s="214">
        <f>'Previous years'!G89</f>
        <v>57</v>
      </c>
      <c r="H91" s="492">
        <v>42</v>
      </c>
      <c r="I91" s="349" t="s">
        <v>150</v>
      </c>
      <c r="J91" s="209" t="s">
        <v>84</v>
      </c>
      <c r="K91" s="91"/>
      <c r="L91" s="409"/>
      <c r="AE91" s="91"/>
      <c r="AF91" s="91"/>
    </row>
    <row r="92" spans="2:32" ht="20.100000000000001" customHeight="1">
      <c r="B92" s="104" t="str">
        <f>E67&amp;" ["&amp;D67&amp;"]"</f>
        <v>Wastewater consent letter of direction [WWE4h]</v>
      </c>
      <c r="C92" s="169"/>
      <c r="D92" s="214" t="s">
        <v>712</v>
      </c>
      <c r="E92" s="215" t="s">
        <v>713</v>
      </c>
      <c r="F92" s="214" t="s">
        <v>61</v>
      </c>
      <c r="G92" s="214">
        <f>'Previous years'!G90</f>
        <v>0</v>
      </c>
      <c r="H92" s="322">
        <v>0</v>
      </c>
      <c r="I92" s="349"/>
      <c r="J92" s="11" t="s">
        <v>84</v>
      </c>
      <c r="K92" s="12"/>
      <c r="L92" s="273"/>
      <c r="AE92" s="91"/>
      <c r="AF92" s="91"/>
    </row>
    <row r="93" spans="2:32" ht="20.100000000000001" customHeight="1">
      <c r="B93" s="104" t="str">
        <f>E68&amp;" ["&amp;D68&amp;"]"</f>
        <v>Wastewater consent formal warming [WWE4i]</v>
      </c>
      <c r="C93" s="172"/>
      <c r="D93" s="216" t="s">
        <v>714</v>
      </c>
      <c r="E93" s="217" t="s">
        <v>715</v>
      </c>
      <c r="F93" s="216" t="s">
        <v>260</v>
      </c>
      <c r="G93" s="470">
        <f>'Previous years'!G91</f>
        <v>7.5082811924917188</v>
      </c>
      <c r="H93" s="471">
        <f>IFERROR(H88/H36*1000,"")</f>
        <v>5.9940059940059944</v>
      </c>
      <c r="I93" s="352" t="s">
        <v>72</v>
      </c>
      <c r="J93" s="269"/>
      <c r="K93" s="261"/>
      <c r="L93" s="274"/>
      <c r="AE93" s="242"/>
      <c r="AF93" s="242"/>
    </row>
    <row r="94" spans="2:32" ht="20.100000000000001" customHeight="1">
      <c r="B94" s="104" t="e">
        <f>#REF!&amp;" ["&amp;#REF!&amp;"]"</f>
        <v>#REF!</v>
      </c>
      <c r="C94" s="169" t="s">
        <v>399</v>
      </c>
      <c r="D94" s="214" t="s">
        <v>716</v>
      </c>
      <c r="E94" s="215" t="s">
        <v>717</v>
      </c>
      <c r="F94" s="214" t="s">
        <v>381</v>
      </c>
      <c r="G94" s="449">
        <f>'Previous years'!G92</f>
        <v>0</v>
      </c>
      <c r="H94" s="343"/>
      <c r="I94" s="348"/>
      <c r="J94" s="9" t="s">
        <v>341</v>
      </c>
      <c r="K94" s="10"/>
      <c r="L94" s="275"/>
      <c r="AE94" s="92"/>
      <c r="AF94" s="92"/>
    </row>
    <row r="95" spans="2:32" ht="20.100000000000001" customHeight="1">
      <c r="B95" s="104" t="str">
        <f>E80&amp;" ["&amp;D80&amp;"]"</f>
        <v>Fixed Charge: Non residential wastewater [WWS1a]</v>
      </c>
      <c r="C95" s="169"/>
      <c r="D95" s="214" t="s">
        <v>718</v>
      </c>
      <c r="E95" s="215" t="s">
        <v>719</v>
      </c>
      <c r="F95" s="214" t="s">
        <v>381</v>
      </c>
      <c r="G95" s="449">
        <f>'Previous years'!G93</f>
        <v>13703952.459999999</v>
      </c>
      <c r="H95" s="339" cm="1">
        <f t="array" ref="H95">SUM(SUMIF('WW P_L'!$B$11:$B$38,{"1102","1699","1999"},'WW P_L'!$I$11:$I$38))</f>
        <v>14846710.66</v>
      </c>
      <c r="I95" s="349"/>
      <c r="J95" s="11" t="s">
        <v>382</v>
      </c>
      <c r="K95" s="12" t="s">
        <v>720</v>
      </c>
      <c r="L95" s="273"/>
      <c r="AE95" s="91"/>
      <c r="AF95" s="91"/>
    </row>
    <row r="96" spans="2:32" ht="20.100000000000001" customHeight="1">
      <c r="B96" s="104" t="str">
        <f>E81&amp;" ["&amp;D81&amp;"]"</f>
        <v>Fixed  Charge Type: Non residential wastewater [WWS1b]</v>
      </c>
      <c r="C96" s="169"/>
      <c r="D96" s="214" t="s">
        <v>721</v>
      </c>
      <c r="E96" s="215" t="s">
        <v>722</v>
      </c>
      <c r="F96" s="214" t="s">
        <v>381</v>
      </c>
      <c r="G96" s="449">
        <f>'Previous years'!G94</f>
        <v>4620066.58</v>
      </c>
      <c r="H96" s="339">
        <f>SUMIF('WW P_L'!$B$11:$B$38,1501,'WW P_L'!$I$11:$I$38)</f>
        <v>4678713.71</v>
      </c>
      <c r="I96" s="349"/>
      <c r="J96" s="11" t="s">
        <v>382</v>
      </c>
      <c r="K96" s="12" t="s">
        <v>720</v>
      </c>
      <c r="L96" s="273"/>
      <c r="AE96" s="91"/>
      <c r="AF96" s="91"/>
    </row>
    <row r="97" spans="2:32" ht="20.100000000000001" customHeight="1">
      <c r="B97" s="104" t="str">
        <f>E82&amp;" ["&amp;D82&amp;"]"</f>
        <v>Volumetric Charge: Non residential wastewater [WWS1c]</v>
      </c>
      <c r="C97" s="169"/>
      <c r="D97" s="214" t="s">
        <v>723</v>
      </c>
      <c r="E97" s="215" t="s">
        <v>724</v>
      </c>
      <c r="F97" s="214" t="s">
        <v>381</v>
      </c>
      <c r="G97" s="449">
        <f>'Previous years'!G95</f>
        <v>18324019.039999999</v>
      </c>
      <c r="H97" s="338">
        <f>IF(SUM(H94:H96)=0,"",SUM(H94:H96))</f>
        <v>19525424.370000001</v>
      </c>
      <c r="I97" s="351" t="s">
        <v>72</v>
      </c>
      <c r="J97" s="25"/>
      <c r="K97" s="24"/>
      <c r="L97" s="272"/>
      <c r="AE97" s="91"/>
      <c r="AF97" s="91"/>
    </row>
    <row r="98" spans="2:32" ht="20.100000000000001" customHeight="1">
      <c r="B98" s="104" t="str">
        <f>E83&amp;" ["&amp;D83&amp;"]"</f>
        <v>Contaminant Based Charging [WWS1d]</v>
      </c>
      <c r="C98" s="169"/>
      <c r="D98" s="214" t="s">
        <v>725</v>
      </c>
      <c r="E98" s="215" t="s">
        <v>726</v>
      </c>
      <c r="F98" s="214" t="s">
        <v>412</v>
      </c>
      <c r="G98" s="449">
        <f>'Previous years'!G96</f>
        <v>674.42101729849094</v>
      </c>
      <c r="H98" s="338">
        <f>IFERROR(H97/H36,"")</f>
        <v>684.41819128240184</v>
      </c>
      <c r="I98" s="351" t="s">
        <v>72</v>
      </c>
      <c r="J98" s="25"/>
      <c r="K98" s="24"/>
      <c r="L98" s="272"/>
      <c r="AE98" s="91"/>
      <c r="AF98" s="91"/>
    </row>
    <row r="99" spans="2:32" ht="20.100000000000001" customHeight="1">
      <c r="B99" s="104" t="str">
        <f>E84&amp;" ["&amp;D84&amp;"]"</f>
        <v>Fixed Charge: Residential wastewater [WWS2a]</v>
      </c>
      <c r="C99" s="172"/>
      <c r="D99" s="216" t="s">
        <v>727</v>
      </c>
      <c r="E99" s="217" t="s">
        <v>728</v>
      </c>
      <c r="F99" s="216" t="s">
        <v>381</v>
      </c>
      <c r="G99" s="450">
        <f>'Previous years'!G97</f>
        <v>5454832</v>
      </c>
      <c r="H99" s="340">
        <v>17602682.214177001</v>
      </c>
      <c r="I99" s="350"/>
      <c r="J99" s="11" t="s">
        <v>415</v>
      </c>
      <c r="K99" s="11" t="s">
        <v>416</v>
      </c>
      <c r="L99" s="277"/>
      <c r="AE99" s="242"/>
      <c r="AF99" s="242"/>
    </row>
    <row r="100" spans="2:32" ht="20.100000000000001" customHeight="1">
      <c r="B100" s="104" t="str">
        <f>E108&amp;" ["&amp;D108&amp;"]"</f>
        <v>Operating Cost per Property: Wastewater [WWF14]</v>
      </c>
      <c r="C100" s="172" t="s">
        <v>417</v>
      </c>
      <c r="D100" s="216" t="s">
        <v>729</v>
      </c>
      <c r="E100" s="217" t="s">
        <v>730</v>
      </c>
      <c r="F100" s="216" t="s">
        <v>381</v>
      </c>
      <c r="G100" s="450">
        <f>'Previous years'!G98</f>
        <v>7098939.5</v>
      </c>
      <c r="H100" s="341"/>
      <c r="I100" s="353"/>
      <c r="J100" s="267">
        <v>0</v>
      </c>
      <c r="K100" s="259"/>
      <c r="L100" s="280"/>
      <c r="AE100" s="243"/>
      <c r="AF100" s="243"/>
    </row>
    <row r="101" spans="2:32" ht="20.100000000000001" customHeight="1">
      <c r="B101" s="104" t="str">
        <f t="shared" ref="B101:B109" si="3">E85&amp;" ["&amp;D85&amp;"]"</f>
        <v>Fixed Charge Type: Residential wastewater [WWS2b]</v>
      </c>
      <c r="C101" s="169" t="s">
        <v>421</v>
      </c>
      <c r="D101" s="214" t="s">
        <v>731</v>
      </c>
      <c r="E101" s="215" t="s">
        <v>732</v>
      </c>
      <c r="F101" s="214" t="s">
        <v>381</v>
      </c>
      <c r="G101" s="449">
        <f>'Previous years'!G99</f>
        <v>936359.42</v>
      </c>
      <c r="H101" s="339">
        <f>SUMIF('WW P_L'!$B$11:$B$38,2330,'WW P_L'!$I$11:$I$38)</f>
        <v>1024310.97</v>
      </c>
      <c r="I101" s="357"/>
      <c r="J101" s="271" t="s">
        <v>382</v>
      </c>
      <c r="K101" s="12" t="s">
        <v>720</v>
      </c>
      <c r="L101" s="284"/>
      <c r="AE101" s="246"/>
      <c r="AF101" s="246"/>
    </row>
    <row r="102" spans="2:32" ht="20.100000000000001" customHeight="1">
      <c r="B102" s="104" t="str">
        <f t="shared" si="3"/>
        <v>Volumetric Charge: Residential wastewater [WWS2c]</v>
      </c>
      <c r="C102" s="169"/>
      <c r="D102" s="214" t="s">
        <v>733</v>
      </c>
      <c r="E102" s="215" t="s">
        <v>734</v>
      </c>
      <c r="F102" s="214" t="s">
        <v>381</v>
      </c>
      <c r="G102" s="449">
        <f>'Previous years'!G100</f>
        <v>1663637.69</v>
      </c>
      <c r="H102" s="339">
        <f>SUMIF('WW P_L'!$B$11:$B$38,2534,'WW P_L'!$I$11:$I$38)</f>
        <v>1797183.09</v>
      </c>
      <c r="I102" s="349"/>
      <c r="J102" s="11" t="s">
        <v>382</v>
      </c>
      <c r="K102" s="12" t="s">
        <v>720</v>
      </c>
      <c r="L102" s="273"/>
      <c r="AE102" s="91"/>
      <c r="AF102" s="91"/>
    </row>
    <row r="103" spans="2:32" ht="20.100000000000001" customHeight="1">
      <c r="B103" s="104" t="str">
        <f t="shared" si="3"/>
        <v>Average Annual Residential Wastewater Charge Based on 200 m3/yr  [WWS3]</v>
      </c>
      <c r="C103" s="169"/>
      <c r="D103" s="214" t="s">
        <v>735</v>
      </c>
      <c r="E103" s="215" t="s">
        <v>736</v>
      </c>
      <c r="F103" s="214" t="s">
        <v>381</v>
      </c>
      <c r="G103" s="449">
        <f>'Previous years'!G101</f>
        <v>1503256.73</v>
      </c>
      <c r="H103" s="339">
        <v>1612715.5199999998</v>
      </c>
      <c r="I103" s="349"/>
      <c r="J103" s="11" t="s">
        <v>382</v>
      </c>
      <c r="K103" s="11" t="s">
        <v>428</v>
      </c>
      <c r="L103" s="273"/>
      <c r="AE103" s="91"/>
      <c r="AF103" s="91"/>
    </row>
    <row r="104" spans="2:32" ht="20.100000000000001" customHeight="1">
      <c r="B104" s="104" t="str">
        <f t="shared" si="3"/>
        <v>Wastewater complaints [WWS4]</v>
      </c>
      <c r="C104" s="169"/>
      <c r="D104" s="214" t="s">
        <v>737</v>
      </c>
      <c r="E104" s="215" t="s">
        <v>738</v>
      </c>
      <c r="F104" s="214" t="s">
        <v>381</v>
      </c>
      <c r="G104" s="449">
        <f>'Previous years'!G102</f>
        <v>935357.19</v>
      </c>
      <c r="H104" s="339">
        <v>963970.89999999979</v>
      </c>
      <c r="I104" s="349"/>
      <c r="J104" s="11" t="s">
        <v>382</v>
      </c>
      <c r="K104" s="11" t="s">
        <v>428</v>
      </c>
      <c r="L104" s="273"/>
      <c r="AE104" s="91"/>
      <c r="AF104" s="91"/>
    </row>
    <row r="105" spans="2:32" ht="20.100000000000001" customHeight="1">
      <c r="B105" s="104" t="str">
        <f t="shared" si="3"/>
        <v>Sewage odour complaints [WWS4a]</v>
      </c>
      <c r="C105" s="169"/>
      <c r="D105" s="214" t="s">
        <v>739</v>
      </c>
      <c r="E105" s="215" t="s">
        <v>740</v>
      </c>
      <c r="F105" s="214" t="s">
        <v>381</v>
      </c>
      <c r="G105" s="449">
        <f>'Previous years'!G103</f>
        <v>1965636.58</v>
      </c>
      <c r="H105" s="339">
        <v>4094112.3000000017</v>
      </c>
      <c r="I105" s="349"/>
      <c r="J105" s="11" t="s">
        <v>382</v>
      </c>
      <c r="K105" s="11" t="s">
        <v>428</v>
      </c>
      <c r="L105" s="273"/>
      <c r="AE105" s="91"/>
      <c r="AF105" s="91"/>
    </row>
    <row r="106" spans="2:32" ht="20.100000000000001" customHeight="1">
      <c r="B106" s="104" t="str">
        <f t="shared" si="3"/>
        <v>Sewerage system fault complaints [WWS4b]</v>
      </c>
      <c r="C106" s="169"/>
      <c r="D106" s="214" t="s">
        <v>741</v>
      </c>
      <c r="E106" s="215" t="s">
        <v>742</v>
      </c>
      <c r="F106" s="214" t="s">
        <v>381</v>
      </c>
      <c r="G106" s="449">
        <f>'Previous years'!G104</f>
        <v>0</v>
      </c>
      <c r="H106" s="339"/>
      <c r="I106" s="349"/>
      <c r="J106" s="11" t="s">
        <v>743</v>
      </c>
      <c r="K106" s="12"/>
      <c r="L106" s="273"/>
      <c r="AE106" s="91"/>
      <c r="AF106" s="91"/>
    </row>
    <row r="107" spans="2:32" ht="20.100000000000001" customHeight="1">
      <c r="B107" s="104" t="str">
        <f t="shared" si="3"/>
        <v>Sewerage system blockage complaints [WWS4c]</v>
      </c>
      <c r="C107" s="169"/>
      <c r="D107" s="214" t="s">
        <v>744</v>
      </c>
      <c r="E107" s="215" t="s">
        <v>745</v>
      </c>
      <c r="F107" s="214" t="s">
        <v>381</v>
      </c>
      <c r="G107" s="449">
        <f>'Previous years'!G105</f>
        <v>7004247.6099999994</v>
      </c>
      <c r="H107" s="338">
        <f>IF(SUM(H101:H106)=0,"",SUM(H101:H106))</f>
        <v>9492292.7800000012</v>
      </c>
      <c r="I107" s="351" t="s">
        <v>72</v>
      </c>
      <c r="J107" s="25"/>
      <c r="K107" s="24"/>
      <c r="L107" s="272"/>
      <c r="AE107" s="91"/>
      <c r="AF107" s="91"/>
    </row>
    <row r="108" spans="2:32" ht="20.100000000000001" customHeight="1">
      <c r="B108" s="104" t="str">
        <f t="shared" si="3"/>
        <v>The authority’s response to issues with its sewerage system [WWS4d]</v>
      </c>
      <c r="C108" s="169"/>
      <c r="D108" s="214" t="s">
        <v>746</v>
      </c>
      <c r="E108" s="215" t="s">
        <v>747</v>
      </c>
      <c r="F108" s="214" t="s">
        <v>412</v>
      </c>
      <c r="G108" s="449">
        <f>'Previous years'!G106</f>
        <v>257.79343430253954</v>
      </c>
      <c r="H108" s="338">
        <f>IFERROR(H107/H36,"")</f>
        <v>332.73017438701652</v>
      </c>
      <c r="I108" s="351" t="s">
        <v>72</v>
      </c>
      <c r="J108" s="25"/>
      <c r="K108" s="24"/>
      <c r="L108" s="272"/>
      <c r="AE108" s="91"/>
      <c r="AF108" s="91"/>
    </row>
    <row r="109" spans="2:32" ht="20.100000000000001" customHeight="1">
      <c r="B109" s="104" t="str">
        <f t="shared" si="3"/>
        <v>Wastewater complaints frequency [WWS5]</v>
      </c>
      <c r="C109" s="169"/>
      <c r="D109" s="214" t="s">
        <v>748</v>
      </c>
      <c r="E109" s="215" t="s">
        <v>749</v>
      </c>
      <c r="F109" s="214" t="s">
        <v>381</v>
      </c>
      <c r="G109" s="449">
        <f>'Previous years'!G107</f>
        <v>7448815.54</v>
      </c>
      <c r="H109" s="339">
        <f>SUMIF('WW P_L'!$B$11:$B$38,2001,'WW P_L'!$I$11:$I$38)</f>
        <v>7825925.0099999998</v>
      </c>
      <c r="I109" s="349"/>
      <c r="J109" s="11" t="s">
        <v>382</v>
      </c>
      <c r="K109" s="12" t="s">
        <v>720</v>
      </c>
      <c r="L109" s="273"/>
      <c r="AE109" s="91"/>
      <c r="AF109" s="91"/>
    </row>
    <row r="110" spans="2:32" ht="20.100000000000001" customHeight="1">
      <c r="B110" s="104" t="str">
        <f>E37&amp;" ["&amp;D37&amp;"]"</f>
        <v>Wastewater fault attendance time [WWS6a]</v>
      </c>
      <c r="C110" s="169"/>
      <c r="D110" s="214" t="s">
        <v>750</v>
      </c>
      <c r="E110" s="215" t="s">
        <v>751</v>
      </c>
      <c r="F110" s="214" t="s">
        <v>381</v>
      </c>
      <c r="G110" s="449">
        <f>'Previous years'!G108</f>
        <v>1539308.76</v>
      </c>
      <c r="H110" s="339">
        <f>SUMIF('WW P_L'!$B$11:$B$38,2800,'WW P_L'!$I$11:$I$38)</f>
        <v>2038345.97</v>
      </c>
      <c r="I110" s="349"/>
      <c r="J110" s="11" t="s">
        <v>382</v>
      </c>
      <c r="K110" s="12" t="s">
        <v>720</v>
      </c>
      <c r="L110" s="273"/>
      <c r="AE110" s="91"/>
      <c r="AF110" s="91"/>
    </row>
    <row r="111" spans="2:32" ht="20.100000000000001" customHeight="1">
      <c r="B111" s="104" t="str">
        <f>E38&amp;" ["&amp;D38&amp;"]"</f>
        <v>Wastewater fault resolution time [WWS6b]</v>
      </c>
      <c r="C111" s="169"/>
      <c r="D111" s="214" t="s">
        <v>752</v>
      </c>
      <c r="E111" s="215" t="s">
        <v>753</v>
      </c>
      <c r="F111" s="214" t="s">
        <v>109</v>
      </c>
      <c r="G111" s="453">
        <f>'Previous years'!G109</f>
        <v>8.4004974926068413E-2</v>
      </c>
      <c r="H111" s="386">
        <f>IFERROR(H110/H97,"")</f>
        <v>0.10439445163260233</v>
      </c>
      <c r="I111" s="351" t="s">
        <v>72</v>
      </c>
      <c r="J111" s="25"/>
      <c r="K111" s="24"/>
      <c r="L111" s="272"/>
      <c r="AE111" s="91"/>
      <c r="AF111" s="91"/>
    </row>
    <row r="112" spans="2:32" ht="20.100000000000001" customHeight="1">
      <c r="B112" s="104" t="str">
        <f>E39&amp;" ["&amp;D39&amp;"]"</f>
        <v>Unplanned Total Interruptions: Wastewater [WWS7a]</v>
      </c>
      <c r="C112" s="169"/>
      <c r="D112" s="214" t="s">
        <v>754</v>
      </c>
      <c r="E112" s="215" t="s">
        <v>755</v>
      </c>
      <c r="F112" s="214" t="s">
        <v>109</v>
      </c>
      <c r="G112" s="453">
        <f>'Previous years'!G110</f>
        <v>0.85690556329739576</v>
      </c>
      <c r="H112" s="386">
        <f>IFERROR((H94+H95)/(H109+H110+H107),"")</f>
        <v>0.76701168885566695</v>
      </c>
      <c r="I112" s="351" t="s">
        <v>72</v>
      </c>
      <c r="J112" s="25"/>
      <c r="K112" s="24"/>
      <c r="L112" s="272"/>
      <c r="AE112" s="91"/>
      <c r="AF112" s="91"/>
    </row>
    <row r="113" spans="2:32" ht="20.100000000000001" customHeight="1">
      <c r="B113" s="104" t="str">
        <f>E40&amp;" ["&amp;D40&amp;"]"</f>
        <v>Third party Incidents: Wastewater [WWS7b]</v>
      </c>
      <c r="C113" s="169"/>
      <c r="D113" s="214" t="s">
        <v>756</v>
      </c>
      <c r="E113" s="215" t="s">
        <v>757</v>
      </c>
      <c r="F113" s="214" t="s">
        <v>381</v>
      </c>
      <c r="G113" s="449">
        <f>'Previous years'!G111</f>
        <v>43482125.620000005</v>
      </c>
      <c r="H113" s="338">
        <f>IF(SUM(H107,H110,H109,H119)=0,"",SUM(H107,H110,H109,H119))</f>
        <v>47361386.010000005</v>
      </c>
      <c r="I113" s="351" t="s">
        <v>72</v>
      </c>
      <c r="J113" s="25"/>
      <c r="K113" s="24"/>
      <c r="L113" s="272"/>
      <c r="AE113" s="91"/>
      <c r="AF113" s="91"/>
    </row>
    <row r="114" spans="2:32" ht="20.100000000000001" customHeight="1">
      <c r="B114" s="104" t="str">
        <f>E41&amp;" ["&amp;D41&amp;"]"</f>
        <v>Unplanned Interruption Frequency: Wastewater [WWS7c]</v>
      </c>
      <c r="C114" s="169"/>
      <c r="D114" s="214" t="s">
        <v>758</v>
      </c>
      <c r="E114" s="215" t="s">
        <v>759</v>
      </c>
      <c r="F114" s="214" t="s">
        <v>412</v>
      </c>
      <c r="G114" s="449">
        <f>'Previous years'!G112</f>
        <v>1600.3726764814135</v>
      </c>
      <c r="H114" s="338">
        <f>IFERROR(H113/H36,"")</f>
        <v>1660.1428750197174</v>
      </c>
      <c r="I114" s="351" t="s">
        <v>72</v>
      </c>
      <c r="J114" s="25"/>
      <c r="K114" s="24"/>
      <c r="L114" s="272"/>
      <c r="AE114" s="91"/>
      <c r="AF114" s="91"/>
    </row>
    <row r="115" spans="2:32" ht="20.100000000000001" customHeight="1">
      <c r="B115" s="104" t="str">
        <f t="shared" ref="B115:B120" si="4">E94&amp;" ["&amp;D94&amp;"]"</f>
        <v>Revenue from the Provision of Wastewater Treatment Services to Another Local Authority [WWF1]</v>
      </c>
      <c r="C115" s="169"/>
      <c r="D115" s="214" t="s">
        <v>760</v>
      </c>
      <c r="E115" s="215" t="s">
        <v>761</v>
      </c>
      <c r="F115" s="214" t="s">
        <v>381</v>
      </c>
      <c r="G115" s="449">
        <f>'Previous years'!G113</f>
        <v>34291984.880000003</v>
      </c>
      <c r="H115" s="338">
        <f>IF(SUM(H116:H118)=0,"",SUM(H116:H118))</f>
        <v>31932232.68</v>
      </c>
      <c r="I115" s="351" t="s">
        <v>72</v>
      </c>
      <c r="J115" s="25"/>
      <c r="K115" s="24"/>
      <c r="L115" s="272"/>
      <c r="AE115" s="91"/>
      <c r="AF115" s="91"/>
    </row>
    <row r="116" spans="2:32" ht="20.100000000000001" customHeight="1">
      <c r="B116" s="104" t="str">
        <f t="shared" si="4"/>
        <v>Operating Revenue: Wastewater [WWF2]</v>
      </c>
      <c r="C116" s="169"/>
      <c r="D116" s="214" t="s">
        <v>762</v>
      </c>
      <c r="E116" s="215" t="s">
        <v>454</v>
      </c>
      <c r="F116" s="214" t="s">
        <v>381</v>
      </c>
      <c r="G116" s="449">
        <f>'Previous years'!G114</f>
        <v>12406855.640910001</v>
      </c>
      <c r="H116" s="339">
        <f>GETPIVOTDATA("Sum of 21_22 Growth Budget",'Capex Projects'!$A$3,"Programme","Waste Water")</f>
        <v>10700710.457010999</v>
      </c>
      <c r="I116" s="349"/>
      <c r="J116" s="9" t="s">
        <v>382</v>
      </c>
      <c r="K116" s="9" t="s">
        <v>455</v>
      </c>
      <c r="L116" s="273"/>
      <c r="AE116" s="91"/>
      <c r="AF116" s="91"/>
    </row>
    <row r="117" spans="2:32" ht="20.100000000000001" customHeight="1">
      <c r="B117" s="104" t="str">
        <f t="shared" si="4"/>
        <v>Development Contribution Revenue: Wastewater [WWF3]</v>
      </c>
      <c r="C117" s="169"/>
      <c r="D117" s="214" t="s">
        <v>763</v>
      </c>
      <c r="E117" s="215" t="s">
        <v>457</v>
      </c>
      <c r="F117" s="214" t="s">
        <v>381</v>
      </c>
      <c r="G117" s="449">
        <f>'Previous years'!G115</f>
        <v>15056647.497052999</v>
      </c>
      <c r="H117" s="339">
        <f>GETPIVOTDATA("Sum of 21_22 Los Budget",'Capex Projects'!$A$3,"Programme","Waste Water")</f>
        <v>15508818.69359</v>
      </c>
      <c r="I117" s="349"/>
      <c r="J117" s="9" t="s">
        <v>382</v>
      </c>
      <c r="K117" s="9" t="s">
        <v>455</v>
      </c>
      <c r="L117" s="273"/>
      <c r="AE117" s="91"/>
      <c r="AF117" s="91"/>
    </row>
    <row r="118" spans="2:32" ht="20.100000000000001" customHeight="1">
      <c r="B118" s="104" t="str">
        <f t="shared" si="4"/>
        <v>Total Revenue: Wastewater [WWF4]</v>
      </c>
      <c r="C118" s="169"/>
      <c r="D118" s="214" t="s">
        <v>764</v>
      </c>
      <c r="E118" s="215" t="s">
        <v>459</v>
      </c>
      <c r="F118" s="214" t="s">
        <v>381</v>
      </c>
      <c r="G118" s="449">
        <f>'Previous years'!G116</f>
        <v>6828481.7420370001</v>
      </c>
      <c r="H118" s="339">
        <f>GETPIVOTDATA("Sum of 21_22 Renewals Budget",'Capex Projects'!$A$3,"Programme","Waste Water")</f>
        <v>5722703.5293990001</v>
      </c>
      <c r="I118" s="349"/>
      <c r="J118" s="9" t="s">
        <v>382</v>
      </c>
      <c r="K118" s="9" t="s">
        <v>455</v>
      </c>
      <c r="L118" s="273"/>
      <c r="AE118" s="91"/>
      <c r="AF118" s="91"/>
    </row>
    <row r="119" spans="2:32" ht="20.100000000000001" customHeight="1">
      <c r="B119" s="104" t="str">
        <f t="shared" si="4"/>
        <v>Revenue per Property: Wastewater [WWF5]</v>
      </c>
      <c r="C119" s="169"/>
      <c r="D119" s="214" t="s">
        <v>765</v>
      </c>
      <c r="E119" s="215" t="s">
        <v>766</v>
      </c>
      <c r="F119" s="214" t="s">
        <v>381</v>
      </c>
      <c r="G119" s="449">
        <f>'Previous years'!G117</f>
        <v>27489753.710000001</v>
      </c>
      <c r="H119" s="338">
        <f>IF(SUM(H120:H122)=0,"",SUM(H120:H122))</f>
        <v>28004822.250000004</v>
      </c>
      <c r="I119" s="351" t="s">
        <v>72</v>
      </c>
      <c r="J119" s="25"/>
      <c r="K119" s="24"/>
      <c r="L119" s="272"/>
      <c r="AE119" s="91"/>
      <c r="AF119" s="91"/>
    </row>
    <row r="120" spans="2:32" ht="20.100000000000001" customHeight="1">
      <c r="B120" s="104" t="str">
        <f t="shared" si="4"/>
        <v>Debt funding: Wastewater [WWF6]</v>
      </c>
      <c r="C120" s="169"/>
      <c r="D120" s="214" t="s">
        <v>767</v>
      </c>
      <c r="E120" s="215" t="s">
        <v>463</v>
      </c>
      <c r="F120" s="214" t="s">
        <v>381</v>
      </c>
      <c r="G120" s="449">
        <f>'Previous years'!G118</f>
        <v>9731850.0347700007</v>
      </c>
      <c r="H120" s="339">
        <f>GETPIVOTDATA("Sum of 21_22 Growth Actuals",'Capex Projects'!$A$3,"Programme","Waste Water")</f>
        <v>8474552.3226430006</v>
      </c>
      <c r="I120" s="349"/>
      <c r="J120" s="9" t="s">
        <v>382</v>
      </c>
      <c r="K120" s="9" t="s">
        <v>455</v>
      </c>
      <c r="L120" s="273"/>
      <c r="AE120" s="91"/>
      <c r="AF120" s="91"/>
    </row>
    <row r="121" spans="2:32" ht="20.100000000000001" customHeight="1">
      <c r="B121" s="104" t="str">
        <f t="shared" ref="B121:B147" si="5">E101&amp;" ["&amp;D101&amp;"]"</f>
        <v>Energy Costs: Wastewater [WWF7]</v>
      </c>
      <c r="C121" s="169"/>
      <c r="D121" s="214" t="s">
        <v>768</v>
      </c>
      <c r="E121" s="215" t="s">
        <v>465</v>
      </c>
      <c r="F121" s="214" t="s">
        <v>381</v>
      </c>
      <c r="G121" s="449">
        <f>'Previous years'!G119</f>
        <v>12038943.593265003</v>
      </c>
      <c r="H121" s="339">
        <f>GETPIVOTDATA("Sum of 21_22 Los Actuals",'Capex Projects'!$A$3,"Programme","Waste Water")</f>
        <v>14257106.467026003</v>
      </c>
      <c r="I121" s="349"/>
      <c r="J121" s="9" t="s">
        <v>382</v>
      </c>
      <c r="K121" s="9" t="s">
        <v>455</v>
      </c>
      <c r="L121" s="273"/>
      <c r="AE121" s="91"/>
      <c r="AF121" s="91"/>
    </row>
    <row r="122" spans="2:32" ht="20.100000000000001" customHeight="1">
      <c r="B122" s="104" t="str">
        <f t="shared" si="5"/>
        <v>Sludge Disposal Costs: Wastewater [WWF8]</v>
      </c>
      <c r="C122" s="169"/>
      <c r="D122" s="214" t="s">
        <v>769</v>
      </c>
      <c r="E122" s="215" t="s">
        <v>467</v>
      </c>
      <c r="F122" s="214" t="s">
        <v>381</v>
      </c>
      <c r="G122" s="449">
        <f>'Previous years'!G120</f>
        <v>5718960.0819650004</v>
      </c>
      <c r="H122" s="339">
        <f>GETPIVOTDATA("Sum of 21_22 Renewals Actuals",'Capex Projects'!$A$3,"Programme","Waste Water")</f>
        <v>5273163.4603310004</v>
      </c>
      <c r="I122" s="349"/>
      <c r="J122" s="9" t="s">
        <v>382</v>
      </c>
      <c r="K122" s="9" t="s">
        <v>455</v>
      </c>
      <c r="L122" s="273"/>
      <c r="AE122" s="91"/>
      <c r="AF122" s="91"/>
    </row>
    <row r="123" spans="2:32" ht="20.100000000000001" customHeight="1">
      <c r="B123" s="104" t="str">
        <f t="shared" si="5"/>
        <v>Routine Maintenance: Wastewater [WWF9]</v>
      </c>
      <c r="C123" s="172"/>
      <c r="D123" s="216" t="s">
        <v>770</v>
      </c>
      <c r="E123" s="217" t="s">
        <v>771</v>
      </c>
      <c r="F123" s="216" t="s">
        <v>412</v>
      </c>
      <c r="G123" s="450">
        <f>'Previous years'!G121</f>
        <v>1011.7686312108945</v>
      </c>
      <c r="H123" s="342">
        <f>IFERROR(H119/H36,"")</f>
        <v>981.6436984068564</v>
      </c>
      <c r="I123" s="352" t="s">
        <v>72</v>
      </c>
      <c r="J123" s="269"/>
      <c r="K123" s="261"/>
      <c r="L123" s="274"/>
      <c r="AE123" s="242"/>
      <c r="AF123" s="242"/>
    </row>
    <row r="124" spans="2:32" ht="20.100000000000001" customHeight="1">
      <c r="B124" s="104" t="str">
        <f t="shared" si="5"/>
        <v>Reactive Maintenance: Wastewater [WWF10]</v>
      </c>
      <c r="C124" s="169" t="s">
        <v>470</v>
      </c>
      <c r="D124" s="214" t="s">
        <v>772</v>
      </c>
      <c r="E124" s="215" t="s">
        <v>773</v>
      </c>
      <c r="F124" s="214" t="s">
        <v>381</v>
      </c>
      <c r="G124" s="449">
        <f>'Previous years'!G122</f>
        <v>8352525.9400000004</v>
      </c>
      <c r="H124" s="343">
        <v>15698045.34</v>
      </c>
      <c r="I124" s="348"/>
      <c r="J124" s="188" t="s">
        <v>382</v>
      </c>
      <c r="K124" s="188" t="s">
        <v>473</v>
      </c>
      <c r="L124" s="275"/>
      <c r="AE124" s="92"/>
      <c r="AF124" s="92"/>
    </row>
    <row r="125" spans="2:32" ht="20.100000000000001" customHeight="1">
      <c r="B125" s="104" t="str">
        <f t="shared" si="5"/>
        <v>Management Costs: Wastewater [WWF11]</v>
      </c>
      <c r="C125" s="169"/>
      <c r="D125" s="214" t="s">
        <v>774</v>
      </c>
      <c r="E125" s="215" t="s">
        <v>775</v>
      </c>
      <c r="F125" s="214" t="s">
        <v>381</v>
      </c>
      <c r="G125" s="449">
        <f>'Previous years'!G123</f>
        <v>59807523</v>
      </c>
      <c r="H125" s="339">
        <v>93981645.310000002</v>
      </c>
      <c r="I125" s="349"/>
      <c r="J125" s="188" t="s">
        <v>382</v>
      </c>
      <c r="K125" s="188" t="s">
        <v>473</v>
      </c>
      <c r="L125" s="273"/>
      <c r="AE125" s="91"/>
      <c r="AF125" s="91"/>
    </row>
    <row r="126" spans="2:32" ht="20.100000000000001" customHeight="1">
      <c r="B126" s="104" t="str">
        <f t="shared" si="5"/>
        <v>Councils Contract Management Costs: Wastewater  [WWF12]</v>
      </c>
      <c r="C126" s="169"/>
      <c r="D126" s="214" t="s">
        <v>776</v>
      </c>
      <c r="E126" s="215" t="s">
        <v>777</v>
      </c>
      <c r="F126" s="214" t="s">
        <v>381</v>
      </c>
      <c r="G126" s="449">
        <f>'Previous years'!G124</f>
        <v>303411948</v>
      </c>
      <c r="H126" s="339">
        <v>397016088.30000001</v>
      </c>
      <c r="I126" s="349"/>
      <c r="J126" s="188" t="s">
        <v>382</v>
      </c>
      <c r="K126" s="188" t="s">
        <v>473</v>
      </c>
      <c r="L126" s="273"/>
      <c r="AE126" s="91"/>
      <c r="AF126" s="91"/>
    </row>
    <row r="127" spans="2:32" ht="20.100000000000001" customHeight="1">
      <c r="B127" s="104" t="str">
        <f t="shared" si="5"/>
        <v>Operating Cost: Wastewater [WWF13]</v>
      </c>
      <c r="C127" s="172"/>
      <c r="D127" s="216" t="s">
        <v>778</v>
      </c>
      <c r="E127" s="217" t="s">
        <v>779</v>
      </c>
      <c r="F127" s="216" t="s">
        <v>61</v>
      </c>
      <c r="G127" s="470">
        <f>'Previous years'!G125</f>
        <v>0.76776771437744584</v>
      </c>
      <c r="H127" s="471">
        <f>IFERROR(H122/H109,"")</f>
        <v>0.67380705202170099</v>
      </c>
      <c r="I127" s="352" t="s">
        <v>72</v>
      </c>
      <c r="J127" s="269"/>
      <c r="K127" s="261"/>
      <c r="L127" s="274"/>
      <c r="AE127" s="242"/>
      <c r="AF127" s="242"/>
    </row>
    <row r="129" spans="2:2" ht="20.100000000000001" customHeight="1">
      <c r="B129" s="104" t="str">
        <f t="shared" si="5"/>
        <v>Annual Depreciation: Wastewater [WWF15]</v>
      </c>
    </row>
    <row r="130" spans="2:2" ht="20.100000000000001" customHeight="1">
      <c r="B130" s="104" t="str">
        <f t="shared" si="5"/>
        <v>Interest: Wastewater [WWF16a]</v>
      </c>
    </row>
    <row r="131" spans="2:2" ht="20.100000000000001" customHeight="1">
      <c r="B131" s="104" t="str">
        <f t="shared" si="5"/>
        <v>Debt affordability: Wastewater [WWF16b]</v>
      </c>
    </row>
    <row r="132" spans="2:2" ht="20.100000000000001" customHeight="1">
      <c r="B132" s="104" t="str">
        <f t="shared" si="5"/>
        <v>Operational Cost Coverage: Wastewater [WWF17]</v>
      </c>
    </row>
    <row r="133" spans="2:2" ht="20.100000000000001" customHeight="1">
      <c r="B133" s="104" t="str">
        <f t="shared" si="5"/>
        <v>Total Cost: Wastewater [WWF18]</v>
      </c>
    </row>
    <row r="134" spans="2:2" ht="20.100000000000001" customHeight="1">
      <c r="B134" s="104" t="str">
        <f t="shared" si="5"/>
        <v>Total Cost per Property: Wastewater [WWF19]</v>
      </c>
    </row>
    <row r="135" spans="2:2" ht="20.100000000000001" customHeight="1">
      <c r="B135" s="104" t="str">
        <f t="shared" si="5"/>
        <v>Budgeted Capital Expenditure: Wastewater [WWF20]</v>
      </c>
    </row>
    <row r="136" spans="2:2" ht="20.100000000000001" customHeight="1">
      <c r="B136" s="104" t="str">
        <f t="shared" si="5"/>
        <v>Budgeted capital to meet additional demand [WWF20a]</v>
      </c>
    </row>
    <row r="137" spans="2:2" ht="20.100000000000001" customHeight="1">
      <c r="B137" s="104" t="str">
        <f t="shared" si="5"/>
        <v>Budgeted capital to improve the level of service [WWF20b]</v>
      </c>
    </row>
    <row r="138" spans="2:2" ht="20.100000000000001" customHeight="1">
      <c r="B138" s="104" t="str">
        <f t="shared" si="5"/>
        <v>Budgeted capital to replace existing assets [WWF20c]</v>
      </c>
    </row>
    <row r="139" spans="2:2" ht="20.100000000000001" customHeight="1">
      <c r="B139" s="104" t="str">
        <f t="shared" si="5"/>
        <v>Actual Capital Expenditure: Wastewater [WWF21]</v>
      </c>
    </row>
    <row r="140" spans="2:2" ht="20.100000000000001" customHeight="1">
      <c r="B140" s="104" t="str">
        <f t="shared" si="5"/>
        <v>Actual capital to meet additional demand [WWF21a]</v>
      </c>
    </row>
    <row r="141" spans="2:2" ht="20.100000000000001" customHeight="1">
      <c r="B141" s="104" t="str">
        <f t="shared" si="5"/>
        <v>Actual capital to improve the level of service [WWF21b]</v>
      </c>
    </row>
    <row r="142" spans="2:2" ht="20.100000000000001" customHeight="1">
      <c r="B142" s="104" t="str">
        <f t="shared" si="5"/>
        <v>Actual capital to replace existing assets [WWF21c]</v>
      </c>
    </row>
    <row r="143" spans="2:2" ht="20.100000000000001" customHeight="1">
      <c r="B143" s="104" t="str">
        <f t="shared" si="5"/>
        <v>Actual Capital Expenditure per Property: Wastewater [WWF22]</v>
      </c>
    </row>
    <row r="144" spans="2:2" ht="20.100000000000001" customHeight="1">
      <c r="B144" s="104" t="str">
        <f t="shared" si="5"/>
        <v>Development Contributions: Wastewater assets [WWF23]</v>
      </c>
    </row>
    <row r="145" spans="2:2" ht="20.100000000000001" customHeight="1">
      <c r="B145" s="104" t="str">
        <f t="shared" si="5"/>
        <v>Wastewater facility value at end of reporting year [WWF24a]</v>
      </c>
    </row>
    <row r="146" spans="2:2" ht="20.100000000000001" customHeight="1">
      <c r="B146" s="104" t="str">
        <f t="shared" si="5"/>
        <v>Other wastewater asset value [WWF24b]</v>
      </c>
    </row>
    <row r="147" spans="2:2" ht="20.100000000000001" customHeight="1">
      <c r="B147" s="104" t="str">
        <f t="shared" si="5"/>
        <v>Decline in Service Potential: Wastewater [WWF25]</v>
      </c>
    </row>
    <row r="148" spans="2:2" ht="20.100000000000001" customHeight="1">
      <c r="B148" s="104" t="str">
        <f>E100&amp;" ["&amp;D100&amp;"]"</f>
        <v>External Grants: Wastewater [WWF26]</v>
      </c>
    </row>
  </sheetData>
  <autoFilter ref="B5:AF127" xr:uid="{00000000-0009-0000-0000-000003000000}"/>
  <phoneticPr fontId="114" type="noConversion"/>
  <dataValidations xWindow="940" yWindow="368" count="90">
    <dataValidation allowBlank="1" showInputMessage="1" showErrorMessage="1" prompt="Operating Revenue associated with wastewater. Excludes Development contributions. Further detail is provided in the definitions guidelines." sqref="H95" xr:uid="{00000000-0002-0000-0300-000000000000}"/>
    <dataValidation allowBlank="1" showInputMessage="1" showErrorMessage="1" prompt="Capital expenditure on wastewater assets related to growth including new works and subdivisions." sqref="H120" xr:uid="{00000000-0002-0000-0300-000001000000}"/>
    <dataValidation allowBlank="1" showInputMessage="1" showErrorMessage="1" prompt="Budgeted capital expenditure related to wastewater renewals or replacements or other expenditure." sqref="H118" xr:uid="{00000000-0002-0000-0300-000002000000}"/>
    <dataValidation allowBlank="1" showInputMessage="1" showErrorMessage="1" prompt="Budgeted capital expenditure on wastewater assets related to growth including new works and subdivisions." sqref="H116" xr:uid="{00000000-0002-0000-0300-000003000000}"/>
    <dataValidation allowBlank="1" showInputMessage="1" showErrorMessage="1" prompt="The number of unplanned interruptions to service caused by third parties. Further detail is provided in the definition guide." sqref="H40" xr:uid="{00000000-0002-0000-0300-000004000000}"/>
    <dataValidation allowBlank="1" showInputMessage="1" showErrorMessage="1" prompt="The number of unplanned total interruptions to service experienced by properties excluding interruptions caused by third party damage. Further detail is provided in the definition guide." sqref="H39" xr:uid="{00000000-0002-0000-0300-000005000000}"/>
    <dataValidation allowBlank="1" showInputMessage="1" showErrorMessage="1" prompt="From the time that the local authority receives notification of a fault in the sewerage system to the time that service personnel confirm resolution of the fault." sqref="H93 H38" xr:uid="{00000000-0002-0000-0300-000006000000}"/>
    <dataValidation allowBlank="1" showInputMessage="1" showErrorMessage="1" prompt="From the time that the local authority receives notification of a fault in the sewerage system to the time that service personnel reach the site." sqref="H92 H37" xr:uid="{00000000-0002-0000-0300-000007000000}"/>
    <dataValidation allowBlank="1" showInputMessage="1" showErrorMessage="1" prompt="Automatically calculated by summing complaints by type. The value can be overwritten if a breakdown of wastewater complaints by type is not known or other complaints are recorded. The defintion of a complaint is detailed in the definition guidelines." sqref="H88" xr:uid="{00000000-0002-0000-0300-000008000000}"/>
    <dataValidation allowBlank="1" showInputMessage="1" showErrorMessage="1" prompt="The proportion of trade waste, by volume, entering the wastewater treatment plant. If there is more than one treatment plant enter values in the columns to the right." sqref="H12" xr:uid="{00000000-0002-0000-0300-000009000000}"/>
    <dataValidation allowBlank="1" showInputMessage="1" showErrorMessage="1" prompt="Total mass of wet solids produced each year following processing (including dewatering and digestion). If there is more than one treatment plant include sludges produced at each in columns to the right." sqref="H19" xr:uid="{00000000-0002-0000-0300-00000A000000}"/>
    <dataValidation allowBlank="1" showInputMessage="1" showErrorMessage="1" prompt="For oxidation sludge ponds that have not been desludged in the financial year enter the last year that the pond was desludged. Otherwise leave blank. If only one treatment plant enter comments in this column, otherwise include in columns to the right." sqref="H12" xr:uid="{00000000-0002-0000-0300-00000B000000}"/>
    <dataValidation allowBlank="1" showInputMessage="1" showErrorMessage="1" prompt="Any external grants received (not awarded) during the financial year for capital or operational costs related to the wastewater scheme. " sqref="H100" xr:uid="{00000000-0002-0000-0300-00000C000000}"/>
    <dataValidation allowBlank="1" showInputMessage="1" showErrorMessage="1" prompt="The closing book value of other wastewater assets (such as reticulation systems)." sqref="H126" xr:uid="{00000000-0002-0000-0300-00000D000000}"/>
    <dataValidation allowBlank="1" showInputMessage="1" showErrorMessage="1" prompt="The closing book value of wastewater treatment plants and facilities. " sqref="H125" xr:uid="{00000000-0002-0000-0300-00000E000000}"/>
    <dataValidation allowBlank="1" showInputMessage="1" showErrorMessage="1" prompt="Value of assets vested in the council as part of development contributions (excludes cash payments)." sqref="H124" xr:uid="{00000000-0002-0000-0300-00000F000000}"/>
    <dataValidation allowBlank="1" showInputMessage="1" showErrorMessage="1" prompt="Capital expenditure related to wastewater renewals or replacements or other expenditure." sqref="H122" xr:uid="{00000000-0002-0000-0300-000010000000}"/>
    <dataValidation allowBlank="1" showInputMessage="1" showErrorMessage="1" prompt="Budgeted capital expenditure on existing wastewater assets that is not driven by asset condition or age." sqref="H117" xr:uid="{00000000-0002-0000-0300-000011000000}"/>
    <dataValidation allowBlank="1" showInputMessage="1" showErrorMessage="1" prompt="Capital expenditure on existing wastewater assets that is not driven by asset condition or age." sqref="H121" xr:uid="{00000000-0002-0000-0300-000012000000}"/>
    <dataValidation allowBlank="1" showInputMessage="1" showErrorMessage="1" prompt="Council’s costs where management of the network is carried out by a Council Controlled Organisation or an external maintenance contractor.  " sqref="H106" xr:uid="{00000000-0002-0000-0300-000013000000}"/>
    <dataValidation allowBlank="1" showInputMessage="1" showErrorMessage="1" prompt="Organisational costs including costs related to salaries, accommodation, rate payment, IT,training, etc. " sqref="H105" xr:uid="{00000000-0002-0000-0300-000014000000}"/>
    <dataValidation allowBlank="1" showInputMessage="1" showErrorMessage="1" prompt="All external costs associated with operation and maintenance of the wastewater system, not included as routine maintenance, energy or sludge disposal." sqref="H104" xr:uid="{00000000-0002-0000-0300-000015000000}"/>
    <dataValidation allowBlank="1" showInputMessage="1" showErrorMessage="1" prompt="The cost of all scheduled operational and maintenance works and external consultants and contractors used for such works. Do not include sludge disposal, energy or reactive maintenance costs." sqref="H103" xr:uid="{00000000-0002-0000-0300-000016000000}"/>
    <dataValidation allowBlank="1" showInputMessage="1" showErrorMessage="1" prompt="Increase in debt related to wastewater (negative value to indicate decrease in debt). Debt is considered any funding that is required to be repayed including internal loans. Funding from reserves or developer contributions is not to be included" sqref="H99:H100" xr:uid="{00000000-0002-0000-0300-000017000000}"/>
    <dataValidation allowBlank="1" showInputMessage="1" showErrorMessage="1" prompt="Revenue generated by providing wastewater treatment services to adjacent authorities. If not applicable leave blank." sqref="H94" xr:uid="{00000000-0002-0000-0300-000018000000}"/>
    <dataValidation allowBlank="1" showInputMessage="1" showErrorMessage="1" prompt="Developer revenue (income) for the reporting year.  This includes all developer cash contributions. It excludes developer asset contributions." sqref="H96 H101:H102 H109:H110" xr:uid="{00000000-0002-0000-0300-000019000000}"/>
    <dataValidation allowBlank="1" showInputMessage="1" showErrorMessage="1" prompt="Include GST. If no volumetric charge is applied for residential wastewater leave blank." sqref="H86" xr:uid="{00000000-0002-0000-0300-00001A000000}"/>
    <dataValidation allowBlank="1" showInputMessage="1" showErrorMessage="1" prompt="Include GST. If multiple fixed charges exist provide the median and provide detail in the comments. If charges are levied based on a proportion of annual or capital values, the median value across the region should be used to determine the charge. " sqref="H84" xr:uid="{00000000-0002-0000-0300-00001B000000}"/>
    <dataValidation allowBlank="1" showInputMessage="1" showErrorMessage="1" prompt="The volumetric charge (inc GST) for non-residential customers. If multiple fixed charges exist provide the median and provide detail in the comments field.  If all customers in the district are billed at the same rate leave the field blank." sqref="H82" xr:uid="{00000000-0002-0000-0300-00001C000000}"/>
    <dataValidation allowBlank="1" showInputMessage="1" showErrorMessage="1" prompt="The fixed charge (inc GST) for non-residential customers. If multiple fixed charges exist provide the median and provide detail in the comments field.  If all customers in the district are billed at the same rate leave the field blank._x000a_" sqref="H80" xr:uid="{00000000-0002-0000-0300-00001D000000}"/>
    <dataValidation allowBlank="1" showInputMessage="1" showErrorMessage="1" prompt="Average charge for wastewater based on 200m3/year water use. Automatically calculated based on other supplied data." sqref="H87" xr:uid="{00000000-0002-0000-0300-00001E000000}"/>
    <dataValidation type="list" allowBlank="1" showErrorMessage="1" sqref="H81 H85" xr:uid="{00000000-0002-0000-0300-00001F000000}">
      <formula1>Charge_type</formula1>
    </dataValidation>
    <dataValidation allowBlank="1" showInputMessage="1" showErrorMessage="1" prompt="List any actions taken in response to trade waste breaches during the reporting period. For example, issuing of infringement notices, fines, prosecution, infrastructure damage charges, non-conformance charges or performance management measures." sqref="H79" xr:uid="{00000000-0002-0000-0300-000020000000}"/>
    <dataValidation allowBlank="1" showInputMessage="1" showErrorMessage="1" prompt="The number of successful prosecutions in relation to wastewater discharge consent non-compliance." sqref="H19 H64" xr:uid="{00000000-0002-0000-0300-000021000000}"/>
    <dataValidation allowBlank="1" showInputMessage="1" showErrorMessage="1" prompt="Overflows included in WWE3 that occured on providate proeperty because of issues with the public wastewater network. Do not include overflow events due to problems within private property boundaries." sqref="H54" xr:uid="{00000000-0002-0000-0300-000022000000}"/>
    <dataValidation allowBlank="1" showInputMessage="1" showErrorMessage="1" prompt="This cell is calculated automatically based on other supplied data." sqref="H53" xr:uid="{00000000-0002-0000-0300-000023000000}"/>
    <dataValidation allowBlank="1" showInputMessage="1" showErrorMessage="1" prompt="Any wet weather related overflow from the piped reticulation network that receives combined stormwater and wastewater flows." sqref="H52" xr:uid="{00000000-0002-0000-0300-000024000000}"/>
    <dataValidation allowBlank="1" showInputMessage="1" showErrorMessage="1" prompt="The number of overflows caused by plant failures, e.g. pump station ragging, power station outages or mechanical failures." sqref="H50" xr:uid="{00000000-0002-0000-0300-000025000000}"/>
    <dataValidation allowBlank="1" showInputMessage="1" showErrorMessage="1" prompt="The number of overflows caused by fat oil and grease build up or tree route intrusion." sqref="H49" xr:uid="{00000000-0002-0000-0300-000026000000}"/>
    <dataValidation allowBlank="1" showInputMessage="1" showErrorMessage="1" prompt="If there is only one wastewater treatment plant, enter data in this column. If there are multiple wastewater treatment plants enter the peak wet to average dry weather flow ratio for each in columns to the right." sqref="H49" xr:uid="{00000000-0002-0000-0300-000027000000}"/>
    <dataValidation type="list" allowBlank="1" showInputMessage="1" showErrorMessage="1" prompt="For each of the effluent consents, reffered to in WWA7h, indicate the status of the consent." sqref="H17" xr:uid="{00000000-0002-0000-0300-000028000000}">
      <formula1>Consent_status</formula1>
    </dataValidation>
    <dataValidation allowBlank="1" showInputMessage="1" showErrorMessage="1" prompt="If there is only one wastewater treatment plant, enter data in this column. If there are multiple wastewater treatment plants enter the date effluent consents expire in the columns on the right." sqref="H20" xr:uid="{00000000-0002-0000-0300-000029000000}"/>
    <dataValidation allowBlank="1" showInputMessage="1" showErrorMessage="1" prompt="The percentage of above ground assets assessed within 3 years" sqref="H13:H14" xr:uid="{00000000-0002-0000-0300-00002A000000}"/>
    <dataValidation type="list" allowBlank="1" showInputMessage="1" showErrorMessage="1" sqref="M57:AD57 M17:AD17" xr:uid="{00000000-0002-0000-0300-00002B000000}">
      <formula1>Consent_status</formula1>
    </dataValidation>
    <dataValidation allowBlank="1" showInputMessage="1" showErrorMessage="1" prompt="Wastewater treatment plant name. If there is more than one wastewater treatment plant enter names for each in the columns to the right." sqref="H10" xr:uid="{00000000-0002-0000-0300-00002C000000}"/>
    <dataValidation allowBlank="1" showInputMessage="1" showErrorMessage="1" prompt="The proportion of above ground assets, of types specified in definitions guide, that have recieved a condition grading. Include the approach used to determine the condition grade in the comments field." sqref="H46" xr:uid="{00000000-0002-0000-0300-00002D000000}"/>
    <dataValidation allowBlank="1" showInputMessage="1" showErrorMessage="1" prompt="Weighted average age of all wastewater pipelines within the total serviced area." sqref="H44" xr:uid="{00000000-0002-0000-0300-00002E000000}"/>
    <dataValidation allowBlank="1" showInputMessage="1" showErrorMessage="1" prompt="Total number of residential connections to the reticulated wastewater network. Further detail is provided in defintions guidelines. List the method used for determining number of properties in multi-unit complexes in the comments." sqref="H32:H33" xr:uid="{00000000-0002-0000-0300-00002F000000}"/>
    <dataValidation type="list" allowBlank="1" showInputMessage="1" showErrorMessage="1" sqref="I109:I110 I116:I118 I120:I122 I124:I126 I99:I106 I19:I33 I11:I14 I49:I52 I77:I79 I61:I71 I6:I8 I54 I42:I47 I37:I40 I94:I96 I89:I92" xr:uid="{00000000-0002-0000-0300-000030000000}">
      <formula1>Data_confidence</formula1>
    </dataValidation>
    <dataValidation allowBlank="1" showInputMessage="1" showErrorMessage="1" prompt="This cell is automatically calculated based on other supplied data. " sqref="H97:H98 H107:H108 H111:H115 H119 H123 H127 H91 H36 H39:H41 H44 H46 H49:H50 H52:H54" xr:uid="{00000000-0002-0000-0300-000031000000}"/>
    <dataValidation allowBlank="1" showInputMessage="1" showErrorMessage="1" prompt="If there is only one wastewater treatment plant, enter data in this column. If there are multiple wastewater treatment plants enter the percentage of sludge disposed of to various routes in the columns to the right." sqref="H21:H23" xr:uid="{00000000-0002-0000-0300-000032000000}"/>
    <dataValidation allowBlank="1" showInputMessage="1" showErrorMessage="1" prompt="Detail on complaints definitions is included in the defintion guidelines." sqref="H89:H90 H38:H41 H44 H52:H54 H49:H50 H46" xr:uid="{00000000-0002-0000-0300-000033000000}"/>
    <dataValidation allowBlank="1" showInputMessage="1" showErrorMessage="1" prompt="Number of wastewater pump stations before the first stage of wastewater treatment process." sqref="H6" xr:uid="{00000000-0002-0000-0300-000034000000}"/>
    <dataValidation type="list" allowBlank="1" showInputMessage="1" showErrorMessage="1" prompt="For oxidation sludge ponds that have not been desludged in the financial year enter the last year that the pond was desludged. Otherwise leave blank. If only one treatment plant enter comments in this column, otherwise include in columns to the right." sqref="H17" xr:uid="{00000000-0002-0000-0300-000035000000}">
      <formula1>Consent_status</formula1>
    </dataValidation>
    <dataValidation allowBlank="1" showInputMessage="1" showErrorMessage="1" prompt="The number of companies who breached their trade waste consent once or more during the reporting period. " sqref="H78" xr:uid="{00000000-0002-0000-0300-000036000000}"/>
    <dataValidation allowBlank="1" showInputMessage="1" showErrorMessage="1" prompt="The number of individual trade waste consents with commercial customers. If all trade waste activities are covered by the bylaw list as zero." sqref="H77" xr:uid="{00000000-0002-0000-0300-000037000000}"/>
    <dataValidation allowBlank="1" showInputMessage="1" showErrorMessage="1" prompt="Total number of wastewater treatment plants." sqref="H9" xr:uid="{00000000-0002-0000-0300-000038000000}"/>
    <dataValidation allowBlank="1" showInputMessage="1" showErrorMessage="1" prompt="Length of public wastewater piped reticulation (gravity and pressure). This includes all trunks, reticulation mains and service leads up to the point of supply but does not include customers private laterals or pipes carrying treated effluent." sqref="H7" xr:uid="{00000000-0002-0000-0300-000039000000}"/>
    <dataValidation allowBlank="1" showInputMessage="1" showErrorMessage="1" prompt="Length of the piped reticulation network that has been designed to receive both stormwater and wastewater." sqref="H8 H26" xr:uid="{00000000-0002-0000-0300-00003A000000}"/>
    <dataValidation allowBlank="1" showInputMessage="1" showErrorMessage="1" prompt="Wastewater treatment plant name. If there is more than one wastewater treatment plant, enter the names of each in columns to the right." sqref="H10" xr:uid="{00000000-0002-0000-0300-00003B000000}"/>
    <dataValidation allowBlank="1" showInputMessage="1" showErrorMessage="1" prompt="Cubic meters of wastewater recieved at the treatment plant. If there is more than one treatment plant enter volumes in the columns to the right." sqref="H11" xr:uid="{00000000-0002-0000-0300-00003C000000}"/>
    <dataValidation allowBlank="1" showInputMessage="1" showErrorMessage="1" prompt="Volume of wastewater produced outside the organisations jurisdiction that is piped in for treatment at the Council's WWTPs (if any). Does not include tankered waste." sqref="H13" xr:uid="{00000000-0002-0000-0300-00003D000000}"/>
    <dataValidation allowBlank="1" showInputMessage="1" showErrorMessage="1" prompt="Volume of wastewater produced in area under the organisations jurisdiction that is piped to an adjacent Council's WWTP (if any). Does not include tankered waste." sqref="H14" xr:uid="{00000000-0002-0000-0300-00003E000000}"/>
    <dataValidation allowBlank="1" showInputMessage="1" showErrorMessage="1" prompt="The number of consents related to each wastewater treatment plant. If there is more than one treatment plant enter values in the columns to the right." sqref="H15" xr:uid="{00000000-0002-0000-0300-00003F000000}"/>
    <dataValidation allowBlank="1" showInputMessage="1" showErrorMessage="1" prompt="Expiry dates for each of the consents listed in WWA7g." sqref="H16" xr:uid="{00000000-0002-0000-0300-000040000000}"/>
    <dataValidation allowBlank="1" showInputMessage="1" showErrorMessage="1" prompt="The average percentage of dry solids in wet sludge listed in measure WWA7j-1." sqref="H20" xr:uid="{00000000-0002-0000-0300-000041000000}"/>
    <dataValidation allowBlank="1" showInputMessage="1" showErrorMessage="1" prompt="If more than one wastewater treatment plant enter the data in columns to the right. Provide details on what sludge has been reused for in comments. Landfill capping is considered reuse. Sludge reduction and stockpilling are not." sqref="H23" xr:uid="{00000000-0002-0000-0300-000042000000}"/>
    <dataValidation allowBlank="1" showInputMessage="1" showErrorMessage="1" prompt="If more than one wastewater treatment plant enter data in columns to the right." sqref="H21" xr:uid="{00000000-0002-0000-0300-000043000000}"/>
    <dataValidation allowBlank="1" showInputMessage="1" showErrorMessage="1" prompt="Tonnes of carbon dioxide equivalent greenhouse gas emissions generated by methane and nitrous oxide arising from wastewater treatment processes. Detail is provided in the definition guide. Provide the methodology and/or emissions factors in the comments." sqref="H27:H31" xr:uid="{00000000-0002-0000-0300-000044000000}"/>
    <dataValidation allowBlank="1" showInputMessage="1" showErrorMessage="1" prompt="This cell is calculated automatically based on other supplied data. " sqref="H35" xr:uid="{00000000-0002-0000-0300-000045000000}"/>
    <dataValidation allowBlank="1" showInputMessage="1" showErrorMessage="1" prompt="This cell is automatically calculated based on other supplied data. It can be overwritten if a more accurage value is available." sqref="H35" xr:uid="{00000000-0002-0000-0300-000046000000}"/>
    <dataValidation allowBlank="1" showInputMessage="1" showErrorMessage="1" prompt="This cell is calculated automatically based on other supplied data. If a more accurate population estimate is available the cell may be overwritten." sqref="H34" xr:uid="{00000000-0002-0000-0300-000047000000}"/>
    <dataValidation allowBlank="1" showInputMessage="1" showErrorMessage="1" prompt="The time from when an authority recieved notification of a fault in the sewerage system to the time that service personeel reach the site." sqref="H37" xr:uid="{00000000-0002-0000-0300-000048000000}"/>
    <dataValidation allowBlank="1" showInputMessage="1" showErrorMessage="1" prompt="The percentage of above and below ground pipelines, by length, that have recieved a conditiong grading using a standardised structure. Include information on the apporach in the comments." sqref="H42" xr:uid="{00000000-0002-0000-0300-000049000000}"/>
    <dataValidation allowBlank="1" showInputMessage="1" showErrorMessage="1" prompt="The percentage of pipelines, above and below ground, by length, that have recieved a poor or very poor condition grade. The definitions of poor and very poor should align with the IPWEA IIMM manual. If they do not, list deviations in the comments." sqref="H43" xr:uid="{00000000-0002-0000-0300-00004A000000}"/>
    <dataValidation allowBlank="1" showInputMessage="1" showErrorMessage="1" prompt="Percentage of the network that has been inspected using CCTV in the last 5 years." sqref="H45" xr:uid="{00000000-0002-0000-0300-00004B000000}"/>
    <dataValidation allowBlank="1" showInputMessage="1" showErrorMessage="1" prompt="The percentage of above ground assets, defined in WWA6, that have recieved a poor or very poor condition grade, in alignment with the defintion in the IPWEA IIMM. If condition grades do not adhere to the definition, note deviations in the comments." sqref="H47" xr:uid="{00000000-0002-0000-0300-00004C000000}"/>
    <dataValidation allowBlank="1" showInputMessage="1" showErrorMessage="1" prompt="This field is calculated automatically by summing overflows related to blockages or plant failures. If overflows have occured related to causes other than this or wet weather, overwrite formula and provide overflow cause in the comments." sqref="H48" xr:uid="{00000000-0002-0000-0300-00004D000000}"/>
    <dataValidation allowBlank="1" showInputMessage="1" showErrorMessage="1" prompt="Include all overflows, both contained and uncontained, that have resulted from wet weather events. Include details in the definitions guidelines." sqref="H51" xr:uid="{00000000-0002-0000-0300-00004E000000}"/>
    <dataValidation allowBlank="1" showInputMessage="1" showErrorMessage="1" prompt="The number of formal warnings recieved in relation to wastewater discharge consent non-compliance." sqref="H68" xr:uid="{00000000-0002-0000-0300-00004F000000}"/>
    <dataValidation allowBlank="1" showInputMessage="1" showErrorMessage="1" prompt="The number of letters of direction recieved in relation to wastewater discharge consent non-compliance." sqref="H67" xr:uid="{00000000-0002-0000-0300-000050000000}"/>
    <dataValidation allowBlank="1" showInputMessage="1" showErrorMessage="1" prompt="The number of breaches of wastewater network consent conditions. Include an outline of non-conformances in the comments field. Further detail in the definition guide." sqref="H66" xr:uid="{00000000-0002-0000-0300-000051000000}"/>
    <dataValidation allowBlank="1" showInputMessage="1" showErrorMessage="1" prompt="The number of breaches of wastewater discharge consent requirements. Include an outline of non-conformances in the comments field. Further detail in the definition guide." sqref="H65" xr:uid="{00000000-0002-0000-0300-000052000000}"/>
    <dataValidation allowBlank="1" showInputMessage="1" showErrorMessage="1" prompt="The number of enforcement orders recived in relation to wastewater discharge consents." sqref="H63" xr:uid="{00000000-0002-0000-0300-000053000000}"/>
    <dataValidation allowBlank="1" showInputMessage="1" showErrorMessage="1" prompt="The number of infringement notices recived in relation to wastewater discharge consents." sqref="H62" xr:uid="{00000000-0002-0000-0300-000054000000}"/>
    <dataValidation allowBlank="1" showInputMessage="1" showErrorMessage="1" prompt="The number of abaement notices recived in relation to wastewater discharge consents." sqref="H61" xr:uid="{00000000-0002-0000-0300-000055000000}"/>
    <dataValidation allowBlank="1" showInputMessage="1" showErrorMessage="1" prompt="The total grid-sourced electricity consumed by wastewater pumps, water treatment plants, and other network components. Do not include electricity use related to fleet vehicles or offices.  " sqref="H69" xr:uid="{00000000-0002-0000-0300-000056000000}"/>
    <dataValidation allowBlank="1" showInputMessage="1" showErrorMessage="1" prompt="The total energy consumed from all sources other than electricity (e.g. biomass, diesel or gas) by wastewater pumps, water treatment plants, and other network components." sqref="H70" xr:uid="{00000000-0002-0000-0300-000057000000}"/>
    <dataValidation allowBlank="1" showInputMessage="1" showErrorMessage="1" prompt="The total energy generated onsite (e.g. using anaerobic digestion, or collaction of renewables). Include the source of energy generation in the comments." sqref="H71" xr:uid="{00000000-0002-0000-0300-000058000000}"/>
    <dataValidation allowBlank="1" showInputMessage="1" showErrorMessage="1" prompt="The percentage of above ground assets that have recieved a poor or very poor condition grade, in alignment with the defintion in the IPWEA IIMM. If condition grades do not adhere to the definition, note deviations in the comments." sqref="H47" xr:uid="{00000000-0002-0000-0300-000059000000}"/>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xWindow="940" yWindow="368" count="13">
        <x14:dataValidation type="list" allowBlank="1" showInputMessage="1" showErrorMessage="1" prompt="The document used to specify design standards for sewer network capacity." xr:uid="{00000000-0002-0000-0300-00005B000000}">
          <x14:formula1>
            <xm:f>'Data lists'!$L$1:$L$3</xm:f>
          </x14:formula1>
          <xm:sqref>H55</xm:sqref>
        </x14:dataValidation>
        <x14:dataValidation type="list" allowBlank="1" showInputMessage="1" showErrorMessage="1" prompt="If the organisation has a specified standard for containing diluted sewage to prevent overflows during wet weather, indicate where these are specified and provide details in the comments field." xr:uid="{00000000-0002-0000-0300-00005C000000}">
          <x14:formula1>
            <xm:f>'Data lists'!$N$2:$N$5</xm:f>
          </x14:formula1>
          <xm:sqref>H56</xm:sqref>
        </x14:dataValidation>
        <x14:dataValidation type="list" allowBlank="1" showInputMessage="1" showErrorMessage="1" prompt="If trade waste customers are charged for individual contaminants e.g. suspended solids, biological oxygen demand, metals etc. Include individual charges in the comments field. " xr:uid="{00000000-0002-0000-0300-00005D000000}">
          <x14:formula1>
            <xm:f>'Data lists'!$H$1:$H$2</xm:f>
          </x14:formula1>
          <xm:sqref>H83</xm:sqref>
        </x14:dataValidation>
        <x14:dataValidation type="list" allowBlank="1" showInputMessage="1" showErrorMessage="1" xr:uid="{00000000-0002-0000-0300-00005E000000}">
          <x14:formula1>
            <xm:f>'Data lists'!$K$1:$K$2</xm:f>
          </x14:formula1>
          <xm:sqref>H57:H60</xm:sqref>
        </x14:dataValidation>
        <x14:dataValidation type="list" allowBlank="1" showInputMessage="1" showErrorMessage="1" prompt="The regulatory approach for managing wet weather overflows from the wastewater network (do not include wet weather-related bypasses at treatment plants)." xr:uid="{00000000-0002-0000-0300-00005F000000}">
          <x14:formula1>
            <xm:f>'Data lists'!$M$1:$M$4</xm:f>
          </x14:formula1>
          <xm:sqref>H18</xm:sqref>
        </x14:dataValidation>
        <x14:dataValidation type="list" allowBlank="1" showInputMessage="1" showErrorMessage="1" prompt="This cell is automatically calculated based on other supplied data. " xr:uid="{00000000-0002-0000-0300-000060000000}">
          <x14:formula1>
            <xm:f>'Data lists'!$L$1:$L$3</xm:f>
          </x14:formula1>
          <xm:sqref>H55</xm:sqref>
        </x14:dataValidation>
        <x14:dataValidation type="list" allowBlank="1" showInputMessage="1" showErrorMessage="1" prompt="If the organisation has a specified standard for containing diluted sewage to prevent overflows during wet weather, indicate where these are specified and provide details in the comments field." xr:uid="{00000000-0002-0000-0300-000061000000}">
          <x14:formula1>
            <xm:f>'Data lists'!$N$1:$N$5</xm:f>
          </x14:formula1>
          <xm:sqref>H56</xm:sqref>
        </x14:dataValidation>
        <x14:dataValidation type="list" allowBlank="1" showInputMessage="1" showErrorMessage="1" prompt="If the organisation has a specified standard for containing diluted sewage to prevent overflows during wet weather, indicate where these are specified and provide details in the comments field" xr:uid="{00000000-0002-0000-0300-000062000000}">
          <x14:formula1>
            <xm:f>'Data lists'!$N$1:$N$5</xm:f>
          </x14:formula1>
          <xm:sqref>H56</xm:sqref>
        </x14:dataValidation>
        <x14:dataValidation type="list" allowBlank="1" showInputMessage="1" showErrorMessage="1" prompt="A yes, no response to indicate if a risk assessment has been undertaken to assess risks climate change poses to the wastewater network. If yes, include top three identified risks in the comments field." xr:uid="{00000000-0002-0000-0300-000063000000}">
          <x14:formula1>
            <xm:f>'Data lists'!$K$1:$K$2</xm:f>
          </x14:formula1>
          <xm:sqref>H72</xm:sqref>
        </x14:dataValidation>
        <x14:dataValidation type="list" allowBlank="1" showInputMessage="1" showErrorMessage="1" prompt="A yes/no response to indicate if a climate adaptation plan has been undertaken to address the risks identified in WSCC1. Provide relevant detail in the comments." xr:uid="{00000000-0002-0000-0300-000064000000}">
          <x14:formula1>
            <xm:f>'Data lists'!$K$1:$K$2</xm:f>
          </x14:formula1>
          <xm:sqref>H73</xm:sqref>
        </x14:dataValidation>
        <x14:dataValidation type="list" allowBlank="1" showInputMessage="1" showErrorMessage="1" prompt="A yes/no response indicating if a greenhouse gas emissions baseline has been developed for forecast operational and capital expenditure. Further references are provided in the definition guide." xr:uid="{00000000-0002-0000-0300-000065000000}">
          <x14:formula1>
            <xm:f>'Data lists'!$K$1:$K$2</xm:f>
          </x14:formula1>
          <xm:sqref>H74</xm:sqref>
        </x14:dataValidation>
        <x14:dataValidation type="list" allowBlank="1" showInputMessage="1" showErrorMessage="1" prompt="A yes/no response indicating whether a comprehensive assessment of critical assets has been undertaken. A definition of critical assets is provided in the definitions guideline." xr:uid="{00000000-0002-0000-0300-000066000000}">
          <x14:formula1>
            <xm:f>'Data lists'!$K$1:$K$2</xm:f>
          </x14:formula1>
          <xm:sqref>H75</xm:sqref>
        </x14:dataValidation>
        <x14:dataValidation type="list" allowBlank="1" showInputMessage="1" showErrorMessage="1" prompt="A yes/no response to indicate if a tradewaste bylaw is in place." xr:uid="{00000000-0002-0000-0300-000067000000}">
          <x14:formula1>
            <xm:f>'Data lists'!$K$1:$K$2</xm:f>
          </x14:formula1>
          <xm:sqref>H76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sheetPr>
  <dimension ref="B2:N80"/>
  <sheetViews>
    <sheetView showGridLines="0" topLeftCell="E30" zoomScale="85" zoomScaleNormal="85" workbookViewId="0">
      <selection activeCell="G51" sqref="G51"/>
    </sheetView>
  </sheetViews>
  <sheetFormatPr defaultRowHeight="14.25"/>
  <cols>
    <col min="1" max="1" width="12.140625" customWidth="1"/>
    <col min="2" max="2" width="57.7109375" style="48" hidden="1" customWidth="1"/>
    <col min="3" max="3" width="21.5703125" style="2" customWidth="1"/>
    <col min="4" max="4" width="12.42578125" customWidth="1"/>
    <col min="5" max="5" width="118.85546875" bestFit="1" customWidth="1"/>
    <col min="6" max="7" width="21.85546875" style="1" customWidth="1"/>
    <col min="8" max="8" width="15.7109375" customWidth="1"/>
    <col min="9" max="9" width="17.7109375" customWidth="1"/>
    <col min="10" max="10" width="30.7109375" customWidth="1"/>
    <col min="11" max="11" width="15.7109375" customWidth="1"/>
    <col min="12" max="12" width="30.7109375" customWidth="1"/>
    <col min="13" max="14" width="30.7109375" hidden="1" customWidth="1"/>
  </cols>
  <sheetData>
    <row r="2" spans="2:14" ht="19.5">
      <c r="C2" s="29" t="str">
        <f>INSTRUCTIONS!B2</f>
        <v>National Performance Review 2021/22</v>
      </c>
      <c r="D2" s="2"/>
      <c r="H2" s="1"/>
      <c r="I2" s="1"/>
      <c r="J2" s="1"/>
      <c r="K2" s="1"/>
      <c r="L2" s="1"/>
      <c r="M2" s="1"/>
      <c r="N2" s="1"/>
    </row>
    <row r="3" spans="2:14" ht="23.65" thickBot="1">
      <c r="C3" s="30" t="s">
        <v>780</v>
      </c>
      <c r="D3" s="30" t="str">
        <f>Common!E3</f>
        <v>Queenstown-Lakes</v>
      </c>
      <c r="E3" s="30"/>
      <c r="H3" s="1"/>
      <c r="I3" s="1"/>
      <c r="J3" s="1"/>
      <c r="K3" s="1"/>
      <c r="L3" s="1"/>
      <c r="M3" s="1"/>
      <c r="N3" s="1"/>
    </row>
    <row r="4" spans="2:14" ht="14.65" thickTop="1">
      <c r="C4" s="31"/>
      <c r="D4" s="2"/>
      <c r="H4" s="1"/>
      <c r="I4" s="1"/>
      <c r="J4" s="1"/>
      <c r="K4" s="1"/>
      <c r="L4" s="1"/>
      <c r="M4" s="1"/>
      <c r="N4" s="1"/>
    </row>
    <row r="5" spans="2:14">
      <c r="B5" s="48" t="s">
        <v>50</v>
      </c>
      <c r="C5" s="50" t="s">
        <v>51</v>
      </c>
      <c r="D5" s="18" t="s">
        <v>9</v>
      </c>
      <c r="E5" s="37" t="s">
        <v>11</v>
      </c>
      <c r="F5" s="17" t="s">
        <v>12</v>
      </c>
      <c r="G5" s="17" t="s">
        <v>14</v>
      </c>
      <c r="H5" s="17" t="s">
        <v>15</v>
      </c>
      <c r="I5" s="368" t="s">
        <v>16</v>
      </c>
      <c r="J5" s="17" t="s">
        <v>18</v>
      </c>
      <c r="K5" s="17" t="s">
        <v>17</v>
      </c>
      <c r="L5" s="17" t="s">
        <v>19</v>
      </c>
      <c r="M5" s="17" t="s">
        <v>52</v>
      </c>
      <c r="N5" s="17" t="s">
        <v>53</v>
      </c>
    </row>
    <row r="6" spans="2:14" ht="20.100000000000001" customHeight="1" thickBot="1">
      <c r="B6" s="104" t="str">
        <f t="shared" ref="B6:B11" si="0">E6&amp;" ["&amp;D6&amp;"]"</f>
        <v>Total Length of Public Stormwater Network [SWA1a]</v>
      </c>
      <c r="C6" s="32" t="s">
        <v>781</v>
      </c>
      <c r="D6" s="53" t="s">
        <v>782</v>
      </c>
      <c r="E6" s="39" t="s">
        <v>783</v>
      </c>
      <c r="F6" s="36" t="s">
        <v>164</v>
      </c>
      <c r="G6" s="36">
        <f>'Previous years'!I4</f>
        <v>420.86</v>
      </c>
      <c r="H6" s="211">
        <v>445.07</v>
      </c>
      <c r="I6" s="370" t="s">
        <v>150</v>
      </c>
      <c r="J6" s="369" t="s">
        <v>150</v>
      </c>
      <c r="K6" s="9" t="s">
        <v>64</v>
      </c>
      <c r="L6" s="10" t="s">
        <v>151</v>
      </c>
      <c r="M6" s="761" t="s">
        <v>784</v>
      </c>
      <c r="N6" s="92"/>
    </row>
    <row r="7" spans="2:14" ht="20.100000000000001" customHeight="1" thickBot="1">
      <c r="B7" s="104" t="str">
        <f t="shared" si="0"/>
        <v>Stormwater Pump Stations [SWA7]</v>
      </c>
      <c r="C7" s="248" t="s">
        <v>152</v>
      </c>
      <c r="D7" s="70" t="s">
        <v>785</v>
      </c>
      <c r="E7" s="71" t="s">
        <v>786</v>
      </c>
      <c r="F7" s="74" t="s">
        <v>61</v>
      </c>
      <c r="G7" s="74">
        <f>'Previous years'!I5</f>
        <v>0</v>
      </c>
      <c r="H7" s="363"/>
      <c r="I7" s="370"/>
      <c r="J7" s="363" t="s">
        <v>64</v>
      </c>
      <c r="K7" s="75"/>
      <c r="L7" s="75"/>
      <c r="M7" s="360"/>
      <c r="N7" s="360"/>
    </row>
    <row r="8" spans="2:14" ht="20.100000000000001" customHeight="1">
      <c r="B8" s="104" t="str">
        <f t="shared" si="0"/>
        <v>Stormwater Serviced Properties - Residential [SWB2]</v>
      </c>
      <c r="C8" s="32" t="s">
        <v>781</v>
      </c>
      <c r="D8" s="34" t="s">
        <v>787</v>
      </c>
      <c r="E8" s="38" t="s">
        <v>788</v>
      </c>
      <c r="F8" s="35" t="s">
        <v>61</v>
      </c>
      <c r="G8" s="35">
        <f>'Previous years'!I6</f>
        <v>25552</v>
      </c>
      <c r="H8" s="11">
        <f>1.05*G8</f>
        <v>26829.600000000002</v>
      </c>
      <c r="I8" s="371" t="s">
        <v>33</v>
      </c>
      <c r="J8" s="11" t="s">
        <v>180</v>
      </c>
      <c r="K8" s="12" t="s">
        <v>332</v>
      </c>
      <c r="L8" s="12"/>
      <c r="M8" s="91"/>
      <c r="N8" s="91"/>
    </row>
    <row r="9" spans="2:14" ht="20.100000000000001" customHeight="1">
      <c r="B9" s="104" t="str">
        <f t="shared" si="0"/>
        <v>Stormwater Serviced Properties - Non-residential [SWB3]</v>
      </c>
      <c r="C9" s="32" t="s">
        <v>186</v>
      </c>
      <c r="D9" s="34" t="s">
        <v>789</v>
      </c>
      <c r="E9" s="38" t="s">
        <v>790</v>
      </c>
      <c r="F9" s="36" t="s">
        <v>61</v>
      </c>
      <c r="G9" s="36">
        <f>'Previous years'!I7</f>
        <v>2127</v>
      </c>
      <c r="H9" s="11">
        <f>1.05*G9</f>
        <v>2233.35</v>
      </c>
      <c r="I9" s="371" t="s">
        <v>33</v>
      </c>
      <c r="J9" s="11" t="s">
        <v>180</v>
      </c>
      <c r="K9" s="12" t="s">
        <v>332</v>
      </c>
      <c r="L9" s="12"/>
      <c r="M9" s="91"/>
      <c r="N9" s="91"/>
    </row>
    <row r="10" spans="2:14" ht="20.100000000000001" customHeight="1">
      <c r="B10" s="104" t="str">
        <f t="shared" si="0"/>
        <v>Stormwater Serviced Population [SWB1]</v>
      </c>
      <c r="C10" s="32"/>
      <c r="D10" s="53" t="s">
        <v>791</v>
      </c>
      <c r="E10" s="39" t="s">
        <v>792</v>
      </c>
      <c r="F10" s="36" t="s">
        <v>61</v>
      </c>
      <c r="G10" s="774">
        <f>'Previous years'!I8</f>
        <v>43065.168539325838</v>
      </c>
      <c r="H10" s="364">
        <f>IFERROR(Common!H11*Stormwater!H8,"")</f>
        <v>46044.260943718029</v>
      </c>
      <c r="I10" s="372" t="s">
        <v>72</v>
      </c>
      <c r="J10" s="28"/>
      <c r="K10" s="23"/>
      <c r="L10" s="23"/>
      <c r="M10" s="92"/>
      <c r="N10" s="92"/>
    </row>
    <row r="11" spans="2:14" ht="20.100000000000001" customHeight="1" thickBot="1">
      <c r="B11" s="104" t="str">
        <f t="shared" si="0"/>
        <v>Total Stormwater Serviced Properties [SWB4]</v>
      </c>
      <c r="C11" s="69"/>
      <c r="D11" s="70" t="s">
        <v>793</v>
      </c>
      <c r="E11" s="71" t="s">
        <v>794</v>
      </c>
      <c r="F11" s="70" t="s">
        <v>61</v>
      </c>
      <c r="G11" s="70">
        <f>'Previous years'!I9</f>
        <v>27679</v>
      </c>
      <c r="H11" s="73">
        <f>IF(NOT(COUNTA(H8:H9)),"",SUM(H8:H9))</f>
        <v>29062.95</v>
      </c>
      <c r="I11" s="373" t="s">
        <v>72</v>
      </c>
      <c r="J11" s="73"/>
      <c r="K11" s="73"/>
      <c r="L11" s="72"/>
      <c r="M11" s="360"/>
      <c r="N11" s="360"/>
    </row>
    <row r="12" spans="2:14" ht="20.100000000000001" customHeight="1">
      <c r="B12" s="104" t="str">
        <f t="shared" ref="B12:B70" si="1">E12&amp;" ["&amp;D12&amp;"]"</f>
        <v>Percentage of pipelines that have received a condition grading [SWA2f]</v>
      </c>
      <c r="C12" s="32" t="s">
        <v>603</v>
      </c>
      <c r="D12" s="148" t="s">
        <v>795</v>
      </c>
      <c r="E12" s="249" t="s">
        <v>264</v>
      </c>
      <c r="F12" s="154" t="s">
        <v>109</v>
      </c>
      <c r="G12" s="457"/>
      <c r="H12" s="398"/>
      <c r="I12" s="371"/>
      <c r="J12" s="11" t="s">
        <v>514</v>
      </c>
      <c r="K12" s="12"/>
      <c r="L12" s="12"/>
      <c r="M12" s="91"/>
      <c r="N12" s="91"/>
    </row>
    <row r="13" spans="2:14" ht="20.100000000000001" customHeight="1">
      <c r="B13" s="104" t="str">
        <f t="shared" si="1"/>
        <v>Percentage of pipelines in poor or very poor condition [SWA2d]</v>
      </c>
      <c r="C13" s="33"/>
      <c r="D13" s="148" t="s">
        <v>796</v>
      </c>
      <c r="E13" s="249" t="s">
        <v>267</v>
      </c>
      <c r="F13" s="154" t="s">
        <v>109</v>
      </c>
      <c r="G13" s="457"/>
      <c r="H13" s="398"/>
      <c r="I13" s="369"/>
      <c r="J13" s="11" t="s">
        <v>514</v>
      </c>
      <c r="K13" s="12"/>
      <c r="L13" s="12"/>
      <c r="M13" s="91"/>
      <c r="N13" s="91"/>
    </row>
    <row r="14" spans="2:14" ht="20.100000000000001" customHeight="1">
      <c r="B14" s="104" t="str">
        <f t="shared" si="1"/>
        <v>Average Age of Stormwater Pipelines [SWA3]</v>
      </c>
      <c r="C14" s="32"/>
      <c r="D14" s="53" t="s">
        <v>797</v>
      </c>
      <c r="E14" s="39" t="s">
        <v>798</v>
      </c>
      <c r="F14" s="36" t="s">
        <v>271</v>
      </c>
      <c r="G14" s="36">
        <f>'Previous years'!I12</f>
        <v>23.43</v>
      </c>
      <c r="H14" s="11">
        <v>25.3</v>
      </c>
      <c r="I14" s="371" t="s">
        <v>150</v>
      </c>
      <c r="J14" s="11" t="s">
        <v>514</v>
      </c>
      <c r="K14" s="12" t="s">
        <v>272</v>
      </c>
      <c r="L14" s="91" t="s">
        <v>799</v>
      </c>
      <c r="M14" s="92"/>
      <c r="N14" s="92"/>
    </row>
    <row r="15" spans="2:14" ht="20.100000000000001" customHeight="1">
      <c r="B15" s="104"/>
      <c r="C15" s="32"/>
      <c r="D15" s="53" t="s">
        <v>800</v>
      </c>
      <c r="E15" s="38" t="s">
        <v>801</v>
      </c>
      <c r="F15" s="35" t="s">
        <v>109</v>
      </c>
      <c r="G15" s="36" t="str">
        <f>'Previous years'!I14</f>
        <v/>
      </c>
      <c r="H15" s="398"/>
      <c r="I15" s="374"/>
      <c r="J15" s="11" t="s">
        <v>514</v>
      </c>
      <c r="K15" s="11"/>
      <c r="L15" s="91"/>
      <c r="M15" s="92"/>
      <c r="N15" s="92"/>
    </row>
    <row r="16" spans="2:14" ht="20.100000000000001" customHeight="1">
      <c r="B16" s="104" t="str">
        <f t="shared" si="1"/>
        <v>Percentage of above ground stormwater assets that have received a condition grading [SWA5c]</v>
      </c>
      <c r="C16" s="33"/>
      <c r="D16" s="148" t="s">
        <v>802</v>
      </c>
      <c r="E16" s="249" t="s">
        <v>803</v>
      </c>
      <c r="F16" s="148" t="s">
        <v>109</v>
      </c>
      <c r="G16" s="458"/>
      <c r="H16" s="398"/>
      <c r="I16" s="374"/>
      <c r="J16" s="11" t="s">
        <v>514</v>
      </c>
      <c r="K16" s="11"/>
      <c r="L16" s="12"/>
      <c r="M16" s="91"/>
      <c r="N16" s="91"/>
    </row>
    <row r="17" spans="2:14" ht="20.100000000000001" customHeight="1" thickBot="1">
      <c r="B17" s="104" t="str">
        <f t="shared" si="1"/>
        <v>Percentage of above ground assets in poor of very poor condition [SWA5d]</v>
      </c>
      <c r="C17" s="69"/>
      <c r="D17" s="151" t="s">
        <v>804</v>
      </c>
      <c r="E17" s="250" t="s">
        <v>805</v>
      </c>
      <c r="F17" s="151" t="s">
        <v>109</v>
      </c>
      <c r="G17" s="459"/>
      <c r="H17" s="399"/>
      <c r="I17" s="370"/>
      <c r="J17" s="363" t="s">
        <v>514</v>
      </c>
      <c r="K17" s="75"/>
      <c r="L17" s="75"/>
      <c r="M17" s="360"/>
      <c r="N17" s="360"/>
    </row>
    <row r="18" spans="2:14" ht="20.100000000000001" customHeight="1">
      <c r="B18" s="104" t="str">
        <f t="shared" si="1"/>
        <v>Number of stormwater discharges from the piped network [SWE1a]</v>
      </c>
      <c r="C18" s="32" t="s">
        <v>806</v>
      </c>
      <c r="D18" s="53" t="s">
        <v>807</v>
      </c>
      <c r="E18" s="39" t="s">
        <v>808</v>
      </c>
      <c r="F18" s="36" t="s">
        <v>61</v>
      </c>
      <c r="G18" s="36">
        <f>'Previous years'!I16</f>
        <v>510</v>
      </c>
      <c r="H18" s="9">
        <f>G18</f>
        <v>510</v>
      </c>
      <c r="I18" s="369" t="s">
        <v>150</v>
      </c>
      <c r="J18" s="11" t="s">
        <v>514</v>
      </c>
      <c r="K18" s="10"/>
      <c r="L18" s="358" t="s">
        <v>809</v>
      </c>
      <c r="M18" s="92"/>
      <c r="N18" s="92"/>
    </row>
    <row r="19" spans="2:14" ht="20.100000000000001" customHeight="1" thickBot="1">
      <c r="B19" s="104" t="str">
        <f t="shared" si="1"/>
        <v>Number of stormwater discharges with resource consents [SWE1b]</v>
      </c>
      <c r="C19" s="69" t="s">
        <v>806</v>
      </c>
      <c r="D19" s="70" t="s">
        <v>810</v>
      </c>
      <c r="E19" s="76" t="s">
        <v>811</v>
      </c>
      <c r="F19" s="80" t="s">
        <v>61</v>
      </c>
      <c r="G19" s="80">
        <f>'Previous years'!I17</f>
        <v>0</v>
      </c>
      <c r="H19" s="363"/>
      <c r="I19" s="370"/>
      <c r="J19" s="11" t="s">
        <v>514</v>
      </c>
      <c r="K19" s="75"/>
      <c r="L19" s="359"/>
      <c r="M19" s="360"/>
      <c r="N19" s="360"/>
    </row>
    <row r="20" spans="2:14" ht="20.100000000000001" customHeight="1">
      <c r="B20" s="104" t="str">
        <f t="shared" si="1"/>
        <v>Stormwater consent abatement notices [SWE2a]</v>
      </c>
      <c r="C20" s="32" t="s">
        <v>643</v>
      </c>
      <c r="D20" s="53" t="s">
        <v>812</v>
      </c>
      <c r="E20" s="47" t="s">
        <v>813</v>
      </c>
      <c r="F20" s="53" t="s">
        <v>61</v>
      </c>
      <c r="G20" s="53">
        <f>'Previous years'!I18</f>
        <v>0</v>
      </c>
      <c r="H20" s="9">
        <v>0</v>
      </c>
      <c r="I20" s="375"/>
      <c r="J20" s="9" t="s">
        <v>514</v>
      </c>
      <c r="K20" s="9"/>
      <c r="L20" s="92"/>
      <c r="M20" s="92"/>
      <c r="N20" s="92"/>
    </row>
    <row r="21" spans="2:14" ht="20.100000000000001" customHeight="1">
      <c r="B21" s="104" t="str">
        <f t="shared" si="1"/>
        <v>Stormwater consent infringement notices [SWE2b]</v>
      </c>
      <c r="C21" s="33" t="s">
        <v>643</v>
      </c>
      <c r="D21" s="34" t="s">
        <v>814</v>
      </c>
      <c r="E21" s="44" t="s">
        <v>815</v>
      </c>
      <c r="F21" s="35" t="s">
        <v>61</v>
      </c>
      <c r="G21" s="35">
        <f>'Previous years'!I19</f>
        <v>0</v>
      </c>
      <c r="H21" s="11">
        <v>0</v>
      </c>
      <c r="I21" s="371"/>
      <c r="J21" s="11" t="s">
        <v>514</v>
      </c>
      <c r="K21" s="12"/>
      <c r="L21" s="91"/>
      <c r="M21" s="91"/>
      <c r="N21" s="91"/>
    </row>
    <row r="22" spans="2:14" ht="20.100000000000001" customHeight="1">
      <c r="B22" s="104" t="str">
        <f t="shared" si="1"/>
        <v>Stormwater consent enforcement orders [SWE2c]</v>
      </c>
      <c r="C22" s="33" t="s">
        <v>643</v>
      </c>
      <c r="D22" s="34" t="s">
        <v>816</v>
      </c>
      <c r="E22" s="44" t="s">
        <v>817</v>
      </c>
      <c r="F22" s="35" t="s">
        <v>61</v>
      </c>
      <c r="G22" s="35">
        <f>'Previous years'!I20</f>
        <v>0</v>
      </c>
      <c r="H22" s="11">
        <v>0</v>
      </c>
      <c r="I22" s="371"/>
      <c r="J22" s="11" t="s">
        <v>514</v>
      </c>
      <c r="K22" s="12"/>
      <c r="L22" s="91"/>
      <c r="M22" s="91"/>
      <c r="N22" s="91"/>
    </row>
    <row r="23" spans="2:14" ht="20.100000000000001" customHeight="1">
      <c r="B23" s="104" t="str">
        <f t="shared" si="1"/>
        <v>Stormwater successful prosecutions [SWE2d]</v>
      </c>
      <c r="C23" s="33" t="s">
        <v>643</v>
      </c>
      <c r="D23" s="34" t="s">
        <v>818</v>
      </c>
      <c r="E23" s="44" t="s">
        <v>819</v>
      </c>
      <c r="F23" s="35" t="s">
        <v>61</v>
      </c>
      <c r="G23" s="35">
        <f>'Previous years'!I21</f>
        <v>0</v>
      </c>
      <c r="H23" s="11">
        <v>0</v>
      </c>
      <c r="I23" s="371"/>
      <c r="J23" s="11" t="s">
        <v>514</v>
      </c>
      <c r="K23" s="12"/>
      <c r="L23" s="91"/>
      <c r="M23" s="91"/>
      <c r="N23" s="91"/>
    </row>
    <row r="24" spans="2:14" ht="20.100000000000001" customHeight="1">
      <c r="B24" s="104" t="str">
        <f t="shared" si="1"/>
        <v>Stormwater consent non-conformance [SWE2e]</v>
      </c>
      <c r="C24" s="33" t="s">
        <v>643</v>
      </c>
      <c r="D24" s="34" t="s">
        <v>820</v>
      </c>
      <c r="E24" s="44" t="s">
        <v>821</v>
      </c>
      <c r="F24" s="35" t="s">
        <v>61</v>
      </c>
      <c r="G24" s="35">
        <f>'Previous years'!I22</f>
        <v>0</v>
      </c>
      <c r="H24" s="11">
        <v>0</v>
      </c>
      <c r="I24" s="371"/>
      <c r="J24" s="11" t="s">
        <v>514</v>
      </c>
      <c r="K24" s="12"/>
      <c r="L24" s="91"/>
      <c r="M24" s="91"/>
      <c r="N24" s="91"/>
    </row>
    <row r="25" spans="2:14" ht="20.100000000000001" customHeight="1">
      <c r="B25" s="104" t="str">
        <f t="shared" si="1"/>
        <v>Stormwater consent letters of direction [SWE2f]</v>
      </c>
      <c r="C25" s="33" t="s">
        <v>643</v>
      </c>
      <c r="D25" s="34" t="s">
        <v>822</v>
      </c>
      <c r="E25" s="38" t="s">
        <v>823</v>
      </c>
      <c r="F25" s="35" t="s">
        <v>61</v>
      </c>
      <c r="G25" s="35">
        <f>'Previous years'!I23</f>
        <v>0</v>
      </c>
      <c r="H25" s="11">
        <v>0</v>
      </c>
      <c r="I25" s="371"/>
      <c r="J25" s="11" t="s">
        <v>514</v>
      </c>
      <c r="K25" s="12"/>
      <c r="L25" s="91"/>
      <c r="M25" s="91"/>
      <c r="N25" s="91"/>
    </row>
    <row r="26" spans="2:14" ht="20.100000000000001" customHeight="1" thickBot="1">
      <c r="B26" s="104" t="str">
        <f t="shared" si="1"/>
        <v>Stormwater consent formal warning [SWE2g]</v>
      </c>
      <c r="C26" s="69" t="s">
        <v>643</v>
      </c>
      <c r="D26" s="70" t="s">
        <v>824</v>
      </c>
      <c r="E26" s="71" t="s">
        <v>825</v>
      </c>
      <c r="F26" s="74" t="s">
        <v>61</v>
      </c>
      <c r="G26" s="74">
        <f>'Previous years'!I24</f>
        <v>0</v>
      </c>
      <c r="H26" s="363">
        <v>0</v>
      </c>
      <c r="I26" s="370"/>
      <c r="J26" s="363" t="s">
        <v>514</v>
      </c>
      <c r="K26" s="75"/>
      <c r="L26" s="359"/>
      <c r="M26" s="360"/>
      <c r="N26" s="360"/>
    </row>
    <row r="27" spans="2:14" ht="20.100000000000001" customHeight="1">
      <c r="B27" s="104" t="str">
        <f t="shared" si="1"/>
        <v>Stormwater quality monitoring [SWE3]</v>
      </c>
      <c r="C27" s="32" t="s">
        <v>826</v>
      </c>
      <c r="D27" s="34" t="s">
        <v>827</v>
      </c>
      <c r="E27" s="46" t="s">
        <v>828</v>
      </c>
      <c r="F27" s="35" t="s">
        <v>291</v>
      </c>
      <c r="G27" s="35" t="str">
        <f>'Previous years'!I25</f>
        <v>No</v>
      </c>
      <c r="H27" s="11" t="s">
        <v>328</v>
      </c>
      <c r="I27" s="379"/>
      <c r="J27" s="11" t="s">
        <v>356</v>
      </c>
      <c r="K27" s="12"/>
      <c r="L27" s="91"/>
      <c r="M27" s="91"/>
      <c r="N27" s="91"/>
    </row>
    <row r="28" spans="2:14" ht="20.100000000000001" customHeight="1" thickBot="1">
      <c r="B28" s="104" t="str">
        <f t="shared" si="1"/>
        <v>Stormwater catchment management plans [SWE4]</v>
      </c>
      <c r="C28" s="69" t="s">
        <v>826</v>
      </c>
      <c r="D28" s="70" t="s">
        <v>829</v>
      </c>
      <c r="E28" s="77" t="s">
        <v>830</v>
      </c>
      <c r="F28" s="74" t="s">
        <v>291</v>
      </c>
      <c r="G28" s="74" t="str">
        <f>'Previous years'!I26</f>
        <v>No</v>
      </c>
      <c r="H28" s="363" t="s">
        <v>328</v>
      </c>
      <c r="I28" s="378"/>
      <c r="J28" s="363" t="s">
        <v>356</v>
      </c>
      <c r="K28" s="78"/>
      <c r="L28" s="360"/>
      <c r="M28" s="360"/>
      <c r="N28" s="360"/>
    </row>
    <row r="29" spans="2:14" ht="20.100000000000001" customHeight="1">
      <c r="B29" s="104" t="str">
        <f t="shared" si="1"/>
        <v>Stormwater grid electricity use [SWE5]</v>
      </c>
      <c r="C29" s="32" t="s">
        <v>336</v>
      </c>
      <c r="D29" s="251" t="s">
        <v>831</v>
      </c>
      <c r="E29" s="252" t="s">
        <v>832</v>
      </c>
      <c r="F29" s="253" t="s">
        <v>340</v>
      </c>
      <c r="G29" s="253"/>
      <c r="H29" s="9"/>
      <c r="I29" s="369"/>
      <c r="J29" s="91"/>
      <c r="K29" s="91"/>
      <c r="L29" s="91"/>
      <c r="M29" s="91"/>
      <c r="N29" s="91"/>
    </row>
    <row r="30" spans="2:14" ht="20.100000000000001" customHeight="1" thickBot="1">
      <c r="B30" s="104" t="str">
        <f>E10&amp;" ["&amp;D10&amp;"]"</f>
        <v>Stormwater Serviced Population [SWB1]</v>
      </c>
      <c r="C30" s="69"/>
      <c r="D30" s="151" t="s">
        <v>833</v>
      </c>
      <c r="E30" s="250" t="s">
        <v>834</v>
      </c>
      <c r="F30" s="152" t="s">
        <v>345</v>
      </c>
      <c r="G30" s="152" t="str">
        <f>'Previous years'!I28</f>
        <v/>
      </c>
      <c r="H30" s="363"/>
      <c r="I30" s="370"/>
      <c r="J30" s="363"/>
      <c r="K30" s="78"/>
      <c r="L30" s="361"/>
      <c r="M30" s="363"/>
      <c r="N30" s="78"/>
    </row>
    <row r="31" spans="2:14" ht="20.100000000000001" customHeight="1">
      <c r="B31" s="104" t="str">
        <f t="shared" si="1"/>
        <v>Has a climate change risk assesment been undertaken for stormwater networks [SWE6]</v>
      </c>
      <c r="C31" s="32" t="s">
        <v>353</v>
      </c>
      <c r="D31" s="148" t="s">
        <v>835</v>
      </c>
      <c r="E31" s="249" t="s">
        <v>836</v>
      </c>
      <c r="F31" s="251" t="s">
        <v>291</v>
      </c>
      <c r="G31" s="251" t="str">
        <f>'Previous years'!I29</f>
        <v/>
      </c>
      <c r="H31" s="11"/>
      <c r="I31" s="379"/>
      <c r="J31" s="11" t="s">
        <v>356</v>
      </c>
      <c r="K31" s="12"/>
      <c r="L31" s="91"/>
      <c r="M31" s="11"/>
      <c r="N31" s="12"/>
    </row>
    <row r="32" spans="2:14" ht="20.100000000000001" customHeight="1">
      <c r="B32" s="104" t="str">
        <f t="shared" si="1"/>
        <v>Is there a climate change adapataion plan in place for stormwater networks [SWE7]</v>
      </c>
      <c r="C32" s="33"/>
      <c r="D32" s="148" t="s">
        <v>837</v>
      </c>
      <c r="E32" s="249" t="s">
        <v>838</v>
      </c>
      <c r="F32" s="251" t="s">
        <v>291</v>
      </c>
      <c r="G32" s="251" t="str">
        <f>'Previous years'!I30</f>
        <v/>
      </c>
      <c r="H32" s="11"/>
      <c r="I32" s="379"/>
      <c r="J32" s="11" t="s">
        <v>356</v>
      </c>
      <c r="K32" s="12"/>
      <c r="L32" s="91"/>
      <c r="M32" s="91"/>
      <c r="N32" s="91"/>
    </row>
    <row r="33" spans="2:14" ht="20.100000000000001" customHeight="1">
      <c r="B33" s="104" t="str">
        <f t="shared" ref="B33" si="2">E33&amp;" ["&amp;D33&amp;"]"</f>
        <v>Has an emissions baseline been set for forecast stormwater investments [SWE8]</v>
      </c>
      <c r="C33" s="33"/>
      <c r="D33" s="213" t="s">
        <v>839</v>
      </c>
      <c r="E33" s="400" t="s">
        <v>840</v>
      </c>
      <c r="F33" s="251" t="s">
        <v>291</v>
      </c>
      <c r="G33" s="251" t="str">
        <f>'Previous years'!I31</f>
        <v/>
      </c>
      <c r="H33" s="100"/>
      <c r="I33" s="383"/>
      <c r="J33" s="100" t="s">
        <v>356</v>
      </c>
      <c r="K33" s="99"/>
      <c r="L33" s="98"/>
      <c r="M33" s="91"/>
      <c r="N33" s="91"/>
    </row>
    <row r="34" spans="2:14" ht="20.100000000000001" customHeight="1">
      <c r="B34" s="104"/>
      <c r="C34" s="33"/>
      <c r="D34" s="213" t="s">
        <v>841</v>
      </c>
      <c r="E34" s="249" t="s">
        <v>842</v>
      </c>
      <c r="F34" s="251" t="s">
        <v>843</v>
      </c>
      <c r="G34" s="251" t="str">
        <f>'Previous years'!I32</f>
        <v/>
      </c>
      <c r="H34" s="100"/>
      <c r="I34" s="376"/>
      <c r="J34" s="100" t="s">
        <v>356</v>
      </c>
      <c r="K34" s="99"/>
      <c r="L34" s="99"/>
      <c r="M34" s="92"/>
      <c r="N34" s="92"/>
    </row>
    <row r="35" spans="2:14" ht="20.100000000000001" customHeight="1">
      <c r="B35" s="104"/>
      <c r="C35" s="33"/>
      <c r="D35" s="213" t="s">
        <v>844</v>
      </c>
      <c r="E35" s="249" t="s">
        <v>845</v>
      </c>
      <c r="F35" s="251" t="s">
        <v>176</v>
      </c>
      <c r="G35" s="251" t="str">
        <f>'Previous years'!I33</f>
        <v/>
      </c>
      <c r="I35" s="383"/>
      <c r="J35" s="100" t="s">
        <v>356</v>
      </c>
      <c r="K35" s="99"/>
      <c r="L35" s="99"/>
      <c r="M35" s="91"/>
      <c r="N35" s="91"/>
    </row>
    <row r="36" spans="2:14" ht="20.100000000000001" customHeight="1" thickBot="1">
      <c r="B36" s="104" t="str">
        <f t="shared" si="1"/>
        <v>Time horizon (s) new stormwater systems are designed to [SWE11]</v>
      </c>
      <c r="C36" s="69"/>
      <c r="D36" s="151" t="s">
        <v>846</v>
      </c>
      <c r="E36" s="401" t="s">
        <v>847</v>
      </c>
      <c r="F36" s="152" t="s">
        <v>848</v>
      </c>
      <c r="G36" s="152" t="str">
        <f>'Previous years'!I34</f>
        <v/>
      </c>
      <c r="H36" s="363"/>
      <c r="I36" s="370"/>
      <c r="J36" s="363" t="s">
        <v>356</v>
      </c>
      <c r="K36" s="75"/>
      <c r="L36" s="359"/>
      <c r="M36" s="92"/>
      <c r="N36" s="92"/>
    </row>
    <row r="37" spans="2:14" ht="20.100000000000001" customHeight="1">
      <c r="B37" s="104" t="str">
        <f t="shared" si="1"/>
        <v>Stormwater Charge [SWS1]</v>
      </c>
      <c r="C37" s="32" t="s">
        <v>378</v>
      </c>
      <c r="D37" s="34" t="s">
        <v>849</v>
      </c>
      <c r="E37" s="44" t="s">
        <v>850</v>
      </c>
      <c r="F37" s="35" t="s">
        <v>381</v>
      </c>
      <c r="G37" s="463">
        <f>'Previous years'!I35</f>
        <v>138.63168914572606</v>
      </c>
      <c r="H37" s="493">
        <f>'Median rates'!F19</f>
        <v>155.97956838451435</v>
      </c>
      <c r="I37" s="371"/>
      <c r="J37" s="11" t="s">
        <v>382</v>
      </c>
      <c r="K37" s="12"/>
      <c r="L37" s="12"/>
      <c r="M37" s="92"/>
      <c r="N37" s="92"/>
    </row>
    <row r="38" spans="2:14" ht="20.100000000000001" customHeight="1" thickBot="1">
      <c r="B38" s="104" t="str">
        <f t="shared" si="1"/>
        <v>Stormwater Charge type [SWS2]</v>
      </c>
      <c r="C38" s="69" t="s">
        <v>378</v>
      </c>
      <c r="D38" s="70" t="s">
        <v>851</v>
      </c>
      <c r="E38" s="79" t="s">
        <v>852</v>
      </c>
      <c r="F38" s="80" t="s">
        <v>176</v>
      </c>
      <c r="G38" s="80" t="str">
        <f>'Previous years'!I36</f>
        <v>Targeted Rate</v>
      </c>
      <c r="H38" s="365" t="s">
        <v>386</v>
      </c>
      <c r="I38" s="378"/>
      <c r="J38" s="363" t="s">
        <v>382</v>
      </c>
      <c r="K38" s="78"/>
      <c r="L38" s="78"/>
      <c r="M38" s="361"/>
      <c r="N38" s="361"/>
    </row>
    <row r="39" spans="2:14" ht="20.100000000000001" customHeight="1">
      <c r="B39" s="104" t="str">
        <f t="shared" si="1"/>
        <v>Stormwater Complaints [SWS3]</v>
      </c>
      <c r="C39" s="32" t="s">
        <v>361</v>
      </c>
      <c r="D39" s="53" t="s">
        <v>853</v>
      </c>
      <c r="E39" s="54" t="s">
        <v>854</v>
      </c>
      <c r="F39" s="36" t="s">
        <v>61</v>
      </c>
      <c r="G39" s="36">
        <f>'Previous years'!I37</f>
        <v>178</v>
      </c>
      <c r="H39" s="28">
        <f>IF(NOT(COUNTA(H40:H41)),"",SUM(H40:H41))</f>
        <v>218</v>
      </c>
      <c r="I39" s="377" t="s">
        <v>72</v>
      </c>
      <c r="J39" s="28"/>
      <c r="K39" s="28"/>
      <c r="L39" s="28"/>
      <c r="M39" s="211"/>
      <c r="N39" s="211"/>
    </row>
    <row r="40" spans="2:14" ht="20.100000000000001" customHeight="1">
      <c r="B40" s="104" t="str">
        <f t="shared" si="1"/>
        <v>Stormwater blockage complaints [SWS3a]</v>
      </c>
      <c r="C40" s="33" t="s">
        <v>361</v>
      </c>
      <c r="D40" s="34" t="s">
        <v>855</v>
      </c>
      <c r="E40" s="38" t="s">
        <v>856</v>
      </c>
      <c r="F40" s="35" t="s">
        <v>61</v>
      </c>
      <c r="G40" s="35">
        <f>'Previous years'!I38</f>
        <v>178</v>
      </c>
      <c r="H40" s="11">
        <v>218</v>
      </c>
      <c r="I40" s="371" t="s">
        <v>150</v>
      </c>
      <c r="J40" s="11" t="s">
        <v>514</v>
      </c>
      <c r="K40" s="12" t="s">
        <v>857</v>
      </c>
      <c r="L40" s="12"/>
      <c r="M40" s="91"/>
      <c r="N40" s="91"/>
    </row>
    <row r="41" spans="2:14" ht="20.100000000000001" customHeight="1">
      <c r="B41" s="104" t="str">
        <f t="shared" si="1"/>
        <v>Stormwater fault complaints [SWS3b]</v>
      </c>
      <c r="C41" s="33" t="s">
        <v>361</v>
      </c>
      <c r="D41" s="34" t="s">
        <v>858</v>
      </c>
      <c r="E41" s="38" t="s">
        <v>859</v>
      </c>
      <c r="F41" s="35" t="s">
        <v>61</v>
      </c>
      <c r="G41" s="35" t="str">
        <f>'Previous years'!I39</f>
        <v/>
      </c>
      <c r="H41" s="11"/>
      <c r="I41" s="371"/>
      <c r="J41" s="11" t="s">
        <v>514</v>
      </c>
      <c r="K41" s="12"/>
      <c r="L41" s="12"/>
      <c r="M41" s="91"/>
      <c r="N41" s="91"/>
    </row>
    <row r="42" spans="2:14" ht="20.100000000000001" customHeight="1" thickBot="1">
      <c r="B42" s="104" t="str">
        <f t="shared" si="1"/>
        <v>Stormwater Complaints Frequency [SWS4]</v>
      </c>
      <c r="C42" s="69" t="s">
        <v>361</v>
      </c>
      <c r="D42" s="70" t="s">
        <v>860</v>
      </c>
      <c r="E42" s="79" t="s">
        <v>861</v>
      </c>
      <c r="F42" s="74" t="s">
        <v>862</v>
      </c>
      <c r="G42" s="74">
        <f>'Previous years'!I40</f>
        <v>6.430868167202572</v>
      </c>
      <c r="H42" s="366">
        <f>IFERROR((H39/H11)*1000,"")</f>
        <v>7.5009591249339795</v>
      </c>
      <c r="I42" s="378" t="s">
        <v>72</v>
      </c>
      <c r="J42" s="73"/>
      <c r="K42" s="81"/>
      <c r="L42" s="81"/>
      <c r="M42" s="361"/>
      <c r="N42" s="361"/>
    </row>
    <row r="43" spans="2:14" ht="20.100000000000001" customHeight="1">
      <c r="B43" s="104" t="str">
        <f t="shared" si="1"/>
        <v>Flooding events resulting from storms exceeding stormwater capacity [SWS5]</v>
      </c>
      <c r="C43" s="32" t="s">
        <v>863</v>
      </c>
      <c r="D43" s="53" t="s">
        <v>864</v>
      </c>
      <c r="E43" s="54" t="s">
        <v>865</v>
      </c>
      <c r="F43" s="36" t="s">
        <v>61</v>
      </c>
      <c r="G43" s="36">
        <f>'Previous years'!I41</f>
        <v>0</v>
      </c>
      <c r="H43" s="9">
        <v>0</v>
      </c>
      <c r="I43" s="375"/>
      <c r="J43" s="9" t="s">
        <v>84</v>
      </c>
      <c r="K43" s="9"/>
      <c r="L43" s="9"/>
      <c r="M43" s="211"/>
      <c r="N43" s="211"/>
    </row>
    <row r="44" spans="2:14" ht="20.100000000000001" customHeight="1">
      <c r="B44" s="104" t="str">
        <f t="shared" si="1"/>
        <v>Number of habitable floors affected by storms exceeding stormwater capacity [SWS5a]</v>
      </c>
      <c r="C44" s="33" t="s">
        <v>863</v>
      </c>
      <c r="D44" s="34" t="s">
        <v>866</v>
      </c>
      <c r="E44" s="38" t="s">
        <v>867</v>
      </c>
      <c r="F44" s="35" t="s">
        <v>61</v>
      </c>
      <c r="G44" s="35">
        <f>'Previous years'!I42</f>
        <v>0</v>
      </c>
      <c r="H44" s="11">
        <v>0</v>
      </c>
      <c r="I44" s="371"/>
      <c r="J44" s="11" t="s">
        <v>84</v>
      </c>
      <c r="K44" s="12"/>
      <c r="L44" s="12"/>
      <c r="M44" s="91"/>
      <c r="N44" s="91"/>
    </row>
    <row r="45" spans="2:14" ht="20.100000000000001" customHeight="1">
      <c r="B45" s="104" t="str">
        <f t="shared" si="1"/>
        <v>Number of habitable floors affected per 1000 stormwater serviced properties [SWS5b]</v>
      </c>
      <c r="C45" s="33" t="s">
        <v>863</v>
      </c>
      <c r="D45" s="34" t="s">
        <v>868</v>
      </c>
      <c r="E45" s="38" t="s">
        <v>869</v>
      </c>
      <c r="F45" s="35" t="s">
        <v>862</v>
      </c>
      <c r="G45" s="35">
        <f>'Previous years'!I43</f>
        <v>0</v>
      </c>
      <c r="H45" s="25">
        <f>IFERROR((H44/H11)*1000,"")</f>
        <v>0</v>
      </c>
      <c r="I45" s="379" t="s">
        <v>72</v>
      </c>
      <c r="J45" s="25"/>
      <c r="K45" s="24"/>
      <c r="L45" s="24"/>
      <c r="M45" s="91"/>
      <c r="N45" s="91"/>
    </row>
    <row r="46" spans="2:14" ht="20.100000000000001" customHeight="1">
      <c r="B46" s="104" t="str">
        <f t="shared" si="1"/>
        <v>Flooding events resulting from other causes [SWS5c]</v>
      </c>
      <c r="C46" s="33" t="s">
        <v>863</v>
      </c>
      <c r="D46" s="34" t="s">
        <v>870</v>
      </c>
      <c r="E46" s="38" t="s">
        <v>871</v>
      </c>
      <c r="F46" s="45" t="s">
        <v>61</v>
      </c>
      <c r="G46" s="45">
        <f>'Previous years'!I44</f>
        <v>0</v>
      </c>
      <c r="H46" s="11">
        <v>0</v>
      </c>
      <c r="I46" s="371"/>
      <c r="J46" s="11" t="s">
        <v>84</v>
      </c>
      <c r="K46" s="12"/>
      <c r="L46" s="12"/>
      <c r="M46" s="91"/>
      <c r="N46" s="91"/>
    </row>
    <row r="47" spans="2:14" ht="20.100000000000001" customHeight="1">
      <c r="B47" s="104" t="str">
        <f t="shared" si="1"/>
        <v>Number of habitable floors affected by flooding from other causes [SWS5d]</v>
      </c>
      <c r="C47" s="33" t="s">
        <v>863</v>
      </c>
      <c r="D47" s="34" t="s">
        <v>872</v>
      </c>
      <c r="E47" s="38" t="s">
        <v>873</v>
      </c>
      <c r="F47" s="45" t="s">
        <v>61</v>
      </c>
      <c r="G47" s="45">
        <f>'Previous years'!I45</f>
        <v>0</v>
      </c>
      <c r="H47" s="11">
        <v>0</v>
      </c>
      <c r="I47" s="371"/>
      <c r="J47" s="11" t="s">
        <v>84</v>
      </c>
      <c r="K47" s="12"/>
      <c r="L47" s="12"/>
      <c r="M47" s="91"/>
      <c r="N47" s="91"/>
    </row>
    <row r="48" spans="2:14" ht="20.100000000000001" customHeight="1">
      <c r="B48" s="104" t="str">
        <f t="shared" si="1"/>
        <v>Flooding Response Time [SWS6]</v>
      </c>
      <c r="C48" s="33" t="s">
        <v>863</v>
      </c>
      <c r="D48" s="34" t="s">
        <v>874</v>
      </c>
      <c r="E48" s="39" t="s">
        <v>875</v>
      </c>
      <c r="F48" s="35" t="s">
        <v>236</v>
      </c>
      <c r="G48" s="35">
        <f>'Previous years'!I46</f>
        <v>0</v>
      </c>
      <c r="H48" s="9">
        <v>0</v>
      </c>
      <c r="I48" s="369"/>
      <c r="J48" s="11" t="s">
        <v>84</v>
      </c>
      <c r="K48" s="10"/>
      <c r="L48" s="92"/>
      <c r="M48" s="92"/>
      <c r="N48" s="92"/>
    </row>
    <row r="49" spans="2:14" ht="20.100000000000001" customHeight="1">
      <c r="B49" s="104" t="str">
        <f t="shared" si="1"/>
        <v>Primary stormwater network capacity [SWS7a]</v>
      </c>
      <c r="C49" s="33" t="s">
        <v>863</v>
      </c>
      <c r="D49" s="34" t="s">
        <v>876</v>
      </c>
      <c r="E49" s="40" t="s">
        <v>877</v>
      </c>
      <c r="F49" s="45" t="s">
        <v>878</v>
      </c>
      <c r="G49" s="460">
        <f>'Previous years'!I47</f>
        <v>0.05</v>
      </c>
      <c r="H49" s="398">
        <f>G49</f>
        <v>0.05</v>
      </c>
      <c r="I49" s="374"/>
      <c r="J49" s="11" t="s">
        <v>356</v>
      </c>
      <c r="K49" s="11"/>
      <c r="L49" s="362" t="s">
        <v>879</v>
      </c>
      <c r="M49" s="209"/>
      <c r="N49" s="209"/>
    </row>
    <row r="50" spans="2:14" ht="20.100000000000001" customHeight="1" thickBot="1">
      <c r="B50" s="104" t="str">
        <f t="shared" si="1"/>
        <v>Secondary stormwater network capacity [SWS7b]</v>
      </c>
      <c r="C50" s="69" t="s">
        <v>863</v>
      </c>
      <c r="D50" s="70" t="s">
        <v>880</v>
      </c>
      <c r="E50" s="71" t="s">
        <v>881</v>
      </c>
      <c r="F50" s="80" t="s">
        <v>878</v>
      </c>
      <c r="G50" s="461">
        <f>'Previous years'!I48</f>
        <v>0.01</v>
      </c>
      <c r="H50" s="398">
        <f>G50</f>
        <v>0.01</v>
      </c>
      <c r="I50" s="370"/>
      <c r="J50" s="363" t="s">
        <v>356</v>
      </c>
      <c r="K50" s="75"/>
      <c r="L50" s="362" t="s">
        <v>879</v>
      </c>
      <c r="M50" s="360"/>
      <c r="N50" s="360"/>
    </row>
    <row r="51" spans="2:14" ht="20.100000000000001" customHeight="1">
      <c r="B51" s="104" t="str">
        <f t="shared" si="1"/>
        <v>Operating Revenue: Stormwater [SWF1]</v>
      </c>
      <c r="C51" s="32" t="s">
        <v>399</v>
      </c>
      <c r="D51" s="53" t="s">
        <v>882</v>
      </c>
      <c r="E51" s="39" t="s">
        <v>883</v>
      </c>
      <c r="F51" s="36" t="s">
        <v>381</v>
      </c>
      <c r="G51" s="464">
        <f>'Previous years'!I49</f>
        <v>3069010.55</v>
      </c>
      <c r="H51" s="526" cm="1">
        <f t="array" ref="H51">SUM(SUMIF('SW P_L'!$B$11:$B$69,{"1116","1117"},'SW P_L'!$I$11:$I$69))</f>
        <v>3602788.13</v>
      </c>
      <c r="I51" s="369"/>
      <c r="J51" s="9" t="s">
        <v>382</v>
      </c>
      <c r="K51" s="10" t="s">
        <v>884</v>
      </c>
      <c r="L51" s="10"/>
      <c r="M51" s="92"/>
      <c r="N51" s="92"/>
    </row>
    <row r="52" spans="2:14" ht="20.100000000000001" customHeight="1">
      <c r="B52" s="104" t="str">
        <f t="shared" si="1"/>
        <v>Development Contribution Revenue: Stormwater [SWF2]</v>
      </c>
      <c r="C52" s="33" t="s">
        <v>399</v>
      </c>
      <c r="D52" s="34" t="s">
        <v>885</v>
      </c>
      <c r="E52" s="39" t="s">
        <v>886</v>
      </c>
      <c r="F52" s="35" t="s">
        <v>381</v>
      </c>
      <c r="G52" s="465">
        <f>'Previous years'!I50</f>
        <v>571882.6</v>
      </c>
      <c r="H52" s="526">
        <f>SUMIF('SW P_L'!$B$11:$B$69,1502,'SW P_L'!$I$11:$I$69)</f>
        <v>203068.13</v>
      </c>
      <c r="I52" s="369"/>
      <c r="J52" s="9" t="s">
        <v>382</v>
      </c>
      <c r="K52" s="10" t="s">
        <v>884</v>
      </c>
      <c r="L52" s="10"/>
      <c r="M52" s="92"/>
      <c r="N52" s="92"/>
    </row>
    <row r="53" spans="2:14" ht="20.100000000000001" customHeight="1">
      <c r="B53" s="104" t="str">
        <f t="shared" si="1"/>
        <v>Total Revenue: Stormwater [SWF3]</v>
      </c>
      <c r="C53" s="33" t="s">
        <v>399</v>
      </c>
      <c r="D53" s="34" t="s">
        <v>887</v>
      </c>
      <c r="E53" s="40" t="s">
        <v>888</v>
      </c>
      <c r="F53" s="35" t="s">
        <v>381</v>
      </c>
      <c r="G53" s="465">
        <f>'Previous years'!I51</f>
        <v>3640893.15</v>
      </c>
      <c r="H53" s="527">
        <f>IF(NOT(COUNTA(H51:H52)),"",SUM(H51:H52))</f>
        <v>3805856.26</v>
      </c>
      <c r="I53" s="380" t="s">
        <v>72</v>
      </c>
      <c r="J53" s="25"/>
      <c r="K53" s="25"/>
      <c r="L53" s="25"/>
      <c r="M53" s="209"/>
      <c r="N53" s="209"/>
    </row>
    <row r="54" spans="2:14" ht="20.100000000000001" customHeight="1">
      <c r="B54" s="104" t="str">
        <f t="shared" si="1"/>
        <v>Total Revenue per Property: Stormwater [SWF4]</v>
      </c>
      <c r="C54" s="33" t="s">
        <v>399</v>
      </c>
      <c r="D54" s="34" t="s">
        <v>889</v>
      </c>
      <c r="E54" s="38" t="s">
        <v>890</v>
      </c>
      <c r="F54" s="35" t="s">
        <v>891</v>
      </c>
      <c r="G54" s="465">
        <f>'Previous years'!I52</f>
        <v>131.53990931753316</v>
      </c>
      <c r="H54" s="527">
        <f>IFERROR(H53/H11,"")</f>
        <v>130.95216624602801</v>
      </c>
      <c r="I54" s="379" t="s">
        <v>72</v>
      </c>
      <c r="J54" s="25"/>
      <c r="K54" s="24"/>
      <c r="L54" s="24"/>
      <c r="M54" s="91"/>
      <c r="N54" s="91"/>
    </row>
    <row r="55" spans="2:14" ht="20.100000000000001" customHeight="1" thickBot="1">
      <c r="B55" s="104" t="str">
        <f t="shared" si="1"/>
        <v>Debt funding: Stormwater [SWF5]</v>
      </c>
      <c r="C55" s="69" t="s">
        <v>399</v>
      </c>
      <c r="D55" s="70" t="s">
        <v>892</v>
      </c>
      <c r="E55" s="71" t="s">
        <v>893</v>
      </c>
      <c r="F55" s="74" t="s">
        <v>381</v>
      </c>
      <c r="G55" s="466">
        <f>'Previous years'!I53</f>
        <v>49771</v>
      </c>
      <c r="H55" s="528">
        <v>6076490.2339236103</v>
      </c>
      <c r="I55" s="370"/>
      <c r="J55" s="11" t="s">
        <v>415</v>
      </c>
      <c r="K55" s="11" t="s">
        <v>416</v>
      </c>
      <c r="L55" s="75"/>
      <c r="M55" s="360"/>
      <c r="N55" s="360"/>
    </row>
    <row r="56" spans="2:14" ht="20.100000000000001" customHeight="1" thickBot="1">
      <c r="B56" s="104" t="str">
        <f>E56&amp;" ["&amp;D56&amp;"]"</f>
        <v>External Grants: Stormwater [SWF22]</v>
      </c>
      <c r="C56" s="82" t="s">
        <v>417</v>
      </c>
      <c r="D56" s="83" t="s">
        <v>894</v>
      </c>
      <c r="E56" s="84" t="s">
        <v>895</v>
      </c>
      <c r="F56" s="85" t="s">
        <v>381</v>
      </c>
      <c r="G56" s="467">
        <f>'Previous years'!I54</f>
        <v>0</v>
      </c>
      <c r="H56" s="529"/>
      <c r="I56" s="381"/>
      <c r="J56" s="367" t="s">
        <v>341</v>
      </c>
      <c r="K56" s="86"/>
      <c r="L56" s="86"/>
      <c r="M56" s="397"/>
      <c r="N56" s="397"/>
    </row>
    <row r="57" spans="2:14" ht="20.100000000000001" customHeight="1">
      <c r="B57" s="104" t="str">
        <f t="shared" si="1"/>
        <v>Routine maintenance: Stormwater  [SWF6a]</v>
      </c>
      <c r="C57" s="32" t="s">
        <v>421</v>
      </c>
      <c r="D57" s="53" t="s">
        <v>896</v>
      </c>
      <c r="E57" s="39" t="s">
        <v>897</v>
      </c>
      <c r="F57" s="36" t="s">
        <v>381</v>
      </c>
      <c r="G57" s="464">
        <f>'Previous years'!I55</f>
        <v>513591.98</v>
      </c>
      <c r="H57" s="526">
        <v>245457.69000000018</v>
      </c>
      <c r="I57" s="369"/>
      <c r="J57" s="11" t="s">
        <v>382</v>
      </c>
      <c r="K57" s="11" t="s">
        <v>428</v>
      </c>
      <c r="L57" s="10"/>
      <c r="M57" s="92"/>
      <c r="N57" s="92"/>
    </row>
    <row r="58" spans="2:14" ht="20.100000000000001" customHeight="1">
      <c r="B58" s="104" t="str">
        <f t="shared" si="1"/>
        <v>Reactive maintenance: Stormwater  [SWF6b]</v>
      </c>
      <c r="C58" s="33" t="s">
        <v>421</v>
      </c>
      <c r="D58" s="34" t="s">
        <v>898</v>
      </c>
      <c r="E58" s="54" t="s">
        <v>899</v>
      </c>
      <c r="F58" s="45" t="s">
        <v>381</v>
      </c>
      <c r="G58" s="468">
        <f>'Previous years'!I56</f>
        <v>210544.4</v>
      </c>
      <c r="H58" s="526">
        <v>186182.13000000003</v>
      </c>
      <c r="I58" s="375"/>
      <c r="J58" s="11" t="s">
        <v>382</v>
      </c>
      <c r="K58" s="11" t="s">
        <v>428</v>
      </c>
      <c r="L58" s="9"/>
      <c r="M58" s="211"/>
      <c r="N58" s="211"/>
    </row>
    <row r="59" spans="2:14" ht="20.100000000000001" customHeight="1">
      <c r="B59" s="104" t="str">
        <f t="shared" si="1"/>
        <v>Management Costs: Stormwater [SWF7]</v>
      </c>
      <c r="C59" s="33" t="s">
        <v>421</v>
      </c>
      <c r="D59" s="34" t="s">
        <v>900</v>
      </c>
      <c r="E59" s="40" t="s">
        <v>901</v>
      </c>
      <c r="F59" s="35" t="s">
        <v>381</v>
      </c>
      <c r="G59" s="465">
        <f>'Previous years'!I57</f>
        <v>123868.17</v>
      </c>
      <c r="H59" s="530">
        <v>203354.97999999969</v>
      </c>
      <c r="I59" s="374"/>
      <c r="J59" s="11" t="s">
        <v>382</v>
      </c>
      <c r="K59" s="11" t="s">
        <v>428</v>
      </c>
      <c r="L59" s="11"/>
      <c r="M59" s="209"/>
      <c r="N59" s="209"/>
    </row>
    <row r="60" spans="2:14" ht="20.100000000000001" customHeight="1">
      <c r="B60" s="104" t="str">
        <f t="shared" si="1"/>
        <v>Council Contract Management Costs: Stormwater [SWF8]</v>
      </c>
      <c r="C60" s="33" t="s">
        <v>421</v>
      </c>
      <c r="D60" s="34" t="s">
        <v>902</v>
      </c>
      <c r="E60" s="38" t="s">
        <v>903</v>
      </c>
      <c r="F60" s="35" t="s">
        <v>381</v>
      </c>
      <c r="G60" s="465">
        <f>'Previous years'!I58</f>
        <v>0</v>
      </c>
      <c r="H60" s="530"/>
      <c r="I60" s="371"/>
      <c r="J60" s="11" t="s">
        <v>904</v>
      </c>
      <c r="K60" s="12"/>
      <c r="L60" s="12"/>
      <c r="M60" s="91"/>
      <c r="N60" s="91"/>
    </row>
    <row r="61" spans="2:14" ht="20.100000000000001" customHeight="1">
      <c r="B61" s="104" t="str">
        <f t="shared" si="1"/>
        <v>Operating Cost: Stormwater [SWF9]</v>
      </c>
      <c r="C61" s="33" t="s">
        <v>421</v>
      </c>
      <c r="D61" s="34" t="s">
        <v>905</v>
      </c>
      <c r="E61" s="38" t="s">
        <v>906</v>
      </c>
      <c r="F61" s="35" t="s">
        <v>381</v>
      </c>
      <c r="G61" s="465">
        <f>'Previous years'!I59</f>
        <v>848004.55</v>
      </c>
      <c r="H61" s="527">
        <f>IF(NOT(COUNTA(H57:H60)),"",SUM(H57:H60))</f>
        <v>634994.79999999981</v>
      </c>
      <c r="I61" s="379" t="s">
        <v>72</v>
      </c>
      <c r="J61" s="25"/>
      <c r="K61" s="24"/>
      <c r="L61" s="24"/>
      <c r="M61" s="91"/>
      <c r="N61" s="91"/>
    </row>
    <row r="62" spans="2:14" ht="20.100000000000001" customHeight="1">
      <c r="B62" s="104" t="str">
        <f t="shared" si="1"/>
        <v>Operating Cost per Property: Stormwater [SWF10]</v>
      </c>
      <c r="C62" s="33" t="s">
        <v>421</v>
      </c>
      <c r="D62" s="34" t="s">
        <v>907</v>
      </c>
      <c r="E62" s="39" t="s">
        <v>908</v>
      </c>
      <c r="F62" s="35" t="s">
        <v>891</v>
      </c>
      <c r="G62" s="465">
        <f>'Previous years'!I60</f>
        <v>30.637109360887315</v>
      </c>
      <c r="H62" s="527">
        <f>IFERROR(H61/H11,"")</f>
        <v>21.848945134612961</v>
      </c>
      <c r="I62" s="372" t="s">
        <v>72</v>
      </c>
      <c r="J62" s="25"/>
      <c r="K62" s="23"/>
      <c r="L62" s="23"/>
      <c r="M62" s="92"/>
      <c r="N62" s="92"/>
    </row>
    <row r="63" spans="2:14" ht="20.100000000000001" customHeight="1">
      <c r="B63" s="104" t="str">
        <f t="shared" si="1"/>
        <v>Annual Depreciation: Stormwater [SWF11]</v>
      </c>
      <c r="C63" s="33" t="s">
        <v>421</v>
      </c>
      <c r="D63" s="34" t="s">
        <v>909</v>
      </c>
      <c r="E63" s="40" t="s">
        <v>910</v>
      </c>
      <c r="F63" s="35" t="s">
        <v>381</v>
      </c>
      <c r="G63" s="465">
        <f>'Previous years'!I61</f>
        <v>4552947.6500000004</v>
      </c>
      <c r="H63" s="526">
        <f>SUMIF('SW P_L'!$B$11:$B$69,2001,'SW P_L'!$I$11:$I$69)</f>
        <v>5045257.57</v>
      </c>
      <c r="I63" s="374"/>
      <c r="J63" s="9" t="s">
        <v>382</v>
      </c>
      <c r="K63" s="10" t="s">
        <v>884</v>
      </c>
      <c r="L63" s="11"/>
      <c r="M63" s="209"/>
      <c r="N63" s="209"/>
    </row>
    <row r="64" spans="2:14" ht="20.100000000000001" customHeight="1">
      <c r="B64" s="104" t="str">
        <f t="shared" si="1"/>
        <v>Interest: Stormwater [SWF12a]</v>
      </c>
      <c r="C64" s="33" t="s">
        <v>421</v>
      </c>
      <c r="D64" s="34" t="s">
        <v>911</v>
      </c>
      <c r="E64" s="38" t="s">
        <v>912</v>
      </c>
      <c r="F64" s="35" t="s">
        <v>381</v>
      </c>
      <c r="G64" s="465">
        <f>'Previous years'!I62</f>
        <v>391257.15</v>
      </c>
      <c r="H64" s="526">
        <f>SUMIF('SW P_L'!$B$11:$B$69,2800,'SW P_L'!$I$11:$I$69)</f>
        <v>375872.2</v>
      </c>
      <c r="I64" s="371"/>
      <c r="J64" s="9" t="s">
        <v>382</v>
      </c>
      <c r="K64" s="10" t="s">
        <v>884</v>
      </c>
      <c r="L64" s="12"/>
      <c r="M64" s="91"/>
      <c r="N64" s="91"/>
    </row>
    <row r="65" spans="2:14" ht="20.100000000000001" customHeight="1">
      <c r="B65" s="104" t="str">
        <f t="shared" si="1"/>
        <v>Debt Affordability: Stormwater [SWF12b]</v>
      </c>
      <c r="C65" s="33" t="s">
        <v>421</v>
      </c>
      <c r="D65" s="34" t="s">
        <v>913</v>
      </c>
      <c r="E65" s="38" t="s">
        <v>914</v>
      </c>
      <c r="F65" s="35" t="s">
        <v>109</v>
      </c>
      <c r="G65" s="462">
        <f>'Previous years'!I63</f>
        <v>0.10746186001091519</v>
      </c>
      <c r="H65" s="531">
        <f>IFERROR(H64/H53,"")</f>
        <v>9.8761533363848075E-2</v>
      </c>
      <c r="I65" s="379" t="s">
        <v>72</v>
      </c>
      <c r="J65" s="25"/>
      <c r="K65" s="24"/>
      <c r="L65" s="24"/>
      <c r="M65" s="91"/>
      <c r="N65" s="91"/>
    </row>
    <row r="66" spans="2:14" ht="20.100000000000001" customHeight="1">
      <c r="B66" s="104" t="str">
        <f t="shared" si="1"/>
        <v>Operational Cost Coverage: Stormwater [SWF13]</v>
      </c>
      <c r="C66" s="33" t="s">
        <v>421</v>
      </c>
      <c r="D66" s="34" t="s">
        <v>915</v>
      </c>
      <c r="E66" s="39" t="s">
        <v>916</v>
      </c>
      <c r="F66" s="35" t="s">
        <v>109</v>
      </c>
      <c r="G66" s="462">
        <f>'Previous years'!I64</f>
        <v>0.52985145469578021</v>
      </c>
      <c r="H66" s="531">
        <f>IFERROR(H51/(H64+H63+H61),"")</f>
        <v>0.59489993779966122</v>
      </c>
      <c r="I66" s="372" t="s">
        <v>72</v>
      </c>
      <c r="J66" s="25"/>
      <c r="K66" s="23"/>
      <c r="L66" s="23"/>
      <c r="M66" s="92"/>
      <c r="N66" s="92"/>
    </row>
    <row r="67" spans="2:14" ht="20.100000000000001" customHeight="1">
      <c r="B67" s="104" t="str">
        <f t="shared" si="1"/>
        <v>Total Cost: Stormwater [SWF14]</v>
      </c>
      <c r="C67" s="33" t="s">
        <v>421</v>
      </c>
      <c r="D67" s="34" t="s">
        <v>917</v>
      </c>
      <c r="E67" s="40" t="s">
        <v>918</v>
      </c>
      <c r="F67" s="35" t="s">
        <v>381</v>
      </c>
      <c r="G67" s="465">
        <f>'Previous years'!I65</f>
        <v>10363053.32</v>
      </c>
      <c r="H67" s="527">
        <f>IF(SUM(H61,H63,H64,H73)=0,"",SUM(H61,H63,H64,H73))</f>
        <v>14276708.320000002</v>
      </c>
      <c r="I67" s="380" t="s">
        <v>72</v>
      </c>
      <c r="J67" s="25"/>
      <c r="K67" s="25"/>
      <c r="L67" s="25"/>
      <c r="M67" s="209"/>
      <c r="N67" s="209"/>
    </row>
    <row r="68" spans="2:14" ht="20.100000000000001" customHeight="1">
      <c r="B68" s="104" t="str">
        <f t="shared" si="1"/>
        <v>Total Cost per Property: Stormwater [SWF15]</v>
      </c>
      <c r="C68" s="33" t="s">
        <v>421</v>
      </c>
      <c r="D68" s="34" t="s">
        <v>919</v>
      </c>
      <c r="E68" s="38" t="s">
        <v>920</v>
      </c>
      <c r="F68" s="35" t="s">
        <v>891</v>
      </c>
      <c r="G68" s="465">
        <f>'Previous years'!I66</f>
        <v>374.40129050905017</v>
      </c>
      <c r="H68" s="527">
        <f>IFERROR(H67/H11,"")</f>
        <v>491.23397039873799</v>
      </c>
      <c r="I68" s="379" t="s">
        <v>72</v>
      </c>
      <c r="J68" s="25"/>
      <c r="K68" s="24"/>
      <c r="L68" s="24"/>
      <c r="M68" s="91"/>
      <c r="N68" s="91"/>
    </row>
    <row r="69" spans="2:14" ht="20.100000000000001" customHeight="1">
      <c r="B69" s="104" t="str">
        <f t="shared" si="1"/>
        <v>Budgeted Capital Expenditure: Stormwater [SWF16]</v>
      </c>
      <c r="C69" s="33" t="s">
        <v>421</v>
      </c>
      <c r="D69" s="34" t="s">
        <v>921</v>
      </c>
      <c r="E69" s="38" t="s">
        <v>922</v>
      </c>
      <c r="F69" s="35" t="s">
        <v>381</v>
      </c>
      <c r="G69" s="465">
        <f>'Previous years'!I67</f>
        <v>11016701.539999999</v>
      </c>
      <c r="H69" s="527">
        <f>IF(NOT(COUNTA(H70:H72)),"",SUM(H70:H72))</f>
        <v>9386146.4000000004</v>
      </c>
      <c r="I69" s="379" t="s">
        <v>72</v>
      </c>
      <c r="J69" s="25"/>
      <c r="K69" s="24"/>
      <c r="L69" s="24"/>
      <c r="M69" s="91"/>
      <c r="N69" s="91"/>
    </row>
    <row r="70" spans="2:14" ht="20.100000000000001" customHeight="1">
      <c r="B70" s="104" t="str">
        <f t="shared" si="1"/>
        <v>Budgeted capital to meet additional demand [SWF16a]</v>
      </c>
      <c r="C70" s="33" t="s">
        <v>421</v>
      </c>
      <c r="D70" s="34" t="s">
        <v>923</v>
      </c>
      <c r="E70" s="47" t="s">
        <v>454</v>
      </c>
      <c r="F70" s="35" t="s">
        <v>381</v>
      </c>
      <c r="G70" s="465">
        <f>'Previous years'!I68</f>
        <v>5713617.0042369999</v>
      </c>
      <c r="H70" s="526">
        <f>GETPIVOTDATA("Sum of 21_22 Growth Budget",'Capex Projects'!$A$3,"Programme","Storm Water")</f>
        <v>5422023.8134380002</v>
      </c>
      <c r="I70" s="369"/>
      <c r="J70" s="9" t="s">
        <v>382</v>
      </c>
      <c r="K70" s="9" t="s">
        <v>455</v>
      </c>
      <c r="L70" s="10"/>
      <c r="M70" s="92"/>
      <c r="N70" s="92"/>
    </row>
    <row r="71" spans="2:14" ht="20.100000000000001" customHeight="1">
      <c r="B71" s="104" t="str">
        <f t="shared" ref="B71:B80" si="3">E71&amp;" ["&amp;D71&amp;"]"</f>
        <v>Budgeted capital to improve the level of service [SWF16b]</v>
      </c>
      <c r="C71" s="33" t="s">
        <v>421</v>
      </c>
      <c r="D71" s="34" t="s">
        <v>924</v>
      </c>
      <c r="E71" s="51" t="s">
        <v>457</v>
      </c>
      <c r="F71" s="35" t="s">
        <v>381</v>
      </c>
      <c r="G71" s="465">
        <f>'Previous years'!I69</f>
        <v>4066849.4151630001</v>
      </c>
      <c r="H71" s="530">
        <f>GETPIVOTDATA("Sum of 21_22 Los Budget",'Capex Projects'!$A$3,"Programme","Storm Water")</f>
        <v>2554660.6363110002</v>
      </c>
      <c r="I71" s="374"/>
      <c r="J71" s="9" t="s">
        <v>382</v>
      </c>
      <c r="K71" s="9" t="s">
        <v>455</v>
      </c>
      <c r="L71" s="11"/>
      <c r="M71" s="209"/>
      <c r="N71" s="209"/>
    </row>
    <row r="72" spans="2:14" ht="20.100000000000001" customHeight="1">
      <c r="B72" s="104" t="str">
        <f t="shared" si="3"/>
        <v>Budgeted capital to replace existing assets [SWF16c]</v>
      </c>
      <c r="C72" s="33" t="s">
        <v>421</v>
      </c>
      <c r="D72" s="34" t="s">
        <v>925</v>
      </c>
      <c r="E72" s="44" t="s">
        <v>459</v>
      </c>
      <c r="F72" s="35" t="s">
        <v>381</v>
      </c>
      <c r="G72" s="465">
        <f>'Previous years'!I70</f>
        <v>1236235.1206</v>
      </c>
      <c r="H72" s="530">
        <f>GETPIVOTDATA("Sum of 21_22 Renewals Budget",'Capex Projects'!$A$3,"Programme","Storm Water")</f>
        <v>1409461.950251</v>
      </c>
      <c r="I72" s="371"/>
      <c r="J72" s="9" t="s">
        <v>382</v>
      </c>
      <c r="K72" s="9" t="s">
        <v>455</v>
      </c>
      <c r="L72" s="12"/>
      <c r="M72" s="91"/>
      <c r="N72" s="91"/>
    </row>
    <row r="73" spans="2:14" ht="20.100000000000001" customHeight="1">
      <c r="B73" s="104" t="str">
        <f t="shared" si="3"/>
        <v>Actual Capital Expenditure: Stormwater [SWF17]</v>
      </c>
      <c r="C73" s="33" t="s">
        <v>421</v>
      </c>
      <c r="D73" s="34" t="s">
        <v>926</v>
      </c>
      <c r="E73" s="38" t="s">
        <v>927</v>
      </c>
      <c r="F73" s="35" t="s">
        <v>381</v>
      </c>
      <c r="G73" s="465">
        <f>'Previous years'!I71</f>
        <v>4570843.97</v>
      </c>
      <c r="H73" s="527">
        <f>IF(NOT(COUNTA(H74:H76)),"",SUM(H74:H76))</f>
        <v>8220583.7500000019</v>
      </c>
      <c r="I73" s="379" t="s">
        <v>72</v>
      </c>
      <c r="J73" s="25"/>
      <c r="K73" s="24"/>
      <c r="L73" s="24"/>
      <c r="M73" s="91"/>
      <c r="N73" s="91"/>
    </row>
    <row r="74" spans="2:14" ht="20.100000000000001" customHeight="1">
      <c r="B74" s="104" t="str">
        <f t="shared" si="3"/>
        <v>Actual capital to meet additional demand [SWF17a]</v>
      </c>
      <c r="C74" s="33" t="s">
        <v>421</v>
      </c>
      <c r="D74" s="34" t="s">
        <v>928</v>
      </c>
      <c r="E74" s="47" t="s">
        <v>463</v>
      </c>
      <c r="F74" s="35" t="s">
        <v>381</v>
      </c>
      <c r="G74" s="465">
        <f>'Previous years'!I72</f>
        <v>3537339.6872130004</v>
      </c>
      <c r="H74" s="526">
        <f>GETPIVOTDATA("Sum of 21_22 Growth Actuals",'Capex Projects'!$A$3,"Programme","Storm Water")</f>
        <v>4630147.850715002</v>
      </c>
      <c r="I74" s="369"/>
      <c r="J74" s="9" t="s">
        <v>382</v>
      </c>
      <c r="K74" s="9" t="s">
        <v>455</v>
      </c>
      <c r="L74" s="10"/>
      <c r="M74" s="92"/>
      <c r="N74" s="92"/>
    </row>
    <row r="75" spans="2:14" ht="20.100000000000001" customHeight="1">
      <c r="B75" s="104" t="str">
        <f t="shared" si="3"/>
        <v>Actual capital to improve the level of service [SWF17b]</v>
      </c>
      <c r="C75" s="33" t="s">
        <v>421</v>
      </c>
      <c r="D75" s="34" t="s">
        <v>929</v>
      </c>
      <c r="E75" s="51" t="s">
        <v>465</v>
      </c>
      <c r="F75" s="35" t="s">
        <v>381</v>
      </c>
      <c r="G75" s="465">
        <f>'Previous years'!I73</f>
        <v>697836.26243799995</v>
      </c>
      <c r="H75" s="530">
        <f>GETPIVOTDATA("Sum of 21_22 Los Actuals",'Capex Projects'!$A$3,"Programme","Storm Water")</f>
        <v>2356760.6682020002</v>
      </c>
      <c r="I75" s="374"/>
      <c r="J75" s="9" t="s">
        <v>382</v>
      </c>
      <c r="K75" s="9" t="s">
        <v>455</v>
      </c>
      <c r="L75" s="11"/>
      <c r="M75" s="209"/>
      <c r="N75" s="209"/>
    </row>
    <row r="76" spans="2:14" ht="20.100000000000001" customHeight="1">
      <c r="B76" s="104" t="str">
        <f t="shared" si="3"/>
        <v>Actual capital to replace existing assets [SWF17c]</v>
      </c>
      <c r="C76" s="33" t="s">
        <v>421</v>
      </c>
      <c r="D76" s="34" t="s">
        <v>930</v>
      </c>
      <c r="E76" s="44" t="s">
        <v>467</v>
      </c>
      <c r="F76" s="35" t="s">
        <v>381</v>
      </c>
      <c r="G76" s="465">
        <f>'Previous years'!I74</f>
        <v>335668.020349</v>
      </c>
      <c r="H76" s="530">
        <f>GETPIVOTDATA("Sum of 21_22 Renewals Actuals",'Capex Projects'!$A$3,"Programme","Storm Water")</f>
        <v>1233675.2310830001</v>
      </c>
      <c r="I76" s="371"/>
      <c r="J76" s="9" t="s">
        <v>382</v>
      </c>
      <c r="K76" s="9" t="s">
        <v>455</v>
      </c>
      <c r="L76" s="12"/>
      <c r="M76" s="91"/>
      <c r="N76" s="91"/>
    </row>
    <row r="77" spans="2:14" ht="20.100000000000001" customHeight="1" thickBot="1">
      <c r="B77" s="104" t="str">
        <f t="shared" si="3"/>
        <v>Actual Capital Expenditure per Property: Stormwater [SWF18]</v>
      </c>
      <c r="C77" s="69" t="s">
        <v>421</v>
      </c>
      <c r="D77" s="70" t="s">
        <v>931</v>
      </c>
      <c r="E77" s="71" t="s">
        <v>932</v>
      </c>
      <c r="F77" s="74" t="s">
        <v>891</v>
      </c>
      <c r="G77" s="466">
        <f>'Previous years'!I75</f>
        <v>165.13761226922938</v>
      </c>
      <c r="H77" s="532">
        <f>IFERROR(H73/H11,"")</f>
        <v>282.8544160176445</v>
      </c>
      <c r="I77" s="382" t="s">
        <v>72</v>
      </c>
      <c r="J77" s="73"/>
      <c r="K77" s="72"/>
      <c r="L77" s="72"/>
      <c r="M77" s="360"/>
      <c r="N77" s="360"/>
    </row>
    <row r="78" spans="2:14" ht="20.100000000000001" customHeight="1" thickBot="1">
      <c r="B78" s="104" t="str">
        <f t="shared" si="3"/>
        <v>Development Contributions: Stormwater assets [SWF19]</v>
      </c>
      <c r="C78" s="32" t="s">
        <v>470</v>
      </c>
      <c r="D78" s="53" t="s">
        <v>933</v>
      </c>
      <c r="E78" s="47" t="s">
        <v>934</v>
      </c>
      <c r="F78" s="36" t="s">
        <v>381</v>
      </c>
      <c r="G78" s="464">
        <f>'Previous years'!I76</f>
        <v>15366381.58</v>
      </c>
      <c r="H78" s="530">
        <v>8958266.1600000001</v>
      </c>
      <c r="I78" s="369"/>
      <c r="J78" s="188" t="s">
        <v>382</v>
      </c>
      <c r="K78" s="188" t="s">
        <v>473</v>
      </c>
      <c r="L78" s="10"/>
      <c r="M78" s="92"/>
      <c r="N78" s="92"/>
    </row>
    <row r="79" spans="2:14" ht="20.100000000000001" customHeight="1">
      <c r="B79" s="104" t="str">
        <f t="shared" si="3"/>
        <v>Stormwater asset value at end of reporting year [SWF20]</v>
      </c>
      <c r="C79" s="33" t="s">
        <v>470</v>
      </c>
      <c r="D79" s="34" t="s">
        <v>935</v>
      </c>
      <c r="E79" s="40" t="s">
        <v>936</v>
      </c>
      <c r="F79" s="35" t="s">
        <v>381</v>
      </c>
      <c r="G79" s="465">
        <f>'Previous years'!I77</f>
        <v>294308380</v>
      </c>
      <c r="H79" s="530">
        <v>345568957.19999999</v>
      </c>
      <c r="I79" s="374"/>
      <c r="J79" s="188" t="s">
        <v>382</v>
      </c>
      <c r="K79" s="188" t="s">
        <v>473</v>
      </c>
      <c r="L79" s="11"/>
      <c r="M79" s="209"/>
      <c r="N79" s="209"/>
    </row>
    <row r="80" spans="2:14" ht="20.100000000000001" customHeight="1" thickBot="1">
      <c r="B80" s="104" t="str">
        <f t="shared" si="3"/>
        <v>Decline in Service Potential: Stormwater [SWF21]</v>
      </c>
      <c r="C80" s="69" t="s">
        <v>470</v>
      </c>
      <c r="D80" s="70" t="s">
        <v>937</v>
      </c>
      <c r="E80" s="71" t="s">
        <v>938</v>
      </c>
      <c r="F80" s="74" t="s">
        <v>61</v>
      </c>
      <c r="G80" s="74">
        <f>'Previous years'!I78</f>
        <v>7.3725429359812647E-2</v>
      </c>
      <c r="H80" s="494">
        <f>IFERROR(H76/H63,"")</f>
        <v>0.24452175413573582</v>
      </c>
      <c r="I80" s="382" t="s">
        <v>72</v>
      </c>
      <c r="J80" s="73"/>
      <c r="K80" s="72"/>
      <c r="L80" s="72"/>
      <c r="M80" s="360"/>
      <c r="N80" s="360"/>
    </row>
  </sheetData>
  <autoFilter ref="A5:AF80" xr:uid="{00000000-0009-0000-0000-000004000000}"/>
  <dataValidations xWindow="1092" yWindow="419" count="52">
    <dataValidation allowBlank="1" showInputMessage="1" showErrorMessage="1" prompt="Number of direct discharges from the piped network which discharge directly to open watercourses drains, rivers, coastal areas. This may also include discharge to soakage where quality/volume results in an environmental impact." sqref="H18" xr:uid="{00000000-0002-0000-0400-000000000000}"/>
    <dataValidation allowBlank="1" showInputMessage="1" showErrorMessage="1" prompt="The number of stormwater discharges (listed in SWE1a) covered by resource consents. If multiple discharges are covered by a smaller number of consents, provide details in the comments field." sqref="H19" xr:uid="{00000000-0002-0000-0400-000001000000}"/>
    <dataValidation allowBlank="1" showInputMessage="1" showErrorMessage="1" prompt="This cell is automatically calculated based on other supplied data. It can be overwritten if a more accurage value is available." sqref="H10" xr:uid="{00000000-0002-0000-0400-000002000000}"/>
    <dataValidation allowBlank="1" showInputMessage="1" showErrorMessage="1" prompt="This cell is automatically calculated based on other supplied data." sqref="H11 H42 H80 H53:H54 H61:H62 H65:H69 H73 H77 H45" xr:uid="{00000000-0002-0000-0400-000003000000}"/>
    <dataValidation allowBlank="1" showInputMessage="1" showErrorMessage="1" prompt="Stormwater serviced properties are defined as those billed for stormwater services. This includes properties that do not have an explicit stormwater charge but are billed through other means. Further detail is in the definitions guidelines." sqref="H8:H9" xr:uid="{00000000-0002-0000-0400-000004000000}"/>
    <dataValidation allowBlank="1" showInputMessage="1" showErrorMessage="1" prompt="Stormwater serviced properties are defined as those billed for stormwater services. Non-residential is defined as any business or other property that is not identified as a residential connection. Further detail is in the definitions guidelines." sqref="H10" xr:uid="{00000000-0002-0000-0400-000005000000}"/>
    <dataValidation allowBlank="1" showInputMessage="1" showErrorMessage="1" prompt="This includes all pipes, culverts and lined channels that form part of the primary stormwater reticulation network. It does not include pipes associated with  house branch connections, ditches, unlined channels, swales and streams._x000a_" sqref="H6" xr:uid="{00000000-0002-0000-0400-000006000000}"/>
    <dataValidation allowBlank="1" showInputMessage="1" showErrorMessage="1" prompt="The percentage of pipelines, above and below ground, by length, that have recieved a poor or very poor condition grade. The definitions of poor and very poor should align with the IPWEA IIMM manual. If they do not, list deviations in the comments." sqref="H13" xr:uid="{00000000-0002-0000-0400-000007000000}"/>
    <dataValidation type="list" allowBlank="1" showInputMessage="1" showErrorMessage="1" sqref="I40:I41 I43:I44 I55:I60 I63:I64 I70:I72 I74:I76 I78:I79 I46:I52 I36:I37 I12:I26 I29:I30 I34 I6:J6 I7:I9" xr:uid="{00000000-0002-0000-0400-000008000000}">
      <formula1>Data_confidence</formula1>
    </dataValidation>
    <dataValidation allowBlank="1" showInputMessage="1" showErrorMessage="1" prompt="The percentage of above ground assets that have recieved a poor or very poor condition grade, in alignment with the defintion in the IPWEA IIMM. If condition grades do not adhere to the definition, note deviations in the comments." sqref="H17" xr:uid="{00000000-0002-0000-0400-000009000000}"/>
    <dataValidation allowBlank="1" showInputMessage="1" showErrorMessage="1" prompt="The percentage of above ground assets that have recieved a condition grading. Provide information on the apporach used to determine the grading in the comments." sqref="H16" xr:uid="{00000000-0002-0000-0400-00000A000000}"/>
    <dataValidation allowBlank="1" showInputMessage="1" showErrorMessage="1" prompt="The number of stormwater pump stations. If not applicable to the organisation leave blank." sqref="H7" xr:uid="{00000000-0002-0000-0400-00000B000000}"/>
    <dataValidation allowBlank="1" showInputMessage="1" showErrorMessage="1" prompt="The number of abatement notices received by the organisation in relation to stormwater discharge consents." sqref="H20" xr:uid="{00000000-0002-0000-0400-00000C000000}"/>
    <dataValidation allowBlank="1" showInputMessage="1" showErrorMessage="1" prompt="The number of infringement notices received by the organisation in relation to stormwater discharge consents." sqref="H21" xr:uid="{00000000-0002-0000-0400-00000D000000}"/>
    <dataValidation allowBlank="1" showInputMessage="1" showErrorMessage="1" prompt="The number of enforcement orders received by the organisation in relation to stormwater discharge consents." sqref="H22" xr:uid="{00000000-0002-0000-0400-00000E000000}"/>
    <dataValidation allowBlank="1" showInputMessage="1" showErrorMessage="1" prompt="The number of successful prosecutions received by the organisation in relation to stormwater discharge consents." sqref="H23" xr:uid="{00000000-0002-0000-0400-00000F000000}"/>
    <dataValidation allowBlank="1" showInputMessage="1" showErrorMessage="1" prompt="Average annual targeted stormwater charge (GST included) for a urban residential property. If no stormwater charges apply, detail how customers contribute to costs in the comments field (e.g. stormwater included in roading rate or wastewater rate). " sqref="H37" xr:uid="{00000000-0002-0000-0400-000010000000}"/>
    <dataValidation type="list" allowBlank="1" showInputMessage="1" showErrorMessage="1" prompt="The manner in which the charge for stormwater services is levied. " sqref="H38" xr:uid="{00000000-0002-0000-0400-000011000000}">
      <formula1>Charge_type</formula1>
    </dataValidation>
    <dataValidation allowBlank="1" showInputMessage="1" showErrorMessage="1" prompt="Automatically calculated by summing complaints by type. The value can be overwritten if a breakdown of stormwater complaints by type is not known or other complaints are recorded. The defintion of a complaint is detailed in the definition guidelines." sqref="H39" xr:uid="{00000000-0002-0000-0400-000012000000}"/>
    <dataValidation allowBlank="1" showInputMessage="1" showErrorMessage="1" prompt="Number of flooding events that occured as a result of the capacity of the stormwater system (including primary and secondary networks) being exceeded." sqref="H43" xr:uid="{00000000-0002-0000-0400-000013000000}"/>
    <dataValidation allowBlank="1" showInputMessage="1" showErrorMessage="1" prompt="Number of habitable floors flooded as a result of the capacity of the stormwater system (including primary and secondary networks) being exceeded._x000a_" sqref="H44" xr:uid="{00000000-0002-0000-0400-000014000000}"/>
    <dataValidation allowBlank="1" showInputMessage="1" showErrorMessage="1" prompt="Median time taken for the local authority to attend call-outs in response to a flooding event, measured from the time that the territorial authority receives notification to the time that service personnel reach the site." sqref="H48" xr:uid="{00000000-0002-0000-0400-000015000000}"/>
    <dataValidation allowBlank="1" showInputMessage="1" showErrorMessage="1" prompt="The level of service targeted during primary (typically piped) stormwater network design as an annual exceedance probability (i.e. the probability of a flooding even occuring annually). Definitions guidelines contain further detail." sqref="H49:H50" xr:uid="{00000000-0002-0000-0400-000016000000}"/>
    <dataValidation allowBlank="1" showInputMessage="1" showErrorMessage="1" prompt="Operating revenue (income) for the reporting year relating to the total stormwater serviced area.  Further detail is provided in the definition guidelines." sqref="H51:H52 H63:H64" xr:uid="{00000000-0002-0000-0400-000018000000}"/>
    <dataValidation allowBlank="1" showInputMessage="1" showErrorMessage="1" prompt="Increase in debt related to stormwater (negative value to indicate decrease in debt). Debt is considered any funding that is required to be repayed including internal loans. Funding from reserves or developer contributions is not to be included" sqref="H55" xr:uid="{00000000-0002-0000-0400-000019000000}"/>
    <dataValidation allowBlank="1" showInputMessage="1" showErrorMessage="1" prompt="The costs (including consultant and contractor costs) associated with scheduled operation and maintenance of the stormwater network." sqref="H57" xr:uid="{00000000-0002-0000-0400-00001A000000}"/>
    <dataValidation allowBlank="1" showInputMessage="1" showErrorMessage="1" prompt="The costs (including consultant and contractor costs) associated with operation and maintenance of the stormwater network, not included as routine maintenance." sqref="H58" xr:uid="{00000000-0002-0000-0400-00001B000000}"/>
    <dataValidation allowBlank="1" showInputMessage="1" showErrorMessage="1" prompt="Organisational costs including costs related to salaries, accommodation, rate payment, IT,training, etc. " sqref="H59" xr:uid="{00000000-0002-0000-0400-00001C000000}"/>
    <dataValidation allowBlank="1" showInputMessage="1" showErrorMessage="1" prompt="Council's contract management costs where management of the network is carried out by a  Council Controlled Organisation or an external maintenance contractor.  " sqref="H60" xr:uid="{00000000-0002-0000-0400-00001D000000}"/>
    <dataValidation allowBlank="1" showInputMessage="1" showErrorMessage="1" prompt="Budgeted capital expenditure related to growth in the stotmwater system including new works and subdivisions." sqref="H70" xr:uid="{00000000-0002-0000-0400-00001E000000}"/>
    <dataValidation allowBlank="1" showInputMessage="1" showErrorMessage="1" prompt="Budgeted capital expenditure on existing stormwater assets that is not driven by asset condition or age." sqref="H71" xr:uid="{00000000-0002-0000-0400-00001F000000}"/>
    <dataValidation allowBlank="1" showInputMessage="1" showErrorMessage="1" prompt="Budgeted capital expenditure related to renewals or replacements or other expenditure." sqref="H72" xr:uid="{00000000-0002-0000-0400-000020000000}"/>
    <dataValidation allowBlank="1" showInputMessage="1" showErrorMessage="1" prompt="Capital expenditure related to growth in the stotmwater system including new works and subdivisions." sqref="H74" xr:uid="{00000000-0002-0000-0400-000021000000}"/>
    <dataValidation allowBlank="1" showInputMessage="1" showErrorMessage="1" prompt="Capital expenditure on existing stormwater assets that is not driven by asset condition or age." sqref="H75" xr:uid="{00000000-0002-0000-0400-000022000000}"/>
    <dataValidation allowBlank="1" showInputMessage="1" showErrorMessage="1" prompt="Capital expenditure related to renewals or replacements or other expenditure on stormwater assets that would otherwise be referred to as capital." sqref="H76" xr:uid="{00000000-0002-0000-0400-000023000000}"/>
    <dataValidation allowBlank="1" showInputMessage="1" showErrorMessage="1" prompt="The closing book value of stormwater assets." sqref="H78" xr:uid="{00000000-0002-0000-0400-000024000000}"/>
    <dataValidation allowBlank="1" showInputMessage="1" showErrorMessage="1" prompt="Any external grants received (not awarded) during the financial year for capital or operational costs related to the stormwater scheme." sqref="H56" xr:uid="{00000000-0002-0000-0400-000025000000}"/>
    <dataValidation allowBlank="1" showInputMessage="1" showErrorMessage="1" prompt="The number of breaches of stormwater discharge consent conditions. Include an outline of non-conformances in the comments field. Further detail in the definition guide." sqref="H24" xr:uid="{00000000-0002-0000-0400-000026000000}"/>
    <dataValidation allowBlank="1" showInputMessage="1" showErrorMessage="1" prompt="The number of flooding events that occured as a result of events not related to stormwater capacity (e.g. tidal innundation or a river bursting flood banks)." sqref="H46" xr:uid="{00000000-0002-0000-0400-000027000000}"/>
    <dataValidation allowBlank="1" showInputMessage="1" showErrorMessage="1" prompt="The number of habitable floors flooded as a result of events not related to stormwater capacity (e.g. tidal innundation or a river bursting flood banks)." sqref="H47" xr:uid="{00000000-0002-0000-0400-000028000000}"/>
    <dataValidation allowBlank="1" showInputMessage="1" showErrorMessage="1" prompt="Detail on complaints definitions is included in the defintion guide." sqref="H40:H41" xr:uid="{00000000-0002-0000-0400-000029000000}"/>
    <dataValidation allowBlank="1" showInputMessage="1" showErrorMessage="1" prompt="The number of letters of direction recieved in relation to stormwater discharge consent non-compliance." sqref="H25" xr:uid="{00000000-0002-0000-0400-00002A000000}"/>
    <dataValidation allowBlank="1" showInputMessage="1" showErrorMessage="1" prompt="The number of formal warnings recieved in relation to stormwater discharge consent non-compliance." sqref="H26" xr:uid="{00000000-0002-0000-0400-00002B000000}"/>
    <dataValidation allowBlank="1" showInputMessage="1" showErrorMessage="1" prompt="Weighted average age of all pipelines within the total stormwater serviced area." sqref="H8:H11" xr:uid="{00000000-0002-0000-0400-00002C000000}"/>
    <dataValidation allowBlank="1" showInputMessage="1" showErrorMessage="1" prompt="Percentage of stormwater pipelines that have recieved a condition grading." sqref="H12" xr:uid="{00000000-0002-0000-0400-00002D000000}"/>
    <dataValidation allowBlank="1" showInputMessage="1" showErrorMessage="1" prompt="Weighted average age of all stormwater pipelines within the total serviced area. " sqref="H14" xr:uid="{00000000-0002-0000-0400-00002E000000}"/>
    <dataValidation allowBlank="1" showInputMessage="1" showErrorMessage="1" prompt="Percentage of the network inspected using CCTV in the last five years." sqref="H15" xr:uid="{00000000-0002-0000-0400-00002F000000}"/>
    <dataValidation allowBlank="1" showInputMessage="1" showErrorMessage="1" prompt="The total electricity consumed by stormwater pumps, and treatment devices. Does not include energy use related to fleet vehicles or offices._x000a_Do not include energy used by other fuel sources such diesel, gas and biomass. " sqref="H29" xr:uid="{00000000-0002-0000-0400-000030000000}"/>
    <dataValidation allowBlank="1" showInputMessage="1" showErrorMessage="1" prompt="The total energy consumed from external sources other than electricity, by stormwater pumps and other network components. _x000a_This could include fuel provided by biomass, diesel, or gas. _x000a_Do not include energy use related to fleet vehicles or offices." sqref="H30" xr:uid="{00000000-0002-0000-0400-000031000000}"/>
    <dataValidation allowBlank="1" showInputMessage="1" showErrorMessage="1" prompt="Any external grants received (not awarded) during the financial year " sqref="H56" xr:uid="{00000000-0002-0000-0400-000032000000}"/>
    <dataValidation allowBlank="1" showInputMessage="1" showErrorMessage="1" prompt="List the litres of storage required for every m2 of impervious surface. If alternate units are in place list these in the comments field." sqref="H34" xr:uid="{00000000-0002-0000-0400-000033000000}"/>
    <dataValidation allowBlank="1" showInputMessage="1" showErrorMessage="1" prompt="A yes/no response indicating if an emissions baseline has been developed, to forecast greenhouse gas emissions from operational or capital works. Provide details in the comments field." sqref="H36" xr:uid="{00000000-0002-0000-0400-000034000000}"/>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092" yWindow="419" count="6">
        <x14:dataValidation type="list" allowBlank="1" showInputMessage="1" showErrorMessage="1" prompt="Is stormwater quality regularly monitored. If so, include details in the comments field." xr:uid="{00000000-0002-0000-0400-000035000000}">
          <x14:formula1>
            <xm:f>'Data lists'!$C$1:$C$2</xm:f>
          </x14:formula1>
          <xm:sqref>H27</xm:sqref>
        </x14:dataValidation>
        <x14:dataValidation type="list" allowBlank="1" showInputMessage="1" showErrorMessage="1" prompt="Is there a plan (or similar document) implemented to manage stormwater quality. If so, include details in the comments field." xr:uid="{00000000-0002-0000-0400-000036000000}">
          <x14:formula1>
            <xm:f>'Data lists'!$C$1:$C$2</xm:f>
          </x14:formula1>
          <xm:sqref>H28</xm:sqref>
        </x14:dataValidation>
        <x14:dataValidation type="list" allowBlank="1" showInputMessage="1" showErrorMessage="1" prompt="A yes/no response indiciating if a climate change risk assessment has been undertaken. If yes, include top three risks in the comments field." xr:uid="{00000000-0002-0000-0400-000037000000}">
          <x14:formula1>
            <xm:f>'Data lists'!$C$1:$C$2</xm:f>
          </x14:formula1>
          <xm:sqref>H31</xm:sqref>
        </x14:dataValidation>
        <x14:dataValidation type="list" allowBlank="1" showInputMessage="1" showErrorMessage="1" prompt="A yes/no response indicating if the organisation has in place a plan to respond to risks identified in SWE6." xr:uid="{00000000-0002-0000-0400-000038000000}">
          <x14:formula1>
            <xm:f>'Data lists'!$C$1:$C$2</xm:f>
          </x14:formula1>
          <xm:sqref>H32</xm:sqref>
        </x14:dataValidation>
        <x14:dataValidation type="list" allowBlank="1" showInputMessage="1" showErrorMessage="1" prompt="A yes/no response indicating if an emissions baseline has been developed, to forecast greenhouse gas emissions from operational or capital works. Provide details in the comments field." xr:uid="{00000000-0002-0000-0400-000039000000}">
          <x14:formula1>
            <xm:f>'Data lists'!$C$1:$C$2</xm:f>
          </x14:formula1>
          <xm:sqref>H33</xm:sqref>
        </x14:dataValidation>
        <x14:dataValidation type="list" allowBlank="1" showInputMessage="1" showErrorMessage="1" prompt="Select, which of four commonly future scenarios have been considered in the design of the stormwater network. If other apporaches are used describe these in the comments. Leave blank if climate change has not been factored into design." xr:uid="{00000000-0002-0000-0400-00003A000000}">
          <x14:formula1>
            <xm:f>'Data lists'!$Q$2:$Q$6</xm:f>
          </x14:formula1>
          <xm:sqref>H35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2:AJ563"/>
  <sheetViews>
    <sheetView topLeftCell="A9" workbookViewId="0">
      <selection activeCell="F19" sqref="F19"/>
    </sheetView>
  </sheetViews>
  <sheetFormatPr defaultRowHeight="14.25" outlineLevelRow="1" outlineLevelCol="1"/>
  <cols>
    <col min="1" max="1" width="11.42578125" customWidth="1"/>
    <col min="2" max="2" width="10" customWidth="1"/>
    <col min="3" max="3" width="16.42578125" customWidth="1"/>
    <col min="4" max="4" width="15.140625" customWidth="1"/>
    <col min="5" max="5" width="2.42578125" customWidth="1"/>
    <col min="6" max="6" width="15.140625" customWidth="1"/>
    <col min="7" max="7" width="12.140625" customWidth="1"/>
    <col min="8" max="8" width="3.140625" bestFit="1" customWidth="1"/>
    <col min="9" max="9" width="14.140625" bestFit="1" customWidth="1"/>
    <col min="10" max="10" width="2.42578125" customWidth="1"/>
    <col min="11" max="11" width="14.140625" bestFit="1" customWidth="1"/>
    <col min="12" max="12" width="11.140625" bestFit="1" customWidth="1"/>
    <col min="13" max="13" width="3.140625" bestFit="1" customWidth="1"/>
    <col min="14" max="14" width="14.42578125" customWidth="1" outlineLevel="1"/>
    <col min="15" max="15" width="2.140625" customWidth="1" outlineLevel="1"/>
    <col min="16" max="17" width="14.42578125" customWidth="1" outlineLevel="1"/>
    <col min="18" max="18" width="25.5703125" customWidth="1"/>
    <col min="19" max="19" width="26.140625" customWidth="1" outlineLevel="1"/>
    <col min="20" max="20" width="12" customWidth="1" outlineLevel="1"/>
    <col min="21" max="21" width="21.5703125" customWidth="1" outlineLevel="1"/>
    <col min="22" max="22" width="9" customWidth="1" outlineLevel="1"/>
    <col min="23" max="23" width="11.42578125" style="1" customWidth="1" outlineLevel="1"/>
    <col min="24" max="24" width="6.7109375" bestFit="1" customWidth="1" outlineLevel="1"/>
    <col min="25" max="26" width="8.42578125" customWidth="1" outlineLevel="1"/>
    <col min="27" max="27" width="8.85546875" outlineLevel="1"/>
    <col min="28" max="28" width="22.5703125" customWidth="1" outlineLevel="1"/>
    <col min="29" max="34" width="13.5703125" customWidth="1" outlineLevel="1"/>
    <col min="35" max="36" width="13.42578125" customWidth="1" outlineLevel="1"/>
  </cols>
  <sheetData>
    <row r="2" spans="1:17" ht="17.649999999999999">
      <c r="A2" s="600" t="s">
        <v>939</v>
      </c>
      <c r="B2" s="601"/>
      <c r="C2" s="601"/>
      <c r="D2" s="602"/>
      <c r="E2" s="601"/>
      <c r="F2" s="602"/>
      <c r="G2" s="602"/>
      <c r="H2" s="602"/>
      <c r="I2" s="602"/>
      <c r="J2" s="602"/>
      <c r="K2" s="602"/>
      <c r="L2" s="602"/>
      <c r="M2" s="602"/>
      <c r="N2" s="602"/>
      <c r="O2" s="602"/>
      <c r="P2" s="602"/>
      <c r="Q2" s="602"/>
    </row>
    <row r="3" spans="1:17">
      <c r="A3" s="602"/>
      <c r="B3" s="601"/>
      <c r="C3" s="601"/>
      <c r="E3" s="601"/>
      <c r="F3" s="602"/>
      <c r="G3" s="602"/>
      <c r="H3" s="602"/>
      <c r="I3" s="602"/>
      <c r="J3" s="602"/>
      <c r="K3" s="602"/>
      <c r="L3" s="602"/>
      <c r="M3" s="602"/>
      <c r="N3" s="602"/>
      <c r="O3" s="602"/>
      <c r="P3" s="602"/>
      <c r="Q3" s="602"/>
    </row>
    <row r="4" spans="1:17">
      <c r="D4" s="603" t="s">
        <v>940</v>
      </c>
      <c r="E4" s="603"/>
      <c r="F4">
        <v>1</v>
      </c>
      <c r="G4" s="603"/>
      <c r="H4" s="603"/>
      <c r="I4" s="603" t="s">
        <v>941</v>
      </c>
      <c r="J4" s="603"/>
      <c r="K4">
        <v>1</v>
      </c>
      <c r="L4" s="603"/>
      <c r="M4" s="603"/>
      <c r="N4" s="603" t="s">
        <v>942</v>
      </c>
      <c r="P4">
        <v>1</v>
      </c>
    </row>
    <row r="5" spans="1:17">
      <c r="B5" s="1"/>
      <c r="D5" s="646" t="s">
        <v>943</v>
      </c>
      <c r="E5" s="604"/>
      <c r="F5" s="604" t="s">
        <v>944</v>
      </c>
      <c r="G5" s="647" t="s">
        <v>945</v>
      </c>
      <c r="H5" s="535"/>
      <c r="I5" s="646" t="s">
        <v>943</v>
      </c>
      <c r="J5" s="604"/>
      <c r="K5" s="604" t="s">
        <v>944</v>
      </c>
      <c r="L5" s="647" t="s">
        <v>945</v>
      </c>
      <c r="M5" s="535"/>
      <c r="N5" s="646" t="s">
        <v>943</v>
      </c>
      <c r="O5" s="604"/>
      <c r="P5" s="604" t="s">
        <v>944</v>
      </c>
      <c r="Q5" s="647" t="s">
        <v>945</v>
      </c>
    </row>
    <row r="6" spans="1:17">
      <c r="B6" s="1"/>
      <c r="D6" s="605"/>
      <c r="E6" s="606"/>
      <c r="F6" s="606"/>
      <c r="G6" s="607"/>
      <c r="H6" s="535"/>
      <c r="I6" s="605"/>
      <c r="J6" s="606"/>
      <c r="K6" s="606"/>
      <c r="L6" s="607"/>
      <c r="M6" s="535"/>
      <c r="N6" s="605"/>
      <c r="O6" s="606"/>
      <c r="P6" s="606"/>
      <c r="Q6" s="607"/>
    </row>
    <row r="7" spans="1:17">
      <c r="B7" s="1"/>
      <c r="D7" s="608"/>
      <c r="G7" s="609"/>
      <c r="I7" s="608"/>
      <c r="L7" s="609"/>
      <c r="N7" s="608"/>
      <c r="Q7" s="609"/>
    </row>
    <row r="8" spans="1:17">
      <c r="A8" t="s">
        <v>946</v>
      </c>
      <c r="D8" s="610">
        <v>1090000</v>
      </c>
      <c r="E8" s="611"/>
      <c r="F8" s="611">
        <v>1090000</v>
      </c>
      <c r="G8" s="612">
        <v>0</v>
      </c>
      <c r="H8" s="536"/>
      <c r="I8" s="610">
        <v>845000</v>
      </c>
      <c r="J8" s="611"/>
      <c r="K8" s="611">
        <v>845000</v>
      </c>
      <c r="L8" s="612">
        <v>0</v>
      </c>
      <c r="M8" s="536"/>
      <c r="N8" s="610">
        <v>890000</v>
      </c>
      <c r="O8" s="611"/>
      <c r="P8" s="611">
        <v>890000</v>
      </c>
      <c r="Q8" s="612">
        <v>0</v>
      </c>
    </row>
    <row r="9" spans="1:17">
      <c r="D9" s="613"/>
      <c r="E9" s="614"/>
      <c r="F9" s="614"/>
      <c r="G9" s="609"/>
      <c r="I9" s="613"/>
      <c r="J9" s="614"/>
      <c r="K9" s="614"/>
      <c r="L9" s="609"/>
      <c r="N9" s="613"/>
      <c r="O9" s="614"/>
      <c r="P9" s="614"/>
      <c r="Q9" s="609"/>
    </row>
    <row r="10" spans="1:17">
      <c r="A10" t="s">
        <v>947</v>
      </c>
      <c r="D10" s="615">
        <v>65</v>
      </c>
      <c r="E10" s="614"/>
      <c r="F10" s="616">
        <v>77</v>
      </c>
      <c r="G10" s="617"/>
      <c r="I10" s="618">
        <v>65</v>
      </c>
      <c r="J10" s="614"/>
      <c r="K10" s="616">
        <v>77</v>
      </c>
      <c r="L10" s="617"/>
      <c r="N10" s="618">
        <v>65</v>
      </c>
      <c r="O10" s="614"/>
      <c r="P10" s="616">
        <v>77</v>
      </c>
      <c r="Q10" s="612"/>
    </row>
    <row r="11" spans="1:17">
      <c r="A11" s="619" t="s">
        <v>948</v>
      </c>
      <c r="C11" s="620"/>
      <c r="D11" s="615">
        <v>387</v>
      </c>
      <c r="E11" s="621"/>
      <c r="F11" s="616">
        <v>410</v>
      </c>
      <c r="G11" s="617"/>
      <c r="I11" s="618">
        <v>387</v>
      </c>
      <c r="J11" s="621"/>
      <c r="K11" s="616">
        <v>410</v>
      </c>
      <c r="L11" s="617"/>
      <c r="N11" s="618">
        <v>387</v>
      </c>
      <c r="O11" s="621"/>
      <c r="P11" s="616">
        <v>410</v>
      </c>
      <c r="Q11" s="612"/>
    </row>
    <row r="12" spans="1:17">
      <c r="A12" s="619" t="s">
        <v>949</v>
      </c>
      <c r="C12" s="620"/>
      <c r="D12" s="615">
        <v>234.81268615342483</v>
      </c>
      <c r="E12" s="621"/>
      <c r="F12" s="616">
        <v>221.39141601324803</v>
      </c>
      <c r="G12" s="617"/>
      <c r="I12" s="618">
        <v>234.81268615342483</v>
      </c>
      <c r="J12" s="621"/>
      <c r="K12" s="616">
        <v>221.39141601324803</v>
      </c>
      <c r="L12" s="617"/>
      <c r="N12" s="618">
        <v>234.81268615342483</v>
      </c>
      <c r="O12" s="621"/>
      <c r="P12" s="616">
        <v>221.39141601324803</v>
      </c>
      <c r="Q12" s="612"/>
    </row>
    <row r="13" spans="1:17">
      <c r="A13" t="s">
        <v>950</v>
      </c>
      <c r="C13" s="620"/>
      <c r="D13" s="615">
        <v>136</v>
      </c>
      <c r="E13" s="622"/>
      <c r="F13" s="616">
        <v>115</v>
      </c>
      <c r="G13" s="617"/>
      <c r="I13" s="618">
        <v>190</v>
      </c>
      <c r="J13" s="621"/>
      <c r="K13" s="623">
        <v>160</v>
      </c>
      <c r="L13" s="617"/>
      <c r="N13" s="618">
        <v>136</v>
      </c>
      <c r="O13" s="621"/>
      <c r="P13" s="616">
        <v>115</v>
      </c>
      <c r="Q13" s="612"/>
    </row>
    <row r="14" spans="1:17">
      <c r="A14" t="s">
        <v>951</v>
      </c>
      <c r="C14" s="620"/>
      <c r="D14" s="615">
        <v>27.978685640162894</v>
      </c>
      <c r="E14" s="622"/>
      <c r="F14" s="616">
        <v>32.454187196940204</v>
      </c>
      <c r="G14" s="617"/>
      <c r="I14" s="618">
        <v>21.689898500860224</v>
      </c>
      <c r="J14" s="621"/>
      <c r="K14" s="616">
        <v>25.159438698545387</v>
      </c>
      <c r="L14" s="617"/>
      <c r="N14" s="618">
        <v>22.844981852977043</v>
      </c>
      <c r="O14" s="621"/>
      <c r="P14" s="616">
        <v>26.499290463556679</v>
      </c>
      <c r="Q14" s="612"/>
    </row>
    <row r="15" spans="1:17">
      <c r="A15" s="619" t="s">
        <v>952</v>
      </c>
      <c r="C15" s="620"/>
      <c r="D15" s="615">
        <v>275.41846495283153</v>
      </c>
      <c r="E15" s="622"/>
      <c r="F15" s="616">
        <v>259.63512471694253</v>
      </c>
      <c r="G15" s="617"/>
      <c r="I15" s="618">
        <v>213.51247971114003</v>
      </c>
      <c r="J15" s="621"/>
      <c r="K15" s="616">
        <v>201.27677099616187</v>
      </c>
      <c r="L15" s="617"/>
      <c r="N15" s="618">
        <v>224.88296679634868</v>
      </c>
      <c r="O15" s="621"/>
      <c r="P15" s="616">
        <v>211.99565229181547</v>
      </c>
      <c r="Q15" s="612"/>
    </row>
    <row r="16" spans="1:17">
      <c r="A16" s="619" t="s">
        <v>953</v>
      </c>
      <c r="C16" s="620"/>
      <c r="D16" s="615">
        <v>146.81291141799559</v>
      </c>
      <c r="E16" s="622"/>
      <c r="F16" s="616">
        <v>170.21277658047936</v>
      </c>
      <c r="G16" s="617"/>
      <c r="I16" s="618">
        <v>113.81367903505163</v>
      </c>
      <c r="J16" s="621"/>
      <c r="K16" s="616">
        <v>131.95394147752756</v>
      </c>
      <c r="L16" s="617"/>
      <c r="N16" s="618">
        <v>119.87476253395971</v>
      </c>
      <c r="O16" s="621"/>
      <c r="P16" s="616">
        <v>138.98107445562076</v>
      </c>
      <c r="Q16" s="612"/>
    </row>
    <row r="17" spans="1:20">
      <c r="A17" s="619" t="s">
        <v>954</v>
      </c>
      <c r="C17" s="620"/>
      <c r="D17" s="615">
        <v>251.95189937092641</v>
      </c>
      <c r="E17" s="622"/>
      <c r="F17" s="616">
        <v>244.75029583308378</v>
      </c>
      <c r="G17" s="617"/>
      <c r="I17" s="618">
        <v>195.3205091453512</v>
      </c>
      <c r="J17" s="621"/>
      <c r="K17" s="616">
        <v>189.73761465959248</v>
      </c>
      <c r="L17" s="617"/>
      <c r="N17" s="618">
        <v>205.72219306433442</v>
      </c>
      <c r="O17" s="621"/>
      <c r="P17" s="616">
        <v>199.84198467105006</v>
      </c>
      <c r="Q17" s="612"/>
    </row>
    <row r="18" spans="1:20">
      <c r="A18" t="s">
        <v>955</v>
      </c>
      <c r="C18" s="620"/>
      <c r="D18" s="615">
        <v>196.32720921990415</v>
      </c>
      <c r="E18" s="622"/>
      <c r="F18" s="616">
        <v>247.17648480198946</v>
      </c>
      <c r="G18" s="617"/>
      <c r="I18" s="618">
        <v>266.49871400848411</v>
      </c>
      <c r="J18" s="621"/>
      <c r="K18" s="616">
        <v>282.72853401277024</v>
      </c>
      <c r="L18" s="617"/>
      <c r="N18" s="618">
        <v>160.30386807863732</v>
      </c>
      <c r="O18" s="621"/>
      <c r="P18" s="616">
        <v>201.82300135208314</v>
      </c>
      <c r="Q18" s="612"/>
    </row>
    <row r="19" spans="1:20">
      <c r="A19" t="s">
        <v>956</v>
      </c>
      <c r="C19" s="620"/>
      <c r="D19" s="615">
        <v>138.63168914572606</v>
      </c>
      <c r="E19" s="622"/>
      <c r="F19" s="624">
        <v>155.97956838451435</v>
      </c>
      <c r="G19" s="617"/>
      <c r="I19" s="618">
        <v>133.71707337985012</v>
      </c>
      <c r="J19" s="621"/>
      <c r="K19" s="616">
        <v>148.63255652644796</v>
      </c>
      <c r="L19" s="617"/>
      <c r="N19" s="618">
        <v>113.19468196302401</v>
      </c>
      <c r="O19" s="621"/>
      <c r="P19" s="616">
        <v>127.35946409377777</v>
      </c>
      <c r="Q19" s="612"/>
    </row>
    <row r="20" spans="1:20">
      <c r="C20" s="620"/>
      <c r="D20" s="615"/>
      <c r="E20" s="622"/>
      <c r="F20" s="616"/>
      <c r="G20" s="617"/>
      <c r="I20" s="618"/>
      <c r="J20" s="621"/>
      <c r="K20" s="616"/>
      <c r="L20" s="617"/>
      <c r="N20" s="618"/>
      <c r="O20" s="621"/>
      <c r="P20" s="616"/>
      <c r="Q20" s="612"/>
    </row>
    <row r="21" spans="1:20">
      <c r="A21" s="619" t="s">
        <v>957</v>
      </c>
      <c r="C21" s="620"/>
      <c r="D21" s="625">
        <v>1859.9335459009715</v>
      </c>
      <c r="E21" s="626"/>
      <c r="F21" s="627">
        <v>1933.5998535271979</v>
      </c>
      <c r="G21" s="617">
        <v>3.9606956812288506E-2</v>
      </c>
      <c r="I21" s="628">
        <v>1821.365039934162</v>
      </c>
      <c r="J21" s="614"/>
      <c r="K21" s="627">
        <v>1847.8802723842937</v>
      </c>
      <c r="L21" s="617">
        <v>1.4557890301380823E-2</v>
      </c>
      <c r="N21" s="628">
        <v>1669.6361404427062</v>
      </c>
      <c r="O21" s="614"/>
      <c r="P21" s="627">
        <v>1729.8918833411522</v>
      </c>
      <c r="Q21" s="612">
        <v>3.6089146274989652E-2</v>
      </c>
    </row>
    <row r="22" spans="1:20">
      <c r="C22" s="620"/>
      <c r="D22" s="613"/>
      <c r="E22" s="614"/>
      <c r="F22" s="614"/>
      <c r="G22" s="617"/>
      <c r="I22" s="613"/>
      <c r="J22" s="614"/>
      <c r="K22" s="614"/>
      <c r="L22" s="617"/>
      <c r="N22" s="613"/>
      <c r="O22" s="614"/>
      <c r="P22" s="614"/>
      <c r="Q22" s="612"/>
    </row>
    <row r="23" spans="1:20">
      <c r="A23" t="s">
        <v>958</v>
      </c>
      <c r="D23" s="613"/>
      <c r="E23" s="614"/>
      <c r="F23" s="614"/>
      <c r="G23" s="617"/>
      <c r="I23" s="613"/>
      <c r="J23" s="614"/>
      <c r="K23" s="614"/>
      <c r="L23" s="617"/>
      <c r="N23" s="613"/>
      <c r="O23" s="614"/>
      <c r="P23" s="614"/>
      <c r="Q23" s="612"/>
      <c r="S23" s="619"/>
    </row>
    <row r="24" spans="1:20">
      <c r="B24" t="s">
        <v>959</v>
      </c>
      <c r="D24" s="615">
        <v>320</v>
      </c>
      <c r="E24" s="614"/>
      <c r="F24" s="614">
        <v>300</v>
      </c>
      <c r="G24" s="617"/>
      <c r="I24" s="618">
        <v>180</v>
      </c>
      <c r="J24" s="614"/>
      <c r="K24" s="614">
        <v>200</v>
      </c>
      <c r="L24" s="617"/>
      <c r="N24" s="618">
        <v>250</v>
      </c>
      <c r="O24" s="614"/>
      <c r="P24" s="614">
        <v>250</v>
      </c>
      <c r="Q24" s="612"/>
    </row>
    <row r="25" spans="1:20">
      <c r="B25" t="s">
        <v>960</v>
      </c>
      <c r="C25" s="620"/>
      <c r="D25" s="615">
        <v>174.10557704731457</v>
      </c>
      <c r="E25" s="614"/>
      <c r="F25" s="616">
        <v>167.40864121146754</v>
      </c>
      <c r="G25" s="617"/>
      <c r="I25" s="618">
        <v>137.90791282692749</v>
      </c>
      <c r="J25" s="614"/>
      <c r="K25" s="616">
        <v>159.32782884865622</v>
      </c>
      <c r="L25" s="617"/>
      <c r="N25" s="618">
        <v>218.00515749546074</v>
      </c>
      <c r="O25" s="614"/>
      <c r="P25" s="616">
        <v>199.10021544192375</v>
      </c>
      <c r="Q25" s="612"/>
    </row>
    <row r="26" spans="1:20">
      <c r="D26" s="629">
        <v>494.10557704731457</v>
      </c>
      <c r="E26" s="614"/>
      <c r="F26" s="630">
        <v>467.40864121146751</v>
      </c>
      <c r="G26" s="617">
        <v>-5.4030832834114341E-2</v>
      </c>
      <c r="I26" s="629">
        <v>317.90791282692749</v>
      </c>
      <c r="J26" s="614"/>
      <c r="K26" s="631">
        <v>359.32782884865622</v>
      </c>
      <c r="L26" s="617">
        <v>0.13028903764430108</v>
      </c>
      <c r="N26" s="629">
        <v>468.00515749546071</v>
      </c>
      <c r="O26" s="614"/>
      <c r="P26" s="631">
        <v>449.10021544192375</v>
      </c>
      <c r="Q26" s="612">
        <v>-4.0394730166451891E-2</v>
      </c>
    </row>
    <row r="27" spans="1:20">
      <c r="D27" s="613"/>
      <c r="E27" s="614"/>
      <c r="F27" s="614"/>
      <c r="G27" s="617"/>
      <c r="I27" s="613"/>
      <c r="J27" s="614"/>
      <c r="K27" s="614"/>
      <c r="L27" s="617"/>
      <c r="N27" s="613"/>
      <c r="O27" s="614"/>
      <c r="P27" s="614"/>
      <c r="Q27" s="612"/>
    </row>
    <row r="28" spans="1:20">
      <c r="A28" t="s">
        <v>961</v>
      </c>
      <c r="D28" s="613"/>
      <c r="E28" s="614"/>
      <c r="F28" s="614"/>
      <c r="G28" s="617"/>
      <c r="I28" s="613"/>
      <c r="J28" s="614"/>
      <c r="K28" s="614"/>
      <c r="L28" s="617"/>
      <c r="N28" s="613"/>
      <c r="O28" s="614"/>
      <c r="P28" s="614"/>
      <c r="Q28" s="612"/>
    </row>
    <row r="29" spans="1:20">
      <c r="B29" t="s">
        <v>959</v>
      </c>
      <c r="D29" s="615">
        <v>664</v>
      </c>
      <c r="E29" s="614"/>
      <c r="F29" s="614">
        <v>694</v>
      </c>
      <c r="G29" s="617"/>
      <c r="I29" s="618">
        <v>648</v>
      </c>
      <c r="J29" s="614"/>
      <c r="K29" s="614">
        <v>652</v>
      </c>
      <c r="L29" s="617"/>
      <c r="N29" s="618">
        <v>690</v>
      </c>
      <c r="O29" s="614"/>
      <c r="P29" s="614">
        <v>694</v>
      </c>
      <c r="Q29" s="612"/>
    </row>
    <row r="30" spans="1:20">
      <c r="B30" t="s">
        <v>962</v>
      </c>
      <c r="C30" s="632">
        <v>0</v>
      </c>
      <c r="D30" s="615">
        <v>0</v>
      </c>
      <c r="E30" s="622"/>
      <c r="F30" s="614">
        <v>0</v>
      </c>
      <c r="G30" s="617"/>
      <c r="I30" s="618">
        <v>0</v>
      </c>
      <c r="J30" s="621"/>
      <c r="K30" s="614">
        <v>0</v>
      </c>
      <c r="L30" s="617"/>
      <c r="N30" s="618">
        <v>0</v>
      </c>
      <c r="O30" s="621"/>
      <c r="P30" s="614">
        <v>0</v>
      </c>
      <c r="Q30" s="612"/>
    </row>
    <row r="31" spans="1:20">
      <c r="D31" s="629">
        <v>664</v>
      </c>
      <c r="E31" s="614"/>
      <c r="F31" s="630">
        <v>694</v>
      </c>
      <c r="G31" s="617">
        <v>4.5180722891566265E-2</v>
      </c>
      <c r="I31" s="629">
        <v>648</v>
      </c>
      <c r="J31" s="614"/>
      <c r="K31" s="631">
        <v>652</v>
      </c>
      <c r="L31" s="617">
        <v>6.1728395061728392E-3</v>
      </c>
      <c r="N31" s="629">
        <v>690</v>
      </c>
      <c r="O31" s="614"/>
      <c r="P31" s="631">
        <v>694</v>
      </c>
      <c r="Q31" s="612">
        <v>5.7971014492753624E-3</v>
      </c>
      <c r="S31" s="614"/>
      <c r="T31" s="614"/>
    </row>
    <row r="32" spans="1:20">
      <c r="D32" s="613"/>
      <c r="E32" s="614"/>
      <c r="F32" s="614"/>
      <c r="G32" s="617"/>
      <c r="I32" s="613"/>
      <c r="J32" s="614"/>
      <c r="K32" s="614"/>
      <c r="L32" s="617"/>
      <c r="N32" s="613"/>
      <c r="O32" s="614"/>
      <c r="P32" s="614"/>
      <c r="Q32" s="612"/>
    </row>
    <row r="33" spans="1:17">
      <c r="A33" s="619" t="s">
        <v>963</v>
      </c>
      <c r="D33" s="615">
        <v>313</v>
      </c>
      <c r="E33" s="614"/>
      <c r="F33" s="616">
        <v>327</v>
      </c>
      <c r="G33" s="617"/>
      <c r="I33" s="618">
        <v>313</v>
      </c>
      <c r="J33" s="614"/>
      <c r="K33" s="616">
        <v>327</v>
      </c>
      <c r="L33" s="617"/>
      <c r="N33" s="618">
        <v>313</v>
      </c>
      <c r="O33" s="614"/>
      <c r="P33" s="616">
        <v>327</v>
      </c>
      <c r="Q33" s="612"/>
    </row>
    <row r="34" spans="1:17">
      <c r="A34" s="619"/>
      <c r="D34" s="629">
        <v>313</v>
      </c>
      <c r="E34" s="614"/>
      <c r="F34" s="631">
        <v>327</v>
      </c>
      <c r="G34" s="617">
        <v>4.472843450479233E-2</v>
      </c>
      <c r="I34" s="629">
        <v>313</v>
      </c>
      <c r="J34" s="614"/>
      <c r="K34" s="631">
        <v>327</v>
      </c>
      <c r="L34" s="617">
        <v>4.472843450479233E-2</v>
      </c>
      <c r="N34" s="629">
        <v>313</v>
      </c>
      <c r="O34" s="614"/>
      <c r="P34" s="631">
        <v>327</v>
      </c>
      <c r="Q34" s="612">
        <v>4.472843450479233E-2</v>
      </c>
    </row>
    <row r="35" spans="1:17">
      <c r="D35" s="629"/>
      <c r="E35" s="614"/>
      <c r="F35" s="631"/>
      <c r="G35" s="617"/>
      <c r="I35" s="629"/>
      <c r="J35" s="614"/>
      <c r="K35" s="631"/>
      <c r="L35" s="617"/>
      <c r="N35" s="629"/>
      <c r="O35" s="614"/>
      <c r="P35" s="631"/>
      <c r="Q35" s="612"/>
    </row>
    <row r="36" spans="1:17" ht="17.25">
      <c r="A36" t="s">
        <v>964</v>
      </c>
      <c r="D36" s="633">
        <v>3331.0391229482861</v>
      </c>
      <c r="E36" s="614"/>
      <c r="F36" s="634">
        <v>3422.0084947386654</v>
      </c>
      <c r="G36" s="635">
        <v>2.7309607732815426E-2</v>
      </c>
      <c r="I36" s="633">
        <v>3100.2729527610895</v>
      </c>
      <c r="J36" s="614"/>
      <c r="K36" s="634">
        <v>3186.20810123295</v>
      </c>
      <c r="L36" s="635">
        <v>2.7718575035571291E-2</v>
      </c>
      <c r="N36" s="633">
        <v>3140.6412979381666</v>
      </c>
      <c r="O36" s="614"/>
      <c r="P36" s="634">
        <v>3199.992098783076</v>
      </c>
      <c r="Q36" s="636">
        <v>1.8897669365767183E-2</v>
      </c>
    </row>
    <row r="37" spans="1:17">
      <c r="D37" s="637"/>
      <c r="E37" s="638"/>
      <c r="F37" s="638"/>
      <c r="G37" s="639">
        <v>90.969371790379228</v>
      </c>
      <c r="I37" s="640"/>
      <c r="J37" s="641"/>
      <c r="K37" s="641"/>
      <c r="L37" s="639">
        <v>85.93514847186043</v>
      </c>
      <c r="N37" s="640"/>
      <c r="O37" s="641"/>
      <c r="P37" s="641"/>
      <c r="Q37" s="639">
        <v>59.350800844909372</v>
      </c>
    </row>
    <row r="38" spans="1:17">
      <c r="F38" s="614"/>
      <c r="G38" s="614"/>
      <c r="I38" s="614"/>
      <c r="J38" s="614"/>
      <c r="K38" s="614"/>
      <c r="L38" s="614"/>
      <c r="N38" s="614"/>
      <c r="O38" s="614"/>
      <c r="P38" s="614"/>
      <c r="Q38" s="614"/>
    </row>
    <row r="39" spans="1:17" ht="17.649999999999999">
      <c r="A39" s="600" t="s">
        <v>965</v>
      </c>
      <c r="B39" s="601"/>
      <c r="C39" s="601"/>
      <c r="D39" s="602"/>
      <c r="E39" s="601"/>
      <c r="F39" s="602"/>
      <c r="G39" s="602"/>
      <c r="H39" s="602"/>
      <c r="I39" s="602"/>
      <c r="J39" s="602"/>
      <c r="K39" s="602"/>
      <c r="L39" s="602"/>
      <c r="M39" s="602"/>
      <c r="N39" s="602"/>
      <c r="O39" s="602"/>
      <c r="P39" s="602"/>
      <c r="Q39" s="602"/>
    </row>
    <row r="40" spans="1:17">
      <c r="A40" s="602"/>
      <c r="B40" s="601"/>
      <c r="C40" s="601"/>
      <c r="D40" s="602"/>
      <c r="E40" s="601"/>
      <c r="F40" s="602"/>
      <c r="G40" s="602"/>
      <c r="H40" s="602"/>
      <c r="I40" s="602"/>
      <c r="J40" s="602"/>
      <c r="K40" s="602"/>
      <c r="L40" s="602"/>
      <c r="M40" s="602"/>
      <c r="N40" s="602"/>
      <c r="O40" s="602"/>
      <c r="P40" s="602"/>
      <c r="Q40" s="602"/>
    </row>
    <row r="41" spans="1:17">
      <c r="D41" s="603" t="s">
        <v>940</v>
      </c>
      <c r="E41" s="603"/>
      <c r="F41">
        <v>1</v>
      </c>
      <c r="G41" s="603"/>
      <c r="H41" s="603"/>
      <c r="I41" s="603" t="s">
        <v>941</v>
      </c>
      <c r="J41" s="603"/>
      <c r="K41">
        <v>1</v>
      </c>
      <c r="L41" s="603"/>
      <c r="M41" s="603"/>
      <c r="N41" s="603" t="s">
        <v>942</v>
      </c>
      <c r="P41">
        <v>1</v>
      </c>
    </row>
    <row r="42" spans="1:17">
      <c r="B42" s="1"/>
      <c r="D42" s="604" t="s">
        <v>943</v>
      </c>
      <c r="E42" s="604"/>
      <c r="F42" s="604" t="s">
        <v>944</v>
      </c>
      <c r="G42" s="647" t="s">
        <v>945</v>
      </c>
      <c r="H42" s="535"/>
      <c r="I42" s="604" t="s">
        <v>943</v>
      </c>
      <c r="J42" s="604"/>
      <c r="K42" s="604" t="s">
        <v>944</v>
      </c>
      <c r="L42" s="647" t="s">
        <v>945</v>
      </c>
      <c r="M42" s="535"/>
      <c r="N42" s="604" t="s">
        <v>943</v>
      </c>
      <c r="O42" s="604"/>
      <c r="P42" s="604" t="s">
        <v>944</v>
      </c>
      <c r="Q42" s="647" t="s">
        <v>945</v>
      </c>
    </row>
    <row r="43" spans="1:17">
      <c r="B43" s="1"/>
      <c r="D43" s="608"/>
      <c r="G43" s="609"/>
      <c r="I43" s="608"/>
      <c r="L43" s="609"/>
      <c r="N43" s="608"/>
      <c r="Q43" s="609"/>
    </row>
    <row r="44" spans="1:17">
      <c r="A44" t="s">
        <v>946</v>
      </c>
      <c r="D44" s="610">
        <v>1890000</v>
      </c>
      <c r="E44" s="611"/>
      <c r="F44" s="611">
        <v>1890000</v>
      </c>
      <c r="G44" s="612">
        <v>0</v>
      </c>
      <c r="H44" s="536"/>
      <c r="I44" s="610">
        <v>1045000</v>
      </c>
      <c r="J44" s="611"/>
      <c r="K44" s="611">
        <v>1045000</v>
      </c>
      <c r="L44" s="612">
        <v>0</v>
      </c>
      <c r="M44" s="536"/>
      <c r="N44" s="610">
        <v>1650000</v>
      </c>
      <c r="O44" s="611"/>
      <c r="P44" s="611">
        <v>1650000</v>
      </c>
      <c r="Q44" s="612">
        <v>0</v>
      </c>
    </row>
    <row r="45" spans="1:17">
      <c r="D45" s="613"/>
      <c r="E45" s="614"/>
      <c r="F45" s="614"/>
      <c r="G45" s="609"/>
      <c r="I45" s="613"/>
      <c r="J45" s="614"/>
      <c r="K45" s="614"/>
      <c r="L45" s="609"/>
      <c r="N45" s="613"/>
      <c r="O45" s="614"/>
      <c r="P45" s="614"/>
      <c r="Q45" s="609"/>
    </row>
    <row r="46" spans="1:17">
      <c r="A46" t="s">
        <v>947</v>
      </c>
      <c r="D46" s="615">
        <v>65</v>
      </c>
      <c r="E46" s="614"/>
      <c r="F46" s="642">
        <v>77</v>
      </c>
      <c r="G46" s="617"/>
      <c r="I46" s="615">
        <v>65</v>
      </c>
      <c r="J46" s="614"/>
      <c r="K46" s="642">
        <v>77</v>
      </c>
      <c r="L46" s="617"/>
      <c r="N46" s="615">
        <v>65</v>
      </c>
      <c r="O46" s="614"/>
      <c r="P46" s="642">
        <v>77</v>
      </c>
      <c r="Q46" s="612"/>
    </row>
    <row r="47" spans="1:17">
      <c r="A47" s="619" t="s">
        <v>948</v>
      </c>
      <c r="C47" s="620"/>
      <c r="D47" s="615">
        <v>0</v>
      </c>
      <c r="E47" s="621"/>
      <c r="F47" s="642">
        <v>0</v>
      </c>
      <c r="G47" s="617"/>
      <c r="I47" s="615">
        <v>0</v>
      </c>
      <c r="J47" s="621"/>
      <c r="K47" s="642">
        <v>0</v>
      </c>
      <c r="L47" s="617"/>
      <c r="N47" s="615">
        <v>0</v>
      </c>
      <c r="O47" s="621"/>
      <c r="P47" s="642">
        <v>0</v>
      </c>
      <c r="Q47" s="612"/>
    </row>
    <row r="48" spans="1:17">
      <c r="A48" s="619" t="s">
        <v>966</v>
      </c>
      <c r="C48" s="620"/>
      <c r="D48" s="615">
        <v>433.70866891909128</v>
      </c>
      <c r="E48" s="621"/>
      <c r="F48" s="616">
        <v>430.74717886619982</v>
      </c>
      <c r="G48" s="617"/>
      <c r="I48" s="618">
        <v>433.70866891909128</v>
      </c>
      <c r="J48" s="621"/>
      <c r="K48" s="616">
        <v>430.74717886619982</v>
      </c>
      <c r="L48" s="617"/>
      <c r="N48" s="618">
        <v>433.70866891909128</v>
      </c>
      <c r="O48" s="621"/>
      <c r="P48" s="616">
        <v>430.74717886619982</v>
      </c>
      <c r="Q48" s="612"/>
    </row>
    <row r="49" spans="1:17">
      <c r="A49" t="s">
        <v>950</v>
      </c>
      <c r="C49" s="620"/>
      <c r="D49" s="615">
        <v>0</v>
      </c>
      <c r="E49" s="622"/>
      <c r="F49" s="642">
        <v>0</v>
      </c>
      <c r="G49" s="612"/>
      <c r="I49" s="615">
        <v>0</v>
      </c>
      <c r="J49" s="622"/>
      <c r="K49" s="642">
        <v>0</v>
      </c>
      <c r="L49" s="612"/>
      <c r="N49" s="615">
        <v>0</v>
      </c>
      <c r="O49" s="622"/>
      <c r="P49" s="642">
        <v>0</v>
      </c>
      <c r="Q49" s="612"/>
    </row>
    <row r="50" spans="1:17">
      <c r="A50" t="s">
        <v>951</v>
      </c>
      <c r="C50" s="620"/>
      <c r="D50" s="615">
        <v>48.513500788906306</v>
      </c>
      <c r="E50" s="622"/>
      <c r="F50" s="642">
        <v>56.273774130474294</v>
      </c>
      <c r="G50" s="612"/>
      <c r="I50" s="615">
        <v>26.823602288046079</v>
      </c>
      <c r="J50" s="622"/>
      <c r="K50" s="642">
        <v>31.114335431928907</v>
      </c>
      <c r="L50" s="612"/>
      <c r="N50" s="615">
        <v>42.35305624428328</v>
      </c>
      <c r="O50" s="622"/>
      <c r="P50" s="642">
        <v>49.127898050414068</v>
      </c>
      <c r="Q50" s="612"/>
    </row>
    <row r="51" spans="1:17">
      <c r="A51" s="619" t="s">
        <v>952</v>
      </c>
      <c r="C51" s="620"/>
      <c r="D51" s="615">
        <v>477.56045757876296</v>
      </c>
      <c r="E51" s="622"/>
      <c r="F51" s="642">
        <v>450.1930144174508</v>
      </c>
      <c r="G51" s="612"/>
      <c r="I51" s="615">
        <v>264.04797786762288</v>
      </c>
      <c r="J51" s="622"/>
      <c r="K51" s="642">
        <v>248.91624342128895</v>
      </c>
      <c r="L51" s="612"/>
      <c r="N51" s="615">
        <v>416.91785979098353</v>
      </c>
      <c r="O51" s="622"/>
      <c r="P51" s="642">
        <v>393.02564750729834</v>
      </c>
      <c r="Q51" s="612"/>
    </row>
    <row r="52" spans="1:17">
      <c r="A52" s="619" t="s">
        <v>953</v>
      </c>
      <c r="C52" s="620"/>
      <c r="D52" s="615">
        <v>254.56550695413915</v>
      </c>
      <c r="E52" s="622"/>
      <c r="F52" s="642">
        <v>295.13958507991373</v>
      </c>
      <c r="G52" s="612"/>
      <c r="I52" s="615">
        <v>140.75182791908753</v>
      </c>
      <c r="J52" s="622"/>
      <c r="K52" s="642">
        <v>163.18564360238616</v>
      </c>
      <c r="L52" s="612"/>
      <c r="N52" s="615">
        <v>222.23972829329608</v>
      </c>
      <c r="O52" s="622"/>
      <c r="P52" s="642">
        <v>257.66154253008341</v>
      </c>
      <c r="Q52" s="612"/>
    </row>
    <row r="53" spans="1:17">
      <c r="A53" s="619" t="s">
        <v>954</v>
      </c>
      <c r="C53" s="620"/>
      <c r="D53" s="615">
        <v>458.71426082715919</v>
      </c>
      <c r="E53" s="622"/>
      <c r="F53" s="642">
        <v>445.60271750527966</v>
      </c>
      <c r="G53" s="612"/>
      <c r="I53" s="615">
        <v>253.6277262245404</v>
      </c>
      <c r="J53" s="622"/>
      <c r="K53" s="642">
        <v>246.37822211270753</v>
      </c>
      <c r="L53" s="612"/>
      <c r="N53" s="615">
        <v>400.46483088085324</v>
      </c>
      <c r="O53" s="622"/>
      <c r="P53" s="642">
        <v>389.01824544111713</v>
      </c>
      <c r="Q53" s="612"/>
    </row>
    <row r="54" spans="1:17">
      <c r="A54" t="s">
        <v>967</v>
      </c>
      <c r="C54" s="620"/>
      <c r="D54" s="615">
        <v>1276.5771516936427</v>
      </c>
      <c r="E54" s="622"/>
      <c r="F54" s="616">
        <v>1607.2140697560553</v>
      </c>
      <c r="G54" s="617"/>
      <c r="I54" s="618">
        <v>1235.9074976576887</v>
      </c>
      <c r="J54" s="621"/>
      <c r="K54" s="616">
        <v>1311.1744883580395</v>
      </c>
      <c r="L54" s="617"/>
      <c r="N54" s="618">
        <v>1114.4721165579419</v>
      </c>
      <c r="O54" s="621"/>
      <c r="P54" s="616">
        <v>1403.1233942314768</v>
      </c>
      <c r="Q54" s="612"/>
    </row>
    <row r="55" spans="1:17">
      <c r="A55" t="s">
        <v>968</v>
      </c>
      <c r="C55" s="620"/>
      <c r="D55" s="615">
        <v>240.37971787653416</v>
      </c>
      <c r="E55" s="622"/>
      <c r="F55" s="624">
        <v>270.45998554746069</v>
      </c>
      <c r="G55" s="617"/>
      <c r="I55" s="618">
        <v>165.36608483070222</v>
      </c>
      <c r="J55" s="621"/>
      <c r="K55" s="616">
        <v>183.8118598463173</v>
      </c>
      <c r="L55" s="617"/>
      <c r="N55" s="618">
        <v>209.85530925729171</v>
      </c>
      <c r="O55" s="621"/>
      <c r="P55" s="616">
        <v>236.11586039857679</v>
      </c>
      <c r="Q55" s="612"/>
    </row>
    <row r="56" spans="1:17">
      <c r="A56" t="s">
        <v>969</v>
      </c>
      <c r="C56" s="620"/>
      <c r="D56" s="615">
        <v>1546.0411732434902</v>
      </c>
      <c r="E56" s="622"/>
      <c r="F56" s="616">
        <v>1542.2130970349206</v>
      </c>
      <c r="G56" s="617"/>
      <c r="I56" s="618">
        <v>1046.9720087251296</v>
      </c>
      <c r="J56" s="621"/>
      <c r="K56" s="616">
        <v>988.17639395573997</v>
      </c>
      <c r="L56" s="617"/>
      <c r="N56" s="618">
        <v>1278.3343033472938</v>
      </c>
      <c r="O56" s="621"/>
      <c r="P56" s="616">
        <v>1292.0027626667925</v>
      </c>
      <c r="Q56" s="612"/>
    </row>
    <row r="57" spans="1:17">
      <c r="C57" s="620"/>
      <c r="D57" s="615"/>
      <c r="E57" s="622"/>
      <c r="F57" s="616"/>
      <c r="G57" s="617"/>
      <c r="I57" s="618"/>
      <c r="J57" s="621"/>
      <c r="K57" s="616"/>
      <c r="L57" s="617"/>
      <c r="N57" s="618"/>
      <c r="O57" s="621"/>
      <c r="P57" s="616"/>
      <c r="Q57" s="612"/>
    </row>
    <row r="58" spans="1:17">
      <c r="A58" t="s">
        <v>970</v>
      </c>
      <c r="C58" s="620"/>
      <c r="D58" s="625">
        <v>4801.0604378817261</v>
      </c>
      <c r="E58" s="614"/>
      <c r="F58" s="627">
        <v>5174.8434223377553</v>
      </c>
      <c r="G58" s="617">
        <v>7.7854255178038512E-2</v>
      </c>
      <c r="I58" s="628">
        <v>3632.2053944319086</v>
      </c>
      <c r="J58" s="614"/>
      <c r="K58" s="627">
        <v>3680.5043655946083</v>
      </c>
      <c r="L58" s="617">
        <v>1.3297422892642838E-2</v>
      </c>
      <c r="N58" s="628">
        <v>4183.3458732910349</v>
      </c>
      <c r="O58" s="614"/>
      <c r="P58" s="627">
        <v>4527.8225296919591</v>
      </c>
      <c r="Q58" s="612">
        <v>8.2344770629717179E-2</v>
      </c>
    </row>
    <row r="59" spans="1:17">
      <c r="D59" s="613"/>
      <c r="E59" s="614"/>
      <c r="F59" s="614"/>
      <c r="G59" s="617"/>
      <c r="I59" s="613"/>
      <c r="J59" s="614"/>
      <c r="K59" s="614"/>
      <c r="L59" s="617"/>
      <c r="N59" s="613"/>
      <c r="O59" s="614"/>
      <c r="P59" s="614"/>
      <c r="Q59" s="612"/>
    </row>
    <row r="60" spans="1:17">
      <c r="A60" t="s">
        <v>958</v>
      </c>
      <c r="D60" s="613"/>
      <c r="E60" s="614"/>
      <c r="F60" s="614"/>
      <c r="G60" s="617"/>
      <c r="I60" s="613"/>
      <c r="J60" s="614"/>
      <c r="K60" s="614"/>
      <c r="L60" s="617"/>
      <c r="N60" s="613"/>
      <c r="O60" s="614"/>
      <c r="P60" s="614"/>
      <c r="Q60" s="612"/>
    </row>
    <row r="61" spans="1:17">
      <c r="B61" t="s">
        <v>959</v>
      </c>
      <c r="D61" s="615">
        <v>320</v>
      </c>
      <c r="E61" s="614"/>
      <c r="F61" s="614">
        <v>300</v>
      </c>
      <c r="G61" s="617"/>
      <c r="I61" s="618">
        <v>180</v>
      </c>
      <c r="J61" s="614"/>
      <c r="K61" s="614">
        <v>200</v>
      </c>
      <c r="L61" s="617"/>
      <c r="N61" s="618">
        <v>250</v>
      </c>
      <c r="O61" s="614"/>
      <c r="P61" s="614">
        <v>250</v>
      </c>
      <c r="Q61" s="612"/>
    </row>
    <row r="62" spans="1:17">
      <c r="B62" t="s">
        <v>960</v>
      </c>
      <c r="C62" s="620"/>
      <c r="D62" s="615">
        <v>483.02317889089835</v>
      </c>
      <c r="E62" s="614"/>
      <c r="F62" s="616">
        <v>464.4437899297962</v>
      </c>
      <c r="G62" s="617"/>
      <c r="I62" s="618">
        <v>272.87814230369554</v>
      </c>
      <c r="J62" s="614"/>
      <c r="K62" s="616">
        <v>315.26169211237072</v>
      </c>
      <c r="L62" s="617"/>
      <c r="N62" s="618">
        <v>646.66698403147905</v>
      </c>
      <c r="O62" s="614"/>
      <c r="P62" s="616">
        <v>590.58940310862772</v>
      </c>
      <c r="Q62" s="612"/>
    </row>
    <row r="63" spans="1:17">
      <c r="D63" s="629">
        <v>803.02317889089841</v>
      </c>
      <c r="E63" s="614"/>
      <c r="F63" s="630">
        <v>764.44378992979614</v>
      </c>
      <c r="G63" s="617">
        <v>-4.8042684165588455E-2</v>
      </c>
      <c r="I63" s="629">
        <v>452.87814230369554</v>
      </c>
      <c r="J63" s="614"/>
      <c r="K63" s="631">
        <v>515.26169211237072</v>
      </c>
      <c r="L63" s="617">
        <v>0.13774908519837861</v>
      </c>
      <c r="N63" s="629">
        <v>896.66698403147905</v>
      </c>
      <c r="O63" s="614"/>
      <c r="P63" s="631">
        <v>840.58940310862772</v>
      </c>
      <c r="Q63" s="612">
        <v>-6.2540030938490115E-2</v>
      </c>
    </row>
    <row r="64" spans="1:17">
      <c r="D64" s="613"/>
      <c r="E64" s="614"/>
      <c r="F64" s="614"/>
      <c r="G64" s="617"/>
      <c r="I64" s="613"/>
      <c r="J64" s="614"/>
      <c r="K64" s="614"/>
      <c r="L64" s="617"/>
      <c r="N64" s="613"/>
      <c r="O64" s="614"/>
      <c r="P64" s="614"/>
      <c r="Q64" s="612"/>
    </row>
    <row r="65" spans="1:32">
      <c r="A65" t="s">
        <v>961</v>
      </c>
      <c r="D65" s="613"/>
      <c r="E65" s="614"/>
      <c r="F65" s="614"/>
      <c r="G65" s="617"/>
      <c r="I65" s="613"/>
      <c r="J65" s="614"/>
      <c r="K65" s="614"/>
      <c r="L65" s="617"/>
      <c r="N65" s="613"/>
      <c r="O65" s="614"/>
      <c r="P65" s="614"/>
      <c r="Q65" s="612"/>
    </row>
    <row r="66" spans="1:32">
      <c r="B66" t="s">
        <v>959</v>
      </c>
      <c r="D66" s="615">
        <v>664</v>
      </c>
      <c r="E66" s="614"/>
      <c r="F66" s="614">
        <v>694</v>
      </c>
      <c r="G66" s="617"/>
      <c r="I66" s="618">
        <v>648</v>
      </c>
      <c r="J66" s="614"/>
      <c r="K66" s="643">
        <v>652</v>
      </c>
      <c r="L66" s="617"/>
      <c r="N66" s="618">
        <v>690</v>
      </c>
      <c r="O66" s="614"/>
      <c r="P66" s="614">
        <v>694</v>
      </c>
      <c r="Q66" s="612"/>
    </row>
    <row r="67" spans="1:32">
      <c r="B67" t="s">
        <v>962</v>
      </c>
      <c r="C67" s="632">
        <v>0</v>
      </c>
      <c r="D67" s="613">
        <v>0</v>
      </c>
      <c r="E67" s="622"/>
      <c r="F67" s="614">
        <v>0</v>
      </c>
      <c r="G67" s="617"/>
      <c r="H67">
        <v>0</v>
      </c>
      <c r="I67" s="618">
        <v>0</v>
      </c>
      <c r="J67" s="621"/>
      <c r="K67" s="614">
        <v>0</v>
      </c>
      <c r="L67" s="617"/>
      <c r="N67" s="618">
        <v>0</v>
      </c>
      <c r="O67" s="621"/>
      <c r="P67" s="614">
        <v>0</v>
      </c>
      <c r="Q67" s="612"/>
    </row>
    <row r="68" spans="1:32">
      <c r="D68" s="629">
        <v>664</v>
      </c>
      <c r="E68" s="614"/>
      <c r="F68" s="630">
        <v>694</v>
      </c>
      <c r="G68" s="617">
        <v>4.5180722891566265E-2</v>
      </c>
      <c r="I68" s="629">
        <v>648</v>
      </c>
      <c r="J68" s="614"/>
      <c r="K68" s="631">
        <v>652</v>
      </c>
      <c r="L68" s="617">
        <v>6.1728395061728392E-3</v>
      </c>
      <c r="N68" s="629">
        <v>690</v>
      </c>
      <c r="O68" s="614"/>
      <c r="P68" s="631">
        <v>694</v>
      </c>
      <c r="Q68" s="612">
        <v>5.7971014492753624E-3</v>
      </c>
    </row>
    <row r="69" spans="1:32">
      <c r="D69" s="613"/>
      <c r="E69" s="614"/>
      <c r="F69" s="614"/>
      <c r="G69" s="617"/>
      <c r="I69" s="613"/>
      <c r="J69" s="614"/>
      <c r="K69" s="614"/>
      <c r="L69" s="617"/>
      <c r="N69" s="613"/>
      <c r="O69" s="614"/>
      <c r="P69" s="614"/>
      <c r="Q69" s="612"/>
    </row>
    <row r="70" spans="1:32">
      <c r="B70" t="s">
        <v>971</v>
      </c>
      <c r="D70" s="615">
        <v>148</v>
      </c>
      <c r="E70" s="614"/>
      <c r="F70" s="644">
        <v>150</v>
      </c>
      <c r="G70" s="617"/>
      <c r="I70" s="618">
        <v>148</v>
      </c>
      <c r="J70" s="614"/>
      <c r="K70" s="644">
        <v>150</v>
      </c>
      <c r="L70" s="617"/>
      <c r="N70" s="618">
        <v>148</v>
      </c>
      <c r="O70" s="614"/>
      <c r="P70" s="644">
        <v>150</v>
      </c>
      <c r="Q70" s="612"/>
    </row>
    <row r="71" spans="1:32">
      <c r="D71" s="629">
        <v>148</v>
      </c>
      <c r="E71" s="614"/>
      <c r="F71" s="631">
        <v>150</v>
      </c>
      <c r="G71" s="617">
        <v>1.3513513513513514E-2</v>
      </c>
      <c r="I71" s="629">
        <v>148</v>
      </c>
      <c r="J71" s="614"/>
      <c r="K71" s="631">
        <v>150</v>
      </c>
      <c r="L71" s="617">
        <v>1.3513513513513514E-2</v>
      </c>
      <c r="N71" s="629">
        <v>148</v>
      </c>
      <c r="O71" s="614"/>
      <c r="P71" s="631">
        <v>150</v>
      </c>
      <c r="Q71" s="612">
        <v>1.3513513513513514E-2</v>
      </c>
    </row>
    <row r="72" spans="1:32">
      <c r="D72" s="629"/>
      <c r="E72" s="614"/>
      <c r="F72" s="631"/>
      <c r="G72" s="617"/>
      <c r="I72" s="629"/>
      <c r="J72" s="614"/>
      <c r="K72" s="631"/>
      <c r="L72" s="617"/>
      <c r="N72" s="629"/>
      <c r="O72" s="614"/>
      <c r="P72" s="631"/>
      <c r="Q72" s="612"/>
    </row>
    <row r="73" spans="1:32" ht="17.25">
      <c r="A73" t="s">
        <v>964</v>
      </c>
      <c r="D73" s="633">
        <v>6416.0836167726247</v>
      </c>
      <c r="E73" s="614"/>
      <c r="F73" s="634">
        <v>6783.2872122675517</v>
      </c>
      <c r="G73" s="635">
        <v>5.7231734719759661E-2</v>
      </c>
      <c r="I73" s="633">
        <v>4881.083536735604</v>
      </c>
      <c r="J73" s="614"/>
      <c r="K73" s="634">
        <v>4997.7660577069792</v>
      </c>
      <c r="L73" s="635">
        <v>2.3905044872354456E-2</v>
      </c>
      <c r="N73" s="633">
        <v>5918.0128573225138</v>
      </c>
      <c r="O73" s="614"/>
      <c r="P73" s="634">
        <v>6212.4119328005872</v>
      </c>
      <c r="Q73" s="636">
        <v>4.9746271692161947E-2</v>
      </c>
    </row>
    <row r="74" spans="1:32">
      <c r="D74" s="637"/>
      <c r="E74" s="638"/>
      <c r="F74" s="638"/>
      <c r="G74" s="639">
        <v>367.20359549492696</v>
      </c>
      <c r="I74" s="640"/>
      <c r="J74" s="641"/>
      <c r="K74" s="641"/>
      <c r="L74" s="639">
        <v>116.6825209713752</v>
      </c>
      <c r="N74" s="640"/>
      <c r="O74" s="641"/>
      <c r="P74" s="641"/>
      <c r="Q74" s="639">
        <v>294.39907547807343</v>
      </c>
    </row>
    <row r="75" spans="1:32">
      <c r="F75" s="614"/>
      <c r="K75" s="614"/>
      <c r="P75" s="614"/>
    </row>
    <row r="76" spans="1:32" ht="17.649999999999999" outlineLevel="1">
      <c r="A76" s="600" t="s">
        <v>972</v>
      </c>
      <c r="B76" s="601"/>
      <c r="C76" s="601"/>
      <c r="D76" s="602"/>
      <c r="E76" s="601"/>
      <c r="F76" s="602"/>
      <c r="G76" s="602"/>
      <c r="H76" s="602"/>
      <c r="I76" s="602"/>
      <c r="J76" s="602"/>
      <c r="K76" s="602"/>
      <c r="L76" s="602"/>
      <c r="M76" s="602"/>
      <c r="N76" s="602"/>
      <c r="O76" s="602"/>
      <c r="P76" s="602"/>
      <c r="Q76" s="602"/>
    </row>
    <row r="77" spans="1:32" outlineLevel="1">
      <c r="A77" s="602"/>
      <c r="B77" s="601"/>
      <c r="C77" s="601"/>
      <c r="D77" s="602"/>
      <c r="E77" s="601"/>
      <c r="F77" s="602"/>
      <c r="G77" s="602"/>
      <c r="H77" s="602"/>
      <c r="I77" s="602"/>
      <c r="J77" s="602"/>
      <c r="K77" s="602"/>
      <c r="L77" s="602"/>
      <c r="M77" s="602"/>
      <c r="N77" s="602"/>
      <c r="O77" s="602"/>
      <c r="P77" s="602"/>
      <c r="Q77" s="602"/>
    </row>
    <row r="78" spans="1:32" outlineLevel="1">
      <c r="D78" s="603" t="s">
        <v>972</v>
      </c>
      <c r="E78" s="603"/>
      <c r="F78">
        <v>1</v>
      </c>
      <c r="G78" s="603"/>
      <c r="H78" s="603"/>
      <c r="I78" s="603" t="s">
        <v>973</v>
      </c>
      <c r="J78" s="603"/>
      <c r="K78">
        <v>1</v>
      </c>
      <c r="L78" s="603"/>
      <c r="M78" s="603"/>
      <c r="AB78" s="697" t="s">
        <v>974</v>
      </c>
      <c r="AC78" s="720" t="s">
        <v>975</v>
      </c>
      <c r="AD78" s="720" t="s">
        <v>975</v>
      </c>
      <c r="AE78" s="720" t="s">
        <v>976</v>
      </c>
      <c r="AF78" s="645" t="s">
        <v>976</v>
      </c>
    </row>
    <row r="79" spans="1:32" outlineLevel="1">
      <c r="B79" s="1"/>
      <c r="D79" s="646" t="s">
        <v>943</v>
      </c>
      <c r="E79" s="604"/>
      <c r="F79" s="604" t="s">
        <v>944</v>
      </c>
      <c r="G79" s="647" t="s">
        <v>945</v>
      </c>
      <c r="H79" s="535"/>
      <c r="I79" s="646" t="s">
        <v>943</v>
      </c>
      <c r="J79" s="604"/>
      <c r="K79" s="604" t="s">
        <v>944</v>
      </c>
      <c r="L79" s="647" t="s">
        <v>945</v>
      </c>
      <c r="M79" s="535"/>
      <c r="N79" s="606"/>
      <c r="O79" s="606"/>
      <c r="P79" s="606"/>
      <c r="Q79" s="606"/>
    </row>
    <row r="80" spans="1:32" outlineLevel="1">
      <c r="B80" s="1"/>
      <c r="D80" s="608"/>
      <c r="G80" s="609"/>
      <c r="I80" s="608"/>
      <c r="L80" s="609"/>
    </row>
    <row r="81" spans="1:17" outlineLevel="1">
      <c r="A81" t="s">
        <v>946</v>
      </c>
      <c r="D81" s="610">
        <v>136840000</v>
      </c>
      <c r="E81" s="611"/>
      <c r="F81" s="611">
        <v>136840000</v>
      </c>
      <c r="G81" s="612">
        <v>0</v>
      </c>
      <c r="H81" s="536"/>
      <c r="I81" s="610">
        <v>16000000</v>
      </c>
      <c r="J81" s="611"/>
      <c r="K81" s="611">
        <v>16000000</v>
      </c>
      <c r="L81" s="612">
        <v>0</v>
      </c>
      <c r="M81" s="536"/>
      <c r="N81" s="611"/>
      <c r="O81" s="611"/>
      <c r="P81" s="611"/>
    </row>
    <row r="82" spans="1:17" outlineLevel="1">
      <c r="D82" s="613"/>
      <c r="E82" s="614"/>
      <c r="F82" s="614"/>
      <c r="G82" s="609"/>
      <c r="I82" s="613"/>
      <c r="J82" s="614"/>
      <c r="K82" s="614"/>
      <c r="L82" s="609"/>
      <c r="N82" s="614"/>
      <c r="O82" s="614"/>
      <c r="P82" s="614"/>
    </row>
    <row r="83" spans="1:17">
      <c r="A83" t="s">
        <v>947</v>
      </c>
      <c r="D83" s="615">
        <v>65</v>
      </c>
      <c r="E83" s="614"/>
      <c r="F83" s="642">
        <v>77</v>
      </c>
      <c r="G83" s="617"/>
      <c r="I83" s="615">
        <v>65</v>
      </c>
      <c r="J83" s="614"/>
      <c r="K83" s="642">
        <v>77</v>
      </c>
      <c r="L83" s="617"/>
      <c r="N83" s="648"/>
      <c r="O83" s="614"/>
      <c r="P83" s="648"/>
      <c r="Q83" s="649"/>
    </row>
    <row r="84" spans="1:17">
      <c r="A84" s="619" t="s">
        <v>948</v>
      </c>
      <c r="C84" s="620"/>
      <c r="D84" s="615">
        <v>0</v>
      </c>
      <c r="E84" s="621"/>
      <c r="F84" s="642">
        <v>0</v>
      </c>
      <c r="G84" s="617"/>
      <c r="I84" s="615">
        <v>0</v>
      </c>
      <c r="J84" s="621"/>
      <c r="K84" s="642">
        <v>0</v>
      </c>
      <c r="L84" s="617"/>
      <c r="N84" s="650"/>
      <c r="O84" s="621"/>
      <c r="P84" s="650"/>
      <c r="Q84" s="649"/>
    </row>
    <row r="85" spans="1:17">
      <c r="A85" s="619" t="s">
        <v>966</v>
      </c>
      <c r="C85" s="620"/>
      <c r="D85" s="615">
        <v>433.70866891909128</v>
      </c>
      <c r="E85" s="621"/>
      <c r="F85" s="616">
        <v>430.74717886619982</v>
      </c>
      <c r="G85" s="617"/>
      <c r="I85" s="618">
        <v>433.70866891909128</v>
      </c>
      <c r="J85" s="621"/>
      <c r="K85" s="616">
        <v>430.74717886619982</v>
      </c>
      <c r="L85" s="617"/>
      <c r="N85" s="650"/>
      <c r="O85" s="621"/>
      <c r="P85" s="650"/>
      <c r="Q85" s="649"/>
    </row>
    <row r="86" spans="1:17" outlineLevel="1">
      <c r="A86" t="s">
        <v>950</v>
      </c>
      <c r="C86" s="620"/>
      <c r="D86" s="615">
        <v>0</v>
      </c>
      <c r="E86" s="622"/>
      <c r="F86" s="642">
        <v>0</v>
      </c>
      <c r="G86" s="612"/>
      <c r="I86" s="615">
        <v>0</v>
      </c>
      <c r="J86" s="622"/>
      <c r="K86" s="642">
        <v>0</v>
      </c>
      <c r="L86" s="612"/>
      <c r="N86" s="648"/>
      <c r="O86" s="622"/>
      <c r="P86" s="648"/>
      <c r="Q86" s="649"/>
    </row>
    <row r="87" spans="1:17" outlineLevel="1">
      <c r="A87" t="s">
        <v>951</v>
      </c>
      <c r="C87" s="620"/>
      <c r="D87" s="615">
        <v>1756.2400655962801</v>
      </c>
      <c r="E87" s="622"/>
      <c r="F87" s="642">
        <v>2037.1701724905033</v>
      </c>
      <c r="G87" s="612"/>
      <c r="I87" s="615">
        <v>205.34815148743408</v>
      </c>
      <c r="J87" s="622"/>
      <c r="K87" s="642">
        <v>238.19586933534092</v>
      </c>
      <c r="L87" s="612"/>
      <c r="N87" s="648"/>
      <c r="O87" s="622"/>
      <c r="P87" s="648"/>
      <c r="Q87" s="649"/>
    </row>
    <row r="88" spans="1:17">
      <c r="A88" s="619" t="s">
        <v>952</v>
      </c>
      <c r="C88" s="620"/>
      <c r="D88" s="615">
        <v>17288.193919332782</v>
      </c>
      <c r="E88" s="622"/>
      <c r="F88" s="642">
        <v>16297.463516635971</v>
      </c>
      <c r="G88" s="612"/>
      <c r="I88" s="615">
        <v>2021.419926259314</v>
      </c>
      <c r="J88" s="622"/>
      <c r="K88" s="642">
        <v>1905.5788970050828</v>
      </c>
      <c r="L88" s="612"/>
      <c r="N88" s="648"/>
      <c r="O88" s="622"/>
      <c r="P88" s="648"/>
      <c r="Q88" s="649"/>
    </row>
    <row r="89" spans="1:17">
      <c r="A89" s="619" t="s">
        <v>953</v>
      </c>
      <c r="C89" s="620"/>
      <c r="D89" s="615">
        <v>9215.5407332286777</v>
      </c>
      <c r="E89" s="622"/>
      <c r="F89" s="642">
        <v>10684.365296914126</v>
      </c>
      <c r="G89" s="612"/>
      <c r="I89" s="615">
        <v>1077.5259553614355</v>
      </c>
      <c r="J89" s="622"/>
      <c r="K89" s="642">
        <v>1249.2680849943438</v>
      </c>
      <c r="L89" s="612"/>
      <c r="N89" s="648"/>
      <c r="O89" s="622"/>
      <c r="P89" s="648"/>
      <c r="Q89" s="649"/>
    </row>
    <row r="90" spans="1:17">
      <c r="A90" s="619" t="s">
        <v>954</v>
      </c>
      <c r="C90" s="620"/>
      <c r="D90" s="615">
        <v>16605.94165385938</v>
      </c>
      <c r="E90" s="622"/>
      <c r="F90" s="642">
        <v>16131.289910958323</v>
      </c>
      <c r="G90" s="612"/>
      <c r="I90" s="615">
        <v>1941.6476648768642</v>
      </c>
      <c r="J90" s="622"/>
      <c r="K90" s="642">
        <v>1886.1490688054166</v>
      </c>
      <c r="L90" s="612"/>
      <c r="N90" s="648"/>
      <c r="O90" s="622"/>
      <c r="P90" s="648"/>
      <c r="Q90" s="649"/>
    </row>
    <row r="91" spans="1:17" outlineLevel="1">
      <c r="A91" t="s">
        <v>967</v>
      </c>
      <c r="C91" s="620"/>
      <c r="D91" s="615">
        <v>7554.8995345832082</v>
      </c>
      <c r="E91" s="622"/>
      <c r="F91" s="642">
        <v>8870.0118202555168</v>
      </c>
      <c r="G91" s="612"/>
      <c r="I91" s="615">
        <v>1262.3457823690235</v>
      </c>
      <c r="J91" s="622"/>
      <c r="K91" s="642">
        <v>1339.2228694020466</v>
      </c>
      <c r="L91" s="612"/>
      <c r="N91" s="648"/>
      <c r="O91" s="622"/>
      <c r="P91" s="648"/>
      <c r="Q91" s="649"/>
    </row>
    <row r="92" spans="1:17" outlineLevel="1">
      <c r="A92" t="s">
        <v>968</v>
      </c>
      <c r="C92" s="620"/>
      <c r="D92" s="615">
        <v>4672.780042147986</v>
      </c>
      <c r="E92" s="622"/>
      <c r="F92" s="642">
        <v>5235.4276506925171</v>
      </c>
      <c r="G92" s="612"/>
      <c r="I92" s="615">
        <v>633.38836076488269</v>
      </c>
      <c r="J92" s="622"/>
      <c r="K92" s="642">
        <v>704.03972323826645</v>
      </c>
      <c r="L92" s="612"/>
      <c r="N92" s="648"/>
      <c r="O92" s="622"/>
      <c r="P92" s="648"/>
      <c r="Q92" s="649"/>
    </row>
    <row r="93" spans="1:17" outlineLevel="1">
      <c r="A93" t="s">
        <v>969</v>
      </c>
      <c r="C93" s="620"/>
      <c r="D93" s="615">
        <v>29871.281474316391</v>
      </c>
      <c r="E93" s="622"/>
      <c r="F93" s="642">
        <v>29245.343503791599</v>
      </c>
      <c r="G93" s="612"/>
      <c r="I93" s="615">
        <v>4007.5483587564772</v>
      </c>
      <c r="J93" s="622"/>
      <c r="K93" s="642">
        <v>3782.493373993263</v>
      </c>
      <c r="L93" s="612"/>
      <c r="N93" s="648"/>
      <c r="O93" s="622"/>
      <c r="P93" s="648"/>
      <c r="Q93" s="649"/>
    </row>
    <row r="94" spans="1:17" outlineLevel="1">
      <c r="C94" s="620"/>
      <c r="D94" s="615"/>
      <c r="E94" s="622"/>
      <c r="F94" s="642"/>
      <c r="G94" s="612"/>
      <c r="I94" s="615"/>
      <c r="J94" s="622"/>
      <c r="K94" s="642"/>
      <c r="L94" s="612"/>
      <c r="N94" s="626"/>
      <c r="O94" s="614"/>
      <c r="P94" s="626"/>
      <c r="Q94" s="649"/>
    </row>
    <row r="95" spans="1:17" outlineLevel="1">
      <c r="A95" t="s">
        <v>970</v>
      </c>
      <c r="C95" s="620"/>
      <c r="D95" s="625">
        <v>87463.586091983801</v>
      </c>
      <c r="E95" s="614"/>
      <c r="F95" s="651">
        <v>89008.819050604754</v>
      </c>
      <c r="G95" s="612">
        <v>1.7667157587111283E-2</v>
      </c>
      <c r="I95" s="625">
        <v>11647.932868794524</v>
      </c>
      <c r="J95" s="614"/>
      <c r="K95" s="651">
        <v>11612.69506563996</v>
      </c>
      <c r="L95" s="612">
        <v>-3.0252409205557182E-3</v>
      </c>
      <c r="N95" s="614"/>
      <c r="O95" s="614"/>
      <c r="P95" s="614"/>
      <c r="Q95" s="649"/>
    </row>
    <row r="96" spans="1:17" outlineLevel="1">
      <c r="D96" s="613"/>
      <c r="E96" s="614"/>
      <c r="F96" s="614"/>
      <c r="G96" s="612"/>
      <c r="I96" s="613"/>
      <c r="J96" s="614"/>
      <c r="K96" s="614"/>
      <c r="L96" s="612"/>
      <c r="N96" s="614"/>
      <c r="O96" s="614"/>
      <c r="P96" s="614"/>
      <c r="Q96" s="649"/>
    </row>
    <row r="97" spans="1:17" outlineLevel="1">
      <c r="A97" t="s">
        <v>958</v>
      </c>
      <c r="D97" s="613"/>
      <c r="E97" s="614"/>
      <c r="F97" s="614"/>
      <c r="G97" s="612"/>
      <c r="I97" s="613"/>
      <c r="J97" s="614"/>
      <c r="K97" s="614"/>
      <c r="L97" s="612"/>
      <c r="N97" s="614"/>
      <c r="O97" s="614"/>
      <c r="P97" s="614"/>
      <c r="Q97" s="649"/>
    </row>
    <row r="98" spans="1:17" outlineLevel="1">
      <c r="B98" t="s">
        <v>959</v>
      </c>
      <c r="D98" s="613">
        <v>0</v>
      </c>
      <c r="E98" s="614"/>
      <c r="F98" s="614">
        <v>0</v>
      </c>
      <c r="G98" s="612"/>
      <c r="I98" s="613">
        <v>0</v>
      </c>
      <c r="J98" s="614"/>
      <c r="K98" s="614">
        <v>0</v>
      </c>
      <c r="L98" s="612"/>
      <c r="N98" s="648"/>
      <c r="O98" s="614"/>
      <c r="P98" s="648"/>
      <c r="Q98" s="649"/>
    </row>
    <row r="99" spans="1:17" outlineLevel="1">
      <c r="B99" t="s">
        <v>960</v>
      </c>
      <c r="C99" s="620"/>
      <c r="D99" s="615">
        <v>0</v>
      </c>
      <c r="E99" s="614"/>
      <c r="F99" s="642">
        <v>0</v>
      </c>
      <c r="G99" s="612"/>
      <c r="I99" s="615">
        <v>0</v>
      </c>
      <c r="J99" s="614"/>
      <c r="K99" s="642">
        <v>0</v>
      </c>
      <c r="L99" s="612"/>
      <c r="N99" s="631"/>
      <c r="O99" s="614"/>
      <c r="P99" s="631"/>
      <c r="Q99" s="649"/>
    </row>
    <row r="100" spans="1:17" outlineLevel="1">
      <c r="D100" s="629">
        <v>0</v>
      </c>
      <c r="E100" s="614"/>
      <c r="F100" s="631">
        <v>0</v>
      </c>
      <c r="G100" s="612">
        <v>0</v>
      </c>
      <c r="I100" s="629">
        <v>0</v>
      </c>
      <c r="J100" s="614"/>
      <c r="K100" s="631">
        <v>0</v>
      </c>
      <c r="L100" s="612">
        <v>0</v>
      </c>
      <c r="N100" s="614"/>
      <c r="O100" s="614"/>
      <c r="P100" s="614"/>
      <c r="Q100" s="649"/>
    </row>
    <row r="101" spans="1:17" outlineLevel="1">
      <c r="D101" s="613"/>
      <c r="E101" s="614"/>
      <c r="F101" s="614"/>
      <c r="G101" s="612"/>
      <c r="I101" s="613"/>
      <c r="J101" s="614"/>
      <c r="K101" s="614"/>
      <c r="L101" s="612"/>
      <c r="N101" s="614"/>
      <c r="O101" s="614"/>
      <c r="P101" s="614"/>
      <c r="Q101" s="649"/>
    </row>
    <row r="102" spans="1:17" outlineLevel="1">
      <c r="A102" t="s">
        <v>961</v>
      </c>
      <c r="D102" s="613"/>
      <c r="E102" s="614"/>
      <c r="F102" s="614"/>
      <c r="G102" s="612"/>
      <c r="I102" s="613"/>
      <c r="J102" s="614"/>
      <c r="K102" s="614"/>
      <c r="L102" s="612"/>
      <c r="N102" s="614"/>
      <c r="O102" s="614"/>
      <c r="P102" s="614"/>
      <c r="Q102" s="649"/>
    </row>
    <row r="103" spans="1:17" outlineLevel="1">
      <c r="B103" t="s">
        <v>959</v>
      </c>
      <c r="D103" s="613">
        <v>0</v>
      </c>
      <c r="E103" s="614"/>
      <c r="F103" s="614">
        <v>0</v>
      </c>
      <c r="G103" s="612"/>
      <c r="I103" s="613">
        <v>0</v>
      </c>
      <c r="J103" s="614"/>
      <c r="K103" s="614">
        <v>0</v>
      </c>
      <c r="L103" s="612"/>
      <c r="N103" s="614"/>
      <c r="O103" s="622"/>
      <c r="P103" s="614"/>
      <c r="Q103" s="649"/>
    </row>
    <row r="104" spans="1:17" outlineLevel="1">
      <c r="B104" t="s">
        <v>962</v>
      </c>
      <c r="C104" s="632">
        <v>0</v>
      </c>
      <c r="D104" s="613">
        <v>0</v>
      </c>
      <c r="E104" s="622"/>
      <c r="F104" s="614">
        <v>0</v>
      </c>
      <c r="G104" s="612"/>
      <c r="I104" s="613">
        <v>0</v>
      </c>
      <c r="J104" s="622"/>
      <c r="K104" s="614">
        <v>0</v>
      </c>
      <c r="L104" s="612"/>
      <c r="N104" s="631"/>
      <c r="O104" s="614"/>
      <c r="P104" s="631"/>
      <c r="Q104" s="649"/>
    </row>
    <row r="105" spans="1:17" outlineLevel="1">
      <c r="D105" s="629">
        <v>0</v>
      </c>
      <c r="E105" s="614"/>
      <c r="F105" s="631">
        <v>0</v>
      </c>
      <c r="G105" s="612">
        <v>0</v>
      </c>
      <c r="I105" s="629">
        <v>0</v>
      </c>
      <c r="J105" s="614"/>
      <c r="K105" s="631">
        <v>0</v>
      </c>
      <c r="L105" s="612">
        <v>0</v>
      </c>
      <c r="N105" s="614"/>
      <c r="O105" s="614"/>
      <c r="P105" s="614"/>
      <c r="Q105" s="649"/>
    </row>
    <row r="106" spans="1:17" outlineLevel="1">
      <c r="D106" s="613"/>
      <c r="E106" s="614"/>
      <c r="F106" s="614"/>
      <c r="G106" s="612"/>
      <c r="I106" s="613"/>
      <c r="J106" s="614"/>
      <c r="K106" s="614"/>
      <c r="L106" s="612"/>
      <c r="N106" s="652"/>
      <c r="O106" s="614"/>
      <c r="P106" s="652"/>
      <c r="Q106" s="649"/>
    </row>
    <row r="107" spans="1:17" outlineLevel="1">
      <c r="B107" t="s">
        <v>971</v>
      </c>
      <c r="D107" s="615">
        <v>148</v>
      </c>
      <c r="E107" s="614"/>
      <c r="F107" s="642">
        <v>150</v>
      </c>
      <c r="G107" s="612"/>
      <c r="I107" s="615">
        <v>148</v>
      </c>
      <c r="J107" s="614"/>
      <c r="K107" s="642">
        <v>150</v>
      </c>
      <c r="L107" s="612"/>
      <c r="N107" s="631"/>
      <c r="O107" s="614"/>
      <c r="P107" s="631"/>
      <c r="Q107" s="649"/>
    </row>
    <row r="108" spans="1:17" outlineLevel="1">
      <c r="D108" s="629">
        <v>148</v>
      </c>
      <c r="E108" s="614"/>
      <c r="F108" s="631">
        <v>150</v>
      </c>
      <c r="G108" s="612">
        <v>1.3513513513513514E-2</v>
      </c>
      <c r="I108" s="629">
        <v>148</v>
      </c>
      <c r="J108" s="614"/>
      <c r="K108" s="631">
        <v>150</v>
      </c>
      <c r="L108" s="612">
        <v>1.3513513513513514E-2</v>
      </c>
      <c r="N108" s="631"/>
      <c r="O108" s="614"/>
      <c r="P108" s="631"/>
      <c r="Q108" s="649"/>
    </row>
    <row r="109" spans="1:17" ht="17.25" outlineLevel="1">
      <c r="D109" s="629"/>
      <c r="E109" s="614"/>
      <c r="F109" s="631"/>
      <c r="G109" s="612"/>
      <c r="I109" s="629"/>
      <c r="J109" s="614"/>
      <c r="K109" s="631"/>
      <c r="L109" s="612"/>
      <c r="N109" s="634"/>
      <c r="O109" s="614"/>
      <c r="P109" s="634"/>
      <c r="Q109" s="653"/>
    </row>
    <row r="110" spans="1:17" ht="17.25" outlineLevel="1">
      <c r="A110" t="s">
        <v>964</v>
      </c>
      <c r="D110" s="633">
        <v>87611.586091983801</v>
      </c>
      <c r="E110" s="614"/>
      <c r="F110" s="634">
        <v>89158.819050604754</v>
      </c>
      <c r="G110" s="636">
        <v>1.7660140942962792E-2</v>
      </c>
      <c r="I110" s="633">
        <v>11795.932868794524</v>
      </c>
      <c r="J110" s="614"/>
      <c r="K110" s="634">
        <v>11762.69506563996</v>
      </c>
      <c r="L110" s="636">
        <v>-2.8177341736567432E-3</v>
      </c>
      <c r="N110" s="614"/>
      <c r="O110" s="614"/>
      <c r="P110" s="614"/>
      <c r="Q110" s="614"/>
    </row>
    <row r="111" spans="1:17" outlineLevel="1">
      <c r="D111" s="637"/>
      <c r="E111" s="638"/>
      <c r="F111" s="638"/>
      <c r="G111" s="639">
        <v>1547.2329586209526</v>
      </c>
      <c r="I111" s="640"/>
      <c r="J111" s="641"/>
      <c r="K111" s="641"/>
      <c r="L111" s="639">
        <v>-33.237803154563153</v>
      </c>
    </row>
    <row r="112" spans="1:17" outlineLevel="1">
      <c r="M112" s="602"/>
      <c r="N112" s="602"/>
      <c r="O112" s="602"/>
      <c r="P112" s="602"/>
      <c r="Q112" s="602"/>
    </row>
    <row r="113" spans="1:17" ht="17.649999999999999">
      <c r="A113" s="600" t="s">
        <v>977</v>
      </c>
      <c r="B113" s="601"/>
      <c r="C113" s="601"/>
      <c r="D113" s="602"/>
      <c r="E113" s="601"/>
      <c r="F113" s="602"/>
      <c r="G113" s="602"/>
      <c r="H113" s="602"/>
      <c r="I113" s="602"/>
      <c r="J113" s="602"/>
      <c r="K113" s="602"/>
      <c r="L113" s="602"/>
      <c r="M113" s="602"/>
      <c r="N113" s="602"/>
      <c r="O113" s="602"/>
      <c r="P113" s="602"/>
      <c r="Q113" s="602"/>
    </row>
    <row r="114" spans="1:17">
      <c r="A114" s="602"/>
      <c r="B114" s="601"/>
      <c r="C114" s="601"/>
      <c r="D114" s="602"/>
      <c r="E114" s="601"/>
      <c r="F114" s="602"/>
      <c r="G114" s="602"/>
      <c r="H114" s="602"/>
      <c r="I114" s="602"/>
      <c r="J114" s="602"/>
      <c r="K114" s="602"/>
      <c r="L114" s="602"/>
      <c r="M114" s="603"/>
      <c r="N114" s="602"/>
      <c r="O114" s="602"/>
      <c r="P114" s="602"/>
      <c r="Q114" s="602"/>
    </row>
    <row r="115" spans="1:17">
      <c r="D115" s="603" t="s">
        <v>940</v>
      </c>
      <c r="E115" s="603"/>
      <c r="F115">
        <v>1</v>
      </c>
      <c r="G115" s="603"/>
      <c r="H115" s="603"/>
      <c r="I115" s="603" t="s">
        <v>941</v>
      </c>
      <c r="J115" s="603"/>
      <c r="K115">
        <v>1</v>
      </c>
      <c r="L115" s="603"/>
      <c r="M115" s="603"/>
      <c r="N115" s="603" t="s">
        <v>942</v>
      </c>
      <c r="P115">
        <v>1</v>
      </c>
    </row>
    <row r="116" spans="1:17">
      <c r="B116" s="1"/>
      <c r="D116" s="646" t="s">
        <v>943</v>
      </c>
      <c r="E116" s="604"/>
      <c r="F116" s="604" t="s">
        <v>944</v>
      </c>
      <c r="G116" s="647" t="s">
        <v>945</v>
      </c>
      <c r="H116" s="535"/>
      <c r="I116" s="646" t="s">
        <v>943</v>
      </c>
      <c r="J116" s="604"/>
      <c r="K116" s="604" t="s">
        <v>944</v>
      </c>
      <c r="L116" s="647" t="s">
        <v>945</v>
      </c>
      <c r="N116" s="646" t="s">
        <v>943</v>
      </c>
      <c r="O116" s="604"/>
      <c r="P116" s="604" t="s">
        <v>944</v>
      </c>
      <c r="Q116" s="647" t="s">
        <v>945</v>
      </c>
    </row>
    <row r="117" spans="1:17">
      <c r="B117" s="1"/>
      <c r="D117" s="608"/>
      <c r="G117" s="609"/>
      <c r="I117" s="608"/>
      <c r="L117" s="609"/>
      <c r="M117" s="536"/>
      <c r="N117" s="608"/>
      <c r="Q117" s="609"/>
    </row>
    <row r="118" spans="1:17">
      <c r="A118" t="s">
        <v>946</v>
      </c>
      <c r="D118" s="610">
        <v>2081000</v>
      </c>
      <c r="E118" s="611"/>
      <c r="F118" s="611">
        <v>2081000</v>
      </c>
      <c r="G118" s="654">
        <v>0</v>
      </c>
      <c r="H118" s="536"/>
      <c r="I118" s="610">
        <v>1100000</v>
      </c>
      <c r="J118" s="611"/>
      <c r="K118" s="611">
        <v>1100000</v>
      </c>
      <c r="L118" s="654">
        <v>0</v>
      </c>
      <c r="N118" s="610">
        <v>1700000</v>
      </c>
      <c r="O118" s="611"/>
      <c r="P118" s="611">
        <v>1700000</v>
      </c>
      <c r="Q118" s="654">
        <v>0</v>
      </c>
    </row>
    <row r="119" spans="1:17">
      <c r="D119" s="613"/>
      <c r="E119" s="614"/>
      <c r="F119" s="614"/>
      <c r="G119" s="609"/>
      <c r="I119" s="613"/>
      <c r="J119" s="614"/>
      <c r="K119" s="614"/>
      <c r="L119" s="609"/>
      <c r="N119" s="613"/>
      <c r="O119" s="614"/>
      <c r="P119" s="614"/>
      <c r="Q119" s="609"/>
    </row>
    <row r="120" spans="1:17">
      <c r="A120" t="s">
        <v>947</v>
      </c>
      <c r="D120" s="615">
        <v>65</v>
      </c>
      <c r="E120" s="614"/>
      <c r="F120" s="642">
        <v>77</v>
      </c>
      <c r="G120" s="617"/>
      <c r="I120" s="615">
        <v>65</v>
      </c>
      <c r="J120" s="614"/>
      <c r="K120" s="642">
        <v>77</v>
      </c>
      <c r="L120" s="617"/>
      <c r="N120" s="615">
        <v>65</v>
      </c>
      <c r="O120" s="614"/>
      <c r="P120" s="642">
        <v>77</v>
      </c>
      <c r="Q120" s="612"/>
    </row>
    <row r="121" spans="1:17">
      <c r="A121" s="619" t="s">
        <v>948</v>
      </c>
      <c r="C121" s="620"/>
      <c r="D121" s="615">
        <v>0</v>
      </c>
      <c r="E121" s="621"/>
      <c r="F121" s="642">
        <v>0</v>
      </c>
      <c r="G121" s="617"/>
      <c r="I121" s="615">
        <v>0</v>
      </c>
      <c r="J121" s="621"/>
      <c r="K121" s="642">
        <v>0</v>
      </c>
      <c r="L121" s="617"/>
      <c r="N121" s="615">
        <v>0</v>
      </c>
      <c r="O121" s="621"/>
      <c r="P121" s="642">
        <v>0</v>
      </c>
      <c r="Q121" s="612"/>
    </row>
    <row r="122" spans="1:17">
      <c r="A122" s="619" t="s">
        <v>966</v>
      </c>
      <c r="C122" s="620"/>
      <c r="D122" s="615">
        <v>673.10024767655648</v>
      </c>
      <c r="E122" s="621"/>
      <c r="F122" s="616">
        <v>641.52282725690804</v>
      </c>
      <c r="G122" s="617"/>
      <c r="I122" s="618">
        <v>673.10024767655648</v>
      </c>
      <c r="J122" s="621"/>
      <c r="K122" s="616">
        <v>641.52282725690804</v>
      </c>
      <c r="L122" s="617"/>
      <c r="N122" s="618">
        <v>673.10024767655648</v>
      </c>
      <c r="O122" s="621"/>
      <c r="P122" s="616">
        <v>641.52282725690804</v>
      </c>
      <c r="Q122" s="612"/>
    </row>
    <row r="123" spans="1:17">
      <c r="A123" t="s">
        <v>950</v>
      </c>
      <c r="C123" s="620"/>
      <c r="D123" s="615">
        <v>0</v>
      </c>
      <c r="E123" s="622"/>
      <c r="F123" s="642">
        <v>0</v>
      </c>
      <c r="G123" s="612"/>
      <c r="I123" s="615">
        <v>0</v>
      </c>
      <c r="J123" s="622"/>
      <c r="K123" s="642">
        <v>0</v>
      </c>
      <c r="L123" s="612"/>
      <c r="N123" s="615">
        <v>0</v>
      </c>
      <c r="O123" s="622"/>
      <c r="P123" s="642">
        <v>0</v>
      </c>
      <c r="Q123" s="612"/>
    </row>
    <row r="124" spans="1:17">
      <c r="A124" t="s">
        <v>951</v>
      </c>
      <c r="C124" s="620"/>
      <c r="D124" s="615">
        <v>64.099425486802545</v>
      </c>
      <c r="E124" s="622"/>
      <c r="F124" s="642">
        <v>74.352840613026672</v>
      </c>
      <c r="G124" s="612"/>
      <c r="I124" s="615">
        <v>33.882444995426624</v>
      </c>
      <c r="J124" s="622"/>
      <c r="K124" s="642">
        <v>39.302318440331256</v>
      </c>
      <c r="L124" s="612"/>
      <c r="N124" s="615">
        <v>52.363778629295687</v>
      </c>
      <c r="O124" s="622"/>
      <c r="P124" s="642">
        <v>60.739946680511935</v>
      </c>
      <c r="Q124" s="612"/>
    </row>
    <row r="125" spans="1:17">
      <c r="A125" s="619" t="s">
        <v>952</v>
      </c>
      <c r="C125" s="620"/>
      <c r="D125" s="615">
        <v>1840.376504113714</v>
      </c>
      <c r="E125" s="622"/>
      <c r="F125" s="642">
        <v>1734.9104870420651</v>
      </c>
      <c r="G125" s="612"/>
      <c r="I125" s="615">
        <v>972.80833951229499</v>
      </c>
      <c r="J125" s="622"/>
      <c r="K125" s="642">
        <v>917.0598441836961</v>
      </c>
      <c r="L125" s="612"/>
      <c r="N125" s="615">
        <v>1503.4310701553648</v>
      </c>
      <c r="O125" s="622"/>
      <c r="P125" s="642">
        <v>1417.2743046475302</v>
      </c>
      <c r="Q125" s="612"/>
    </row>
    <row r="126" spans="1:17">
      <c r="A126" s="619" t="s">
        <v>953</v>
      </c>
      <c r="C126" s="620"/>
      <c r="D126" s="615">
        <v>280.2914391383934</v>
      </c>
      <c r="E126" s="622"/>
      <c r="F126" s="642">
        <v>324.96586060915371</v>
      </c>
      <c r="G126" s="612"/>
      <c r="I126" s="615">
        <v>148.1598188621974</v>
      </c>
      <c r="J126" s="622"/>
      <c r="K126" s="642">
        <v>171.77436168672227</v>
      </c>
      <c r="L126" s="612"/>
      <c r="N126" s="615">
        <v>228.97426551430505</v>
      </c>
      <c r="O126" s="622"/>
      <c r="P126" s="642">
        <v>265.46946806129807</v>
      </c>
      <c r="Q126" s="612"/>
    </row>
    <row r="127" spans="1:17">
      <c r="A127" s="619" t="s">
        <v>954</v>
      </c>
      <c r="C127" s="620"/>
      <c r="D127" s="615">
        <v>507.11321211149482</v>
      </c>
      <c r="E127" s="622"/>
      <c r="F127" s="642">
        <v>492.61826957862542</v>
      </c>
      <c r="G127" s="612"/>
      <c r="I127" s="615">
        <v>268.05599871342832</v>
      </c>
      <c r="J127" s="622"/>
      <c r="K127" s="642">
        <v>260.39408771575586</v>
      </c>
      <c r="L127" s="612"/>
      <c r="N127" s="615">
        <v>414.26836164802558</v>
      </c>
      <c r="O127" s="622"/>
      <c r="P127" s="642">
        <v>402.42722646980451</v>
      </c>
      <c r="Q127" s="612"/>
    </row>
    <row r="128" spans="1:17">
      <c r="A128" t="s">
        <v>967</v>
      </c>
      <c r="C128" s="620"/>
      <c r="D128" s="615">
        <v>1405.5857421558044</v>
      </c>
      <c r="E128" s="622"/>
      <c r="F128" s="642">
        <v>1769.6362323610324</v>
      </c>
      <c r="G128" s="612"/>
      <c r="I128" s="615">
        <v>1300.9552606923039</v>
      </c>
      <c r="J128" s="622"/>
      <c r="K128" s="642">
        <v>1380.183671955831</v>
      </c>
      <c r="L128" s="612"/>
      <c r="N128" s="615">
        <v>1148.2439988778797</v>
      </c>
      <c r="O128" s="622"/>
      <c r="P128" s="642">
        <v>1445.642284965764</v>
      </c>
      <c r="Q128" s="612"/>
    </row>
    <row r="129" spans="1:17" ht="11.25" customHeight="1">
      <c r="A129" t="s">
        <v>968</v>
      </c>
      <c r="C129" s="620"/>
      <c r="D129" s="615">
        <v>264.6720597360146</v>
      </c>
      <c r="E129" s="622"/>
      <c r="F129" s="642">
        <v>297.7921851451141</v>
      </c>
      <c r="G129" s="612"/>
      <c r="I129" s="615">
        <v>174.06956297968654</v>
      </c>
      <c r="J129" s="622"/>
      <c r="K129" s="642">
        <v>193.48616825928136</v>
      </c>
      <c r="L129" s="612"/>
      <c r="N129" s="615">
        <v>216.21456105296721</v>
      </c>
      <c r="O129" s="622"/>
      <c r="P129" s="642">
        <v>243.27088647126092</v>
      </c>
      <c r="Q129" s="612"/>
    </row>
    <row r="130" spans="1:17">
      <c r="A130" t="s">
        <v>969</v>
      </c>
      <c r="C130" s="620"/>
      <c r="D130" s="615">
        <v>1702.2813129733879</v>
      </c>
      <c r="E130" s="622"/>
      <c r="F130" s="642">
        <v>1698.0663782696665</v>
      </c>
      <c r="G130" s="612"/>
      <c r="I130" s="615">
        <v>1102.0757986580313</v>
      </c>
      <c r="J130" s="622"/>
      <c r="K130" s="642">
        <v>1040.1856778481474</v>
      </c>
      <c r="L130" s="612"/>
      <c r="N130" s="615">
        <v>1317.0717064790301</v>
      </c>
      <c r="O130" s="622"/>
      <c r="P130" s="642">
        <v>1331.1543615354831</v>
      </c>
      <c r="Q130" s="612"/>
    </row>
    <row r="131" spans="1:17">
      <c r="C131" s="620"/>
      <c r="D131" s="615"/>
      <c r="E131" s="622"/>
      <c r="F131" s="642"/>
      <c r="G131" s="612"/>
      <c r="I131" s="615"/>
      <c r="J131" s="622"/>
      <c r="K131" s="642"/>
      <c r="L131" s="612"/>
      <c r="N131" s="615"/>
      <c r="O131" s="622"/>
      <c r="P131" s="642"/>
      <c r="Q131" s="612"/>
    </row>
    <row r="132" spans="1:17">
      <c r="A132" t="s">
        <v>970</v>
      </c>
      <c r="C132" s="620"/>
      <c r="D132" s="625">
        <v>6802.519943392168</v>
      </c>
      <c r="E132" s="614"/>
      <c r="F132" s="651">
        <v>7110.865080875592</v>
      </c>
      <c r="G132" s="612">
        <v>4.5328075485165507E-2</v>
      </c>
      <c r="I132" s="625">
        <v>4738.107472089926</v>
      </c>
      <c r="J132" s="614"/>
      <c r="K132" s="651">
        <v>4720.9089573466736</v>
      </c>
      <c r="L132" s="612">
        <v>-3.6298279101014872E-3</v>
      </c>
      <c r="N132" s="625">
        <v>5618.6679900334238</v>
      </c>
      <c r="O132" s="614"/>
      <c r="P132" s="651">
        <v>5884.5013060885603</v>
      </c>
      <c r="Q132" s="612">
        <v>4.7312515444350917E-2</v>
      </c>
    </row>
    <row r="133" spans="1:17">
      <c r="D133" s="613"/>
      <c r="E133" s="614"/>
      <c r="F133" s="614"/>
      <c r="G133" s="612"/>
      <c r="I133" s="613"/>
      <c r="J133" s="614"/>
      <c r="K133" s="614"/>
      <c r="L133" s="612"/>
      <c r="N133" s="613"/>
      <c r="O133" s="614"/>
      <c r="P133" s="614"/>
      <c r="Q133" s="612"/>
    </row>
    <row r="134" spans="1:17">
      <c r="A134" t="s">
        <v>958</v>
      </c>
      <c r="D134" s="613"/>
      <c r="E134" s="614"/>
      <c r="F134" s="614"/>
      <c r="G134" s="612"/>
      <c r="I134" s="613"/>
      <c r="J134" s="614"/>
      <c r="K134" s="614"/>
      <c r="L134" s="612"/>
      <c r="N134" s="613"/>
      <c r="O134" s="614"/>
      <c r="P134" s="614"/>
      <c r="Q134" s="612"/>
    </row>
    <row r="135" spans="1:17">
      <c r="B135" t="s">
        <v>959</v>
      </c>
      <c r="D135" s="615">
        <v>320</v>
      </c>
      <c r="E135" s="614"/>
      <c r="F135" s="614">
        <v>300</v>
      </c>
      <c r="G135" s="612"/>
      <c r="I135" s="615">
        <v>180</v>
      </c>
      <c r="J135" s="614"/>
      <c r="K135" s="614">
        <v>200</v>
      </c>
      <c r="L135" s="612"/>
      <c r="N135" s="615">
        <v>250</v>
      </c>
      <c r="O135" s="614"/>
      <c r="P135" s="614">
        <v>250</v>
      </c>
      <c r="Q135" s="612"/>
    </row>
    <row r="136" spans="1:17">
      <c r="B136" t="s">
        <v>960</v>
      </c>
      <c r="C136" s="620"/>
      <c r="D136" s="615">
        <v>598.31621147140447</v>
      </c>
      <c r="E136" s="614"/>
      <c r="F136" s="642">
        <v>575.30209931184879</v>
      </c>
      <c r="G136" s="612"/>
      <c r="I136" s="615">
        <v>323.14516851753422</v>
      </c>
      <c r="J136" s="614"/>
      <c r="K136" s="642">
        <v>373.33621434359685</v>
      </c>
      <c r="L136" s="612"/>
      <c r="N136" s="615">
        <v>749.54582240012337</v>
      </c>
      <c r="O136" s="614"/>
      <c r="P136" s="642">
        <v>684.54680814863673</v>
      </c>
      <c r="Q136" s="612"/>
    </row>
    <row r="137" spans="1:17">
      <c r="D137" s="629">
        <v>918.31621147140447</v>
      </c>
      <c r="E137" s="614"/>
      <c r="F137" s="631">
        <v>875.30209931184879</v>
      </c>
      <c r="G137" s="612">
        <v>-4.6840196897574973E-2</v>
      </c>
      <c r="I137" s="629">
        <v>503.14516851753422</v>
      </c>
      <c r="J137" s="614"/>
      <c r="K137" s="631">
        <v>573.33621434359679</v>
      </c>
      <c r="L137" s="612">
        <v>0.13950456094584654</v>
      </c>
      <c r="N137" s="629">
        <v>999.54582240012337</v>
      </c>
      <c r="O137" s="614"/>
      <c r="P137" s="631">
        <v>934.54680814863673</v>
      </c>
      <c r="Q137" s="612">
        <v>-6.5028548761686691E-2</v>
      </c>
    </row>
    <row r="138" spans="1:17">
      <c r="D138" s="613"/>
      <c r="E138" s="614"/>
      <c r="F138" s="614"/>
      <c r="G138" s="612"/>
      <c r="I138" s="613"/>
      <c r="J138" s="614"/>
      <c r="K138" s="614"/>
      <c r="L138" s="612"/>
      <c r="N138" s="613"/>
      <c r="O138" s="614"/>
      <c r="P138" s="614"/>
      <c r="Q138" s="612"/>
    </row>
    <row r="139" spans="1:17">
      <c r="A139" t="s">
        <v>961</v>
      </c>
      <c r="D139" s="613"/>
      <c r="E139" s="614"/>
      <c r="F139" s="614"/>
      <c r="G139" s="612"/>
      <c r="I139" s="613"/>
      <c r="J139" s="614"/>
      <c r="K139" s="614"/>
      <c r="L139" s="612"/>
      <c r="N139" s="613"/>
      <c r="O139" s="614"/>
      <c r="P139" s="614"/>
      <c r="Q139" s="612"/>
    </row>
    <row r="140" spans="1:17">
      <c r="B140" t="s">
        <v>959</v>
      </c>
      <c r="D140" s="615">
        <v>664</v>
      </c>
      <c r="E140" s="614"/>
      <c r="F140" s="614">
        <v>694</v>
      </c>
      <c r="G140" s="612"/>
      <c r="I140" s="615">
        <v>648</v>
      </c>
      <c r="J140" s="614"/>
      <c r="K140" s="643">
        <v>652</v>
      </c>
      <c r="L140" s="612"/>
      <c r="M140">
        <v>1</v>
      </c>
      <c r="N140" s="615">
        <v>690</v>
      </c>
      <c r="O140" s="614"/>
      <c r="P140" s="614">
        <v>694</v>
      </c>
      <c r="Q140" s="612"/>
    </row>
    <row r="141" spans="1:17">
      <c r="B141" t="s">
        <v>962</v>
      </c>
      <c r="C141" s="655">
        <v>6</v>
      </c>
      <c r="D141" s="615">
        <v>1992</v>
      </c>
      <c r="E141" s="622"/>
      <c r="F141" s="614">
        <v>2082</v>
      </c>
      <c r="G141" s="612"/>
      <c r="H141">
        <v>4</v>
      </c>
      <c r="I141" s="615">
        <v>1296</v>
      </c>
      <c r="J141" s="622"/>
      <c r="K141" s="614">
        <v>1304</v>
      </c>
      <c r="L141" s="612"/>
      <c r="N141" s="615">
        <v>345</v>
      </c>
      <c r="O141" s="622"/>
      <c r="P141" s="614">
        <v>347</v>
      </c>
      <c r="Q141" s="612"/>
    </row>
    <row r="142" spans="1:17">
      <c r="D142" s="629">
        <v>2656</v>
      </c>
      <c r="E142" s="614"/>
      <c r="F142" s="631">
        <v>2776</v>
      </c>
      <c r="G142" s="612">
        <v>4.5180722891566265E-2</v>
      </c>
      <c r="I142" s="629">
        <v>1944</v>
      </c>
      <c r="J142" s="614"/>
      <c r="K142" s="631">
        <v>1956</v>
      </c>
      <c r="L142" s="612">
        <v>6.1728395061728392E-3</v>
      </c>
      <c r="N142" s="629">
        <v>1035</v>
      </c>
      <c r="O142" s="614"/>
      <c r="P142" s="631">
        <v>1041</v>
      </c>
      <c r="Q142" s="612">
        <v>5.7971014492753624E-3</v>
      </c>
    </row>
    <row r="143" spans="1:17">
      <c r="D143" s="613"/>
      <c r="E143" s="614"/>
      <c r="F143" s="614"/>
      <c r="G143" s="612"/>
      <c r="I143" s="613"/>
      <c r="J143" s="614"/>
      <c r="K143" s="614"/>
      <c r="L143" s="612"/>
      <c r="N143" s="613"/>
      <c r="O143" s="614"/>
      <c r="P143" s="614"/>
      <c r="Q143" s="612"/>
    </row>
    <row r="144" spans="1:17">
      <c r="B144" t="s">
        <v>971</v>
      </c>
      <c r="D144" s="615">
        <v>148</v>
      </c>
      <c r="E144" s="614"/>
      <c r="F144" s="656">
        <v>150</v>
      </c>
      <c r="G144" s="612"/>
      <c r="I144" s="615">
        <v>148</v>
      </c>
      <c r="J144" s="614"/>
      <c r="K144" s="656">
        <v>150</v>
      </c>
      <c r="L144" s="612"/>
      <c r="N144" s="615">
        <v>148</v>
      </c>
      <c r="O144" s="614"/>
      <c r="P144" s="656">
        <v>150</v>
      </c>
      <c r="Q144" s="612"/>
    </row>
    <row r="145" spans="1:17">
      <c r="D145" s="629">
        <v>148</v>
      </c>
      <c r="E145" s="614"/>
      <c r="F145" s="631">
        <v>150</v>
      </c>
      <c r="G145" s="612">
        <v>1.3513513513513514E-2</v>
      </c>
      <c r="I145" s="629">
        <v>148</v>
      </c>
      <c r="J145" s="614"/>
      <c r="K145" s="631">
        <v>150</v>
      </c>
      <c r="L145" s="612">
        <v>1.3513513513513514E-2</v>
      </c>
      <c r="N145" s="629">
        <v>148</v>
      </c>
      <c r="O145" s="614"/>
      <c r="P145" s="631">
        <v>150</v>
      </c>
      <c r="Q145" s="612">
        <v>1.3513513513513514E-2</v>
      </c>
    </row>
    <row r="146" spans="1:17">
      <c r="D146" s="629"/>
      <c r="E146" s="614"/>
      <c r="F146" s="631"/>
      <c r="G146" s="612"/>
      <c r="I146" s="629"/>
      <c r="J146" s="614"/>
      <c r="K146" s="631"/>
      <c r="L146" s="612"/>
      <c r="N146" s="629"/>
      <c r="O146" s="614"/>
      <c r="P146" s="631"/>
      <c r="Q146" s="612"/>
    </row>
    <row r="147" spans="1:17" ht="17.25">
      <c r="A147" t="s">
        <v>964</v>
      </c>
      <c r="D147" s="633">
        <v>10524.836154863573</v>
      </c>
      <c r="E147" s="614"/>
      <c r="F147" s="634">
        <v>10912.16718018744</v>
      </c>
      <c r="G147" s="636">
        <v>3.680162043614138E-2</v>
      </c>
      <c r="I147" s="633">
        <v>7333.2526406074603</v>
      </c>
      <c r="J147" s="614"/>
      <c r="K147" s="634">
        <v>7400.2451716902706</v>
      </c>
      <c r="L147" s="636">
        <v>9.1354456700213794E-3</v>
      </c>
      <c r="N147" s="633">
        <v>7801.213812433547</v>
      </c>
      <c r="O147" s="614"/>
      <c r="P147" s="634">
        <v>8010.0481142371973</v>
      </c>
      <c r="Q147" s="636">
        <v>2.6769462653466945E-2</v>
      </c>
    </row>
    <row r="148" spans="1:17">
      <c r="D148" s="637"/>
      <c r="E148" s="638"/>
      <c r="F148" s="638"/>
      <c r="G148" s="639">
        <v>387.33102532386692</v>
      </c>
      <c r="I148" s="640"/>
      <c r="J148" s="641"/>
      <c r="K148" s="641"/>
      <c r="L148" s="639">
        <v>66.992531082810274</v>
      </c>
      <c r="N148" s="640"/>
      <c r="O148" s="641"/>
      <c r="P148" s="641"/>
      <c r="Q148" s="639">
        <v>208.83430180365031</v>
      </c>
    </row>
    <row r="149" spans="1:17">
      <c r="M149" s="602"/>
    </row>
    <row r="150" spans="1:17">
      <c r="B150" s="601"/>
      <c r="C150" s="601"/>
      <c r="D150" s="602"/>
      <c r="E150" s="601"/>
      <c r="F150" s="602"/>
      <c r="G150" s="602"/>
      <c r="H150" s="602"/>
      <c r="I150" s="602"/>
      <c r="J150" s="602"/>
      <c r="K150" s="602"/>
      <c r="L150" s="602"/>
      <c r="M150" s="602"/>
      <c r="N150" s="602"/>
      <c r="O150" s="602"/>
      <c r="P150" s="602"/>
      <c r="Q150" s="602"/>
    </row>
    <row r="151" spans="1:17" ht="17.649999999999999">
      <c r="A151" s="600" t="s">
        <v>978</v>
      </c>
      <c r="B151" s="601"/>
      <c r="C151" s="601"/>
      <c r="D151" s="602"/>
      <c r="E151" s="601"/>
      <c r="F151" s="602"/>
      <c r="G151" s="602"/>
      <c r="H151" s="602"/>
      <c r="I151" s="602"/>
      <c r="J151" s="602"/>
      <c r="K151" s="602"/>
      <c r="L151" s="602"/>
      <c r="M151" s="603"/>
      <c r="N151" s="602"/>
      <c r="O151" s="602"/>
      <c r="P151" s="602"/>
      <c r="Q151" s="602"/>
    </row>
    <row r="152" spans="1:17">
      <c r="D152" s="603" t="s">
        <v>940</v>
      </c>
      <c r="E152" s="603"/>
      <c r="F152">
        <v>1</v>
      </c>
      <c r="G152" s="603"/>
      <c r="H152" s="603"/>
      <c r="I152" s="603" t="s">
        <v>941</v>
      </c>
      <c r="J152" s="603"/>
      <c r="K152">
        <v>1</v>
      </c>
      <c r="L152" s="603"/>
      <c r="M152" s="603"/>
      <c r="N152" s="603" t="s">
        <v>942</v>
      </c>
      <c r="P152">
        <v>1</v>
      </c>
    </row>
    <row r="153" spans="1:17">
      <c r="B153" s="1"/>
      <c r="D153" s="646" t="s">
        <v>943</v>
      </c>
      <c r="E153" s="604"/>
      <c r="F153" s="604" t="s">
        <v>944</v>
      </c>
      <c r="G153" s="647" t="s">
        <v>945</v>
      </c>
      <c r="H153" s="535"/>
      <c r="I153" s="646" t="s">
        <v>943</v>
      </c>
      <c r="J153" s="604"/>
      <c r="K153" s="604" t="s">
        <v>944</v>
      </c>
      <c r="L153" s="647" t="s">
        <v>945</v>
      </c>
      <c r="N153" s="646" t="s">
        <v>943</v>
      </c>
      <c r="O153" s="604"/>
      <c r="P153" s="604" t="s">
        <v>944</v>
      </c>
      <c r="Q153" s="647" t="s">
        <v>945</v>
      </c>
    </row>
    <row r="154" spans="1:17">
      <c r="B154" s="1"/>
      <c r="D154" s="608"/>
      <c r="G154" s="609"/>
      <c r="I154" s="608"/>
      <c r="L154" s="609"/>
      <c r="M154" s="536"/>
      <c r="N154" s="608"/>
      <c r="Q154" s="609"/>
    </row>
    <row r="155" spans="1:17">
      <c r="A155" t="s">
        <v>946</v>
      </c>
      <c r="D155" s="610">
        <v>1260000</v>
      </c>
      <c r="E155" s="611"/>
      <c r="F155" s="611">
        <v>1260000</v>
      </c>
      <c r="G155" s="612">
        <v>0</v>
      </c>
      <c r="H155" s="536"/>
      <c r="I155" s="610">
        <v>900000</v>
      </c>
      <c r="J155" s="611"/>
      <c r="K155" s="611">
        <v>900000</v>
      </c>
      <c r="L155" s="612">
        <v>0</v>
      </c>
      <c r="N155" s="610">
        <v>900000</v>
      </c>
      <c r="O155" s="611"/>
      <c r="P155" s="611">
        <v>900000</v>
      </c>
      <c r="Q155" s="612">
        <v>0</v>
      </c>
    </row>
    <row r="156" spans="1:17">
      <c r="D156" s="613"/>
      <c r="E156" s="614"/>
      <c r="F156" s="614"/>
      <c r="G156" s="609"/>
      <c r="I156" s="613"/>
      <c r="J156" s="614"/>
      <c r="K156" s="614"/>
      <c r="L156" s="609"/>
      <c r="N156" s="613"/>
      <c r="O156" s="614"/>
      <c r="P156" s="614"/>
      <c r="Q156" s="609"/>
    </row>
    <row r="157" spans="1:17">
      <c r="A157" t="s">
        <v>947</v>
      </c>
      <c r="D157" s="615">
        <v>65</v>
      </c>
      <c r="E157" s="614"/>
      <c r="F157" s="642">
        <v>77</v>
      </c>
      <c r="G157" s="617"/>
      <c r="I157" s="615">
        <v>65</v>
      </c>
      <c r="J157" s="614"/>
      <c r="K157" s="642">
        <v>77</v>
      </c>
      <c r="L157" s="617"/>
      <c r="N157" s="615">
        <v>65</v>
      </c>
      <c r="O157" s="614"/>
      <c r="P157" s="642">
        <v>77</v>
      </c>
      <c r="Q157" s="612"/>
    </row>
    <row r="158" spans="1:17">
      <c r="A158" s="619" t="s">
        <v>948</v>
      </c>
      <c r="C158" s="620"/>
      <c r="D158" s="615">
        <v>387</v>
      </c>
      <c r="E158" s="621"/>
      <c r="F158" s="642">
        <v>410</v>
      </c>
      <c r="G158" s="617"/>
      <c r="I158" s="615">
        <v>387</v>
      </c>
      <c r="J158" s="621"/>
      <c r="K158" s="642">
        <v>410</v>
      </c>
      <c r="L158" s="617"/>
      <c r="N158" s="615">
        <v>387</v>
      </c>
      <c r="O158" s="621"/>
      <c r="P158" s="642">
        <v>410</v>
      </c>
      <c r="Q158" s="612"/>
    </row>
    <row r="159" spans="1:17">
      <c r="A159" s="619" t="s">
        <v>966</v>
      </c>
      <c r="C159" s="620"/>
      <c r="D159" s="615">
        <v>344.38457653420778</v>
      </c>
      <c r="E159" s="621"/>
      <c r="F159" s="616">
        <v>326.42426882416305</v>
      </c>
      <c r="G159" s="617"/>
      <c r="I159" s="618">
        <v>344.38457653420778</v>
      </c>
      <c r="J159" s="621"/>
      <c r="K159" s="616">
        <v>326.42426882416305</v>
      </c>
      <c r="L159" s="617"/>
      <c r="N159" s="618">
        <v>344.38457653420778</v>
      </c>
      <c r="O159" s="621"/>
      <c r="P159" s="616">
        <v>326.42426882416305</v>
      </c>
      <c r="Q159" s="612"/>
    </row>
    <row r="160" spans="1:17">
      <c r="A160" t="s">
        <v>950</v>
      </c>
      <c r="C160" s="620"/>
      <c r="D160" s="615">
        <v>136</v>
      </c>
      <c r="E160" s="622"/>
      <c r="F160" s="642">
        <v>115</v>
      </c>
      <c r="G160" s="612"/>
      <c r="I160" s="615">
        <v>190</v>
      </c>
      <c r="J160" s="622"/>
      <c r="K160" s="657">
        <v>160</v>
      </c>
      <c r="L160" s="612"/>
      <c r="N160" s="615">
        <v>136</v>
      </c>
      <c r="O160" s="622"/>
      <c r="P160" s="642">
        <v>115</v>
      </c>
      <c r="Q160" s="612"/>
    </row>
    <row r="161" spans="1:22">
      <c r="A161" t="s">
        <v>951</v>
      </c>
      <c r="C161" s="620"/>
      <c r="D161" s="615">
        <v>33.959450552234415</v>
      </c>
      <c r="E161" s="622"/>
      <c r="F161" s="642">
        <v>39.391641891332007</v>
      </c>
      <c r="G161" s="612"/>
      <c r="I161" s="615">
        <v>24.256750394453153</v>
      </c>
      <c r="J161" s="622"/>
      <c r="K161" s="642">
        <v>28.136887065237151</v>
      </c>
      <c r="L161" s="612"/>
      <c r="N161" s="615">
        <v>24.256750394453153</v>
      </c>
      <c r="O161" s="622"/>
      <c r="P161" s="642">
        <v>28.136887065237151</v>
      </c>
      <c r="Q161" s="612"/>
    </row>
    <row r="162" spans="1:22">
      <c r="A162" s="619" t="s">
        <v>952</v>
      </c>
      <c r="C162" s="620"/>
      <c r="D162" s="615">
        <v>517.35716237699319</v>
      </c>
      <c r="E162" s="622"/>
      <c r="F162" s="642">
        <v>487.70909895223838</v>
      </c>
      <c r="G162" s="612"/>
      <c r="I162" s="615">
        <v>369.54083026928083</v>
      </c>
      <c r="J162" s="622"/>
      <c r="K162" s="642">
        <v>348.36364210874171</v>
      </c>
      <c r="L162" s="612"/>
      <c r="N162" s="615">
        <v>369.54083026928083</v>
      </c>
      <c r="O162" s="622"/>
      <c r="P162" s="642">
        <v>348.36364210874171</v>
      </c>
      <c r="Q162" s="612"/>
    </row>
    <row r="163" spans="1:22">
      <c r="A163" s="619" t="s">
        <v>953</v>
      </c>
      <c r="C163" s="620"/>
      <c r="D163" s="615">
        <v>169.71033796942609</v>
      </c>
      <c r="E163" s="622"/>
      <c r="F163" s="642">
        <v>196.75972338660915</v>
      </c>
      <c r="G163" s="612"/>
      <c r="I163" s="615">
        <v>121.2216699781615</v>
      </c>
      <c r="J163" s="622"/>
      <c r="K163" s="642">
        <v>140.54265956186367</v>
      </c>
      <c r="L163" s="612"/>
      <c r="N163" s="615">
        <v>121.2216699781615</v>
      </c>
      <c r="O163" s="622"/>
      <c r="P163" s="642">
        <v>140.54265956186367</v>
      </c>
      <c r="Q163" s="612"/>
    </row>
    <row r="164" spans="1:22">
      <c r="A164" s="619" t="s">
        <v>954</v>
      </c>
      <c r="C164" s="620"/>
      <c r="D164" s="615">
        <v>295.19685283931074</v>
      </c>
      <c r="E164" s="622"/>
      <c r="F164" s="642">
        <v>286.75916808648486</v>
      </c>
      <c r="G164" s="612"/>
      <c r="I164" s="615">
        <v>210.85489488522197</v>
      </c>
      <c r="J164" s="622"/>
      <c r="K164" s="642">
        <v>204.82797720463208</v>
      </c>
      <c r="L164" s="612"/>
      <c r="N164" s="615">
        <v>210.85489488522197</v>
      </c>
      <c r="O164" s="622"/>
      <c r="P164" s="642">
        <v>204.82797720463208</v>
      </c>
      <c r="Q164" s="612"/>
    </row>
    <row r="165" spans="1:22">
      <c r="A165" t="s">
        <v>967</v>
      </c>
      <c r="C165" s="620"/>
      <c r="D165" s="615">
        <v>382.97314550809278</v>
      </c>
      <c r="E165" s="622"/>
      <c r="F165" s="642">
        <v>482.1642209268166</v>
      </c>
      <c r="G165" s="612"/>
      <c r="I165" s="615">
        <v>478.98807325489372</v>
      </c>
      <c r="J165" s="622"/>
      <c r="K165" s="642">
        <v>508.15853376555594</v>
      </c>
      <c r="L165" s="612"/>
      <c r="N165" s="615">
        <v>273.55224679149484</v>
      </c>
      <c r="O165" s="622"/>
      <c r="P165" s="642">
        <v>344.40301494772615</v>
      </c>
      <c r="Q165" s="612"/>
    </row>
    <row r="166" spans="1:22">
      <c r="A166" t="s">
        <v>968</v>
      </c>
      <c r="C166" s="620"/>
      <c r="D166" s="615">
        <v>160.25314525102277</v>
      </c>
      <c r="E166" s="622"/>
      <c r="F166" s="642">
        <v>180.30665703164044</v>
      </c>
      <c r="G166" s="612"/>
      <c r="I166" s="615">
        <v>142.42055152883444</v>
      </c>
      <c r="J166" s="622"/>
      <c r="K166" s="642">
        <v>158.30686493941204</v>
      </c>
      <c r="L166" s="612"/>
      <c r="N166" s="615">
        <v>114.46653232215913</v>
      </c>
      <c r="O166" s="622"/>
      <c r="P166" s="642">
        <v>128.79046930831461</v>
      </c>
      <c r="Q166" s="612"/>
    </row>
    <row r="167" spans="1:22">
      <c r="A167" t="s">
        <v>969</v>
      </c>
      <c r="C167" s="620"/>
      <c r="D167" s="615">
        <v>257.67352887391502</v>
      </c>
      <c r="E167" s="622"/>
      <c r="F167" s="642">
        <v>257.03551617248678</v>
      </c>
      <c r="G167" s="612"/>
      <c r="I167" s="615">
        <v>225.42459518005185</v>
      </c>
      <c r="J167" s="622"/>
      <c r="K167" s="642">
        <v>212.76525228712106</v>
      </c>
      <c r="L167" s="612"/>
      <c r="N167" s="615">
        <v>174.31831409281281</v>
      </c>
      <c r="O167" s="622"/>
      <c r="P167" s="642">
        <v>176.18219490910806</v>
      </c>
      <c r="Q167" s="612"/>
    </row>
    <row r="168" spans="1:22">
      <c r="C168" s="620"/>
      <c r="D168" s="615"/>
      <c r="E168" s="622"/>
      <c r="F168" s="642"/>
      <c r="G168" s="612"/>
      <c r="I168" s="615"/>
      <c r="J168" s="622"/>
      <c r="K168" s="642"/>
      <c r="L168" s="612"/>
      <c r="N168" s="615"/>
      <c r="O168" s="622"/>
      <c r="P168" s="642"/>
      <c r="Q168" s="612"/>
    </row>
    <row r="169" spans="1:22">
      <c r="A169" t="s">
        <v>970</v>
      </c>
      <c r="C169" s="620"/>
      <c r="D169" s="625">
        <v>2749.5081999052031</v>
      </c>
      <c r="E169" s="614"/>
      <c r="F169" s="651">
        <v>2858.5502952717716</v>
      </c>
      <c r="G169" s="612">
        <v>3.9658763472801416E-2</v>
      </c>
      <c r="I169" s="625">
        <v>2559.0919420251053</v>
      </c>
      <c r="J169" s="614"/>
      <c r="K169" s="651">
        <v>2574.5260857567273</v>
      </c>
      <c r="L169" s="612">
        <v>6.0311016881278712E-3</v>
      </c>
      <c r="N169" s="625">
        <v>2220.5958152677917</v>
      </c>
      <c r="O169" s="614"/>
      <c r="P169" s="651">
        <v>2299.6711139297868</v>
      </c>
      <c r="Q169" s="612">
        <v>3.5609946717142203E-2</v>
      </c>
      <c r="T169" s="658"/>
      <c r="V169" s="659"/>
    </row>
    <row r="170" spans="1:22">
      <c r="D170" s="613"/>
      <c r="E170" s="614"/>
      <c r="F170" s="614"/>
      <c r="G170" s="612"/>
      <c r="I170" s="613"/>
      <c r="J170" s="614"/>
      <c r="K170" s="614"/>
      <c r="L170" s="612"/>
      <c r="N170" s="613"/>
      <c r="O170" s="614"/>
      <c r="P170" s="614"/>
      <c r="Q170" s="612"/>
    </row>
    <row r="171" spans="1:22">
      <c r="D171" s="613"/>
      <c r="E171" s="614"/>
      <c r="F171" s="614"/>
      <c r="G171" s="612"/>
      <c r="I171" s="613"/>
      <c r="J171" s="614"/>
      <c r="K171" s="614"/>
      <c r="L171" s="612"/>
      <c r="N171" s="613"/>
      <c r="O171" s="614"/>
      <c r="P171" s="614"/>
      <c r="Q171" s="612"/>
    </row>
    <row r="172" spans="1:22">
      <c r="A172" t="s">
        <v>958</v>
      </c>
      <c r="B172" t="s">
        <v>959</v>
      </c>
      <c r="D172" s="615">
        <v>320</v>
      </c>
      <c r="E172" s="614"/>
      <c r="F172" s="614">
        <v>300</v>
      </c>
      <c r="G172" s="612"/>
      <c r="I172" s="615">
        <v>180</v>
      </c>
      <c r="J172" s="614"/>
      <c r="K172" s="614">
        <v>200</v>
      </c>
      <c r="L172" s="612"/>
      <c r="N172" s="615">
        <v>250</v>
      </c>
      <c r="O172" s="614"/>
      <c r="P172" s="614">
        <v>250</v>
      </c>
      <c r="Q172" s="612"/>
    </row>
    <row r="173" spans="1:22">
      <c r="B173" t="s">
        <v>960</v>
      </c>
      <c r="C173" s="620"/>
      <c r="D173" s="615">
        <v>241.51158944544918</v>
      </c>
      <c r="E173" s="614"/>
      <c r="F173" s="642">
        <v>232.2218949648981</v>
      </c>
      <c r="G173" s="612"/>
      <c r="I173" s="615">
        <v>176.26100100956413</v>
      </c>
      <c r="J173" s="614"/>
      <c r="K173" s="642">
        <v>203.63793509650736</v>
      </c>
      <c r="L173" s="612"/>
      <c r="N173" s="615">
        <v>264.54558437651417</v>
      </c>
      <c r="O173" s="614"/>
      <c r="P173" s="642">
        <v>241.60475581716588</v>
      </c>
      <c r="Q173" s="612"/>
    </row>
    <row r="174" spans="1:22">
      <c r="D174" s="629">
        <v>561.5115894454492</v>
      </c>
      <c r="E174" s="614"/>
      <c r="F174" s="631">
        <v>532.22189496489807</v>
      </c>
      <c r="G174" s="612">
        <v>-5.2162226089541158E-2</v>
      </c>
      <c r="I174" s="629">
        <v>356.2610010095641</v>
      </c>
      <c r="J174" s="614"/>
      <c r="K174" s="631">
        <v>403.63793509650736</v>
      </c>
      <c r="L174" s="612">
        <v>0.13298377861367822</v>
      </c>
      <c r="N174" s="629">
        <v>514.54558437651417</v>
      </c>
      <c r="O174" s="614"/>
      <c r="P174" s="631">
        <v>491.60475581716588</v>
      </c>
      <c r="Q174" s="612">
        <v>-4.4584637893931557E-2</v>
      </c>
    </row>
    <row r="175" spans="1:22">
      <c r="D175" s="613"/>
      <c r="E175" s="614"/>
      <c r="F175" s="614"/>
      <c r="G175" s="612"/>
      <c r="I175" s="613"/>
      <c r="J175" s="614"/>
      <c r="K175" s="614"/>
      <c r="L175" s="612"/>
      <c r="N175" s="613"/>
      <c r="O175" s="614"/>
      <c r="P175" s="614"/>
      <c r="Q175" s="612"/>
    </row>
    <row r="176" spans="1:22">
      <c r="D176" s="613"/>
      <c r="E176" s="614"/>
      <c r="F176" s="614"/>
      <c r="G176" s="612"/>
      <c r="I176" s="613"/>
      <c r="J176" s="614"/>
      <c r="K176" s="614"/>
      <c r="L176" s="612"/>
      <c r="N176" s="613"/>
      <c r="O176" s="614"/>
      <c r="P176" s="614"/>
      <c r="Q176" s="612"/>
    </row>
    <row r="177" spans="1:17">
      <c r="A177" t="s">
        <v>961</v>
      </c>
      <c r="B177" t="s">
        <v>959</v>
      </c>
      <c r="D177" s="615">
        <v>664</v>
      </c>
      <c r="E177" s="614"/>
      <c r="F177" s="614">
        <v>694</v>
      </c>
      <c r="G177" s="612"/>
      <c r="I177" s="615">
        <v>648</v>
      </c>
      <c r="J177" s="614"/>
      <c r="K177" s="643">
        <v>652</v>
      </c>
      <c r="L177" s="612"/>
      <c r="M177" s="660">
        <v>0</v>
      </c>
      <c r="N177" s="615">
        <v>690</v>
      </c>
      <c r="O177" s="614"/>
      <c r="P177" s="614">
        <v>694</v>
      </c>
      <c r="Q177" s="612"/>
    </row>
    <row r="178" spans="1:17">
      <c r="B178" t="s">
        <v>962</v>
      </c>
      <c r="C178" s="655">
        <v>0</v>
      </c>
      <c r="D178" s="615">
        <v>0</v>
      </c>
      <c r="E178" s="622"/>
      <c r="F178" s="614">
        <v>0</v>
      </c>
      <c r="G178" s="612"/>
      <c r="H178" s="660">
        <v>0</v>
      </c>
      <c r="I178" s="615">
        <v>0</v>
      </c>
      <c r="J178" s="622"/>
      <c r="K178" s="614">
        <v>0</v>
      </c>
      <c r="L178" s="612"/>
      <c r="N178" s="615">
        <v>0</v>
      </c>
      <c r="O178" s="622"/>
      <c r="P178" s="614">
        <v>0</v>
      </c>
      <c r="Q178" s="612"/>
    </row>
    <row r="179" spans="1:17">
      <c r="D179" s="629">
        <v>664</v>
      </c>
      <c r="E179" s="614"/>
      <c r="F179" s="631">
        <v>694</v>
      </c>
      <c r="G179" s="612">
        <v>4.5180722891566265E-2</v>
      </c>
      <c r="I179" s="629">
        <v>648</v>
      </c>
      <c r="J179" s="614"/>
      <c r="K179" s="631">
        <v>652</v>
      </c>
      <c r="L179" s="612">
        <v>6.1728395061728392E-3</v>
      </c>
      <c r="N179" s="629">
        <v>690</v>
      </c>
      <c r="O179" s="614"/>
      <c r="P179" s="631">
        <v>694</v>
      </c>
      <c r="Q179" s="612">
        <v>5.7971014492753624E-3</v>
      </c>
    </row>
    <row r="180" spans="1:17">
      <c r="D180" s="613"/>
      <c r="E180" s="614"/>
      <c r="F180" s="614"/>
      <c r="G180" s="612"/>
      <c r="I180" s="613"/>
      <c r="J180" s="614"/>
      <c r="K180" s="614"/>
      <c r="L180" s="612"/>
      <c r="N180" s="613"/>
      <c r="O180" s="614"/>
      <c r="P180" s="614"/>
      <c r="Q180" s="612"/>
    </row>
    <row r="181" spans="1:17">
      <c r="B181" t="s">
        <v>971</v>
      </c>
      <c r="D181" s="615">
        <v>313</v>
      </c>
      <c r="E181" s="614"/>
      <c r="F181" s="642">
        <v>327</v>
      </c>
      <c r="G181" s="612"/>
      <c r="I181" s="615">
        <v>313</v>
      </c>
      <c r="J181" s="614"/>
      <c r="K181" s="642">
        <v>327</v>
      </c>
      <c r="L181" s="612"/>
      <c r="N181" s="615">
        <v>313</v>
      </c>
      <c r="O181" s="614"/>
      <c r="P181" s="642">
        <v>327</v>
      </c>
      <c r="Q181" s="612"/>
    </row>
    <row r="182" spans="1:17">
      <c r="D182" s="629">
        <v>313</v>
      </c>
      <c r="E182" s="614"/>
      <c r="F182" s="631">
        <v>327</v>
      </c>
      <c r="G182" s="612">
        <v>4.472843450479233E-2</v>
      </c>
      <c r="I182" s="629">
        <v>313</v>
      </c>
      <c r="J182" s="614"/>
      <c r="K182" s="631">
        <v>327</v>
      </c>
      <c r="L182" s="612">
        <v>4.472843450479233E-2</v>
      </c>
      <c r="N182" s="629">
        <v>313</v>
      </c>
      <c r="O182" s="614"/>
      <c r="P182" s="631">
        <v>327</v>
      </c>
      <c r="Q182" s="612">
        <v>4.472843450479233E-2</v>
      </c>
    </row>
    <row r="183" spans="1:17">
      <c r="D183" s="629"/>
      <c r="E183" s="614"/>
      <c r="F183" s="631"/>
      <c r="G183" s="612"/>
      <c r="I183" s="629"/>
      <c r="J183" s="614"/>
      <c r="K183" s="631"/>
      <c r="L183" s="612"/>
      <c r="N183" s="629"/>
      <c r="O183" s="614"/>
      <c r="P183" s="631"/>
      <c r="Q183" s="612"/>
    </row>
    <row r="184" spans="1:17" ht="17.25">
      <c r="A184" t="s">
        <v>964</v>
      </c>
      <c r="D184" s="633">
        <v>4288.019789350652</v>
      </c>
      <c r="E184" s="614"/>
      <c r="F184" s="634">
        <v>4411.7721902366702</v>
      </c>
      <c r="G184" s="636">
        <v>2.8860034926461574E-2</v>
      </c>
      <c r="I184" s="633">
        <v>3876.3529430346694</v>
      </c>
      <c r="J184" s="614"/>
      <c r="K184" s="634">
        <v>3957.1640208532344</v>
      </c>
      <c r="L184" s="636">
        <v>2.0847192968785951E-2</v>
      </c>
      <c r="N184" s="633">
        <v>3738.1413996443061</v>
      </c>
      <c r="O184" s="614"/>
      <c r="P184" s="634">
        <v>3812.2758697469526</v>
      </c>
      <c r="Q184" s="636">
        <v>1.9831906334442172E-2</v>
      </c>
    </row>
    <row r="185" spans="1:17">
      <c r="D185" s="637"/>
      <c r="E185" s="638"/>
      <c r="F185" s="638"/>
      <c r="G185" s="639">
        <v>123.75240088601822</v>
      </c>
      <c r="I185" s="640"/>
      <c r="J185" s="641"/>
      <c r="K185" s="641"/>
      <c r="L185" s="639">
        <v>80.811077818565082</v>
      </c>
      <c r="N185" s="640"/>
      <c r="O185" s="641"/>
      <c r="P185" s="641"/>
      <c r="Q185" s="639">
        <v>74.134470102646446</v>
      </c>
    </row>
    <row r="186" spans="1:17">
      <c r="M186" s="602"/>
    </row>
    <row r="187" spans="1:17" outlineLevel="1">
      <c r="B187" s="601"/>
      <c r="C187" s="601"/>
      <c r="D187" s="602"/>
      <c r="E187" s="601"/>
      <c r="F187" s="602"/>
      <c r="G187" s="602"/>
      <c r="H187" s="602"/>
      <c r="I187" s="602"/>
      <c r="J187" s="602"/>
      <c r="K187" s="602"/>
      <c r="L187" s="602"/>
      <c r="M187" s="602"/>
      <c r="N187" s="602"/>
      <c r="O187" s="602"/>
      <c r="P187" s="602"/>
      <c r="Q187" s="602"/>
    </row>
    <row r="188" spans="1:17" ht="17.649999999999999" outlineLevel="1">
      <c r="A188" s="600" t="s">
        <v>979</v>
      </c>
      <c r="B188" s="601"/>
      <c r="C188" s="601"/>
      <c r="D188" s="602"/>
      <c r="E188" s="601"/>
      <c r="F188" s="602"/>
      <c r="G188" s="602"/>
      <c r="H188" s="602"/>
      <c r="I188" s="602"/>
      <c r="J188" s="602"/>
      <c r="K188" s="602"/>
      <c r="L188" s="602"/>
      <c r="N188" s="602"/>
      <c r="O188" s="602"/>
      <c r="P188" s="602"/>
      <c r="Q188" s="602"/>
    </row>
    <row r="189" spans="1:17" outlineLevel="1">
      <c r="A189" s="602"/>
      <c r="D189" s="603" t="s">
        <v>980</v>
      </c>
      <c r="E189" s="603"/>
      <c r="F189">
        <v>1</v>
      </c>
      <c r="G189" s="603"/>
      <c r="H189" s="603"/>
      <c r="I189" s="603" t="s">
        <v>941</v>
      </c>
      <c r="K189">
        <v>1</v>
      </c>
    </row>
    <row r="190" spans="1:17" outlineLevel="1">
      <c r="B190" s="1"/>
      <c r="D190" s="646" t="s">
        <v>943</v>
      </c>
      <c r="E190" s="604"/>
      <c r="F190" s="604" t="s">
        <v>944</v>
      </c>
      <c r="G190" s="647" t="s">
        <v>945</v>
      </c>
      <c r="H190" s="535"/>
      <c r="I190" s="646" t="s">
        <v>943</v>
      </c>
      <c r="J190" s="604"/>
      <c r="K190" s="604" t="s">
        <v>944</v>
      </c>
      <c r="L190" s="647" t="s">
        <v>945</v>
      </c>
      <c r="N190" s="661"/>
      <c r="O190" s="661"/>
      <c r="P190" s="661"/>
      <c r="Q190" s="661"/>
    </row>
    <row r="191" spans="1:17" outlineLevel="1">
      <c r="B191" s="1"/>
      <c r="D191" s="662"/>
      <c r="E191" s="535"/>
      <c r="F191" s="535"/>
      <c r="G191" s="663"/>
      <c r="H191" s="535"/>
      <c r="I191" s="662"/>
      <c r="J191" s="535"/>
      <c r="K191" s="535"/>
      <c r="L191" s="663"/>
      <c r="M191" s="536"/>
    </row>
    <row r="192" spans="1:17" outlineLevel="1">
      <c r="A192" t="s">
        <v>946</v>
      </c>
      <c r="D192" s="610">
        <v>4100000</v>
      </c>
      <c r="E192" s="611"/>
      <c r="F192" s="611">
        <v>4100000</v>
      </c>
      <c r="G192" s="612">
        <v>0</v>
      </c>
      <c r="H192" s="536"/>
      <c r="I192" s="610">
        <v>5050000</v>
      </c>
      <c r="J192" s="611"/>
      <c r="K192" s="611">
        <v>5050000</v>
      </c>
      <c r="L192" s="612">
        <v>0</v>
      </c>
      <c r="N192" s="611"/>
      <c r="O192" s="611"/>
      <c r="P192" s="611"/>
    </row>
    <row r="193" spans="1:22" outlineLevel="1">
      <c r="D193" s="613"/>
      <c r="E193" s="614"/>
      <c r="F193" s="614"/>
      <c r="G193" s="609"/>
      <c r="I193" s="613"/>
      <c r="J193" s="614"/>
      <c r="K193" s="614"/>
      <c r="L193" s="609"/>
      <c r="N193" s="614"/>
      <c r="O193" s="614"/>
      <c r="P193" s="614"/>
    </row>
    <row r="194" spans="1:22">
      <c r="A194" t="s">
        <v>947</v>
      </c>
      <c r="D194" s="615">
        <v>65</v>
      </c>
      <c r="E194" s="614"/>
      <c r="F194" s="642">
        <v>77</v>
      </c>
      <c r="G194" s="617"/>
      <c r="I194" s="615">
        <v>65</v>
      </c>
      <c r="J194" s="614"/>
      <c r="K194" s="642">
        <v>77</v>
      </c>
      <c r="L194" s="617"/>
      <c r="N194" s="648"/>
      <c r="O194" s="614"/>
      <c r="P194" s="648"/>
      <c r="Q194" s="649"/>
    </row>
    <row r="195" spans="1:22">
      <c r="A195" s="619" t="s">
        <v>948</v>
      </c>
      <c r="C195" s="620"/>
      <c r="D195" s="615">
        <v>387</v>
      </c>
      <c r="E195" s="621"/>
      <c r="F195" s="642">
        <v>410</v>
      </c>
      <c r="G195" s="617"/>
      <c r="I195" s="615">
        <v>387</v>
      </c>
      <c r="J195" s="621"/>
      <c r="K195" s="642">
        <v>410</v>
      </c>
      <c r="L195" s="617"/>
      <c r="N195" s="650"/>
      <c r="O195" s="621"/>
      <c r="P195" s="650"/>
      <c r="Q195" s="649"/>
    </row>
    <row r="196" spans="1:22">
      <c r="A196" s="619" t="s">
        <v>966</v>
      </c>
      <c r="C196" s="620"/>
      <c r="D196" s="615">
        <v>328.27928677251236</v>
      </c>
      <c r="E196" s="621"/>
      <c r="F196" s="616">
        <v>315.35184846943889</v>
      </c>
      <c r="G196" s="617"/>
      <c r="I196" s="618">
        <v>328.27928677251236</v>
      </c>
      <c r="J196" s="621"/>
      <c r="K196" s="616">
        <v>315.35184846943889</v>
      </c>
      <c r="L196" s="617"/>
      <c r="N196" s="650"/>
      <c r="O196" s="621"/>
      <c r="P196" s="650"/>
      <c r="Q196" s="649"/>
    </row>
    <row r="197" spans="1:22" outlineLevel="1">
      <c r="A197" t="s">
        <v>950</v>
      </c>
      <c r="C197" s="620"/>
      <c r="D197" s="615">
        <v>136</v>
      </c>
      <c r="E197" s="622"/>
      <c r="F197" s="642">
        <v>115</v>
      </c>
      <c r="G197" s="612"/>
      <c r="I197" s="615">
        <v>190</v>
      </c>
      <c r="J197" s="622"/>
      <c r="K197" s="657">
        <v>160</v>
      </c>
      <c r="L197" s="612"/>
      <c r="N197" s="648"/>
      <c r="O197" s="622"/>
      <c r="P197" s="648"/>
      <c r="Q197" s="649"/>
    </row>
    <row r="198" spans="1:22" outlineLevel="1">
      <c r="A198" t="s">
        <v>951</v>
      </c>
      <c r="C198" s="620"/>
      <c r="D198" s="615">
        <v>126.28911316477196</v>
      </c>
      <c r="E198" s="622"/>
      <c r="F198" s="642">
        <v>146.49045964123468</v>
      </c>
      <c r="G198" s="612"/>
      <c r="I198" s="615">
        <v>155.55122475173133</v>
      </c>
      <c r="J198" s="622"/>
      <c r="K198" s="642">
        <v>180.43337102152074</v>
      </c>
      <c r="L198" s="612"/>
      <c r="N198" s="648"/>
      <c r="O198" s="622"/>
      <c r="P198" s="648"/>
      <c r="Q198" s="649"/>
    </row>
    <row r="199" spans="1:22">
      <c r="A199" s="619" t="s">
        <v>952</v>
      </c>
      <c r="C199" s="620"/>
      <c r="D199" s="615">
        <v>207.19554244157973</v>
      </c>
      <c r="E199" s="622"/>
      <c r="F199" s="642">
        <v>195.321836943021</v>
      </c>
      <c r="G199" s="612"/>
      <c r="I199" s="615">
        <v>255.2042656902384</v>
      </c>
      <c r="J199" s="622"/>
      <c r="K199" s="642">
        <v>240.57933574689173</v>
      </c>
      <c r="L199" s="612"/>
      <c r="N199" s="648"/>
      <c r="O199" s="622"/>
      <c r="P199" s="648"/>
      <c r="Q199" s="649"/>
    </row>
    <row r="200" spans="1:22">
      <c r="A200" s="619" t="s">
        <v>953</v>
      </c>
      <c r="C200" s="620"/>
      <c r="D200" s="615">
        <v>414.17403909205177</v>
      </c>
      <c r="E200" s="622"/>
      <c r="F200" s="642">
        <v>480.18742016970089</v>
      </c>
      <c r="G200" s="612"/>
      <c r="I200" s="615">
        <v>510.1411944914297</v>
      </c>
      <c r="J200" s="622"/>
      <c r="K200" s="642">
        <v>591.4503589895096</v>
      </c>
      <c r="L200" s="612"/>
      <c r="N200" s="648"/>
      <c r="O200" s="622"/>
      <c r="P200" s="648"/>
      <c r="Q200" s="649"/>
    </row>
    <row r="201" spans="1:22">
      <c r="A201" s="619" t="s">
        <v>954</v>
      </c>
      <c r="C201" s="620"/>
      <c r="D201" s="615">
        <v>710.78173446385199</v>
      </c>
      <c r="E201" s="622"/>
      <c r="F201" s="642">
        <v>690.46528411626855</v>
      </c>
      <c r="G201" s="612"/>
      <c r="I201" s="615">
        <v>875.47506318108606</v>
      </c>
      <c r="J201" s="622"/>
      <c r="K201" s="642">
        <v>850.45114263101368</v>
      </c>
      <c r="L201" s="612"/>
      <c r="N201" s="648"/>
      <c r="O201" s="622"/>
      <c r="P201" s="648"/>
      <c r="Q201" s="649"/>
    </row>
    <row r="202" spans="1:22" outlineLevel="1">
      <c r="A202" t="s">
        <v>967</v>
      </c>
      <c r="C202" s="620"/>
      <c r="D202" s="615">
        <v>598.16757965073543</v>
      </c>
      <c r="E202" s="622"/>
      <c r="F202" s="642">
        <v>753.09459268569447</v>
      </c>
      <c r="G202" s="612"/>
      <c r="I202" s="615">
        <v>1290.0745439665138</v>
      </c>
      <c r="J202" s="622"/>
      <c r="K202" s="642">
        <v>1368.6403176085641</v>
      </c>
      <c r="L202" s="612"/>
      <c r="N202" s="648"/>
      <c r="O202" s="622"/>
      <c r="P202" s="648"/>
      <c r="Q202" s="649"/>
    </row>
    <row r="203" spans="1:22" outlineLevel="1">
      <c r="A203" t="s">
        <v>968</v>
      </c>
      <c r="C203" s="620"/>
      <c r="D203" s="615">
        <v>0</v>
      </c>
      <c r="E203" s="622"/>
      <c r="F203" s="642">
        <v>0</v>
      </c>
      <c r="G203" s="612"/>
      <c r="I203" s="615">
        <v>0</v>
      </c>
      <c r="J203" s="622"/>
      <c r="K203" s="642">
        <v>0</v>
      </c>
      <c r="L203" s="612"/>
      <c r="N203" s="648"/>
      <c r="O203" s="622"/>
      <c r="P203" s="648"/>
      <c r="Q203" s="649"/>
    </row>
    <row r="204" spans="1:22" outlineLevel="1">
      <c r="C204" s="620"/>
      <c r="D204" s="615"/>
      <c r="E204" s="622"/>
      <c r="F204" s="642"/>
      <c r="G204" s="612"/>
      <c r="I204" s="615"/>
      <c r="J204" s="622"/>
      <c r="K204" s="642"/>
      <c r="L204" s="612"/>
      <c r="N204" s="626"/>
      <c r="O204" s="614"/>
      <c r="P204" s="626"/>
      <c r="Q204" s="649"/>
    </row>
    <row r="205" spans="1:22" outlineLevel="1">
      <c r="A205" t="s">
        <v>970</v>
      </c>
      <c r="C205" s="620"/>
      <c r="D205" s="625">
        <v>2972.8872955855031</v>
      </c>
      <c r="E205" s="614"/>
      <c r="F205" s="651">
        <v>3182.9114420253586</v>
      </c>
      <c r="G205" s="612">
        <v>7.064652156565919E-2</v>
      </c>
      <c r="I205" s="625">
        <v>4056.7255788535117</v>
      </c>
      <c r="J205" s="614"/>
      <c r="K205" s="651">
        <v>4193.9063744669384</v>
      </c>
      <c r="L205" s="612">
        <v>3.3815645881621573E-2</v>
      </c>
      <c r="N205" s="614"/>
      <c r="O205" s="614"/>
      <c r="P205" s="614"/>
    </row>
    <row r="206" spans="1:22" outlineLevel="1">
      <c r="D206" s="613"/>
      <c r="E206" s="614"/>
      <c r="F206" s="614"/>
      <c r="G206" s="612"/>
      <c r="I206" s="613"/>
      <c r="J206" s="614"/>
      <c r="K206" s="614"/>
      <c r="L206" s="612"/>
      <c r="N206" s="614"/>
      <c r="O206" s="614"/>
      <c r="P206" s="614"/>
      <c r="T206" s="658"/>
      <c r="V206" s="659"/>
    </row>
    <row r="207" spans="1:22" outlineLevel="1">
      <c r="D207" s="613"/>
      <c r="E207" s="614"/>
      <c r="F207" s="614"/>
      <c r="G207" s="612"/>
      <c r="I207" s="613"/>
      <c r="J207" s="614"/>
      <c r="K207" s="614"/>
      <c r="L207" s="612"/>
      <c r="N207" s="614"/>
      <c r="O207" s="614"/>
      <c r="P207" s="614"/>
    </row>
    <row r="208" spans="1:22" outlineLevel="1">
      <c r="A208" t="s">
        <v>958</v>
      </c>
      <c r="B208" t="s">
        <v>959</v>
      </c>
      <c r="D208" s="615">
        <v>0</v>
      </c>
      <c r="E208" s="614"/>
      <c r="F208" s="614">
        <v>0</v>
      </c>
      <c r="G208" s="612"/>
      <c r="I208" s="613">
        <v>0</v>
      </c>
      <c r="J208" s="614"/>
      <c r="K208" s="614">
        <v>0</v>
      </c>
      <c r="L208" s="612"/>
      <c r="N208" s="648"/>
      <c r="O208" s="614"/>
      <c r="P208" s="648"/>
    </row>
    <row r="209" spans="1:17" outlineLevel="1">
      <c r="B209" t="s">
        <v>960</v>
      </c>
      <c r="C209" s="620"/>
      <c r="D209" s="615">
        <v>0</v>
      </c>
      <c r="E209" s="614"/>
      <c r="F209" s="642">
        <v>0</v>
      </c>
      <c r="G209" s="612"/>
      <c r="I209" s="615">
        <v>0</v>
      </c>
      <c r="J209" s="614"/>
      <c r="K209" s="642">
        <v>0</v>
      </c>
      <c r="L209" s="612"/>
      <c r="N209" s="631"/>
      <c r="O209" s="614"/>
      <c r="P209" s="631"/>
      <c r="Q209" s="664"/>
    </row>
    <row r="210" spans="1:17" outlineLevel="1">
      <c r="D210" s="629">
        <v>0</v>
      </c>
      <c r="E210" s="614"/>
      <c r="F210" s="631">
        <v>0</v>
      </c>
      <c r="G210" s="612"/>
      <c r="I210" s="629">
        <v>0</v>
      </c>
      <c r="J210" s="614"/>
      <c r="K210" s="631">
        <v>0</v>
      </c>
      <c r="L210" s="612"/>
      <c r="N210" s="614"/>
      <c r="O210" s="614"/>
      <c r="P210" s="614"/>
    </row>
    <row r="211" spans="1:17" outlineLevel="1">
      <c r="D211" s="613"/>
      <c r="E211" s="614"/>
      <c r="F211" s="614"/>
      <c r="G211" s="612"/>
      <c r="I211" s="613"/>
      <c r="J211" s="614"/>
      <c r="K211" s="614"/>
      <c r="L211" s="612"/>
      <c r="N211" s="614"/>
      <c r="O211" s="614"/>
      <c r="P211" s="614"/>
    </row>
    <row r="212" spans="1:17" outlineLevel="1">
      <c r="D212" s="613"/>
      <c r="E212" s="614"/>
      <c r="F212" s="614"/>
      <c r="G212" s="612"/>
      <c r="I212" s="613"/>
      <c r="J212" s="614"/>
      <c r="K212" s="614"/>
      <c r="L212" s="612"/>
      <c r="N212" s="614"/>
      <c r="O212" s="614"/>
      <c r="P212" s="614"/>
    </row>
    <row r="213" spans="1:17" outlineLevel="1">
      <c r="A213" t="s">
        <v>961</v>
      </c>
      <c r="B213" t="s">
        <v>959</v>
      </c>
      <c r="D213" s="615">
        <v>0</v>
      </c>
      <c r="E213" s="614"/>
      <c r="F213" s="614">
        <v>0</v>
      </c>
      <c r="G213" s="612"/>
      <c r="I213" s="613">
        <v>0</v>
      </c>
      <c r="J213" s="614"/>
      <c r="K213" s="614">
        <v>0</v>
      </c>
      <c r="L213" s="612"/>
      <c r="N213" s="614"/>
      <c r="O213" s="622"/>
      <c r="P213" s="614"/>
    </row>
    <row r="214" spans="1:17" outlineLevel="1">
      <c r="B214" t="s">
        <v>962</v>
      </c>
      <c r="C214" s="632">
        <v>0</v>
      </c>
      <c r="D214" s="615">
        <v>0</v>
      </c>
      <c r="E214" s="622"/>
      <c r="F214" s="614">
        <v>0</v>
      </c>
      <c r="G214" s="612"/>
      <c r="I214" s="613">
        <v>0</v>
      </c>
      <c r="J214" s="622"/>
      <c r="K214" s="614">
        <v>0</v>
      </c>
      <c r="L214" s="612"/>
      <c r="N214" s="631"/>
      <c r="O214" s="614"/>
      <c r="P214" s="631"/>
    </row>
    <row r="215" spans="1:17" outlineLevel="1">
      <c r="D215" s="629">
        <v>0</v>
      </c>
      <c r="E215" s="614"/>
      <c r="F215" s="631">
        <v>0</v>
      </c>
      <c r="G215" s="612"/>
      <c r="I215" s="629">
        <v>0</v>
      </c>
      <c r="J215" s="614"/>
      <c r="K215" s="631">
        <v>0</v>
      </c>
      <c r="L215" s="612"/>
      <c r="N215" s="614"/>
      <c r="O215" s="614"/>
      <c r="P215" s="614"/>
    </row>
    <row r="216" spans="1:17" outlineLevel="1">
      <c r="D216" s="613"/>
      <c r="E216" s="614"/>
      <c r="F216" s="614"/>
      <c r="G216" s="612"/>
      <c r="I216" s="613"/>
      <c r="J216" s="614"/>
      <c r="K216" s="614"/>
      <c r="L216" s="612"/>
      <c r="N216" s="652"/>
      <c r="O216" s="614"/>
      <c r="P216" s="652"/>
    </row>
    <row r="217" spans="1:17" outlineLevel="1">
      <c r="B217" t="s">
        <v>971</v>
      </c>
      <c r="D217" s="615">
        <v>313</v>
      </c>
      <c r="E217" s="614"/>
      <c r="F217" s="642">
        <v>327</v>
      </c>
      <c r="G217" s="612"/>
      <c r="I217" s="615">
        <v>313</v>
      </c>
      <c r="J217" s="614"/>
      <c r="K217" s="642">
        <v>327</v>
      </c>
      <c r="L217" s="612"/>
      <c r="N217" s="631"/>
      <c r="O217" s="614"/>
      <c r="P217" s="631"/>
    </row>
    <row r="218" spans="1:17" outlineLevel="1">
      <c r="D218" s="629">
        <v>313</v>
      </c>
      <c r="E218" s="614"/>
      <c r="F218" s="631">
        <v>327</v>
      </c>
      <c r="G218" s="612">
        <v>4.472843450479233E-2</v>
      </c>
      <c r="I218" s="629">
        <v>313</v>
      </c>
      <c r="J218" s="614"/>
      <c r="K218" s="631">
        <v>327</v>
      </c>
      <c r="L218" s="612">
        <v>4.472843450479233E-2</v>
      </c>
      <c r="N218" s="631"/>
      <c r="O218" s="614"/>
      <c r="P218" s="631"/>
    </row>
    <row r="219" spans="1:17" ht="17.25" outlineLevel="1">
      <c r="D219" s="629"/>
      <c r="E219" s="614"/>
      <c r="F219" s="631"/>
      <c r="G219" s="612"/>
      <c r="I219" s="629"/>
      <c r="J219" s="614"/>
      <c r="K219" s="631"/>
      <c r="L219" s="612"/>
      <c r="N219" s="634"/>
      <c r="O219" s="614"/>
      <c r="P219" s="634"/>
      <c r="Q219" s="653"/>
    </row>
    <row r="220" spans="1:17" ht="17.25" outlineLevel="1">
      <c r="A220" t="s">
        <v>964</v>
      </c>
      <c r="D220" s="633">
        <v>3285.8872955855031</v>
      </c>
      <c r="E220" s="614"/>
      <c r="F220" s="634">
        <v>3509.9114420253586</v>
      </c>
      <c r="G220" s="636">
        <v>6.8177672052485067E-2</v>
      </c>
      <c r="I220" s="633">
        <v>4369.7255788535113</v>
      </c>
      <c r="J220" s="614"/>
      <c r="K220" s="634">
        <v>4520.9063744669384</v>
      </c>
      <c r="L220" s="636">
        <v>3.4597320331747825E-2</v>
      </c>
      <c r="N220" s="614"/>
      <c r="O220" s="614"/>
      <c r="P220" s="614"/>
      <c r="Q220" s="614"/>
    </row>
    <row r="221" spans="1:17" outlineLevel="1">
      <c r="D221" s="637"/>
      <c r="E221" s="638"/>
      <c r="F221" s="638"/>
      <c r="G221" s="639">
        <v>224.02414643985549</v>
      </c>
      <c r="I221" s="640"/>
      <c r="J221" s="641"/>
      <c r="K221" s="641"/>
      <c r="L221" s="639">
        <v>151.18079561342711</v>
      </c>
      <c r="M221" s="602"/>
    </row>
    <row r="222" spans="1:17" outlineLevel="1">
      <c r="M222" s="602"/>
      <c r="N222" s="602"/>
      <c r="O222" s="602"/>
      <c r="P222" s="602"/>
      <c r="Q222" s="602"/>
    </row>
    <row r="223" spans="1:17" outlineLevel="1">
      <c r="B223" s="601"/>
      <c r="C223" s="601"/>
      <c r="D223" s="602"/>
      <c r="E223" s="601"/>
      <c r="F223" s="602"/>
      <c r="G223" s="602"/>
      <c r="H223" s="602"/>
      <c r="I223" s="602"/>
      <c r="J223" s="602"/>
      <c r="K223" s="602"/>
      <c r="L223" s="602"/>
      <c r="N223" s="602"/>
      <c r="O223" s="602"/>
      <c r="P223" s="602"/>
      <c r="Q223" s="602"/>
    </row>
    <row r="224" spans="1:17" ht="17.649999999999999" outlineLevel="1">
      <c r="A224" s="600" t="s">
        <v>981</v>
      </c>
      <c r="B224" s="601"/>
      <c r="C224" s="601"/>
      <c r="D224" s="602"/>
      <c r="E224" s="601"/>
      <c r="F224" s="602"/>
      <c r="G224" s="602"/>
      <c r="H224" s="602"/>
      <c r="I224" s="602"/>
      <c r="J224" s="602"/>
      <c r="K224" s="602"/>
      <c r="L224" s="602"/>
    </row>
    <row r="225" spans="1:17" outlineLevel="1">
      <c r="A225" s="602"/>
      <c r="D225" s="603" t="s">
        <v>980</v>
      </c>
      <c r="E225" s="603"/>
      <c r="F225">
        <v>1</v>
      </c>
      <c r="G225" s="603"/>
      <c r="H225" s="603"/>
      <c r="I225" s="603" t="s">
        <v>941</v>
      </c>
      <c r="K225">
        <v>1</v>
      </c>
    </row>
    <row r="226" spans="1:17" outlineLevel="1">
      <c r="B226" s="1"/>
      <c r="D226" s="646" t="s">
        <v>943</v>
      </c>
      <c r="E226" s="604"/>
      <c r="F226" s="604" t="s">
        <v>944</v>
      </c>
      <c r="G226" s="647" t="s">
        <v>945</v>
      </c>
      <c r="H226" s="535"/>
      <c r="I226" s="646" t="s">
        <v>943</v>
      </c>
      <c r="J226" s="604"/>
      <c r="K226" s="604" t="s">
        <v>944</v>
      </c>
      <c r="L226" s="647" t="s">
        <v>945</v>
      </c>
      <c r="M226" s="536"/>
    </row>
    <row r="227" spans="1:17" outlineLevel="1">
      <c r="B227" s="1"/>
      <c r="D227" s="608"/>
      <c r="G227" s="609"/>
      <c r="I227" s="608"/>
      <c r="L227" s="609"/>
      <c r="N227" s="611"/>
      <c r="O227" s="611"/>
      <c r="P227" s="611"/>
    </row>
    <row r="228" spans="1:17" outlineLevel="1">
      <c r="A228" t="s">
        <v>946</v>
      </c>
      <c r="D228" s="610">
        <v>2050000</v>
      </c>
      <c r="E228" s="611"/>
      <c r="F228" s="611">
        <v>2050000</v>
      </c>
      <c r="G228" s="612">
        <v>0</v>
      </c>
      <c r="H228" s="536"/>
      <c r="I228" s="610">
        <v>1560000</v>
      </c>
      <c r="J228" s="611"/>
      <c r="K228" s="611">
        <v>1560000</v>
      </c>
      <c r="L228" s="612">
        <v>0</v>
      </c>
      <c r="N228" s="614"/>
      <c r="O228" s="614"/>
      <c r="P228" s="614"/>
    </row>
    <row r="229" spans="1:17" outlineLevel="1">
      <c r="D229" s="613"/>
      <c r="E229" s="614"/>
      <c r="F229" s="614"/>
      <c r="G229" s="609"/>
      <c r="I229" s="613"/>
      <c r="J229" s="614"/>
      <c r="K229" s="614"/>
      <c r="L229" s="609"/>
      <c r="N229" s="665"/>
      <c r="O229" s="614"/>
      <c r="P229" s="665"/>
      <c r="Q229" s="649"/>
    </row>
    <row r="230" spans="1:17">
      <c r="A230" t="s">
        <v>947</v>
      </c>
      <c r="D230" s="615">
        <v>65</v>
      </c>
      <c r="E230" s="614"/>
      <c r="F230" s="642">
        <v>77</v>
      </c>
      <c r="G230" s="617"/>
      <c r="I230" s="615">
        <v>65</v>
      </c>
      <c r="J230" s="614"/>
      <c r="K230" s="642">
        <v>77</v>
      </c>
      <c r="L230" s="617"/>
      <c r="N230" s="648"/>
      <c r="O230" s="614"/>
      <c r="P230" s="648"/>
      <c r="Q230" s="649"/>
    </row>
    <row r="231" spans="1:17">
      <c r="A231" s="619" t="s">
        <v>948</v>
      </c>
      <c r="C231" s="620"/>
      <c r="D231" s="615">
        <v>387</v>
      </c>
      <c r="E231" s="621"/>
      <c r="F231" s="642">
        <v>410</v>
      </c>
      <c r="G231" s="617"/>
      <c r="I231" s="615">
        <v>387</v>
      </c>
      <c r="J231" s="621"/>
      <c r="K231" s="642">
        <v>410</v>
      </c>
      <c r="L231" s="617"/>
      <c r="N231" s="650"/>
      <c r="O231" s="621"/>
      <c r="P231" s="650"/>
      <c r="Q231" s="649"/>
    </row>
    <row r="232" spans="1:17">
      <c r="A232" s="619" t="s">
        <v>966</v>
      </c>
      <c r="C232" s="620"/>
      <c r="D232" s="615">
        <v>220.84960217104629</v>
      </c>
      <c r="E232" s="621"/>
      <c r="F232" s="616">
        <v>213.01491650949339</v>
      </c>
      <c r="G232" s="617"/>
      <c r="I232" s="618">
        <v>220.84960217104629</v>
      </c>
      <c r="J232" s="621"/>
      <c r="K232" s="616">
        <v>213.01491650949339</v>
      </c>
      <c r="L232" s="617"/>
      <c r="N232" s="650"/>
      <c r="O232" s="621"/>
      <c r="P232" s="650"/>
      <c r="Q232" s="649"/>
    </row>
    <row r="233" spans="1:17" outlineLevel="1">
      <c r="A233" t="s">
        <v>950</v>
      </c>
      <c r="C233" s="620"/>
      <c r="D233" s="615">
        <v>136</v>
      </c>
      <c r="E233" s="622"/>
      <c r="F233" s="642">
        <v>115</v>
      </c>
      <c r="G233" s="612"/>
      <c r="I233" s="615">
        <v>190</v>
      </c>
      <c r="J233" s="622"/>
      <c r="K233" s="657">
        <v>160</v>
      </c>
      <c r="L233" s="612"/>
      <c r="N233" s="648"/>
      <c r="O233" s="622"/>
      <c r="P233" s="648"/>
      <c r="Q233" s="649"/>
    </row>
    <row r="234" spans="1:17" outlineLevel="1">
      <c r="A234" t="s">
        <v>951</v>
      </c>
      <c r="C234" s="620"/>
      <c r="D234" s="615">
        <v>63.144556582385974</v>
      </c>
      <c r="E234" s="622"/>
      <c r="F234" s="642">
        <v>73.24522982061734</v>
      </c>
      <c r="G234" s="612"/>
      <c r="I234" s="615">
        <v>48.051467448059576</v>
      </c>
      <c r="J234" s="622"/>
      <c r="K234" s="642">
        <v>55.737833424469777</v>
      </c>
      <c r="L234" s="612"/>
      <c r="N234" s="648"/>
      <c r="O234" s="622"/>
      <c r="P234" s="648"/>
      <c r="Q234" s="649"/>
    </row>
    <row r="235" spans="1:17">
      <c r="A235" s="619" t="s">
        <v>952</v>
      </c>
      <c r="C235" s="620"/>
      <c r="D235" s="615">
        <v>310.79331366236954</v>
      </c>
      <c r="E235" s="622"/>
      <c r="F235" s="642">
        <v>292.98275541453148</v>
      </c>
      <c r="G235" s="612"/>
      <c r="I235" s="615">
        <v>236.50613137233972</v>
      </c>
      <c r="J235" s="622"/>
      <c r="K235" s="642">
        <v>222.95273094959467</v>
      </c>
      <c r="L235" s="612"/>
      <c r="N235" s="648"/>
      <c r="O235" s="622"/>
      <c r="P235" s="648"/>
      <c r="Q235" s="649"/>
    </row>
    <row r="236" spans="1:17">
      <c r="A236" s="619" t="s">
        <v>953</v>
      </c>
      <c r="C236" s="620"/>
      <c r="D236" s="615">
        <v>276.1160260613679</v>
      </c>
      <c r="E236" s="622"/>
      <c r="F236" s="642">
        <v>320.12494677980067</v>
      </c>
      <c r="G236" s="612"/>
      <c r="I236" s="615">
        <v>210.11756129547999</v>
      </c>
      <c r="J236" s="622"/>
      <c r="K236" s="642">
        <v>243.60727657389711</v>
      </c>
      <c r="L236" s="612"/>
      <c r="N236" s="648"/>
      <c r="O236" s="622"/>
      <c r="P236" s="648"/>
      <c r="Q236" s="649"/>
    </row>
    <row r="237" spans="1:17">
      <c r="A237" s="619" t="s">
        <v>954</v>
      </c>
      <c r="C237" s="620"/>
      <c r="D237" s="615">
        <v>473.85448964256801</v>
      </c>
      <c r="E237" s="622"/>
      <c r="F237" s="642">
        <v>460.31018941084568</v>
      </c>
      <c r="G237" s="612"/>
      <c r="I237" s="615">
        <v>360.59170919141764</v>
      </c>
      <c r="J237" s="622"/>
      <c r="K237" s="642">
        <v>350.28482706386302</v>
      </c>
      <c r="L237" s="612"/>
      <c r="N237" s="648"/>
      <c r="O237" s="622"/>
      <c r="P237" s="648"/>
      <c r="Q237" s="649"/>
    </row>
    <row r="238" spans="1:17" outlineLevel="1">
      <c r="A238" t="s">
        <v>967</v>
      </c>
      <c r="C238" s="620"/>
      <c r="D238" s="615">
        <v>369.23924669798487</v>
      </c>
      <c r="E238" s="622"/>
      <c r="F238" s="642">
        <v>464.87320536153982</v>
      </c>
      <c r="G238" s="612"/>
      <c r="I238" s="615">
        <v>491.9976258618168</v>
      </c>
      <c r="J238" s="622"/>
      <c r="K238" s="642">
        <v>521.96037048511425</v>
      </c>
      <c r="L238" s="612"/>
      <c r="N238" s="648"/>
      <c r="O238" s="622"/>
      <c r="P238" s="648"/>
      <c r="Q238" s="649"/>
    </row>
    <row r="239" spans="1:17" outlineLevel="1">
      <c r="A239" t="s">
        <v>968</v>
      </c>
      <c r="C239" s="620"/>
      <c r="D239" s="615">
        <v>0</v>
      </c>
      <c r="E239" s="622"/>
      <c r="F239" s="642">
        <v>0</v>
      </c>
      <c r="G239" s="612"/>
      <c r="I239" s="615">
        <v>0</v>
      </c>
      <c r="J239" s="622"/>
      <c r="K239" s="642">
        <v>0</v>
      </c>
      <c r="L239" s="612"/>
      <c r="N239" s="626"/>
      <c r="O239" s="614"/>
      <c r="P239" s="626"/>
      <c r="Q239" s="649"/>
    </row>
    <row r="240" spans="1:17" outlineLevel="1">
      <c r="C240" s="620"/>
      <c r="D240" s="615"/>
      <c r="E240" s="622"/>
      <c r="F240" s="642"/>
      <c r="G240" s="612"/>
      <c r="I240" s="615"/>
      <c r="J240" s="622"/>
      <c r="K240" s="642"/>
      <c r="L240" s="612"/>
      <c r="N240" s="614"/>
      <c r="O240" s="614"/>
      <c r="P240" s="614"/>
    </row>
    <row r="241" spans="1:22" outlineLevel="1">
      <c r="A241" t="s">
        <v>970</v>
      </c>
      <c r="C241" s="620"/>
      <c r="D241" s="625">
        <v>2301.9972348177225</v>
      </c>
      <c r="E241" s="614"/>
      <c r="F241" s="651">
        <v>2426.5512432968285</v>
      </c>
      <c r="G241" s="612">
        <v>5.4106932273951421E-2</v>
      </c>
      <c r="I241" s="625">
        <v>2210.1140973401602</v>
      </c>
      <c r="J241" s="614"/>
      <c r="K241" s="651">
        <v>2254.5579550064322</v>
      </c>
      <c r="L241" s="612">
        <v>2.010930463714948E-2</v>
      </c>
      <c r="N241" s="614"/>
      <c r="O241" s="614"/>
      <c r="P241" s="614"/>
    </row>
    <row r="242" spans="1:22" outlineLevel="1">
      <c r="D242" s="613"/>
      <c r="E242" s="614"/>
      <c r="F242" s="614"/>
      <c r="G242" s="612"/>
      <c r="I242" s="613"/>
      <c r="J242" s="614"/>
      <c r="K242" s="614"/>
      <c r="L242" s="612"/>
      <c r="N242" s="614"/>
      <c r="O242" s="614"/>
      <c r="P242" s="614"/>
      <c r="T242" s="658"/>
      <c r="V242" s="659"/>
    </row>
    <row r="243" spans="1:22" outlineLevel="1">
      <c r="D243" s="613"/>
      <c r="E243" s="614"/>
      <c r="F243" s="614"/>
      <c r="G243" s="612"/>
      <c r="I243" s="613"/>
      <c r="J243" s="614"/>
      <c r="K243" s="614"/>
      <c r="L243" s="612"/>
      <c r="N243" s="648"/>
      <c r="O243" s="614"/>
      <c r="P243" s="648"/>
    </row>
    <row r="244" spans="1:22" outlineLevel="1">
      <c r="A244" t="s">
        <v>958</v>
      </c>
      <c r="B244" t="s">
        <v>959</v>
      </c>
      <c r="D244" s="615">
        <v>0</v>
      </c>
      <c r="E244" s="614"/>
      <c r="F244" s="614">
        <v>0</v>
      </c>
      <c r="G244" s="612"/>
      <c r="I244" s="613">
        <v>0</v>
      </c>
      <c r="J244" s="614"/>
      <c r="K244" s="614">
        <v>0</v>
      </c>
      <c r="L244" s="612"/>
      <c r="N244" s="631"/>
      <c r="O244" s="614"/>
      <c r="P244" s="631"/>
      <c r="Q244" s="664"/>
    </row>
    <row r="245" spans="1:22" outlineLevel="1">
      <c r="B245" t="s">
        <v>960</v>
      </c>
      <c r="C245" s="620"/>
      <c r="D245" s="615">
        <v>0</v>
      </c>
      <c r="E245" s="614"/>
      <c r="F245" s="642">
        <v>0</v>
      </c>
      <c r="G245" s="612"/>
      <c r="I245" s="615">
        <v>0</v>
      </c>
      <c r="J245" s="614"/>
      <c r="K245" s="642">
        <v>0</v>
      </c>
      <c r="L245" s="612"/>
      <c r="N245" s="614"/>
      <c r="O245" s="614"/>
      <c r="P245" s="614"/>
    </row>
    <row r="246" spans="1:22" outlineLevel="1">
      <c r="D246" s="629">
        <v>0</v>
      </c>
      <c r="E246" s="614"/>
      <c r="F246" s="631">
        <v>0</v>
      </c>
      <c r="G246" s="612"/>
      <c r="I246" s="629">
        <v>0</v>
      </c>
      <c r="J246" s="614"/>
      <c r="K246" s="631">
        <v>0</v>
      </c>
      <c r="L246" s="612"/>
      <c r="N246" s="614"/>
      <c r="O246" s="614"/>
      <c r="P246" s="614"/>
    </row>
    <row r="247" spans="1:22" outlineLevel="1">
      <c r="D247" s="613"/>
      <c r="E247" s="614"/>
      <c r="F247" s="614"/>
      <c r="G247" s="612"/>
      <c r="I247" s="613"/>
      <c r="J247" s="614"/>
      <c r="K247" s="614"/>
      <c r="L247" s="612"/>
      <c r="N247" s="614"/>
      <c r="O247" s="614"/>
      <c r="P247" s="614"/>
    </row>
    <row r="248" spans="1:22" outlineLevel="1">
      <c r="D248" s="613"/>
      <c r="E248" s="614"/>
      <c r="F248" s="614"/>
      <c r="G248" s="612"/>
      <c r="I248" s="613"/>
      <c r="J248" s="614"/>
      <c r="K248" s="614"/>
      <c r="L248" s="612"/>
      <c r="N248" s="614"/>
      <c r="O248" s="622"/>
      <c r="P248" s="614"/>
    </row>
    <row r="249" spans="1:22" outlineLevel="1">
      <c r="A249" t="s">
        <v>961</v>
      </c>
      <c r="B249" t="s">
        <v>959</v>
      </c>
      <c r="D249" s="615">
        <v>0</v>
      </c>
      <c r="E249" s="614"/>
      <c r="F249" s="614">
        <v>0</v>
      </c>
      <c r="G249" s="612"/>
      <c r="I249" s="613">
        <v>0</v>
      </c>
      <c r="J249" s="614"/>
      <c r="K249" s="614">
        <v>0</v>
      </c>
      <c r="L249" s="612"/>
      <c r="N249" s="631"/>
      <c r="O249" s="614"/>
      <c r="P249" s="631"/>
    </row>
    <row r="250" spans="1:22" outlineLevel="1">
      <c r="B250" t="s">
        <v>962</v>
      </c>
      <c r="C250" s="632">
        <v>0</v>
      </c>
      <c r="D250" s="615">
        <v>0</v>
      </c>
      <c r="E250" s="622"/>
      <c r="F250" s="614">
        <v>0</v>
      </c>
      <c r="G250" s="612"/>
      <c r="I250" s="613">
        <v>0</v>
      </c>
      <c r="J250" s="622"/>
      <c r="K250" s="614">
        <v>0</v>
      </c>
      <c r="L250" s="612"/>
      <c r="N250" s="614"/>
      <c r="O250" s="614"/>
      <c r="P250" s="614"/>
    </row>
    <row r="251" spans="1:22" outlineLevel="1">
      <c r="D251" s="629">
        <v>0</v>
      </c>
      <c r="E251" s="614"/>
      <c r="F251" s="631">
        <v>0</v>
      </c>
      <c r="G251" s="612"/>
      <c r="I251" s="629">
        <v>0</v>
      </c>
      <c r="J251" s="614"/>
      <c r="K251" s="631">
        <v>0</v>
      </c>
      <c r="L251" s="612"/>
      <c r="N251" s="652"/>
      <c r="O251" s="614"/>
      <c r="P251" s="652"/>
    </row>
    <row r="252" spans="1:22" outlineLevel="1">
      <c r="D252" s="613"/>
      <c r="E252" s="614"/>
      <c r="F252" s="614"/>
      <c r="G252" s="612"/>
      <c r="I252" s="613"/>
      <c r="J252" s="614"/>
      <c r="K252" s="614"/>
      <c r="L252" s="612"/>
      <c r="N252" s="631"/>
      <c r="O252" s="614"/>
      <c r="P252" s="631"/>
    </row>
    <row r="253" spans="1:22" outlineLevel="1">
      <c r="B253" t="s">
        <v>971</v>
      </c>
      <c r="D253" s="615">
        <v>313</v>
      </c>
      <c r="E253" s="614"/>
      <c r="F253" s="642">
        <v>327</v>
      </c>
      <c r="G253" s="612"/>
      <c r="I253" s="615">
        <v>313</v>
      </c>
      <c r="J253" s="614"/>
      <c r="K253" s="642">
        <v>327</v>
      </c>
      <c r="L253" s="612"/>
      <c r="N253" s="631"/>
      <c r="O253" s="614"/>
      <c r="P253" s="631"/>
    </row>
    <row r="254" spans="1:22" ht="17.25" outlineLevel="1">
      <c r="D254" s="629">
        <v>313</v>
      </c>
      <c r="E254" s="614"/>
      <c r="F254" s="631">
        <v>327</v>
      </c>
      <c r="G254" s="612">
        <v>4.472843450479233E-2</v>
      </c>
      <c r="I254" s="629">
        <v>313</v>
      </c>
      <c r="J254" s="614"/>
      <c r="K254" s="631">
        <v>327</v>
      </c>
      <c r="L254" s="612">
        <v>4.472843450479233E-2</v>
      </c>
      <c r="N254" s="634"/>
      <c r="O254" s="614"/>
      <c r="P254" s="634"/>
      <c r="Q254" s="653"/>
    </row>
    <row r="255" spans="1:22" outlineLevel="1">
      <c r="D255" s="629"/>
      <c r="E255" s="614"/>
      <c r="F255" s="631"/>
      <c r="G255" s="612"/>
      <c r="I255" s="629"/>
      <c r="J255" s="614"/>
      <c r="K255" s="631"/>
      <c r="L255" s="612"/>
      <c r="N255" s="614"/>
      <c r="O255" s="614"/>
      <c r="P255" s="614"/>
      <c r="Q255" s="614"/>
    </row>
    <row r="256" spans="1:22" ht="17.25" outlineLevel="1">
      <c r="A256" t="s">
        <v>964</v>
      </c>
      <c r="D256" s="633">
        <v>2614.9972348177225</v>
      </c>
      <c r="E256" s="614"/>
      <c r="F256" s="634">
        <v>2753.5512432968285</v>
      </c>
      <c r="G256" s="636">
        <v>5.2984380493528063E-2</v>
      </c>
      <c r="I256" s="633">
        <v>2523.1140973401602</v>
      </c>
      <c r="J256" s="614"/>
      <c r="K256" s="634">
        <v>2581.5579550064322</v>
      </c>
      <c r="L256" s="636">
        <v>2.3163382792669905E-2</v>
      </c>
      <c r="M256" s="602"/>
    </row>
    <row r="257" spans="1:17" outlineLevel="1">
      <c r="D257" s="637"/>
      <c r="E257" s="638"/>
      <c r="F257" s="638"/>
      <c r="G257" s="639">
        <v>138.55400847910596</v>
      </c>
      <c r="I257" s="640"/>
      <c r="J257" s="641"/>
      <c r="K257" s="641"/>
      <c r="L257" s="639">
        <v>58.443857666271924</v>
      </c>
      <c r="M257" s="602"/>
      <c r="N257" s="602"/>
      <c r="O257" s="602"/>
      <c r="P257" s="602"/>
      <c r="Q257" s="602"/>
    </row>
    <row r="258" spans="1:17" outlineLevel="1">
      <c r="M258" s="603"/>
      <c r="N258" s="602"/>
      <c r="O258" s="602"/>
      <c r="P258" s="602"/>
      <c r="Q258" s="602"/>
    </row>
    <row r="259" spans="1:17" outlineLevel="1">
      <c r="B259" s="601"/>
      <c r="C259" s="601"/>
      <c r="D259" s="602"/>
      <c r="E259" s="601"/>
      <c r="F259" s="602"/>
      <c r="G259" s="602"/>
      <c r="H259" s="602"/>
      <c r="I259" s="602"/>
      <c r="J259" s="602"/>
      <c r="K259" s="602"/>
      <c r="L259" s="602"/>
      <c r="M259" s="535"/>
      <c r="N259" s="602"/>
      <c r="O259" s="602"/>
      <c r="P259" s="602"/>
      <c r="Q259" s="602"/>
    </row>
    <row r="260" spans="1:17" ht="17.649999999999999" outlineLevel="1">
      <c r="A260" s="600" t="s">
        <v>982</v>
      </c>
      <c r="B260" s="601"/>
      <c r="C260" s="601"/>
      <c r="D260" s="602"/>
      <c r="E260" s="601"/>
      <c r="F260" s="602"/>
      <c r="G260" s="602"/>
      <c r="H260" s="602"/>
      <c r="I260" s="602"/>
      <c r="J260" s="602"/>
      <c r="K260" s="602"/>
      <c r="L260" s="602"/>
      <c r="N260" s="602"/>
      <c r="O260" s="602"/>
      <c r="P260" s="602"/>
      <c r="Q260" s="602"/>
    </row>
    <row r="261" spans="1:17">
      <c r="D261" s="603" t="s">
        <v>940</v>
      </c>
      <c r="E261" s="603"/>
      <c r="F261">
        <v>1</v>
      </c>
      <c r="G261" s="603"/>
      <c r="H261" s="603"/>
      <c r="I261" s="603" t="s">
        <v>941</v>
      </c>
      <c r="J261" s="603"/>
      <c r="K261">
        <v>1</v>
      </c>
      <c r="L261" s="603"/>
      <c r="M261" s="603"/>
      <c r="N261" s="603" t="s">
        <v>942</v>
      </c>
      <c r="P261">
        <v>1</v>
      </c>
    </row>
    <row r="262" spans="1:17" outlineLevel="1">
      <c r="B262" s="1"/>
      <c r="D262" s="646" t="s">
        <v>943</v>
      </c>
      <c r="E262" s="604"/>
      <c r="F262" s="604" t="s">
        <v>944</v>
      </c>
      <c r="G262" s="647" t="s">
        <v>945</v>
      </c>
      <c r="H262" s="535"/>
      <c r="I262" s="646" t="s">
        <v>943</v>
      </c>
      <c r="J262" s="604"/>
      <c r="K262" s="604" t="s">
        <v>944</v>
      </c>
      <c r="L262" s="647" t="s">
        <v>945</v>
      </c>
      <c r="N262" s="646" t="s">
        <v>943</v>
      </c>
      <c r="O262" s="604"/>
      <c r="P262" s="604" t="s">
        <v>944</v>
      </c>
      <c r="Q262" s="647" t="s">
        <v>945</v>
      </c>
    </row>
    <row r="263" spans="1:17" outlineLevel="1">
      <c r="B263" s="1"/>
      <c r="D263" s="608"/>
      <c r="G263" s="609"/>
      <c r="I263" s="608"/>
      <c r="L263" s="609"/>
      <c r="N263" s="608"/>
      <c r="Q263" s="609"/>
    </row>
    <row r="264" spans="1:17" outlineLevel="1">
      <c r="A264" t="s">
        <v>946</v>
      </c>
      <c r="D264" s="610">
        <v>700000</v>
      </c>
      <c r="E264" s="611"/>
      <c r="F264" s="611">
        <v>700000</v>
      </c>
      <c r="G264" s="612">
        <v>0</v>
      </c>
      <c r="H264" s="536"/>
      <c r="I264" s="610">
        <v>550000</v>
      </c>
      <c r="J264" s="611"/>
      <c r="K264" s="611">
        <v>550000</v>
      </c>
      <c r="L264" s="612">
        <v>0</v>
      </c>
      <c r="N264" s="610">
        <v>720000</v>
      </c>
      <c r="O264" s="611"/>
      <c r="P264" s="611">
        <v>720000</v>
      </c>
      <c r="Q264" s="612">
        <v>0</v>
      </c>
    </row>
    <row r="265" spans="1:17" outlineLevel="1">
      <c r="D265" s="613"/>
      <c r="E265" s="614"/>
      <c r="F265" s="614"/>
      <c r="G265" s="609"/>
      <c r="I265" s="613"/>
      <c r="J265" s="614"/>
      <c r="K265" s="614"/>
      <c r="L265" s="609"/>
      <c r="N265" s="613"/>
      <c r="O265" s="614"/>
      <c r="P265" s="614"/>
      <c r="Q265" s="609"/>
    </row>
    <row r="266" spans="1:17">
      <c r="A266" t="s">
        <v>947</v>
      </c>
      <c r="D266" s="615">
        <v>65</v>
      </c>
      <c r="E266" s="614"/>
      <c r="F266" s="642">
        <v>77</v>
      </c>
      <c r="G266" s="617"/>
      <c r="I266" s="615">
        <v>65</v>
      </c>
      <c r="J266" s="614"/>
      <c r="K266" s="642">
        <v>77</v>
      </c>
      <c r="L266" s="617"/>
      <c r="N266" s="615">
        <v>65</v>
      </c>
      <c r="O266" s="614"/>
      <c r="P266" s="642">
        <v>77</v>
      </c>
      <c r="Q266" s="612"/>
    </row>
    <row r="267" spans="1:17">
      <c r="A267" s="619" t="s">
        <v>948</v>
      </c>
      <c r="C267" s="620"/>
      <c r="D267" s="615">
        <v>387</v>
      </c>
      <c r="E267" s="621"/>
      <c r="F267" s="642">
        <v>410</v>
      </c>
      <c r="G267" s="617"/>
      <c r="I267" s="615">
        <v>387</v>
      </c>
      <c r="J267" s="621"/>
      <c r="K267" s="642">
        <v>410</v>
      </c>
      <c r="L267" s="617"/>
      <c r="N267" s="615">
        <v>387</v>
      </c>
      <c r="O267" s="621"/>
      <c r="P267" s="642">
        <v>410</v>
      </c>
      <c r="Q267" s="612"/>
    </row>
    <row r="268" spans="1:17">
      <c r="A268" s="619" t="s">
        <v>966</v>
      </c>
      <c r="C268" s="620"/>
      <c r="D268" s="615">
        <v>234.81268615342483</v>
      </c>
      <c r="E268" s="621"/>
      <c r="F268" s="616">
        <v>221.39141601324803</v>
      </c>
      <c r="G268" s="617"/>
      <c r="I268" s="618">
        <v>234.81268615342483</v>
      </c>
      <c r="J268" s="621"/>
      <c r="K268" s="616">
        <v>221.39141601324803</v>
      </c>
      <c r="L268" s="617"/>
      <c r="N268" s="618">
        <v>234.81268615342483</v>
      </c>
      <c r="O268" s="621"/>
      <c r="P268" s="616">
        <v>221.39141601324803</v>
      </c>
      <c r="Q268" s="612"/>
    </row>
    <row r="269" spans="1:17" outlineLevel="1">
      <c r="A269" t="s">
        <v>983</v>
      </c>
      <c r="C269" s="620"/>
      <c r="D269" s="615">
        <v>136</v>
      </c>
      <c r="E269" s="622"/>
      <c r="F269" s="642">
        <v>115</v>
      </c>
      <c r="G269" s="612"/>
      <c r="I269" s="615">
        <v>190</v>
      </c>
      <c r="J269" s="622"/>
      <c r="K269" s="657">
        <v>160</v>
      </c>
      <c r="L269" s="612"/>
      <c r="N269" s="615">
        <v>136</v>
      </c>
      <c r="O269" s="622"/>
      <c r="P269" s="642">
        <v>115</v>
      </c>
      <c r="Q269" s="612"/>
    </row>
    <row r="270" spans="1:17" outlineLevel="1">
      <c r="A270" t="s">
        <v>951</v>
      </c>
      <c r="C270" s="620"/>
      <c r="D270" s="615">
        <v>17.967963255150483</v>
      </c>
      <c r="E270" s="622"/>
      <c r="F270" s="642">
        <v>20.84213856684233</v>
      </c>
      <c r="G270" s="612"/>
      <c r="I270" s="615">
        <v>14.117685414761093</v>
      </c>
      <c r="J270" s="622"/>
      <c r="K270" s="642">
        <v>16.375966016804689</v>
      </c>
      <c r="L270" s="612"/>
      <c r="N270" s="615">
        <v>18.481333633869067</v>
      </c>
      <c r="O270" s="622"/>
      <c r="P270" s="642">
        <v>21.437628240180683</v>
      </c>
      <c r="Q270" s="612"/>
    </row>
    <row r="271" spans="1:17">
      <c r="A271" s="619" t="s">
        <v>984</v>
      </c>
      <c r="C271" s="620"/>
      <c r="D271" s="615">
        <v>176.87421757126924</v>
      </c>
      <c r="E271" s="622"/>
      <c r="F271" s="642">
        <v>166.73812900014855</v>
      </c>
      <c r="G271" s="612"/>
      <c r="I271" s="615">
        <v>138.97259952028298</v>
      </c>
      <c r="J271" s="622"/>
      <c r="K271" s="642">
        <v>131.00852992868815</v>
      </c>
      <c r="L271" s="612"/>
      <c r="N271" s="615">
        <v>181.92776664473405</v>
      </c>
      <c r="O271" s="622"/>
      <c r="P271" s="642">
        <v>171.50207554300994</v>
      </c>
      <c r="Q271" s="612"/>
    </row>
    <row r="272" spans="1:17">
      <c r="A272" s="619" t="s">
        <v>953</v>
      </c>
      <c r="C272" s="620"/>
      <c r="D272" s="615">
        <v>94.283521094125589</v>
      </c>
      <c r="E272" s="622"/>
      <c r="F272" s="642">
        <v>109.31095743700506</v>
      </c>
      <c r="G272" s="612"/>
      <c r="I272" s="615">
        <v>74.079909431098685</v>
      </c>
      <c r="J272" s="622"/>
      <c r="K272" s="642">
        <v>85.887180843361122</v>
      </c>
      <c r="L272" s="612"/>
      <c r="N272" s="615">
        <v>96.977335982529169</v>
      </c>
      <c r="O272" s="622"/>
      <c r="P272" s="642">
        <v>112.43412764949092</v>
      </c>
      <c r="Q272" s="612"/>
    </row>
    <row r="273" spans="1:22">
      <c r="A273" s="619" t="s">
        <v>954</v>
      </c>
      <c r="C273" s="620"/>
      <c r="D273" s="615">
        <v>161.803972073072</v>
      </c>
      <c r="E273" s="622"/>
      <c r="F273" s="642">
        <v>157.17908906711804</v>
      </c>
      <c r="G273" s="612"/>
      <c r="I273" s="615">
        <v>127.13169234312801</v>
      </c>
      <c r="J273" s="622"/>
      <c r="K273" s="642">
        <v>123.49785569559273</v>
      </c>
      <c r="L273" s="612"/>
      <c r="N273" s="615">
        <v>166.42694270373121</v>
      </c>
      <c r="O273" s="622"/>
      <c r="P273" s="642">
        <v>161.66992018332141</v>
      </c>
      <c r="Q273" s="612"/>
    </row>
    <row r="274" spans="1:22" outlineLevel="1">
      <c r="A274" t="s">
        <v>967</v>
      </c>
      <c r="C274" s="620"/>
      <c r="D274" s="615">
        <v>189.12254099165077</v>
      </c>
      <c r="E274" s="622"/>
      <c r="F274" s="642">
        <v>238.10578811200821</v>
      </c>
      <c r="G274" s="612"/>
      <c r="I274" s="615">
        <v>260.1910521384608</v>
      </c>
      <c r="J274" s="622"/>
      <c r="K274" s="642">
        <v>276.03673439116619</v>
      </c>
      <c r="L274" s="612"/>
      <c r="N274" s="615">
        <v>194.52604216284078</v>
      </c>
      <c r="O274" s="622"/>
      <c r="P274" s="642">
        <v>244.90881062949416</v>
      </c>
      <c r="Q274" s="612"/>
    </row>
    <row r="275" spans="1:22" outlineLevel="1">
      <c r="A275" t="s">
        <v>968</v>
      </c>
      <c r="C275" s="620"/>
      <c r="D275" s="615">
        <v>89.029525139457093</v>
      </c>
      <c r="E275" s="622"/>
      <c r="F275" s="642">
        <v>100.17036501757802</v>
      </c>
      <c r="G275" s="612"/>
      <c r="I275" s="615">
        <v>87.034781489843269</v>
      </c>
      <c r="J275" s="622"/>
      <c r="K275" s="642">
        <v>96.743084129640678</v>
      </c>
      <c r="L275" s="612"/>
      <c r="N275" s="615">
        <v>91.573225857727294</v>
      </c>
      <c r="O275" s="622"/>
      <c r="P275" s="642">
        <v>103.03237544665168</v>
      </c>
      <c r="Q275" s="612"/>
    </row>
    <row r="276" spans="1:22" outlineLevel="1">
      <c r="C276" s="620"/>
      <c r="D276" s="615"/>
      <c r="E276" s="622"/>
      <c r="F276" s="642"/>
      <c r="G276" s="612"/>
      <c r="I276" s="615"/>
      <c r="J276" s="622"/>
      <c r="K276" s="642"/>
      <c r="L276" s="612"/>
      <c r="N276" s="615"/>
      <c r="O276" s="622"/>
      <c r="P276" s="642"/>
      <c r="Q276" s="612"/>
    </row>
    <row r="277" spans="1:22" outlineLevel="1">
      <c r="A277" t="s">
        <v>970</v>
      </c>
      <c r="C277" s="620"/>
      <c r="D277" s="625">
        <v>1551.8944262781499</v>
      </c>
      <c r="E277" s="614"/>
      <c r="F277" s="651">
        <v>1615.7378832139482</v>
      </c>
      <c r="G277" s="612">
        <v>4.1139046480701408E-2</v>
      </c>
      <c r="I277" s="625">
        <v>1578.3404064909996</v>
      </c>
      <c r="J277" s="614"/>
      <c r="K277" s="651">
        <v>1597.9407670185017</v>
      </c>
      <c r="L277" s="612">
        <v>1.241833539006836E-2</v>
      </c>
      <c r="N277" s="625">
        <v>1572.7253331388565</v>
      </c>
      <c r="O277" s="614"/>
      <c r="P277" s="651">
        <v>1638.3763537053969</v>
      </c>
      <c r="Q277" s="612">
        <v>4.1743474962353172E-2</v>
      </c>
      <c r="T277" s="658"/>
      <c r="V277" s="659"/>
    </row>
    <row r="278" spans="1:22" outlineLevel="1">
      <c r="D278" s="613"/>
      <c r="E278" s="614"/>
      <c r="F278" s="614"/>
      <c r="G278" s="612"/>
      <c r="I278" s="613"/>
      <c r="J278" s="614"/>
      <c r="K278" s="614"/>
      <c r="L278" s="612"/>
      <c r="N278" s="613"/>
      <c r="O278" s="614"/>
      <c r="P278" s="614"/>
      <c r="Q278" s="612"/>
    </row>
    <row r="279" spans="1:22" outlineLevel="1">
      <c r="D279" s="613"/>
      <c r="E279" s="614"/>
      <c r="F279" s="614"/>
      <c r="G279" s="612"/>
      <c r="I279" s="613"/>
      <c r="J279" s="614"/>
      <c r="K279" s="614"/>
      <c r="L279" s="612"/>
      <c r="N279" s="613"/>
      <c r="O279" s="614"/>
      <c r="P279" s="614"/>
      <c r="Q279" s="612"/>
    </row>
    <row r="280" spans="1:22" outlineLevel="1">
      <c r="A280" t="s">
        <v>958</v>
      </c>
      <c r="B280" t="s">
        <v>959</v>
      </c>
      <c r="D280" s="615">
        <v>320</v>
      </c>
      <c r="E280" s="614"/>
      <c r="F280" s="614">
        <v>300</v>
      </c>
      <c r="G280" s="612"/>
      <c r="I280" s="615">
        <v>180</v>
      </c>
      <c r="J280" s="614"/>
      <c r="K280" s="614">
        <v>200</v>
      </c>
      <c r="L280" s="612"/>
      <c r="N280" s="615">
        <v>250</v>
      </c>
      <c r="O280" s="614"/>
      <c r="P280" s="614">
        <v>250</v>
      </c>
      <c r="Q280" s="612"/>
    </row>
    <row r="281" spans="1:22" outlineLevel="1">
      <c r="B281" t="s">
        <v>960</v>
      </c>
      <c r="C281" s="620"/>
      <c r="D281" s="615">
        <v>0</v>
      </c>
      <c r="E281" s="614"/>
      <c r="F281" s="642">
        <v>0</v>
      </c>
      <c r="G281" s="612"/>
      <c r="I281" s="615">
        <v>0</v>
      </c>
      <c r="J281" s="614"/>
      <c r="K281" s="642">
        <v>0</v>
      </c>
      <c r="L281" s="612"/>
      <c r="N281" s="615">
        <v>0</v>
      </c>
      <c r="O281" s="614"/>
      <c r="P281" s="642">
        <v>0</v>
      </c>
      <c r="Q281" s="612"/>
    </row>
    <row r="282" spans="1:22" outlineLevel="1">
      <c r="D282" s="629">
        <v>320</v>
      </c>
      <c r="E282" s="614"/>
      <c r="F282" s="631">
        <v>300</v>
      </c>
      <c r="G282" s="612">
        <v>-6.25E-2</v>
      </c>
      <c r="I282" s="629">
        <v>180</v>
      </c>
      <c r="J282" s="614"/>
      <c r="K282" s="631">
        <v>200</v>
      </c>
      <c r="L282" s="612">
        <v>0.1111111111111111</v>
      </c>
      <c r="N282" s="629">
        <v>250</v>
      </c>
      <c r="O282" s="614"/>
      <c r="P282" s="631">
        <v>250</v>
      </c>
      <c r="Q282" s="612">
        <v>0</v>
      </c>
    </row>
    <row r="283" spans="1:22" outlineLevel="1">
      <c r="D283" s="613"/>
      <c r="E283" s="614"/>
      <c r="F283" s="614"/>
      <c r="G283" s="612"/>
      <c r="I283" s="613"/>
      <c r="J283" s="614"/>
      <c r="K283" s="614"/>
      <c r="L283" s="612"/>
      <c r="N283" s="613"/>
      <c r="O283" s="614"/>
      <c r="P283" s="614"/>
      <c r="Q283" s="612"/>
    </row>
    <row r="284" spans="1:22" outlineLevel="1">
      <c r="D284" s="613"/>
      <c r="E284" s="614"/>
      <c r="F284" s="614"/>
      <c r="G284" s="612"/>
      <c r="I284" s="613"/>
      <c r="J284" s="614"/>
      <c r="K284" s="614"/>
      <c r="L284" s="612"/>
      <c r="N284" s="613"/>
      <c r="O284" s="614"/>
      <c r="P284" s="614"/>
      <c r="Q284" s="612"/>
    </row>
    <row r="285" spans="1:22" outlineLevel="1">
      <c r="A285" t="s">
        <v>961</v>
      </c>
      <c r="B285" t="s">
        <v>959</v>
      </c>
      <c r="D285" s="615">
        <v>332</v>
      </c>
      <c r="E285" s="614"/>
      <c r="F285" s="614">
        <v>347</v>
      </c>
      <c r="G285" s="612"/>
      <c r="I285" s="615">
        <v>324</v>
      </c>
      <c r="J285" s="614"/>
      <c r="K285" s="643">
        <v>326</v>
      </c>
      <c r="L285" s="612"/>
      <c r="N285" s="615">
        <v>345</v>
      </c>
      <c r="O285" s="614"/>
      <c r="P285" s="614">
        <v>347</v>
      </c>
      <c r="Q285" s="612"/>
    </row>
    <row r="286" spans="1:22" outlineLevel="1">
      <c r="B286" t="s">
        <v>962</v>
      </c>
      <c r="C286" s="632">
        <v>0</v>
      </c>
      <c r="D286" s="615">
        <v>0</v>
      </c>
      <c r="E286" s="622"/>
      <c r="F286" s="614">
        <v>0</v>
      </c>
      <c r="G286" s="612"/>
      <c r="I286" s="615">
        <v>0</v>
      </c>
      <c r="J286" s="622"/>
      <c r="K286" s="614">
        <v>0</v>
      </c>
      <c r="L286" s="612"/>
      <c r="N286" s="615">
        <v>0</v>
      </c>
      <c r="O286" s="622"/>
      <c r="P286" s="614">
        <v>0</v>
      </c>
      <c r="Q286" s="612"/>
    </row>
    <row r="287" spans="1:22" outlineLevel="1">
      <c r="D287" s="629">
        <v>332</v>
      </c>
      <c r="E287" s="614"/>
      <c r="F287" s="631">
        <v>347</v>
      </c>
      <c r="G287" s="612">
        <v>4.5180722891566265E-2</v>
      </c>
      <c r="I287" s="629">
        <v>324</v>
      </c>
      <c r="J287" s="614"/>
      <c r="K287" s="631">
        <v>326</v>
      </c>
      <c r="L287" s="612">
        <v>6.1728395061728392E-3</v>
      </c>
      <c r="N287" s="629">
        <v>345</v>
      </c>
      <c r="O287" s="614"/>
      <c r="P287" s="631">
        <v>347</v>
      </c>
      <c r="Q287" s="612">
        <v>5.7971014492753624E-3</v>
      </c>
    </row>
    <row r="288" spans="1:22" outlineLevel="1">
      <c r="D288" s="613"/>
      <c r="E288" s="614"/>
      <c r="F288" s="614"/>
      <c r="G288" s="612"/>
      <c r="I288" s="613"/>
      <c r="J288" s="614"/>
      <c r="K288" s="614"/>
      <c r="L288" s="612"/>
      <c r="N288" s="613"/>
      <c r="O288" s="614"/>
      <c r="P288" s="614"/>
      <c r="Q288" s="612"/>
    </row>
    <row r="289" spans="1:17" outlineLevel="1">
      <c r="B289" t="s">
        <v>971</v>
      </c>
      <c r="D289" s="615">
        <v>148</v>
      </c>
      <c r="E289" s="614"/>
      <c r="F289" s="642">
        <v>150</v>
      </c>
      <c r="G289" s="612"/>
      <c r="I289" s="615">
        <v>148</v>
      </c>
      <c r="J289" s="614"/>
      <c r="K289" s="642">
        <v>150</v>
      </c>
      <c r="L289" s="612"/>
      <c r="N289" s="615">
        <v>148</v>
      </c>
      <c r="O289" s="614"/>
      <c r="P289" s="642">
        <v>150</v>
      </c>
      <c r="Q289" s="612"/>
    </row>
    <row r="290" spans="1:17" outlineLevel="1">
      <c r="D290" s="629">
        <v>148</v>
      </c>
      <c r="E290" s="614"/>
      <c r="F290" s="631">
        <v>150</v>
      </c>
      <c r="G290" s="612"/>
      <c r="I290" s="629">
        <v>148</v>
      </c>
      <c r="J290" s="614"/>
      <c r="K290" s="631">
        <v>150</v>
      </c>
      <c r="L290" s="612"/>
      <c r="N290" s="629">
        <v>148</v>
      </c>
      <c r="O290" s="614"/>
      <c r="P290" s="631">
        <v>150</v>
      </c>
      <c r="Q290" s="612"/>
    </row>
    <row r="291" spans="1:17" outlineLevel="1">
      <c r="D291" s="629"/>
      <c r="E291" s="614"/>
      <c r="F291" s="631"/>
      <c r="G291" s="612"/>
      <c r="I291" s="629"/>
      <c r="J291" s="614"/>
      <c r="K291" s="631"/>
      <c r="L291" s="612"/>
      <c r="N291" s="629"/>
      <c r="O291" s="614"/>
      <c r="P291" s="631"/>
      <c r="Q291" s="612"/>
    </row>
    <row r="292" spans="1:17" ht="17.25" outlineLevel="1">
      <c r="A292" t="s">
        <v>964</v>
      </c>
      <c r="D292" s="633">
        <v>2351.8944262781497</v>
      </c>
      <c r="E292" s="614"/>
      <c r="F292" s="634">
        <v>2412.7378832139484</v>
      </c>
      <c r="G292" s="636">
        <v>2.5869977944580999E-2</v>
      </c>
      <c r="I292" s="633">
        <v>2230.3404064909996</v>
      </c>
      <c r="J292" s="614"/>
      <c r="K292" s="634">
        <v>2273.9407670185019</v>
      </c>
      <c r="L292" s="636">
        <v>1.9548747088386768E-2</v>
      </c>
      <c r="M292" s="602"/>
      <c r="N292" s="633">
        <v>2315.7253331388565</v>
      </c>
      <c r="O292" s="614"/>
      <c r="P292" s="634">
        <v>2385.3763537053969</v>
      </c>
      <c r="Q292" s="636">
        <v>3.0077410118466742E-2</v>
      </c>
    </row>
    <row r="293" spans="1:17" outlineLevel="1">
      <c r="D293" s="637"/>
      <c r="E293" s="638"/>
      <c r="F293" s="638"/>
      <c r="G293" s="639">
        <v>60.843456935798713</v>
      </c>
      <c r="I293" s="640"/>
      <c r="J293" s="641"/>
      <c r="K293" s="641"/>
      <c r="L293" s="639">
        <v>43.600360527502289</v>
      </c>
      <c r="M293" s="602"/>
      <c r="N293" s="640"/>
      <c r="O293" s="641"/>
      <c r="P293" s="641"/>
      <c r="Q293" s="639">
        <v>69.65102056654041</v>
      </c>
    </row>
    <row r="294" spans="1:17" outlineLevel="1">
      <c r="M294" s="603"/>
    </row>
    <row r="295" spans="1:17" outlineLevel="1">
      <c r="B295" s="601"/>
      <c r="C295" s="601"/>
      <c r="D295" s="602"/>
      <c r="E295" s="601"/>
      <c r="F295" s="602"/>
      <c r="G295" s="602"/>
      <c r="H295" s="602"/>
      <c r="I295" s="602"/>
      <c r="J295" s="602"/>
      <c r="K295" s="602"/>
      <c r="L295" s="602"/>
      <c r="M295" s="535"/>
      <c r="N295" s="602"/>
      <c r="O295" s="602"/>
      <c r="P295" s="602"/>
      <c r="Q295" s="602"/>
    </row>
    <row r="296" spans="1:17" ht="17.649999999999999" outlineLevel="1">
      <c r="A296" s="600" t="s">
        <v>985</v>
      </c>
      <c r="B296" s="601"/>
      <c r="C296" s="601"/>
      <c r="D296" s="602"/>
      <c r="E296" s="601"/>
      <c r="F296" s="602"/>
      <c r="G296" s="602"/>
      <c r="H296" s="602"/>
      <c r="I296" s="602"/>
      <c r="J296" s="602"/>
      <c r="K296" s="602"/>
      <c r="L296" s="602"/>
      <c r="N296" s="602"/>
      <c r="O296" s="602"/>
      <c r="P296" s="602"/>
      <c r="Q296" s="602"/>
    </row>
    <row r="297" spans="1:17">
      <c r="D297" s="603" t="s">
        <v>940</v>
      </c>
      <c r="E297" s="603"/>
      <c r="F297">
        <v>1</v>
      </c>
      <c r="G297" s="603"/>
      <c r="H297" s="603"/>
      <c r="I297" s="603" t="s">
        <v>941</v>
      </c>
      <c r="J297" s="603"/>
      <c r="K297">
        <v>1</v>
      </c>
      <c r="L297" s="603"/>
      <c r="M297" s="603"/>
      <c r="N297" s="603" t="s">
        <v>942</v>
      </c>
      <c r="P297">
        <v>1</v>
      </c>
    </row>
    <row r="298" spans="1:17" outlineLevel="1">
      <c r="B298" s="1"/>
      <c r="D298" s="646" t="s">
        <v>943</v>
      </c>
      <c r="E298" s="604"/>
      <c r="F298" s="604" t="s">
        <v>944</v>
      </c>
      <c r="G298" s="647" t="s">
        <v>945</v>
      </c>
      <c r="H298" s="535"/>
      <c r="I298" s="646" t="s">
        <v>943</v>
      </c>
      <c r="J298" s="604"/>
      <c r="K298" s="604" t="s">
        <v>944</v>
      </c>
      <c r="L298" s="647" t="s">
        <v>945</v>
      </c>
      <c r="N298" s="646" t="s">
        <v>943</v>
      </c>
      <c r="O298" s="604"/>
      <c r="P298" s="604" t="s">
        <v>944</v>
      </c>
      <c r="Q298" s="647" t="s">
        <v>945</v>
      </c>
    </row>
    <row r="299" spans="1:17" outlineLevel="1">
      <c r="B299" s="1"/>
      <c r="D299" s="608"/>
      <c r="G299" s="609"/>
      <c r="I299" s="608"/>
      <c r="L299" s="609"/>
      <c r="N299" s="608"/>
      <c r="Q299" s="609"/>
    </row>
    <row r="300" spans="1:17" outlineLevel="1">
      <c r="A300" t="s">
        <v>946</v>
      </c>
      <c r="D300" s="610">
        <v>1250000</v>
      </c>
      <c r="E300" s="611"/>
      <c r="F300" s="611">
        <v>1250000</v>
      </c>
      <c r="G300" s="612">
        <v>0</v>
      </c>
      <c r="H300" s="536"/>
      <c r="I300" s="610">
        <v>880000</v>
      </c>
      <c r="J300" s="611"/>
      <c r="K300" s="611">
        <v>880000</v>
      </c>
      <c r="L300" s="612">
        <v>0</v>
      </c>
      <c r="N300" s="610">
        <v>900000</v>
      </c>
      <c r="O300" s="611"/>
      <c r="P300" s="611">
        <v>900000</v>
      </c>
      <c r="Q300" s="612">
        <v>0</v>
      </c>
    </row>
    <row r="301" spans="1:17" outlineLevel="1">
      <c r="D301" s="613"/>
      <c r="E301" s="614"/>
      <c r="F301" s="614"/>
      <c r="G301" s="609"/>
      <c r="I301" s="613"/>
      <c r="J301" s="614"/>
      <c r="K301" s="614"/>
      <c r="L301" s="609"/>
      <c r="N301" s="613"/>
      <c r="O301" s="614"/>
      <c r="P301" s="614"/>
      <c r="Q301" s="609"/>
    </row>
    <row r="302" spans="1:17">
      <c r="A302" t="s">
        <v>947</v>
      </c>
      <c r="D302" s="615">
        <v>65</v>
      </c>
      <c r="E302" s="614"/>
      <c r="F302" s="652">
        <v>77</v>
      </c>
      <c r="G302" s="617"/>
      <c r="I302" s="615">
        <v>65</v>
      </c>
      <c r="J302" s="614"/>
      <c r="K302" s="652">
        <v>77</v>
      </c>
      <c r="L302" s="617"/>
      <c r="N302" s="615">
        <v>65</v>
      </c>
      <c r="O302" s="614"/>
      <c r="P302" s="652">
        <v>77</v>
      </c>
      <c r="Q302" s="612"/>
    </row>
    <row r="303" spans="1:17">
      <c r="A303" s="619" t="s">
        <v>948</v>
      </c>
      <c r="C303" s="620"/>
      <c r="D303" s="615">
        <v>387</v>
      </c>
      <c r="E303" s="621"/>
      <c r="F303" s="642">
        <v>410</v>
      </c>
      <c r="G303" s="617"/>
      <c r="I303" s="615">
        <v>387</v>
      </c>
      <c r="J303" s="621"/>
      <c r="K303" s="642">
        <v>410</v>
      </c>
      <c r="L303" s="617"/>
      <c r="N303" s="615">
        <v>387</v>
      </c>
      <c r="O303" s="621"/>
      <c r="P303" s="642">
        <v>410</v>
      </c>
      <c r="Q303" s="612"/>
    </row>
    <row r="304" spans="1:17">
      <c r="A304" s="619" t="s">
        <v>966</v>
      </c>
      <c r="C304" s="620"/>
      <c r="D304" s="615">
        <v>284.53668184484144</v>
      </c>
      <c r="E304" s="621"/>
      <c r="F304" s="616">
        <v>273.73035672648598</v>
      </c>
      <c r="G304" s="617"/>
      <c r="I304" s="618">
        <v>284.53668184484144</v>
      </c>
      <c r="J304" s="621"/>
      <c r="K304" s="616">
        <v>273.73035672648598</v>
      </c>
      <c r="L304" s="617"/>
      <c r="N304" s="618">
        <v>284.53668184484144</v>
      </c>
      <c r="O304" s="621"/>
      <c r="P304" s="616">
        <v>273.73035672648598</v>
      </c>
      <c r="Q304" s="612"/>
    </row>
    <row r="305" spans="1:22" outlineLevel="1">
      <c r="A305" t="s">
        <v>983</v>
      </c>
      <c r="C305" s="620"/>
      <c r="D305" s="615">
        <v>136</v>
      </c>
      <c r="E305" s="622"/>
      <c r="F305" s="642">
        <v>115</v>
      </c>
      <c r="G305" s="612"/>
      <c r="I305" s="615">
        <v>190</v>
      </c>
      <c r="J305" s="622"/>
      <c r="K305" s="657">
        <v>160</v>
      </c>
      <c r="L305" s="612"/>
      <c r="N305" s="615">
        <v>136</v>
      </c>
      <c r="O305" s="622"/>
      <c r="P305" s="642">
        <v>115</v>
      </c>
      <c r="Q305" s="612"/>
    </row>
    <row r="306" spans="1:22" outlineLevel="1">
      <c r="A306" t="s">
        <v>951</v>
      </c>
      <c r="C306" s="620"/>
      <c r="D306" s="615">
        <v>32.085648669911578</v>
      </c>
      <c r="E306" s="622"/>
      <c r="F306" s="642">
        <v>37.218104583647019</v>
      </c>
      <c r="G306" s="612"/>
      <c r="I306" s="615">
        <v>22.588296663617751</v>
      </c>
      <c r="J306" s="622"/>
      <c r="K306" s="642">
        <v>26.201545626887501</v>
      </c>
      <c r="L306" s="612"/>
      <c r="N306" s="615">
        <v>23.101667042336334</v>
      </c>
      <c r="O306" s="622"/>
      <c r="P306" s="642">
        <v>26.797035300225854</v>
      </c>
      <c r="Q306" s="612"/>
    </row>
    <row r="307" spans="1:22">
      <c r="A307" s="619" t="s">
        <v>984</v>
      </c>
      <c r="C307" s="620"/>
      <c r="D307" s="615">
        <v>315.84686347801784</v>
      </c>
      <c r="E307" s="622"/>
      <c r="F307" s="642">
        <v>297.74670265704418</v>
      </c>
      <c r="G307" s="612"/>
      <c r="I307" s="615">
        <v>222.35619188852453</v>
      </c>
      <c r="J307" s="622"/>
      <c r="K307" s="642">
        <v>209.61367867055912</v>
      </c>
      <c r="L307" s="612"/>
      <c r="N307" s="615">
        <v>227.40974170417283</v>
      </c>
      <c r="O307" s="622"/>
      <c r="P307" s="642">
        <v>214.37762591307182</v>
      </c>
      <c r="Q307" s="612"/>
    </row>
    <row r="308" spans="1:22">
      <c r="A308" s="619" t="s">
        <v>953</v>
      </c>
      <c r="C308" s="620"/>
      <c r="D308" s="615">
        <v>168.36343052522432</v>
      </c>
      <c r="E308" s="622"/>
      <c r="F308" s="642">
        <v>195.19813828036621</v>
      </c>
      <c r="G308" s="612"/>
      <c r="I308" s="615">
        <v>118.52785508975791</v>
      </c>
      <c r="J308" s="622"/>
      <c r="K308" s="642">
        <v>137.41948934937781</v>
      </c>
      <c r="L308" s="612"/>
      <c r="N308" s="615">
        <v>121.2216699781615</v>
      </c>
      <c r="O308" s="622"/>
      <c r="P308" s="642">
        <v>140.54265956186367</v>
      </c>
      <c r="Q308" s="612"/>
    </row>
    <row r="309" spans="1:22">
      <c r="A309" s="619" t="s">
        <v>954</v>
      </c>
      <c r="C309" s="620"/>
      <c r="D309" s="615">
        <v>292.54736022140253</v>
      </c>
      <c r="E309" s="622"/>
      <c r="F309" s="642">
        <v>284.18540657224463</v>
      </c>
      <c r="G309" s="612"/>
      <c r="I309" s="615">
        <v>205.95334159586736</v>
      </c>
      <c r="J309" s="622"/>
      <c r="K309" s="642">
        <v>200.06652622686022</v>
      </c>
      <c r="L309" s="612"/>
      <c r="N309" s="615">
        <v>210.63409935940979</v>
      </c>
      <c r="O309" s="622"/>
      <c r="P309" s="642">
        <v>204.61349273201617</v>
      </c>
      <c r="Q309" s="612"/>
    </row>
    <row r="310" spans="1:22" outlineLevel="1">
      <c r="A310" t="s">
        <v>967</v>
      </c>
      <c r="C310" s="620"/>
      <c r="D310" s="615">
        <v>379.9336760992984</v>
      </c>
      <c r="E310" s="622"/>
      <c r="F310" s="642">
        <v>478.3375207607308</v>
      </c>
      <c r="G310" s="612"/>
      <c r="I310" s="615">
        <v>468.3438938492294</v>
      </c>
      <c r="J310" s="622"/>
      <c r="K310" s="642">
        <v>496.86612190409915</v>
      </c>
      <c r="L310" s="612"/>
      <c r="N310" s="615">
        <v>273.55224679149484</v>
      </c>
      <c r="O310" s="622"/>
      <c r="P310" s="642">
        <v>344.40301494772615</v>
      </c>
      <c r="Q310" s="612"/>
    </row>
    <row r="311" spans="1:22" outlineLevel="1">
      <c r="A311" t="s">
        <v>968</v>
      </c>
      <c r="C311" s="620"/>
      <c r="D311" s="615">
        <v>158.98129489188767</v>
      </c>
      <c r="E311" s="622"/>
      <c r="F311" s="642">
        <v>178.87565181710363</v>
      </c>
      <c r="G311" s="612"/>
      <c r="I311" s="615">
        <v>139.25565038374924</v>
      </c>
      <c r="J311" s="622"/>
      <c r="K311" s="642">
        <v>154.78893460742509</v>
      </c>
      <c r="L311" s="612"/>
      <c r="N311" s="615">
        <v>114.46653232215913</v>
      </c>
      <c r="O311" s="622"/>
      <c r="P311" s="642">
        <v>128.79046930831461</v>
      </c>
      <c r="Q311" s="612"/>
    </row>
    <row r="312" spans="1:22" outlineLevel="1">
      <c r="A312" t="s">
        <v>969</v>
      </c>
      <c r="C312" s="620"/>
      <c r="D312" s="615">
        <v>255.62850086697921</v>
      </c>
      <c r="E312" s="622"/>
      <c r="F312" s="642">
        <v>254.99555175841942</v>
      </c>
      <c r="G312" s="612"/>
      <c r="I312" s="615">
        <v>220.41515973160625</v>
      </c>
      <c r="J312" s="622"/>
      <c r="K312" s="642">
        <v>208.03713556962947</v>
      </c>
      <c r="L312" s="612"/>
      <c r="N312" s="615">
        <v>174.31831409281281</v>
      </c>
      <c r="O312" s="622"/>
      <c r="P312" s="642">
        <v>176.18219490910806</v>
      </c>
      <c r="Q312" s="612"/>
      <c r="T312" s="658"/>
      <c r="V312" s="659"/>
    </row>
    <row r="313" spans="1:22" outlineLevel="1">
      <c r="C313" s="620"/>
      <c r="D313" s="615"/>
      <c r="E313" s="622"/>
      <c r="F313" s="642"/>
      <c r="G313" s="612"/>
      <c r="I313" s="615"/>
      <c r="J313" s="622"/>
      <c r="K313" s="642"/>
      <c r="L313" s="612"/>
      <c r="N313" s="615"/>
      <c r="O313" s="622"/>
      <c r="P313" s="642"/>
      <c r="Q313" s="612"/>
    </row>
    <row r="314" spans="1:22" outlineLevel="1">
      <c r="A314" t="s">
        <v>970</v>
      </c>
      <c r="C314" s="620"/>
      <c r="D314" s="625">
        <v>2475.9234565975626</v>
      </c>
      <c r="E314" s="614"/>
      <c r="F314" s="651">
        <v>2602.287433156042</v>
      </c>
      <c r="G314" s="612">
        <v>5.1037109496159458E-2</v>
      </c>
      <c r="H314" s="666"/>
      <c r="I314" s="625">
        <v>2323.9770710471939</v>
      </c>
      <c r="J314" s="614"/>
      <c r="K314" s="651">
        <v>2353.7237886813245</v>
      </c>
      <c r="L314" s="612">
        <v>1.2799918727565853E-2</v>
      </c>
      <c r="N314" s="625">
        <v>2017.2409531353887</v>
      </c>
      <c r="O314" s="614"/>
      <c r="P314" s="651">
        <v>2111.4368493988122</v>
      </c>
      <c r="Q314" s="612">
        <v>4.6695411431646391E-2</v>
      </c>
    </row>
    <row r="315" spans="1:22" outlineLevel="1">
      <c r="D315" s="613"/>
      <c r="E315" s="614"/>
      <c r="F315" s="614"/>
      <c r="G315" s="612"/>
      <c r="H315" s="666"/>
      <c r="I315" s="613"/>
      <c r="J315" s="614"/>
      <c r="K315" s="614"/>
      <c r="L315" s="612"/>
      <c r="N315" s="613"/>
      <c r="O315" s="614"/>
      <c r="P315" s="614"/>
      <c r="Q315" s="612"/>
    </row>
    <row r="316" spans="1:22" outlineLevel="1">
      <c r="D316" s="613"/>
      <c r="E316" s="614"/>
      <c r="F316" s="614"/>
      <c r="G316" s="612"/>
      <c r="H316" s="666"/>
      <c r="I316" s="613"/>
      <c r="J316" s="614"/>
      <c r="K316" s="614"/>
      <c r="L316" s="612"/>
      <c r="N316" s="613"/>
      <c r="O316" s="614"/>
      <c r="P316" s="614"/>
      <c r="Q316" s="612"/>
    </row>
    <row r="317" spans="1:22" outlineLevel="1">
      <c r="A317" t="s">
        <v>958</v>
      </c>
      <c r="B317" t="s">
        <v>959</v>
      </c>
      <c r="D317" s="615">
        <v>320</v>
      </c>
      <c r="E317" s="614"/>
      <c r="F317" s="614">
        <v>300</v>
      </c>
      <c r="G317" s="612"/>
      <c r="H317" s="666"/>
      <c r="I317" s="615">
        <v>180</v>
      </c>
      <c r="J317" s="614"/>
      <c r="K317" s="614">
        <v>200</v>
      </c>
      <c r="L317" s="612"/>
      <c r="N317" s="615">
        <v>250</v>
      </c>
      <c r="O317" s="614"/>
      <c r="P317" s="614">
        <v>250</v>
      </c>
      <c r="Q317" s="612"/>
    </row>
    <row r="318" spans="1:22" outlineLevel="1">
      <c r="B318" t="s">
        <v>960</v>
      </c>
      <c r="C318" s="620"/>
      <c r="D318" s="615">
        <v>239.59483079905672</v>
      </c>
      <c r="E318" s="614"/>
      <c r="F318" s="642">
        <v>230.37886405247826</v>
      </c>
      <c r="G318" s="612"/>
      <c r="H318" s="666"/>
      <c r="I318" s="615">
        <v>172.34408987601824</v>
      </c>
      <c r="J318" s="614"/>
      <c r="K318" s="642">
        <v>199.1126476499183</v>
      </c>
      <c r="L318" s="612"/>
      <c r="N318" s="615">
        <v>264.54558437651417</v>
      </c>
      <c r="O318" s="614"/>
      <c r="P318" s="642">
        <v>241.60475581716588</v>
      </c>
      <c r="Q318" s="612"/>
    </row>
    <row r="319" spans="1:22" outlineLevel="1">
      <c r="D319" s="629">
        <v>559.59483079905669</v>
      </c>
      <c r="E319" s="614"/>
      <c r="F319" s="631">
        <v>530.37886405247832</v>
      </c>
      <c r="G319" s="612">
        <v>-5.2209143363351494E-2</v>
      </c>
      <c r="H319" s="666"/>
      <c r="I319" s="629">
        <v>352.34408987601824</v>
      </c>
      <c r="J319" s="614"/>
      <c r="K319" s="631">
        <v>399.1126476499183</v>
      </c>
      <c r="L319" s="612">
        <v>0.1327354683041706</v>
      </c>
      <c r="N319" s="629">
        <v>514.54558437651417</v>
      </c>
      <c r="O319" s="614"/>
      <c r="P319" s="631">
        <v>491.60475581716588</v>
      </c>
      <c r="Q319" s="612">
        <v>-4.4584637893931557E-2</v>
      </c>
    </row>
    <row r="320" spans="1:22" outlineLevel="1">
      <c r="D320" s="613"/>
      <c r="E320" s="614"/>
      <c r="F320" s="614"/>
      <c r="G320" s="612"/>
      <c r="H320" s="666"/>
      <c r="I320" s="613"/>
      <c r="J320" s="614"/>
      <c r="K320" s="614"/>
      <c r="L320" s="612"/>
      <c r="N320" s="613"/>
      <c r="O320" s="614"/>
      <c r="P320" s="614"/>
      <c r="Q320" s="612"/>
    </row>
    <row r="321" spans="1:17" outlineLevel="1">
      <c r="D321" s="613"/>
      <c r="E321" s="614"/>
      <c r="F321" s="614"/>
      <c r="G321" s="612"/>
      <c r="H321" s="666"/>
      <c r="I321" s="613"/>
      <c r="J321" s="614"/>
      <c r="K321" s="614"/>
      <c r="L321" s="612"/>
      <c r="N321" s="613"/>
      <c r="O321" s="614"/>
      <c r="P321" s="614"/>
      <c r="Q321" s="612"/>
    </row>
    <row r="322" spans="1:17" outlineLevel="1">
      <c r="A322" t="s">
        <v>961</v>
      </c>
      <c r="B322" t="s">
        <v>959</v>
      </c>
      <c r="D322" s="615">
        <v>664</v>
      </c>
      <c r="E322" s="614"/>
      <c r="F322" s="614">
        <v>694</v>
      </c>
      <c r="G322" s="612"/>
      <c r="H322" s="666"/>
      <c r="I322" s="615">
        <v>648</v>
      </c>
      <c r="J322" s="614"/>
      <c r="K322" s="643">
        <v>652</v>
      </c>
      <c r="L322" s="612"/>
      <c r="N322" s="615">
        <v>690</v>
      </c>
      <c r="O322" s="614"/>
      <c r="P322" s="614">
        <v>694</v>
      </c>
      <c r="Q322" s="612"/>
    </row>
    <row r="323" spans="1:17" outlineLevel="1">
      <c r="B323" t="s">
        <v>962</v>
      </c>
      <c r="C323" s="632">
        <v>0</v>
      </c>
      <c r="D323" s="615">
        <v>0</v>
      </c>
      <c r="E323" s="622"/>
      <c r="F323" s="614">
        <v>0</v>
      </c>
      <c r="G323" s="612"/>
      <c r="H323" s="666"/>
      <c r="I323" s="615">
        <v>0</v>
      </c>
      <c r="J323" s="622"/>
      <c r="K323" s="614">
        <v>0</v>
      </c>
      <c r="L323" s="612"/>
      <c r="N323" s="615">
        <v>0</v>
      </c>
      <c r="O323" s="622"/>
      <c r="P323" s="614">
        <v>0</v>
      </c>
      <c r="Q323" s="612"/>
    </row>
    <row r="324" spans="1:17" outlineLevel="1">
      <c r="D324" s="629">
        <v>664</v>
      </c>
      <c r="E324" s="614"/>
      <c r="F324" s="631">
        <v>694</v>
      </c>
      <c r="G324" s="612">
        <v>4.5180722891566265E-2</v>
      </c>
      <c r="H324" s="666"/>
      <c r="I324" s="629">
        <v>648</v>
      </c>
      <c r="J324" s="614"/>
      <c r="K324" s="631">
        <v>652</v>
      </c>
      <c r="L324" s="612">
        <v>6.1728395061728392E-3</v>
      </c>
      <c r="N324" s="629">
        <v>690</v>
      </c>
      <c r="O324" s="614"/>
      <c r="P324" s="631">
        <v>694</v>
      </c>
      <c r="Q324" s="612">
        <v>5.7971014492753624E-3</v>
      </c>
    </row>
    <row r="325" spans="1:17" outlineLevel="1">
      <c r="D325" s="613"/>
      <c r="E325" s="614"/>
      <c r="F325" s="614"/>
      <c r="G325" s="612"/>
      <c r="H325" s="666"/>
      <c r="I325" s="613"/>
      <c r="J325" s="614"/>
      <c r="K325" s="614"/>
      <c r="L325" s="612"/>
      <c r="N325" s="613"/>
      <c r="O325" s="614"/>
      <c r="P325" s="614"/>
      <c r="Q325" s="612"/>
    </row>
    <row r="326" spans="1:17" outlineLevel="1">
      <c r="B326" t="s">
        <v>971</v>
      </c>
      <c r="D326" s="615">
        <v>313</v>
      </c>
      <c r="E326" s="614"/>
      <c r="F326" s="642">
        <v>327</v>
      </c>
      <c r="G326" s="612"/>
      <c r="H326" s="666"/>
      <c r="I326" s="615">
        <v>313</v>
      </c>
      <c r="J326" s="614"/>
      <c r="K326" s="642">
        <v>327</v>
      </c>
      <c r="L326" s="612"/>
      <c r="N326" s="615">
        <v>313</v>
      </c>
      <c r="O326" s="614"/>
      <c r="P326" s="642">
        <v>327</v>
      </c>
      <c r="Q326" s="612"/>
    </row>
    <row r="327" spans="1:17" outlineLevel="1">
      <c r="D327" s="629">
        <v>313</v>
      </c>
      <c r="E327" s="614"/>
      <c r="F327" s="631">
        <v>327</v>
      </c>
      <c r="G327" s="612">
        <v>4.472843450479233E-2</v>
      </c>
      <c r="H327" s="666"/>
      <c r="I327" s="629">
        <v>313</v>
      </c>
      <c r="J327" s="614"/>
      <c r="K327" s="631">
        <v>327</v>
      </c>
      <c r="L327" s="612">
        <v>4.472843450479233E-2</v>
      </c>
      <c r="N327" s="629">
        <v>313</v>
      </c>
      <c r="O327" s="614"/>
      <c r="P327" s="631">
        <v>327</v>
      </c>
      <c r="Q327" s="612">
        <v>4.472843450479233E-2</v>
      </c>
    </row>
    <row r="328" spans="1:17" outlineLevel="1">
      <c r="D328" s="629"/>
      <c r="E328" s="614"/>
      <c r="F328" s="631"/>
      <c r="G328" s="612"/>
      <c r="H328" s="666"/>
      <c r="I328" s="629"/>
      <c r="J328" s="614"/>
      <c r="K328" s="631"/>
      <c r="L328" s="612"/>
      <c r="N328" s="629"/>
      <c r="O328" s="614"/>
      <c r="P328" s="631"/>
      <c r="Q328" s="612"/>
    </row>
    <row r="329" spans="1:17" ht="17.25" outlineLevel="1">
      <c r="A329" t="s">
        <v>964</v>
      </c>
      <c r="D329" s="633">
        <v>4012.5182873966191</v>
      </c>
      <c r="E329" s="614"/>
      <c r="F329" s="634">
        <v>4153.6662972085205</v>
      </c>
      <c r="G329" s="636">
        <v>3.5176913773888437E-2</v>
      </c>
      <c r="H329" s="666"/>
      <c r="I329" s="633">
        <v>3637.3211609232121</v>
      </c>
      <c r="J329" s="614"/>
      <c r="K329" s="634">
        <v>3731.836436331243</v>
      </c>
      <c r="L329" s="636">
        <v>2.5984858423676111E-2</v>
      </c>
      <c r="M329" s="602"/>
      <c r="N329" s="633">
        <v>3534.7865375119027</v>
      </c>
      <c r="O329" s="614"/>
      <c r="P329" s="634">
        <v>3624.0416052159781</v>
      </c>
      <c r="Q329" s="636">
        <v>2.5250483093358457E-2</v>
      </c>
    </row>
    <row r="330" spans="1:17" outlineLevel="1">
      <c r="D330" s="637"/>
      <c r="E330" s="638"/>
      <c r="F330" s="638"/>
      <c r="G330" s="639">
        <v>141.14800981190137</v>
      </c>
      <c r="I330" s="640"/>
      <c r="J330" s="641"/>
      <c r="K330" s="641"/>
      <c r="L330" s="639">
        <v>94.515275408030902</v>
      </c>
      <c r="M330" s="602"/>
      <c r="N330" s="640"/>
      <c r="O330" s="641"/>
      <c r="P330" s="641"/>
      <c r="Q330" s="639">
        <v>89.255067704075373</v>
      </c>
    </row>
    <row r="331" spans="1:17" outlineLevel="1">
      <c r="M331" s="603"/>
    </row>
    <row r="332" spans="1:17" outlineLevel="1">
      <c r="B332" s="601"/>
      <c r="C332" s="601"/>
      <c r="D332" s="602"/>
      <c r="E332" s="601"/>
      <c r="F332" s="602"/>
      <c r="G332" s="602"/>
      <c r="H332" s="602"/>
      <c r="I332" s="602"/>
      <c r="J332" s="602"/>
      <c r="K332" s="602"/>
      <c r="L332" s="602"/>
      <c r="M332" s="535"/>
      <c r="N332" s="602"/>
      <c r="O332" s="602"/>
      <c r="P332" s="602"/>
      <c r="Q332" s="602"/>
    </row>
    <row r="333" spans="1:17" ht="17.649999999999999" outlineLevel="1">
      <c r="A333" s="600" t="s">
        <v>939</v>
      </c>
      <c r="B333" s="601"/>
      <c r="C333" s="601"/>
      <c r="D333" s="602"/>
      <c r="E333" s="601"/>
      <c r="F333" s="602"/>
      <c r="G333" s="602"/>
      <c r="H333" s="602"/>
      <c r="I333" s="602"/>
      <c r="J333" s="602"/>
      <c r="K333" s="602"/>
      <c r="L333" s="602"/>
      <c r="N333" s="602"/>
      <c r="O333" s="602"/>
      <c r="P333" s="602"/>
      <c r="Q333" s="602"/>
    </row>
    <row r="334" spans="1:17" outlineLevel="1">
      <c r="A334" s="602"/>
      <c r="D334" s="603" t="s">
        <v>986</v>
      </c>
      <c r="E334" s="603"/>
      <c r="F334">
        <v>1</v>
      </c>
      <c r="G334" s="603"/>
      <c r="H334" s="603"/>
      <c r="I334" s="603" t="s">
        <v>987</v>
      </c>
      <c r="J334" s="603"/>
      <c r="K334">
        <v>1</v>
      </c>
      <c r="L334" s="603"/>
      <c r="M334" s="536"/>
      <c r="N334" s="603" t="s">
        <v>988</v>
      </c>
      <c r="P334">
        <v>1</v>
      </c>
    </row>
    <row r="335" spans="1:17" outlineLevel="1">
      <c r="B335" s="1"/>
      <c r="D335" s="646" t="s">
        <v>943</v>
      </c>
      <c r="E335" s="604"/>
      <c r="F335" s="604" t="s">
        <v>944</v>
      </c>
      <c r="G335" s="647" t="s">
        <v>945</v>
      </c>
      <c r="H335" s="535"/>
      <c r="I335" s="646" t="s">
        <v>943</v>
      </c>
      <c r="J335" s="604"/>
      <c r="K335" s="604" t="s">
        <v>944</v>
      </c>
      <c r="L335" s="647" t="s">
        <v>945</v>
      </c>
      <c r="N335" s="646" t="s">
        <v>943</v>
      </c>
      <c r="O335" s="604"/>
      <c r="P335" s="604" t="s">
        <v>944</v>
      </c>
      <c r="Q335" s="647" t="s">
        <v>945</v>
      </c>
    </row>
    <row r="336" spans="1:17" outlineLevel="1">
      <c r="B336" s="1"/>
      <c r="D336" s="608"/>
      <c r="G336" s="609"/>
      <c r="I336" s="608"/>
      <c r="L336" s="609"/>
      <c r="N336" s="608"/>
      <c r="Q336" s="609"/>
    </row>
    <row r="337" spans="1:22" outlineLevel="1">
      <c r="A337" t="s">
        <v>946</v>
      </c>
      <c r="D337" s="610">
        <v>700000</v>
      </c>
      <c r="E337" s="611"/>
      <c r="F337" s="611">
        <v>700000</v>
      </c>
      <c r="G337" s="612">
        <v>0</v>
      </c>
      <c r="H337" s="536"/>
      <c r="I337" s="667">
        <v>690000</v>
      </c>
      <c r="J337" s="611"/>
      <c r="K337" s="611">
        <v>690000</v>
      </c>
      <c r="L337" s="612">
        <v>0</v>
      </c>
      <c r="N337" s="610">
        <v>570000</v>
      </c>
      <c r="O337" s="611"/>
      <c r="P337" s="611">
        <v>570000</v>
      </c>
      <c r="Q337" s="612">
        <v>0</v>
      </c>
    </row>
    <row r="338" spans="1:22" outlineLevel="1">
      <c r="D338" s="613"/>
      <c r="E338" s="614"/>
      <c r="F338" s="614"/>
      <c r="G338" s="609"/>
      <c r="I338" s="613"/>
      <c r="J338" s="614"/>
      <c r="K338" s="614"/>
      <c r="L338" s="609"/>
      <c r="N338" s="613"/>
      <c r="O338" s="614"/>
      <c r="P338" s="614"/>
      <c r="Q338" s="609"/>
    </row>
    <row r="339" spans="1:22">
      <c r="A339" t="s">
        <v>947</v>
      </c>
      <c r="D339" s="615">
        <v>65</v>
      </c>
      <c r="E339" s="614"/>
      <c r="F339" s="652">
        <v>77</v>
      </c>
      <c r="G339" s="617"/>
      <c r="I339" s="615">
        <v>65</v>
      </c>
      <c r="J339" s="614"/>
      <c r="K339" s="652">
        <v>77</v>
      </c>
      <c r="L339" s="617"/>
      <c r="N339" s="615">
        <v>65</v>
      </c>
      <c r="O339" s="614"/>
      <c r="P339" s="652">
        <v>77</v>
      </c>
      <c r="Q339" s="612"/>
    </row>
    <row r="340" spans="1:22">
      <c r="A340" s="619" t="s">
        <v>948</v>
      </c>
      <c r="C340" s="620"/>
      <c r="D340" s="615">
        <v>387</v>
      </c>
      <c r="E340" s="621"/>
      <c r="F340" s="642">
        <v>410</v>
      </c>
      <c r="G340" s="617"/>
      <c r="I340" s="615">
        <v>387</v>
      </c>
      <c r="J340" s="621"/>
      <c r="K340" s="642">
        <v>410</v>
      </c>
      <c r="L340" s="617"/>
      <c r="N340" s="615">
        <v>387</v>
      </c>
      <c r="O340" s="621"/>
      <c r="P340" s="642">
        <v>410</v>
      </c>
      <c r="Q340" s="612"/>
    </row>
    <row r="341" spans="1:22">
      <c r="A341" s="619" t="s">
        <v>966</v>
      </c>
      <c r="C341" s="620"/>
      <c r="D341" s="615">
        <v>234.81268615342483</v>
      </c>
      <c r="E341" s="621"/>
      <c r="F341" s="616">
        <v>221.39141601324803</v>
      </c>
      <c r="G341" s="617"/>
      <c r="I341" s="618">
        <v>234.81268615342483</v>
      </c>
      <c r="J341" s="621"/>
      <c r="K341" s="616">
        <v>221.39141601324803</v>
      </c>
      <c r="L341" s="617"/>
      <c r="N341" s="618">
        <v>234.81268615342483</v>
      </c>
      <c r="O341" s="621"/>
      <c r="P341" s="616">
        <v>221.39141601324803</v>
      </c>
      <c r="Q341" s="612"/>
    </row>
    <row r="342" spans="1:22" outlineLevel="1">
      <c r="A342" t="s">
        <v>983</v>
      </c>
      <c r="C342" s="620"/>
      <c r="D342" s="615">
        <v>136</v>
      </c>
      <c r="E342" s="622"/>
      <c r="F342" s="642">
        <v>115</v>
      </c>
      <c r="G342" s="612"/>
      <c r="I342" s="615">
        <v>190</v>
      </c>
      <c r="J342" s="622"/>
      <c r="K342" s="657">
        <v>160</v>
      </c>
      <c r="L342" s="612"/>
      <c r="N342" s="615">
        <v>190</v>
      </c>
      <c r="O342" s="622"/>
      <c r="P342" s="657">
        <v>160</v>
      </c>
      <c r="Q342" s="612"/>
    </row>
    <row r="343" spans="1:22" outlineLevel="1">
      <c r="A343" t="s">
        <v>951</v>
      </c>
      <c r="C343" s="620"/>
      <c r="D343" s="615">
        <v>17.967963255150483</v>
      </c>
      <c r="E343" s="622"/>
      <c r="F343" s="642">
        <v>20.84213856684233</v>
      </c>
      <c r="G343" s="612"/>
      <c r="I343" s="615">
        <v>17.711278065791191</v>
      </c>
      <c r="J343" s="622"/>
      <c r="K343" s="642">
        <v>20.544393730173155</v>
      </c>
      <c r="L343" s="612"/>
      <c r="N343" s="615">
        <v>14.631055793479678</v>
      </c>
      <c r="O343" s="622"/>
      <c r="P343" s="642">
        <v>16.971455690143042</v>
      </c>
      <c r="Q343" s="612"/>
    </row>
    <row r="344" spans="1:22">
      <c r="A344" s="619" t="s">
        <v>984</v>
      </c>
      <c r="C344" s="620"/>
      <c r="D344" s="615">
        <v>176.87424354768999</v>
      </c>
      <c r="E344" s="622"/>
      <c r="F344" s="642">
        <v>166.73815348794474</v>
      </c>
      <c r="G344" s="612"/>
      <c r="I344" s="615">
        <v>174.34746863986584</v>
      </c>
      <c r="J344" s="622"/>
      <c r="K344" s="642">
        <v>164.35617986668839</v>
      </c>
      <c r="L344" s="612"/>
      <c r="N344" s="615">
        <v>144.02616974597612</v>
      </c>
      <c r="O344" s="622"/>
      <c r="P344" s="642">
        <v>135.77249641161217</v>
      </c>
      <c r="Q344" s="612"/>
    </row>
    <row r="345" spans="1:22">
      <c r="A345" s="619" t="s">
        <v>953</v>
      </c>
      <c r="C345" s="620"/>
      <c r="D345" s="615">
        <v>94.283521094125604</v>
      </c>
      <c r="E345" s="622"/>
      <c r="F345" s="642">
        <v>109.31095743700509</v>
      </c>
      <c r="G345" s="612"/>
      <c r="I345" s="615">
        <v>92.936613649923814</v>
      </c>
      <c r="J345" s="622"/>
      <c r="K345" s="642">
        <v>107.74937233076216</v>
      </c>
      <c r="L345" s="612"/>
      <c r="N345" s="615">
        <v>76.773724319502278</v>
      </c>
      <c r="O345" s="622"/>
      <c r="P345" s="642">
        <v>89.010351055846996</v>
      </c>
      <c r="Q345" s="612"/>
    </row>
    <row r="346" spans="1:22">
      <c r="A346" s="619" t="s">
        <v>954</v>
      </c>
      <c r="C346" s="620"/>
      <c r="D346" s="615">
        <v>161.803972073072</v>
      </c>
      <c r="E346" s="622"/>
      <c r="F346" s="642">
        <v>157.17908906711804</v>
      </c>
      <c r="G346" s="612"/>
      <c r="I346" s="615">
        <v>159.4924867577424</v>
      </c>
      <c r="J346" s="622"/>
      <c r="K346" s="642">
        <v>154.93367350901636</v>
      </c>
      <c r="L346" s="612"/>
      <c r="N346" s="615">
        <v>131.75466297378722</v>
      </c>
      <c r="O346" s="622"/>
      <c r="P346" s="642">
        <v>127.98868681179611</v>
      </c>
      <c r="Q346" s="612"/>
    </row>
    <row r="347" spans="1:22" outlineLevel="1">
      <c r="A347" t="s">
        <v>967</v>
      </c>
      <c r="C347" s="620"/>
      <c r="D347" s="615">
        <v>126.08169399443385</v>
      </c>
      <c r="E347" s="622"/>
      <c r="F347" s="642">
        <v>158.73719207467212</v>
      </c>
      <c r="G347" s="612"/>
      <c r="I347" s="615">
        <v>217.61433451580359</v>
      </c>
      <c r="J347" s="622"/>
      <c r="K347" s="642">
        <v>230.867086945339</v>
      </c>
      <c r="L347" s="612"/>
      <c r="N347" s="615">
        <v>179.76836329566385</v>
      </c>
      <c r="O347" s="622"/>
      <c r="P347" s="642">
        <v>190.71628921571482</v>
      </c>
      <c r="Q347" s="612"/>
    </row>
    <row r="348" spans="1:22" outlineLevel="1">
      <c r="A348" t="s">
        <v>968</v>
      </c>
      <c r="C348" s="620"/>
      <c r="D348" s="615">
        <v>89.029525139457093</v>
      </c>
      <c r="E348" s="622"/>
      <c r="F348" s="642">
        <v>100.17036501757802</v>
      </c>
      <c r="G348" s="612"/>
      <c r="I348" s="615">
        <v>109.18908950543974</v>
      </c>
      <c r="J348" s="622"/>
      <c r="K348" s="642">
        <v>121.36859645354922</v>
      </c>
      <c r="L348" s="612"/>
      <c r="N348" s="615">
        <v>90.199682634928479</v>
      </c>
      <c r="O348" s="622"/>
      <c r="P348" s="642">
        <v>100.26101446162762</v>
      </c>
      <c r="Q348" s="612"/>
      <c r="T348" s="658"/>
      <c r="V348" s="659"/>
    </row>
    <row r="349" spans="1:22" outlineLevel="1">
      <c r="C349" s="620"/>
      <c r="D349" s="615"/>
      <c r="E349" s="622"/>
      <c r="F349" s="642"/>
      <c r="G349" s="612"/>
      <c r="I349" s="615"/>
      <c r="J349" s="622"/>
      <c r="K349" s="642"/>
      <c r="L349" s="612"/>
      <c r="N349" s="615"/>
      <c r="O349" s="622"/>
      <c r="P349" s="642"/>
      <c r="Q349" s="612"/>
    </row>
    <row r="350" spans="1:22" outlineLevel="1">
      <c r="A350" t="s">
        <v>970</v>
      </c>
      <c r="C350" s="620"/>
      <c r="D350" s="625">
        <v>1488.8536052573536</v>
      </c>
      <c r="E350" s="614"/>
      <c r="F350" s="651">
        <v>1536.3693116644083</v>
      </c>
      <c r="G350" s="612">
        <v>3.1914290457617872E-2</v>
      </c>
      <c r="I350" s="625">
        <v>1648.1039572879915</v>
      </c>
      <c r="J350" s="614"/>
      <c r="K350" s="651">
        <v>1668.2107188487762</v>
      </c>
      <c r="L350" s="612">
        <v>1.2199935247938479E-2</v>
      </c>
      <c r="N350" s="625">
        <v>1513.9663449167624</v>
      </c>
      <c r="O350" s="626"/>
      <c r="P350" s="651">
        <v>1529.1117096599887</v>
      </c>
      <c r="Q350" s="612">
        <v>1.000376579973381E-2</v>
      </c>
    </row>
    <row r="351" spans="1:22" outlineLevel="1">
      <c r="D351" s="613"/>
      <c r="E351" s="614"/>
      <c r="F351" s="614"/>
      <c r="G351" s="612"/>
      <c r="I351" s="613"/>
      <c r="J351" s="614"/>
      <c r="K351" s="614"/>
      <c r="L351" s="612"/>
      <c r="N351" s="613"/>
      <c r="O351" s="614"/>
      <c r="P351" s="614"/>
      <c r="Q351" s="612"/>
    </row>
    <row r="352" spans="1:22" outlineLevel="1">
      <c r="D352" s="613"/>
      <c r="E352" s="614"/>
      <c r="F352" s="614"/>
      <c r="G352" s="612"/>
      <c r="I352" s="613"/>
      <c r="J352" s="614"/>
      <c r="K352" s="614"/>
      <c r="L352" s="612"/>
      <c r="N352" s="613"/>
      <c r="O352" s="614"/>
      <c r="P352" s="614"/>
      <c r="Q352" s="612"/>
    </row>
    <row r="353" spans="1:17" outlineLevel="1">
      <c r="A353" t="s">
        <v>958</v>
      </c>
      <c r="B353" t="s">
        <v>959</v>
      </c>
      <c r="D353" s="615">
        <v>450</v>
      </c>
      <c r="E353" s="614"/>
      <c r="F353" s="614">
        <v>480</v>
      </c>
      <c r="G353" s="612"/>
      <c r="I353" s="615">
        <v>180</v>
      </c>
      <c r="J353" s="614"/>
      <c r="K353" s="614">
        <v>200</v>
      </c>
      <c r="L353" s="612"/>
      <c r="N353" s="615">
        <v>160</v>
      </c>
      <c r="O353" s="614"/>
      <c r="P353" s="614">
        <v>190</v>
      </c>
      <c r="Q353" s="612"/>
    </row>
    <row r="354" spans="1:17" outlineLevel="1">
      <c r="B354" t="s">
        <v>960</v>
      </c>
      <c r="C354" s="620"/>
      <c r="D354" s="615">
        <v>279.64763570764859</v>
      </c>
      <c r="E354" s="614"/>
      <c r="F354" s="642">
        <v>318.42226584405938</v>
      </c>
      <c r="G354" s="612"/>
      <c r="I354" s="615">
        <v>112.61119508944374</v>
      </c>
      <c r="J354" s="614"/>
      <c r="K354" s="642">
        <v>130.10201408943527</v>
      </c>
      <c r="L354" s="612"/>
      <c r="N354" s="615">
        <v>99.137974100403781</v>
      </c>
      <c r="O354" s="614"/>
      <c r="P354" s="642">
        <v>137.03700469399195</v>
      </c>
      <c r="Q354" s="612"/>
    </row>
    <row r="355" spans="1:17" outlineLevel="1">
      <c r="D355" s="629">
        <v>729.64763570764853</v>
      </c>
      <c r="E355" s="614"/>
      <c r="F355" s="631">
        <v>798.42226584405944</v>
      </c>
      <c r="G355" s="612">
        <v>9.4257319246583801E-2</v>
      </c>
      <c r="I355" s="629">
        <v>292.61119508944375</v>
      </c>
      <c r="J355" s="614"/>
      <c r="K355" s="631">
        <v>330.10201408943527</v>
      </c>
      <c r="L355" s="612">
        <v>0.12812503290768329</v>
      </c>
      <c r="N355" s="629">
        <v>259.13797410040377</v>
      </c>
      <c r="O355" s="614"/>
      <c r="P355" s="631">
        <v>327.03700469399195</v>
      </c>
      <c r="Q355" s="612">
        <v>0.26201883698944295</v>
      </c>
    </row>
    <row r="356" spans="1:17" outlineLevel="1">
      <c r="D356" s="613"/>
      <c r="E356" s="614"/>
      <c r="F356" s="614"/>
      <c r="G356" s="612"/>
      <c r="I356" s="613"/>
      <c r="J356" s="614"/>
      <c r="K356" s="614"/>
      <c r="L356" s="612"/>
      <c r="N356" s="613"/>
      <c r="O356" s="614"/>
      <c r="P356" s="614"/>
      <c r="Q356" s="612"/>
    </row>
    <row r="357" spans="1:17" outlineLevel="1">
      <c r="D357" s="613"/>
      <c r="E357" s="614"/>
      <c r="F357" s="614"/>
      <c r="G357" s="612"/>
      <c r="I357" s="613"/>
      <c r="J357" s="614"/>
      <c r="K357" s="614"/>
      <c r="L357" s="612"/>
      <c r="N357" s="613"/>
      <c r="O357" s="614"/>
      <c r="P357" s="614"/>
      <c r="Q357" s="612"/>
    </row>
    <row r="358" spans="1:17" outlineLevel="1">
      <c r="A358" t="s">
        <v>961</v>
      </c>
      <c r="B358" t="s">
        <v>959</v>
      </c>
      <c r="D358" s="615">
        <v>0</v>
      </c>
      <c r="E358" s="614"/>
      <c r="F358" s="614">
        <v>0</v>
      </c>
      <c r="G358" s="612"/>
      <c r="I358" s="615">
        <v>648</v>
      </c>
      <c r="J358" s="614"/>
      <c r="K358" s="614">
        <v>652</v>
      </c>
      <c r="L358" s="612"/>
      <c r="N358" s="615">
        <v>530</v>
      </c>
      <c r="O358" s="614"/>
      <c r="P358" s="614">
        <v>480</v>
      </c>
      <c r="Q358" s="612"/>
    </row>
    <row r="359" spans="1:17" outlineLevel="1">
      <c r="B359" t="s">
        <v>962</v>
      </c>
      <c r="C359" s="632">
        <v>0</v>
      </c>
      <c r="D359" s="615"/>
      <c r="E359" s="622"/>
      <c r="F359" s="614"/>
      <c r="G359" s="612"/>
      <c r="I359" s="615">
        <v>0</v>
      </c>
      <c r="J359" s="622"/>
      <c r="K359" s="614">
        <v>0</v>
      </c>
      <c r="L359" s="612"/>
      <c r="N359" s="615">
        <v>0</v>
      </c>
      <c r="O359" s="622"/>
      <c r="P359" s="614">
        <v>0</v>
      </c>
      <c r="Q359" s="612"/>
    </row>
    <row r="360" spans="1:17" outlineLevel="1">
      <c r="D360" s="629">
        <v>0</v>
      </c>
      <c r="E360" s="614"/>
      <c r="F360" s="631">
        <v>0</v>
      </c>
      <c r="G360" s="668"/>
      <c r="I360" s="629">
        <v>648</v>
      </c>
      <c r="J360" s="614"/>
      <c r="K360" s="631">
        <v>652</v>
      </c>
      <c r="L360" s="612">
        <v>6.1728395061728392E-3</v>
      </c>
      <c r="N360" s="629">
        <v>530</v>
      </c>
      <c r="O360" s="614"/>
      <c r="P360" s="631">
        <v>480</v>
      </c>
      <c r="Q360" s="612">
        <v>-9.4339622641509441E-2</v>
      </c>
    </row>
    <row r="361" spans="1:17" outlineLevel="1">
      <c r="D361" s="613"/>
      <c r="E361" s="614"/>
      <c r="F361" s="614"/>
      <c r="G361" s="612"/>
      <c r="I361" s="613"/>
      <c r="J361" s="614"/>
      <c r="K361" s="614"/>
      <c r="L361" s="612"/>
      <c r="N361" s="613"/>
      <c r="O361" s="614"/>
      <c r="P361" s="614"/>
      <c r="Q361" s="612"/>
    </row>
    <row r="362" spans="1:17" outlineLevel="1">
      <c r="B362" t="s">
        <v>971</v>
      </c>
      <c r="D362" s="615">
        <v>313</v>
      </c>
      <c r="E362" s="614"/>
      <c r="F362" s="642">
        <v>327</v>
      </c>
      <c r="G362" s="612"/>
      <c r="I362" s="615">
        <v>313</v>
      </c>
      <c r="J362" s="614"/>
      <c r="K362" s="642">
        <v>327</v>
      </c>
      <c r="L362" s="612"/>
      <c r="N362" s="615">
        <v>313</v>
      </c>
      <c r="O362" s="614"/>
      <c r="P362" s="642">
        <v>327</v>
      </c>
      <c r="Q362" s="612"/>
    </row>
    <row r="363" spans="1:17" outlineLevel="1">
      <c r="D363" s="629">
        <v>313</v>
      </c>
      <c r="E363" s="614"/>
      <c r="F363" s="631">
        <v>327</v>
      </c>
      <c r="G363" s="612">
        <v>4.472843450479233E-2</v>
      </c>
      <c r="I363" s="629">
        <v>313</v>
      </c>
      <c r="J363" s="614"/>
      <c r="K363" s="631">
        <v>327</v>
      </c>
      <c r="L363" s="612">
        <v>4.472843450479233E-2</v>
      </c>
      <c r="N363" s="629">
        <v>313</v>
      </c>
      <c r="O363" s="614"/>
      <c r="P363" s="631">
        <v>327</v>
      </c>
      <c r="Q363" s="612">
        <v>4.472843450479233E-2</v>
      </c>
    </row>
    <row r="364" spans="1:17" outlineLevel="1">
      <c r="D364" s="629"/>
      <c r="E364" s="614"/>
      <c r="F364" s="631"/>
      <c r="G364" s="612"/>
      <c r="I364" s="629"/>
      <c r="J364" s="614"/>
      <c r="K364" s="631"/>
      <c r="L364" s="612"/>
      <c r="N364" s="629"/>
      <c r="O364" s="614"/>
      <c r="P364" s="631"/>
      <c r="Q364" s="612"/>
    </row>
    <row r="365" spans="1:17" ht="17.25" outlineLevel="1">
      <c r="A365" t="s">
        <v>964</v>
      </c>
      <c r="D365" s="633">
        <v>2531.5012409650021</v>
      </c>
      <c r="E365" s="614"/>
      <c r="F365" s="634">
        <v>2661.7915775084675</v>
      </c>
      <c r="G365" s="636">
        <v>5.1467617094194687E-2</v>
      </c>
      <c r="I365" s="633">
        <v>2901.7151523774355</v>
      </c>
      <c r="J365" s="614"/>
      <c r="K365" s="634">
        <v>2977.3127329382114</v>
      </c>
      <c r="L365" s="636">
        <v>2.6052722817688438E-2</v>
      </c>
      <c r="M365" s="602"/>
      <c r="N365" s="633">
        <v>2616.1043190171663</v>
      </c>
      <c r="O365" s="634"/>
      <c r="P365" s="634">
        <v>2663.1487143539807</v>
      </c>
      <c r="Q365" s="636">
        <v>1.7982614452656212E-2</v>
      </c>
    </row>
    <row r="366" spans="1:17" outlineLevel="1">
      <c r="D366" s="637"/>
      <c r="E366" s="638"/>
      <c r="F366" s="638"/>
      <c r="G366" s="639">
        <v>130.2903365434654</v>
      </c>
      <c r="I366" s="640"/>
      <c r="J366" s="641"/>
      <c r="K366" s="641"/>
      <c r="L366" s="639">
        <v>75.597580560775896</v>
      </c>
      <c r="M366" s="602"/>
      <c r="N366" s="640"/>
      <c r="O366" s="641"/>
      <c r="P366" s="641"/>
      <c r="Q366" s="639">
        <v>47.044395336814432</v>
      </c>
    </row>
    <row r="367" spans="1:17" outlineLevel="1">
      <c r="M367" s="603"/>
    </row>
    <row r="368" spans="1:17" outlineLevel="1">
      <c r="B368" s="601"/>
      <c r="C368" s="601"/>
      <c r="D368" s="602"/>
      <c r="E368" s="601"/>
      <c r="F368" s="602"/>
      <c r="G368" s="602"/>
      <c r="H368" s="602"/>
      <c r="I368" s="602"/>
      <c r="J368" s="602"/>
      <c r="K368" s="602"/>
      <c r="L368" s="602"/>
      <c r="M368" s="535"/>
      <c r="N368" s="602"/>
      <c r="O368" s="602"/>
      <c r="P368" s="602"/>
      <c r="Q368" s="602"/>
    </row>
    <row r="369" spans="1:22" ht="17.649999999999999" outlineLevel="1">
      <c r="A369" s="600" t="s">
        <v>939</v>
      </c>
      <c r="B369" s="601"/>
      <c r="C369" s="601"/>
      <c r="D369" s="602"/>
      <c r="E369" s="601"/>
      <c r="F369" s="602"/>
      <c r="G369" s="602"/>
      <c r="H369" s="602"/>
      <c r="I369" s="602"/>
      <c r="J369" s="602"/>
      <c r="K369" s="602"/>
      <c r="L369" s="602"/>
      <c r="N369" s="602"/>
      <c r="O369" s="602"/>
      <c r="P369" s="602"/>
      <c r="Q369" s="602"/>
    </row>
    <row r="370" spans="1:22" outlineLevel="1">
      <c r="A370" s="602"/>
      <c r="D370" s="603" t="s">
        <v>989</v>
      </c>
      <c r="E370" s="603"/>
      <c r="F370">
        <v>1</v>
      </c>
      <c r="G370" s="603"/>
      <c r="H370" s="603"/>
      <c r="I370" s="603" t="s">
        <v>990</v>
      </c>
      <c r="J370" s="603"/>
      <c r="K370">
        <v>1</v>
      </c>
      <c r="L370" s="603"/>
      <c r="M370" s="536"/>
      <c r="N370" s="603" t="s">
        <v>991</v>
      </c>
      <c r="O370" s="603"/>
      <c r="P370">
        <v>1</v>
      </c>
      <c r="Q370" s="603"/>
    </row>
    <row r="371" spans="1:22" outlineLevel="1">
      <c r="B371" s="1"/>
      <c r="D371" s="646" t="s">
        <v>943</v>
      </c>
      <c r="E371" s="604"/>
      <c r="F371" s="604" t="s">
        <v>944</v>
      </c>
      <c r="G371" s="647" t="s">
        <v>945</v>
      </c>
      <c r="H371" s="535"/>
      <c r="I371" s="646" t="s">
        <v>943</v>
      </c>
      <c r="J371" s="604"/>
      <c r="K371" s="604" t="s">
        <v>944</v>
      </c>
      <c r="L371" s="647" t="s">
        <v>945</v>
      </c>
      <c r="N371" s="646" t="s">
        <v>943</v>
      </c>
      <c r="O371" s="604"/>
      <c r="P371" s="604" t="s">
        <v>944</v>
      </c>
      <c r="Q371" s="647" t="s">
        <v>945</v>
      </c>
    </row>
    <row r="372" spans="1:22" outlineLevel="1">
      <c r="B372" s="1"/>
      <c r="D372" s="608"/>
      <c r="G372" s="609"/>
      <c r="I372" s="608"/>
      <c r="L372" s="609"/>
      <c r="N372" s="608"/>
      <c r="Q372" s="609"/>
    </row>
    <row r="373" spans="1:22" outlineLevel="1">
      <c r="A373" t="s">
        <v>946</v>
      </c>
      <c r="D373" s="610">
        <v>650000</v>
      </c>
      <c r="E373" s="611"/>
      <c r="F373" s="611">
        <v>650000</v>
      </c>
      <c r="G373" s="612">
        <v>0</v>
      </c>
      <c r="H373" s="536"/>
      <c r="I373" s="610">
        <v>860000</v>
      </c>
      <c r="J373" s="611"/>
      <c r="K373" s="611">
        <v>860000</v>
      </c>
      <c r="L373" s="612">
        <v>0</v>
      </c>
      <c r="N373" s="610">
        <v>820000</v>
      </c>
      <c r="O373" s="611"/>
      <c r="P373" s="611">
        <v>820000</v>
      </c>
      <c r="Q373" s="612">
        <v>0</v>
      </c>
    </row>
    <row r="374" spans="1:22" outlineLevel="1">
      <c r="D374" s="613"/>
      <c r="E374" s="614"/>
      <c r="F374" s="614"/>
      <c r="G374" s="609"/>
      <c r="I374" s="613"/>
      <c r="J374" s="614"/>
      <c r="K374" s="614"/>
      <c r="L374" s="609"/>
      <c r="N374" s="613"/>
      <c r="O374" s="614"/>
      <c r="P374" s="614"/>
      <c r="Q374" s="609"/>
    </row>
    <row r="375" spans="1:22">
      <c r="A375" t="s">
        <v>947</v>
      </c>
      <c r="D375" s="615">
        <v>65</v>
      </c>
      <c r="E375" s="614"/>
      <c r="F375" s="652">
        <v>77</v>
      </c>
      <c r="G375" s="617"/>
      <c r="I375" s="615">
        <v>65</v>
      </c>
      <c r="J375" s="614"/>
      <c r="K375" s="652">
        <v>77</v>
      </c>
      <c r="L375" s="617"/>
      <c r="N375" s="615">
        <v>65</v>
      </c>
      <c r="O375" s="614"/>
      <c r="P375" s="652">
        <v>77</v>
      </c>
      <c r="Q375" s="612"/>
    </row>
    <row r="376" spans="1:22">
      <c r="A376" s="619" t="s">
        <v>948</v>
      </c>
      <c r="C376" s="620"/>
      <c r="D376" s="615">
        <v>387</v>
      </c>
      <c r="E376" s="621"/>
      <c r="F376" s="642">
        <v>410</v>
      </c>
      <c r="G376" s="617"/>
      <c r="I376" s="615">
        <v>387</v>
      </c>
      <c r="J376" s="621"/>
      <c r="K376" s="642">
        <v>410</v>
      </c>
      <c r="L376" s="617"/>
      <c r="N376" s="615">
        <v>387</v>
      </c>
      <c r="O376" s="621"/>
      <c r="P376" s="642">
        <v>410</v>
      </c>
      <c r="Q376" s="612"/>
    </row>
    <row r="377" spans="1:22">
      <c r="A377" s="619" t="s">
        <v>966</v>
      </c>
      <c r="C377" s="620"/>
      <c r="D377" s="615">
        <v>234.81268615342483</v>
      </c>
      <c r="E377" s="621"/>
      <c r="F377" s="616">
        <v>221.39141601324803</v>
      </c>
      <c r="G377" s="617"/>
      <c r="I377" s="618">
        <v>234.81268615342483</v>
      </c>
      <c r="J377" s="621"/>
      <c r="K377" s="616">
        <v>221.39141601324803</v>
      </c>
      <c r="L377" s="617"/>
      <c r="N377" s="618">
        <v>234.81268615342483</v>
      </c>
      <c r="O377" s="621"/>
      <c r="P377" s="616">
        <v>221.39141601324803</v>
      </c>
      <c r="Q377" s="612"/>
    </row>
    <row r="378" spans="1:22" outlineLevel="1">
      <c r="A378" t="s">
        <v>983</v>
      </c>
      <c r="C378" s="620"/>
      <c r="D378" s="615">
        <v>136</v>
      </c>
      <c r="E378" s="622"/>
      <c r="F378" s="642">
        <v>115</v>
      </c>
      <c r="G378" s="612"/>
      <c r="I378" s="615">
        <v>136</v>
      </c>
      <c r="J378" s="622"/>
      <c r="K378" s="642">
        <v>115</v>
      </c>
      <c r="L378" s="612"/>
      <c r="N378" s="615">
        <v>136</v>
      </c>
      <c r="O378" s="622"/>
      <c r="P378" s="642">
        <v>115</v>
      </c>
      <c r="Q378" s="612"/>
    </row>
    <row r="379" spans="1:22" outlineLevel="1">
      <c r="A379" t="s">
        <v>951</v>
      </c>
      <c r="C379" s="620"/>
      <c r="D379" s="615">
        <v>16.68453730835402</v>
      </c>
      <c r="E379" s="622"/>
      <c r="F379" s="642">
        <v>19.35341438349645</v>
      </c>
      <c r="G379" s="612"/>
      <c r="I379" s="615">
        <v>22.074926284899163</v>
      </c>
      <c r="J379" s="622"/>
      <c r="K379" s="642">
        <v>25.606055953549149</v>
      </c>
      <c r="L379" s="612"/>
      <c r="N379" s="615">
        <v>21.048185527461992</v>
      </c>
      <c r="O379" s="622"/>
      <c r="P379" s="642">
        <v>24.415076606872447</v>
      </c>
      <c r="Q379" s="612"/>
    </row>
    <row r="380" spans="1:22">
      <c r="A380" s="619" t="s">
        <v>984</v>
      </c>
      <c r="C380" s="620"/>
      <c r="D380" s="615">
        <v>164.24036900856927</v>
      </c>
      <c r="E380" s="622"/>
      <c r="F380" s="642">
        <v>154.82828538166299</v>
      </c>
      <c r="G380" s="612"/>
      <c r="I380" s="615">
        <v>217.30264207287627</v>
      </c>
      <c r="J380" s="622"/>
      <c r="K380" s="642">
        <v>204.8497314280464</v>
      </c>
      <c r="L380" s="612"/>
      <c r="N380" s="615">
        <v>207.19554244157968</v>
      </c>
      <c r="O380" s="622"/>
      <c r="P380" s="642">
        <v>195.321836943021</v>
      </c>
      <c r="Q380" s="612"/>
    </row>
    <row r="381" spans="1:22">
      <c r="A381" s="619" t="s">
        <v>953</v>
      </c>
      <c r="C381" s="620"/>
      <c r="D381" s="615">
        <v>87.54898387311664</v>
      </c>
      <c r="E381" s="622"/>
      <c r="F381" s="642">
        <v>101.50303190579044</v>
      </c>
      <c r="G381" s="612"/>
      <c r="I381" s="615">
        <v>115.83404020135433</v>
      </c>
      <c r="J381" s="622"/>
      <c r="K381" s="642">
        <v>134.29631913689195</v>
      </c>
      <c r="L381" s="612"/>
      <c r="N381" s="615">
        <v>110.44641042454714</v>
      </c>
      <c r="O381" s="622"/>
      <c r="P381" s="642">
        <v>128.04997871192023</v>
      </c>
      <c r="Q381" s="612"/>
    </row>
    <row r="382" spans="1:22">
      <c r="A382" s="619" t="s">
        <v>954</v>
      </c>
      <c r="C382" s="620"/>
      <c r="D382" s="615">
        <v>150.24654549642401</v>
      </c>
      <c r="E382" s="622"/>
      <c r="F382" s="642">
        <v>145.9520112766096</v>
      </c>
      <c r="G382" s="612"/>
      <c r="I382" s="615">
        <v>198.7877371183456</v>
      </c>
      <c r="J382" s="622"/>
      <c r="K382" s="642">
        <v>193.10573799674501</v>
      </c>
      <c r="L382" s="612"/>
      <c r="N382" s="615">
        <v>189.54179585702721</v>
      </c>
      <c r="O382" s="622"/>
      <c r="P382" s="642">
        <v>184.12407576433827</v>
      </c>
      <c r="Q382" s="612"/>
    </row>
    <row r="383" spans="1:22" outlineLevel="1">
      <c r="A383" t="s">
        <v>967</v>
      </c>
      <c r="C383" s="620"/>
      <c r="D383" s="615">
        <v>117.07585870911716</v>
      </c>
      <c r="E383" s="622"/>
      <c r="F383" s="642">
        <v>147.39882121219554</v>
      </c>
      <c r="G383" s="612"/>
      <c r="I383" s="615">
        <v>154.90036690744731</v>
      </c>
      <c r="J383" s="622"/>
      <c r="K383" s="642">
        <v>195.0199788345972</v>
      </c>
      <c r="L383" s="612"/>
      <c r="N383" s="615">
        <v>147.69569867919395</v>
      </c>
      <c r="O383" s="622"/>
      <c r="P383" s="642">
        <v>185.94928214461592</v>
      </c>
      <c r="Q383" s="612"/>
      <c r="T383" s="658"/>
      <c r="V383" s="659"/>
    </row>
    <row r="384" spans="1:22" outlineLevel="1">
      <c r="A384" t="s">
        <v>968</v>
      </c>
      <c r="C384" s="620"/>
      <c r="D384" s="615">
        <v>82.670273343781588</v>
      </c>
      <c r="E384" s="622"/>
      <c r="F384" s="642">
        <v>93.015338944893884</v>
      </c>
      <c r="G384" s="612"/>
      <c r="I384" s="615">
        <v>109.37913088561871</v>
      </c>
      <c r="J384" s="622"/>
      <c r="K384" s="642">
        <v>123.06644845016729</v>
      </c>
      <c r="L384" s="612"/>
      <c r="N384" s="615">
        <v>104.2917294490783</v>
      </c>
      <c r="O384" s="622"/>
      <c r="P384" s="642">
        <v>117.34242759201997</v>
      </c>
      <c r="Q384" s="612"/>
    </row>
    <row r="385" spans="1:18" outlineLevel="1">
      <c r="C385" s="620"/>
      <c r="D385" s="615"/>
      <c r="E385" s="622"/>
      <c r="F385" s="642"/>
      <c r="G385" s="612"/>
      <c r="I385" s="615"/>
      <c r="J385" s="622"/>
      <c r="K385" s="642"/>
      <c r="L385" s="612"/>
      <c r="N385" s="615"/>
      <c r="O385" s="622"/>
      <c r="P385" s="642"/>
      <c r="Q385" s="612"/>
    </row>
    <row r="386" spans="1:18" outlineLevel="1">
      <c r="A386" t="s">
        <v>970</v>
      </c>
      <c r="C386" s="620"/>
      <c r="D386" s="625">
        <v>1441.2792538927877</v>
      </c>
      <c r="E386" s="614"/>
      <c r="F386" s="651">
        <v>1485.4423191178971</v>
      </c>
      <c r="G386" s="612">
        <v>3.0641574216674738E-2</v>
      </c>
      <c r="I386" s="625">
        <v>1641.0915296239662</v>
      </c>
      <c r="J386" s="614"/>
      <c r="K386" s="651">
        <v>1699.3356878132449</v>
      </c>
      <c r="L386" s="612">
        <v>3.549110889788374E-2</v>
      </c>
      <c r="N386" s="625">
        <v>1603.0320485323132</v>
      </c>
      <c r="O386" s="626"/>
      <c r="P386" s="651">
        <v>1658.5940937760356</v>
      </c>
      <c r="Q386" s="612">
        <v>3.4660595397698578E-2</v>
      </c>
    </row>
    <row r="387" spans="1:18" outlineLevel="1">
      <c r="D387" s="613"/>
      <c r="E387" s="614"/>
      <c r="F387" s="614"/>
      <c r="G387" s="612"/>
      <c r="I387" s="613"/>
      <c r="J387" s="614"/>
      <c r="K387" s="614"/>
      <c r="L387" s="612"/>
      <c r="N387" s="613"/>
      <c r="O387" s="614"/>
      <c r="P387" s="614"/>
      <c r="Q387" s="612"/>
    </row>
    <row r="388" spans="1:18" outlineLevel="1">
      <c r="D388" s="613"/>
      <c r="E388" s="614"/>
      <c r="F388" s="614"/>
      <c r="G388" s="612"/>
      <c r="I388" s="613"/>
      <c r="J388" s="614"/>
      <c r="K388" s="614"/>
      <c r="L388" s="612"/>
      <c r="N388" s="613"/>
      <c r="O388" s="614"/>
      <c r="P388" s="614"/>
      <c r="Q388" s="612"/>
    </row>
    <row r="389" spans="1:18" outlineLevel="1">
      <c r="A389" t="s">
        <v>958</v>
      </c>
      <c r="B389" t="s">
        <v>959</v>
      </c>
      <c r="D389" s="615">
        <v>0</v>
      </c>
      <c r="E389" s="614"/>
      <c r="F389" s="614">
        <v>0</v>
      </c>
      <c r="G389" s="612"/>
      <c r="I389" s="615">
        <v>300</v>
      </c>
      <c r="J389" s="614"/>
      <c r="K389" s="614">
        <v>300</v>
      </c>
      <c r="L389" s="612"/>
      <c r="N389" s="615">
        <v>480</v>
      </c>
      <c r="O389" s="614"/>
      <c r="P389" s="614">
        <v>512</v>
      </c>
      <c r="Q389" s="612"/>
    </row>
    <row r="390" spans="1:18" outlineLevel="1">
      <c r="B390" t="s">
        <v>960</v>
      </c>
      <c r="C390" s="620"/>
      <c r="D390" s="615"/>
      <c r="E390" s="614"/>
      <c r="F390" s="642"/>
      <c r="G390" s="612"/>
      <c r="I390" s="615">
        <v>222.72206179704216</v>
      </c>
      <c r="J390" s="614"/>
      <c r="K390" s="642">
        <v>224.27114630642561</v>
      </c>
      <c r="L390" s="612"/>
      <c r="N390" s="615"/>
      <c r="O390" s="614"/>
      <c r="P390" s="642"/>
      <c r="Q390" s="612"/>
    </row>
    <row r="391" spans="1:18" outlineLevel="1">
      <c r="D391" s="629">
        <v>0</v>
      </c>
      <c r="E391" s="614"/>
      <c r="F391" s="631">
        <v>0</v>
      </c>
      <c r="G391" s="612"/>
      <c r="I391" s="629">
        <v>522.72206179704222</v>
      </c>
      <c r="J391" s="614"/>
      <c r="K391" s="631">
        <v>524.27114630642563</v>
      </c>
      <c r="L391" s="612">
        <v>2.963495560256043E-3</v>
      </c>
      <c r="N391" s="629">
        <v>480</v>
      </c>
      <c r="O391" s="631"/>
      <c r="P391" s="631">
        <v>512</v>
      </c>
      <c r="Q391" s="612">
        <v>6.6666666666666666E-2</v>
      </c>
    </row>
    <row r="392" spans="1:18" outlineLevel="1">
      <c r="D392" s="613"/>
      <c r="E392" s="614"/>
      <c r="F392" s="614"/>
      <c r="G392" s="612"/>
      <c r="I392" s="613"/>
      <c r="J392" s="614"/>
      <c r="K392" s="614"/>
      <c r="L392" s="612"/>
      <c r="N392" s="613"/>
      <c r="O392" s="614"/>
      <c r="P392" s="614"/>
      <c r="Q392" s="612"/>
    </row>
    <row r="393" spans="1:18" outlineLevel="1">
      <c r="D393" s="613"/>
      <c r="E393" s="614"/>
      <c r="F393" s="614"/>
      <c r="G393" s="612"/>
      <c r="I393" s="613"/>
      <c r="J393" s="614"/>
      <c r="K393" s="614"/>
      <c r="L393" s="612"/>
      <c r="N393" s="613"/>
      <c r="O393" s="614"/>
      <c r="P393" s="614"/>
      <c r="Q393" s="612"/>
    </row>
    <row r="394" spans="1:18" outlineLevel="1">
      <c r="A394" t="s">
        <v>961</v>
      </c>
      <c r="B394" t="s">
        <v>959</v>
      </c>
      <c r="D394" s="615">
        <v>0</v>
      </c>
      <c r="E394" s="614"/>
      <c r="F394" s="614">
        <v>0</v>
      </c>
      <c r="G394" s="612"/>
      <c r="I394" s="615">
        <v>620</v>
      </c>
      <c r="J394" s="614"/>
      <c r="K394" s="614">
        <v>620</v>
      </c>
      <c r="L394" s="612"/>
      <c r="N394" s="615">
        <v>480</v>
      </c>
      <c r="O394" s="614"/>
      <c r="P394" s="614">
        <v>560</v>
      </c>
      <c r="Q394" s="612">
        <v>0.16666666666666666</v>
      </c>
    </row>
    <row r="395" spans="1:18" outlineLevel="1">
      <c r="B395" t="s">
        <v>962</v>
      </c>
      <c r="C395" s="632">
        <v>0</v>
      </c>
      <c r="D395" s="613"/>
      <c r="E395" s="622"/>
      <c r="F395" s="614"/>
      <c r="G395" s="612"/>
      <c r="I395" s="615">
        <v>0</v>
      </c>
      <c r="J395" s="622"/>
      <c r="K395" s="614">
        <v>0</v>
      </c>
      <c r="L395" s="612"/>
      <c r="N395" s="615">
        <v>0</v>
      </c>
      <c r="O395" s="622"/>
      <c r="P395" s="614">
        <v>0</v>
      </c>
      <c r="Q395" s="612"/>
    </row>
    <row r="396" spans="1:18" outlineLevel="1">
      <c r="D396" s="629">
        <v>0</v>
      </c>
      <c r="E396" s="614"/>
      <c r="F396" s="631">
        <v>0</v>
      </c>
      <c r="G396" s="668"/>
      <c r="I396" s="629">
        <v>620</v>
      </c>
      <c r="J396" s="614"/>
      <c r="K396" s="631">
        <v>620</v>
      </c>
      <c r="L396" s="612">
        <v>0</v>
      </c>
      <c r="N396" s="631">
        <v>480</v>
      </c>
      <c r="O396" s="631"/>
      <c r="P396" s="631">
        <v>560</v>
      </c>
      <c r="Q396" s="668"/>
      <c r="R396" s="614">
        <v>0</v>
      </c>
    </row>
    <row r="397" spans="1:18" outlineLevel="1">
      <c r="D397" s="613"/>
      <c r="E397" s="614"/>
      <c r="F397" s="614"/>
      <c r="G397" s="612"/>
      <c r="I397" s="613"/>
      <c r="J397" s="614"/>
      <c r="K397" s="614"/>
      <c r="L397" s="612"/>
      <c r="N397" s="613"/>
      <c r="O397" s="614"/>
      <c r="P397" s="614"/>
      <c r="Q397" s="612"/>
    </row>
    <row r="398" spans="1:18" outlineLevel="1">
      <c r="B398" t="s">
        <v>971</v>
      </c>
      <c r="D398" s="615">
        <v>313</v>
      </c>
      <c r="E398" s="614"/>
      <c r="F398" s="642">
        <v>327</v>
      </c>
      <c r="G398" s="612"/>
      <c r="I398" s="615">
        <v>313</v>
      </c>
      <c r="J398" s="614"/>
      <c r="K398" s="642">
        <v>327</v>
      </c>
      <c r="L398" s="612"/>
      <c r="N398" s="615">
        <v>313</v>
      </c>
      <c r="O398" s="614"/>
      <c r="P398" s="642">
        <v>327</v>
      </c>
      <c r="Q398" s="612"/>
    </row>
    <row r="399" spans="1:18">
      <c r="D399" s="629">
        <v>313</v>
      </c>
      <c r="E399" s="614"/>
      <c r="F399" s="631">
        <v>327</v>
      </c>
      <c r="G399" s="612">
        <v>4.472843450479233E-2</v>
      </c>
      <c r="I399" s="629">
        <v>313</v>
      </c>
      <c r="J399" s="614"/>
      <c r="K399" s="631">
        <v>327</v>
      </c>
      <c r="L399" s="612">
        <v>4.472843450479233E-2</v>
      </c>
      <c r="N399" s="629">
        <v>313</v>
      </c>
      <c r="O399" s="614"/>
      <c r="P399" s="631">
        <v>327</v>
      </c>
      <c r="Q399" s="612">
        <v>4.472843450479233E-2</v>
      </c>
    </row>
    <row r="400" spans="1:18">
      <c r="D400" s="629"/>
      <c r="E400" s="614"/>
      <c r="F400" s="631"/>
      <c r="G400" s="612"/>
      <c r="I400" s="629"/>
      <c r="J400" s="614"/>
      <c r="K400" s="631"/>
      <c r="L400" s="612"/>
      <c r="N400" s="629"/>
      <c r="O400" s="614"/>
      <c r="P400" s="631"/>
      <c r="Q400" s="612"/>
    </row>
    <row r="401" spans="1:17" ht="17.25">
      <c r="A401" t="s">
        <v>964</v>
      </c>
      <c r="D401" s="633">
        <v>1754.2792538927877</v>
      </c>
      <c r="E401" s="614"/>
      <c r="F401" s="634">
        <v>1812.4423191178971</v>
      </c>
      <c r="G401" s="636">
        <v>3.3154963838308078E-2</v>
      </c>
      <c r="I401" s="633">
        <v>3096.8135914210084</v>
      </c>
      <c r="J401" s="614"/>
      <c r="K401" s="634">
        <v>3170.6068341196706</v>
      </c>
      <c r="L401" s="636">
        <v>2.3828764799757068E-2</v>
      </c>
      <c r="N401" s="633">
        <v>2876.0320485323132</v>
      </c>
      <c r="O401" s="634"/>
      <c r="P401" s="634">
        <v>3057.5940937760356</v>
      </c>
      <c r="Q401" s="636">
        <v>6.3129353977949082E-2</v>
      </c>
    </row>
    <row r="402" spans="1:17">
      <c r="D402" s="637"/>
      <c r="E402" s="638"/>
      <c r="F402" s="638"/>
      <c r="G402" s="639">
        <v>58.163065225109449</v>
      </c>
      <c r="I402" s="637"/>
      <c r="J402" s="638"/>
      <c r="K402" s="638"/>
      <c r="L402" s="639">
        <v>73.793242698662198</v>
      </c>
      <c r="N402" s="637"/>
      <c r="O402" s="638"/>
      <c r="P402" s="638"/>
      <c r="Q402" s="639">
        <v>181.56204524372242</v>
      </c>
    </row>
    <row r="403" spans="1:17">
      <c r="G403" s="614"/>
      <c r="L403" s="614"/>
      <c r="Q403" s="614"/>
    </row>
    <row r="404" spans="1:17">
      <c r="G404" s="614"/>
      <c r="L404" s="614"/>
      <c r="Q404" s="614"/>
    </row>
    <row r="405" spans="1:17" ht="17.649999999999999">
      <c r="A405" s="600" t="s">
        <v>939</v>
      </c>
      <c r="B405" s="601"/>
      <c r="C405" s="601"/>
      <c r="D405" s="602"/>
      <c r="E405" s="601"/>
      <c r="F405" s="602"/>
      <c r="G405" s="602"/>
      <c r="H405" s="602"/>
      <c r="I405" s="602"/>
      <c r="J405" s="602"/>
      <c r="K405" s="602"/>
      <c r="L405" s="602"/>
      <c r="N405" s="602"/>
      <c r="O405" s="602"/>
      <c r="P405" s="602"/>
      <c r="Q405" s="602"/>
    </row>
    <row r="406" spans="1:17">
      <c r="A406" s="602"/>
      <c r="D406" s="603" t="s">
        <v>992</v>
      </c>
      <c r="E406" s="603"/>
      <c r="F406" s="603"/>
      <c r="G406" s="603"/>
      <c r="H406" s="603"/>
      <c r="I406" s="603"/>
      <c r="J406" s="603"/>
      <c r="K406" s="603"/>
      <c r="L406" s="603"/>
      <c r="M406" s="536"/>
      <c r="N406" s="603"/>
      <c r="O406" s="603"/>
      <c r="P406" s="603"/>
      <c r="Q406" s="603"/>
    </row>
    <row r="407" spans="1:17">
      <c r="B407" s="1"/>
      <c r="D407" s="646" t="s">
        <v>943</v>
      </c>
      <c r="E407" s="604"/>
      <c r="F407" s="604" t="s">
        <v>944</v>
      </c>
      <c r="G407" s="647" t="s">
        <v>945</v>
      </c>
      <c r="H407" s="535"/>
      <c r="I407" s="646" t="s">
        <v>943</v>
      </c>
      <c r="J407" s="604"/>
      <c r="K407" s="604" t="s">
        <v>944</v>
      </c>
      <c r="L407" s="647" t="s">
        <v>945</v>
      </c>
      <c r="N407" s="604"/>
      <c r="O407" s="604"/>
      <c r="P407" s="604"/>
      <c r="Q407" s="647"/>
    </row>
    <row r="408" spans="1:17">
      <c r="B408" s="1"/>
      <c r="D408" s="608"/>
      <c r="G408" s="609"/>
      <c r="I408" s="608"/>
      <c r="L408" s="609"/>
      <c r="Q408" s="609"/>
    </row>
    <row r="409" spans="1:17">
      <c r="A409" t="s">
        <v>946</v>
      </c>
      <c r="D409" s="610">
        <v>520000</v>
      </c>
      <c r="E409" s="611"/>
      <c r="F409" s="611">
        <v>520000</v>
      </c>
      <c r="G409" s="612">
        <v>0</v>
      </c>
      <c r="H409" s="536"/>
      <c r="I409" s="610">
        <v>400000</v>
      </c>
      <c r="J409" s="611"/>
      <c r="K409" s="611">
        <v>400000</v>
      </c>
      <c r="L409" s="669"/>
      <c r="N409" s="611"/>
      <c r="O409" s="611"/>
      <c r="P409" s="611"/>
      <c r="Q409" s="669"/>
    </row>
    <row r="410" spans="1:17">
      <c r="D410" s="613"/>
      <c r="E410" s="614"/>
      <c r="F410" s="614"/>
      <c r="G410" s="609"/>
      <c r="I410" s="613"/>
      <c r="J410" s="614"/>
      <c r="K410" s="614"/>
      <c r="L410" s="609"/>
      <c r="N410" s="614"/>
      <c r="O410" s="614"/>
      <c r="P410" s="614"/>
      <c r="Q410" s="609"/>
    </row>
    <row r="411" spans="1:17">
      <c r="A411" t="s">
        <v>947</v>
      </c>
      <c r="D411" s="615">
        <v>65</v>
      </c>
      <c r="E411" s="614"/>
      <c r="F411" s="652">
        <v>77</v>
      </c>
      <c r="G411" s="617"/>
      <c r="I411" s="615">
        <v>65</v>
      </c>
      <c r="J411" s="614"/>
      <c r="K411" s="652">
        <v>77</v>
      </c>
      <c r="L411" s="617"/>
      <c r="N411" s="652"/>
      <c r="O411" s="614"/>
      <c r="P411" s="652"/>
      <c r="Q411" s="612"/>
    </row>
    <row r="412" spans="1:17">
      <c r="A412" s="619" t="s">
        <v>948</v>
      </c>
      <c r="C412" s="620"/>
      <c r="D412" s="615">
        <v>387</v>
      </c>
      <c r="E412" s="621"/>
      <c r="F412" s="642">
        <v>410</v>
      </c>
      <c r="G412" s="617"/>
      <c r="I412" s="615">
        <v>387</v>
      </c>
      <c r="J412" s="621"/>
      <c r="K412" s="642">
        <v>410</v>
      </c>
      <c r="L412" s="617"/>
      <c r="N412" s="648"/>
      <c r="O412" s="622"/>
      <c r="P412" s="648"/>
      <c r="Q412" s="612"/>
    </row>
    <row r="413" spans="1:17">
      <c r="A413" s="619" t="s">
        <v>966</v>
      </c>
      <c r="C413" s="620"/>
      <c r="D413" s="615">
        <v>0</v>
      </c>
      <c r="E413" s="621"/>
      <c r="F413" s="642">
        <v>0</v>
      </c>
      <c r="G413" s="617"/>
      <c r="I413" s="615">
        <v>0</v>
      </c>
      <c r="J413" s="621"/>
      <c r="K413" s="642">
        <v>0</v>
      </c>
      <c r="L413" s="617"/>
      <c r="N413" s="648"/>
      <c r="O413" s="622"/>
      <c r="P413" s="648"/>
      <c r="Q413" s="612"/>
    </row>
    <row r="414" spans="1:17">
      <c r="A414" t="s">
        <v>983</v>
      </c>
      <c r="C414" s="620"/>
      <c r="D414" s="615">
        <v>190</v>
      </c>
      <c r="E414" s="622"/>
      <c r="F414" s="657">
        <v>160</v>
      </c>
      <c r="G414" s="612"/>
      <c r="I414" s="615">
        <v>0</v>
      </c>
      <c r="J414" s="622"/>
      <c r="K414" s="642">
        <v>0</v>
      </c>
      <c r="L414" s="612"/>
      <c r="N414" s="648"/>
      <c r="O414" s="622"/>
      <c r="P414" s="648"/>
      <c r="Q414" s="612"/>
    </row>
    <row r="415" spans="1:17">
      <c r="A415" t="s">
        <v>951</v>
      </c>
      <c r="C415" s="620"/>
      <c r="D415" s="615">
        <v>13.347629846683216</v>
      </c>
      <c r="E415" s="622"/>
      <c r="F415" s="642">
        <v>15.48273150679716</v>
      </c>
      <c r="G415" s="612"/>
      <c r="I415" s="615">
        <v>10.267407574371704</v>
      </c>
      <c r="J415" s="622"/>
      <c r="K415" s="642">
        <v>11.909793466767047</v>
      </c>
      <c r="L415" s="612"/>
      <c r="N415" s="648"/>
      <c r="O415" s="622"/>
      <c r="P415" s="648"/>
      <c r="Q415" s="612"/>
    </row>
    <row r="416" spans="1:17">
      <c r="A416" s="619" t="s">
        <v>984</v>
      </c>
      <c r="C416" s="620"/>
      <c r="D416" s="615">
        <v>131.39229520685541</v>
      </c>
      <c r="E416" s="622"/>
      <c r="F416" s="642">
        <v>123.86262830533039</v>
      </c>
      <c r="G416" s="612"/>
      <c r="I416" s="615">
        <v>101.0709963129657</v>
      </c>
      <c r="J416" s="622"/>
      <c r="K416" s="642">
        <v>95.278944850254149</v>
      </c>
      <c r="L416" s="612"/>
      <c r="N416" s="648"/>
      <c r="O416" s="622"/>
      <c r="P416" s="648"/>
      <c r="Q416" s="612"/>
    </row>
    <row r="417" spans="1:17">
      <c r="A417" s="619" t="s">
        <v>953</v>
      </c>
      <c r="C417" s="620"/>
      <c r="D417" s="615">
        <v>70.039187098493315</v>
      </c>
      <c r="E417" s="622"/>
      <c r="F417" s="642">
        <v>81.202425524632346</v>
      </c>
      <c r="G417" s="612"/>
      <c r="I417" s="615">
        <v>53.87629776807178</v>
      </c>
      <c r="J417" s="622"/>
      <c r="K417" s="642">
        <v>62.463404249717193</v>
      </c>
      <c r="L417" s="612"/>
      <c r="N417" s="648"/>
      <c r="O417" s="622"/>
      <c r="P417" s="648"/>
      <c r="Q417" s="612"/>
    </row>
    <row r="418" spans="1:17">
      <c r="A418" s="619" t="s">
        <v>954</v>
      </c>
      <c r="C418" s="620"/>
      <c r="D418" s="615">
        <v>120.19723639713921</v>
      </c>
      <c r="E418" s="622"/>
      <c r="F418" s="642">
        <v>116.76160902128768</v>
      </c>
      <c r="G418" s="612"/>
      <c r="I418" s="615">
        <v>92.459412613184</v>
      </c>
      <c r="J418" s="622"/>
      <c r="K418" s="642">
        <v>89.816622324067453</v>
      </c>
      <c r="L418" s="612"/>
      <c r="N418" s="648"/>
      <c r="O418" s="622"/>
      <c r="P418" s="648"/>
      <c r="Q418" s="612"/>
    </row>
    <row r="419" spans="1:17">
      <c r="A419" t="s">
        <v>967</v>
      </c>
      <c r="C419" s="620"/>
      <c r="D419" s="615">
        <v>163.9992086206056</v>
      </c>
      <c r="E419" s="622"/>
      <c r="F419" s="642">
        <v>173.98679016170476</v>
      </c>
      <c r="G419" s="612"/>
      <c r="I419" s="615">
        <v>126.15323740046585</v>
      </c>
      <c r="J419" s="622"/>
      <c r="K419" s="642">
        <v>133.83599243208059</v>
      </c>
      <c r="L419" s="612"/>
      <c r="N419" s="648"/>
      <c r="O419" s="622"/>
      <c r="P419" s="648"/>
      <c r="Q419" s="612"/>
    </row>
    <row r="420" spans="1:17">
      <c r="A420" t="s">
        <v>968</v>
      </c>
      <c r="C420" s="620"/>
      <c r="D420" s="615">
        <v>82.287429772215461</v>
      </c>
      <c r="E420" s="622"/>
      <c r="F420" s="642">
        <v>91.466188631660287</v>
      </c>
      <c r="G420" s="612"/>
      <c r="I420" s="615">
        <v>63.298022901704201</v>
      </c>
      <c r="J420" s="622"/>
      <c r="K420" s="642">
        <v>70.358606639738682</v>
      </c>
      <c r="L420" s="612"/>
      <c r="N420" s="614"/>
      <c r="O420" s="614"/>
      <c r="P420" s="614"/>
      <c r="Q420" s="612"/>
    </row>
    <row r="421" spans="1:17">
      <c r="C421" s="620"/>
      <c r="D421" s="670"/>
      <c r="E421" s="622"/>
      <c r="F421" s="648"/>
      <c r="G421" s="612"/>
      <c r="I421" s="670"/>
      <c r="J421" s="622"/>
      <c r="K421" s="648"/>
      <c r="L421" s="612"/>
      <c r="N421" s="614"/>
      <c r="O421" s="614"/>
      <c r="P421" s="614"/>
      <c r="Q421" s="612"/>
    </row>
    <row r="422" spans="1:17">
      <c r="A422" t="s">
        <v>970</v>
      </c>
      <c r="C422" s="620"/>
      <c r="D422" s="671">
        <v>581.26298694199215</v>
      </c>
      <c r="E422" s="614"/>
      <c r="F422" s="626">
        <v>602.7623731514127</v>
      </c>
      <c r="G422" s="612">
        <v>3.6987364914680361E-2</v>
      </c>
      <c r="I422" s="671">
        <v>447.12537457076326</v>
      </c>
      <c r="J422" s="614"/>
      <c r="K422" s="626">
        <v>463.66336396262511</v>
      </c>
      <c r="L422" s="612">
        <v>3.6987364914680125E-2</v>
      </c>
      <c r="N422" s="614"/>
      <c r="O422" s="614"/>
      <c r="P422" s="614"/>
      <c r="Q422" s="612"/>
    </row>
    <row r="423" spans="1:17">
      <c r="D423" s="613"/>
      <c r="E423" s="614"/>
      <c r="F423" s="614"/>
      <c r="G423" s="612"/>
      <c r="I423" s="613"/>
      <c r="J423" s="614"/>
      <c r="K423" s="614"/>
      <c r="L423" s="612"/>
      <c r="N423" s="648"/>
      <c r="O423" s="614"/>
      <c r="P423" s="648"/>
      <c r="Q423" s="612"/>
    </row>
    <row r="424" spans="1:17">
      <c r="D424" s="613"/>
      <c r="E424" s="614"/>
      <c r="F424" s="614"/>
      <c r="G424" s="612"/>
      <c r="I424" s="613"/>
      <c r="J424" s="614"/>
      <c r="K424" s="614"/>
      <c r="L424" s="612"/>
      <c r="N424" s="631"/>
      <c r="O424" s="631"/>
      <c r="P424" s="631"/>
      <c r="Q424" s="612"/>
    </row>
    <row r="425" spans="1:17">
      <c r="A425" t="s">
        <v>958</v>
      </c>
      <c r="B425" t="s">
        <v>959</v>
      </c>
      <c r="D425" s="615">
        <v>500</v>
      </c>
      <c r="E425" s="614"/>
      <c r="F425" s="614">
        <v>530</v>
      </c>
      <c r="G425" s="612"/>
      <c r="I425" s="615">
        <v>500</v>
      </c>
      <c r="J425" s="614"/>
      <c r="K425" s="614">
        <v>530</v>
      </c>
      <c r="L425" s="612"/>
      <c r="N425" s="614"/>
      <c r="O425" s="614"/>
      <c r="P425" s="614"/>
      <c r="Q425" s="612"/>
    </row>
    <row r="426" spans="1:17">
      <c r="B426" t="s">
        <v>960</v>
      </c>
      <c r="C426" s="620"/>
      <c r="D426" s="670"/>
      <c r="E426" s="614"/>
      <c r="F426" s="648"/>
      <c r="G426" s="612"/>
      <c r="I426" s="670"/>
      <c r="J426" s="614"/>
      <c r="K426" s="648"/>
      <c r="L426" s="612"/>
      <c r="N426" s="614"/>
      <c r="O426" s="614"/>
      <c r="P426" s="614"/>
      <c r="Q426" s="612"/>
    </row>
    <row r="427" spans="1:17">
      <c r="D427" s="629">
        <v>500</v>
      </c>
      <c r="E427" s="614"/>
      <c r="F427" s="631">
        <v>530</v>
      </c>
      <c r="G427" s="612">
        <v>0.06</v>
      </c>
      <c r="I427" s="629">
        <v>500</v>
      </c>
      <c r="J427" s="614"/>
      <c r="K427" s="631">
        <v>530</v>
      </c>
      <c r="L427" s="612">
        <v>0.06</v>
      </c>
      <c r="N427" s="614"/>
      <c r="O427" s="614"/>
      <c r="P427" s="614"/>
      <c r="Q427" s="612"/>
    </row>
    <row r="428" spans="1:17">
      <c r="D428" s="613"/>
      <c r="E428" s="614"/>
      <c r="F428" s="614"/>
      <c r="G428" s="612"/>
      <c r="I428" s="613"/>
      <c r="J428" s="614"/>
      <c r="K428" s="614"/>
      <c r="L428" s="612"/>
      <c r="N428" s="614"/>
      <c r="O428" s="622"/>
      <c r="P428" s="614"/>
      <c r="Q428" s="612"/>
    </row>
    <row r="429" spans="1:17">
      <c r="D429" s="613"/>
      <c r="E429" s="614"/>
      <c r="F429" s="614"/>
      <c r="G429" s="612"/>
      <c r="I429" s="613"/>
      <c r="J429" s="614"/>
      <c r="K429" s="614"/>
      <c r="L429" s="612"/>
      <c r="N429" s="631"/>
      <c r="O429" s="631"/>
      <c r="P429" s="631"/>
      <c r="Q429" s="668"/>
    </row>
    <row r="430" spans="1:17">
      <c r="A430" t="s">
        <v>961</v>
      </c>
      <c r="B430" t="s">
        <v>959</v>
      </c>
      <c r="D430" s="615">
        <v>800</v>
      </c>
      <c r="E430" s="614"/>
      <c r="F430" s="614">
        <v>800</v>
      </c>
      <c r="G430" s="612"/>
      <c r="I430" s="615">
        <v>0</v>
      </c>
      <c r="J430" s="614"/>
      <c r="K430" s="614">
        <v>0</v>
      </c>
      <c r="L430" s="612"/>
      <c r="N430" s="614"/>
      <c r="O430" s="614"/>
      <c r="P430" s="614"/>
      <c r="Q430" s="612"/>
    </row>
    <row r="431" spans="1:17">
      <c r="B431" t="s">
        <v>962</v>
      </c>
      <c r="C431" s="632">
        <v>0</v>
      </c>
      <c r="D431" s="615">
        <v>0</v>
      </c>
      <c r="E431" s="622"/>
      <c r="F431" s="614">
        <v>0</v>
      </c>
      <c r="G431" s="612"/>
      <c r="I431" s="615">
        <v>0</v>
      </c>
      <c r="J431" s="622"/>
      <c r="K431" s="614">
        <v>0</v>
      </c>
      <c r="L431" s="612"/>
      <c r="N431" s="648"/>
      <c r="O431" s="614"/>
      <c r="P431" s="648"/>
      <c r="Q431" s="612"/>
    </row>
    <row r="432" spans="1:17">
      <c r="D432" s="629">
        <v>800</v>
      </c>
      <c r="E432" s="614"/>
      <c r="F432" s="631">
        <v>800</v>
      </c>
      <c r="G432" s="672" t="s">
        <v>993</v>
      </c>
      <c r="I432" s="629">
        <v>0</v>
      </c>
      <c r="J432" s="614"/>
      <c r="K432" s="631">
        <v>0</v>
      </c>
      <c r="L432" s="612"/>
      <c r="N432" s="631"/>
      <c r="O432" s="614"/>
      <c r="P432" s="631"/>
      <c r="Q432" s="612"/>
    </row>
    <row r="433" spans="1:25">
      <c r="D433" s="613"/>
      <c r="E433" s="614"/>
      <c r="F433" s="614"/>
      <c r="G433" s="612"/>
      <c r="I433" s="613"/>
      <c r="J433" s="614"/>
      <c r="K433" s="614"/>
      <c r="L433" s="612"/>
      <c r="N433" s="631"/>
      <c r="O433" s="614"/>
      <c r="P433" s="631"/>
      <c r="Q433" s="612"/>
    </row>
    <row r="434" spans="1:25" ht="17.25">
      <c r="B434" t="s">
        <v>971</v>
      </c>
      <c r="D434" s="615">
        <v>313</v>
      </c>
      <c r="E434" s="614"/>
      <c r="F434" s="614">
        <v>327</v>
      </c>
      <c r="G434" s="612"/>
      <c r="I434" s="615">
        <v>313</v>
      </c>
      <c r="J434" s="614"/>
      <c r="K434" s="614">
        <v>327</v>
      </c>
      <c r="L434" s="612"/>
      <c r="N434" s="634"/>
      <c r="O434" s="634"/>
      <c r="P434" s="634"/>
      <c r="Q434" s="636"/>
    </row>
    <row r="435" spans="1:25">
      <c r="D435" s="629">
        <v>313</v>
      </c>
      <c r="E435" s="614"/>
      <c r="F435" s="631">
        <v>327</v>
      </c>
      <c r="G435" s="612">
        <v>4.472843450479233E-2</v>
      </c>
      <c r="I435" s="629">
        <v>313</v>
      </c>
      <c r="J435" s="614"/>
      <c r="K435" s="631">
        <v>327</v>
      </c>
      <c r="L435" s="612">
        <v>4.472843450479233E-2</v>
      </c>
      <c r="N435" s="638"/>
      <c r="O435" s="638"/>
      <c r="P435" s="638"/>
      <c r="Q435" s="639"/>
    </row>
    <row r="436" spans="1:25" ht="14.65" thickBot="1">
      <c r="D436" s="629"/>
      <c r="E436" s="614"/>
      <c r="F436" s="631"/>
      <c r="G436" s="612"/>
      <c r="I436" s="629"/>
      <c r="J436" s="614"/>
      <c r="K436" s="631"/>
      <c r="L436" s="612"/>
      <c r="Q436" s="614"/>
    </row>
    <row r="437" spans="1:25" ht="17.25">
      <c r="A437" t="s">
        <v>964</v>
      </c>
      <c r="D437" s="633">
        <v>2194.262986941992</v>
      </c>
      <c r="E437" s="614"/>
      <c r="F437" s="634">
        <v>2259.7623731514127</v>
      </c>
      <c r="G437" s="636">
        <v>2.9850289869175203E-2</v>
      </c>
      <c r="I437" s="633">
        <v>1260.1253745707631</v>
      </c>
      <c r="J437" s="614"/>
      <c r="K437" s="634">
        <v>1320.6633639626252</v>
      </c>
      <c r="L437" s="636">
        <v>4.8041243048917381E-2</v>
      </c>
      <c r="Q437" s="614"/>
      <c r="S437" s="673" t="s">
        <v>994</v>
      </c>
      <c r="T437" s="674"/>
      <c r="U437" s="675"/>
      <c r="V437" s="675"/>
      <c r="W437" s="676"/>
      <c r="X437" s="677"/>
    </row>
    <row r="438" spans="1:25">
      <c r="D438" s="640"/>
      <c r="E438" s="641"/>
      <c r="F438" s="641"/>
      <c r="G438" s="639">
        <v>65.499386209420663</v>
      </c>
      <c r="I438" s="640"/>
      <c r="J438" s="641"/>
      <c r="K438" s="641"/>
      <c r="L438" s="639">
        <v>60.537989391862084</v>
      </c>
      <c r="Q438" s="614"/>
      <c r="S438" s="678" t="s">
        <v>995</v>
      </c>
      <c r="T438" s="679"/>
      <c r="U438" s="619"/>
      <c r="V438" s="659"/>
      <c r="X438" s="680"/>
    </row>
    <row r="439" spans="1:25">
      <c r="G439" s="614"/>
      <c r="L439" s="614"/>
      <c r="Q439" s="614"/>
      <c r="S439" s="681"/>
      <c r="T439" s="682" t="s">
        <v>996</v>
      </c>
      <c r="V439" s="683" t="s">
        <v>65</v>
      </c>
      <c r="W439" s="683" t="s">
        <v>65</v>
      </c>
      <c r="X439" s="680"/>
    </row>
    <row r="440" spans="1:25">
      <c r="G440" s="614"/>
      <c r="L440" s="614"/>
      <c r="Q440" s="614"/>
      <c r="S440" s="684" t="s">
        <v>997</v>
      </c>
      <c r="T440" s="682" t="s">
        <v>998</v>
      </c>
      <c r="U440" s="685" t="s">
        <v>999</v>
      </c>
      <c r="V440" s="108" t="s">
        <v>109</v>
      </c>
      <c r="W440" s="1" t="s">
        <v>381</v>
      </c>
      <c r="X440" s="686"/>
      <c r="Y440" s="166"/>
    </row>
    <row r="441" spans="1:25">
      <c r="G441" s="614"/>
      <c r="L441" s="614"/>
      <c r="Q441" s="614"/>
      <c r="S441" s="681" t="s">
        <v>939</v>
      </c>
      <c r="T441" s="658">
        <v>1090000</v>
      </c>
      <c r="U441" t="s">
        <v>940</v>
      </c>
      <c r="V441" s="659">
        <v>2.7309607732815426E-2</v>
      </c>
      <c r="W441" s="687">
        <v>90.969371790379228</v>
      </c>
      <c r="X441" s="680"/>
    </row>
    <row r="442" spans="1:25">
      <c r="G442" s="614"/>
      <c r="L442" s="614"/>
      <c r="Q442" s="614"/>
      <c r="S442" s="681" t="s">
        <v>939</v>
      </c>
      <c r="T442" s="658">
        <v>845000</v>
      </c>
      <c r="U442" t="s">
        <v>941</v>
      </c>
      <c r="V442" s="659">
        <v>2.7718575035571291E-2</v>
      </c>
      <c r="W442" s="687">
        <v>85.93514847186043</v>
      </c>
      <c r="X442" s="680"/>
    </row>
    <row r="443" spans="1:25">
      <c r="G443" s="614"/>
      <c r="L443" s="614"/>
      <c r="Q443" s="614"/>
      <c r="S443" s="681" t="s">
        <v>939</v>
      </c>
      <c r="T443" s="658">
        <v>890000</v>
      </c>
      <c r="U443" t="s">
        <v>942</v>
      </c>
      <c r="V443" s="659">
        <v>1.8897669365767183E-2</v>
      </c>
      <c r="W443" s="687">
        <v>59.350800844909372</v>
      </c>
      <c r="X443" s="680"/>
    </row>
    <row r="444" spans="1:25">
      <c r="C444" s="688" t="s">
        <v>1000</v>
      </c>
      <c r="L444" s="614"/>
      <c r="Q444" s="614"/>
      <c r="S444" s="681" t="s">
        <v>939</v>
      </c>
      <c r="T444" s="658">
        <v>700000</v>
      </c>
      <c r="U444" t="s">
        <v>986</v>
      </c>
      <c r="V444" s="659">
        <v>5.1467617094194687E-2</v>
      </c>
      <c r="W444" s="687">
        <v>130.2903365434654</v>
      </c>
      <c r="X444" s="680"/>
    </row>
    <row r="445" spans="1:25">
      <c r="L445" s="614"/>
      <c r="Q445" s="614"/>
      <c r="S445" s="681" t="s">
        <v>939</v>
      </c>
      <c r="T445" s="658">
        <v>820000</v>
      </c>
      <c r="U445" t="s">
        <v>991</v>
      </c>
      <c r="V445" s="659">
        <v>6.3129353977949082E-2</v>
      </c>
      <c r="W445" s="687">
        <v>181.56204524372242</v>
      </c>
      <c r="X445" s="680"/>
    </row>
    <row r="446" spans="1:25">
      <c r="C446" s="688" t="s">
        <v>1001</v>
      </c>
      <c r="S446" s="681" t="s">
        <v>939</v>
      </c>
      <c r="T446" s="658">
        <v>570000</v>
      </c>
      <c r="U446" t="s">
        <v>988</v>
      </c>
      <c r="V446" s="659">
        <v>1.7982614452656212E-2</v>
      </c>
      <c r="W446" s="687">
        <v>47.044395336814432</v>
      </c>
      <c r="X446" s="680"/>
    </row>
    <row r="447" spans="1:25">
      <c r="C447" s="688" t="s">
        <v>1002</v>
      </c>
      <c r="D447" s="606" t="s">
        <v>1003</v>
      </c>
      <c r="F447" s="688" t="s">
        <v>1003</v>
      </c>
      <c r="I447" s="606"/>
      <c r="S447" s="681" t="s">
        <v>939</v>
      </c>
      <c r="T447" s="536">
        <v>650000</v>
      </c>
      <c r="U447" t="s">
        <v>989</v>
      </c>
      <c r="V447" s="659">
        <v>3.3154963838308078E-2</v>
      </c>
      <c r="W447" s="687">
        <v>58.163065225109449</v>
      </c>
      <c r="X447" s="680"/>
    </row>
    <row r="448" spans="1:25">
      <c r="S448" s="681" t="s">
        <v>939</v>
      </c>
      <c r="T448" s="658">
        <v>860000</v>
      </c>
      <c r="U448" t="s">
        <v>990</v>
      </c>
      <c r="V448" s="659">
        <v>2.3828764799757068E-2</v>
      </c>
      <c r="W448" s="687">
        <v>73.793242698662198</v>
      </c>
      <c r="X448" s="680"/>
    </row>
    <row r="449" spans="3:24">
      <c r="C449" t="s">
        <v>1004</v>
      </c>
      <c r="D449" s="536" t="s">
        <v>1004</v>
      </c>
      <c r="F449" t="s">
        <v>1004</v>
      </c>
      <c r="G449" s="536">
        <v>1789</v>
      </c>
      <c r="I449" s="536"/>
      <c r="S449" s="681" t="s">
        <v>939</v>
      </c>
      <c r="T449" s="658">
        <v>520000</v>
      </c>
      <c r="U449" s="536" t="s">
        <v>992</v>
      </c>
      <c r="V449" s="659">
        <v>2.9850289869175203E-2</v>
      </c>
      <c r="W449" s="687">
        <v>65.499386209420663</v>
      </c>
      <c r="X449" s="680"/>
    </row>
    <row r="450" spans="3:24">
      <c r="C450" s="619" t="s">
        <v>1005</v>
      </c>
      <c r="D450" s="536" t="s">
        <v>1006</v>
      </c>
      <c r="F450" s="619" t="s">
        <v>1006</v>
      </c>
      <c r="G450" s="536">
        <v>0</v>
      </c>
      <c r="I450" s="536"/>
      <c r="S450" s="681" t="s">
        <v>965</v>
      </c>
      <c r="T450" s="658">
        <v>1890000</v>
      </c>
      <c r="U450" t="s">
        <v>940</v>
      </c>
      <c r="V450" s="659">
        <v>5.7231734719759661E-2</v>
      </c>
      <c r="W450" s="687">
        <v>367.20359549492696</v>
      </c>
      <c r="X450" s="680"/>
    </row>
    <row r="451" spans="3:24">
      <c r="C451" s="619" t="s">
        <v>1007</v>
      </c>
      <c r="D451" s="536" t="s">
        <v>1007</v>
      </c>
      <c r="F451" s="619" t="s">
        <v>1007</v>
      </c>
      <c r="G451" s="536">
        <v>1789</v>
      </c>
      <c r="I451" s="536"/>
      <c r="S451" s="681" t="s">
        <v>965</v>
      </c>
      <c r="T451" s="658">
        <v>1045000</v>
      </c>
      <c r="U451" t="s">
        <v>941</v>
      </c>
      <c r="V451" s="659">
        <v>2.3905044872354456E-2</v>
      </c>
      <c r="W451" s="687">
        <v>116.6825209713752</v>
      </c>
      <c r="X451" s="680"/>
    </row>
    <row r="452" spans="3:24">
      <c r="D452" s="536"/>
      <c r="G452" s="536"/>
      <c r="S452" s="681" t="s">
        <v>965</v>
      </c>
      <c r="T452" s="658">
        <v>1650000</v>
      </c>
      <c r="U452" t="s">
        <v>942</v>
      </c>
      <c r="V452" s="659">
        <v>4.9746271692161947E-2</v>
      </c>
      <c r="W452" s="687">
        <v>294.39907547807343</v>
      </c>
      <c r="X452" s="680"/>
    </row>
    <row r="453" spans="3:24">
      <c r="C453" s="619" t="s">
        <v>1008</v>
      </c>
      <c r="D453" s="536" t="s">
        <v>1008</v>
      </c>
      <c r="F453" s="619" t="s">
        <v>1008</v>
      </c>
      <c r="G453" s="536">
        <v>0</v>
      </c>
      <c r="I453" s="536"/>
      <c r="S453" s="681" t="s">
        <v>977</v>
      </c>
      <c r="T453" s="658">
        <v>2081000</v>
      </c>
      <c r="U453" t="s">
        <v>940</v>
      </c>
      <c r="V453" s="659">
        <v>3.680162043614138E-2</v>
      </c>
      <c r="W453" s="687">
        <v>387.33102532386692</v>
      </c>
      <c r="X453" s="680"/>
    </row>
    <row r="454" spans="3:24">
      <c r="D454" s="536"/>
      <c r="G454" s="536"/>
      <c r="S454" s="681" t="s">
        <v>977</v>
      </c>
      <c r="T454" s="658">
        <v>1100000</v>
      </c>
      <c r="U454" t="s">
        <v>941</v>
      </c>
      <c r="V454" s="659">
        <v>9.1354456700213794E-3</v>
      </c>
      <c r="W454" s="687">
        <v>66.992531082810274</v>
      </c>
      <c r="X454" s="680"/>
    </row>
    <row r="455" spans="3:24">
      <c r="C455" s="619" t="s">
        <v>1009</v>
      </c>
      <c r="D455" s="536" t="s">
        <v>1009</v>
      </c>
      <c r="F455" s="619" t="s">
        <v>1009</v>
      </c>
      <c r="G455" s="536">
        <v>1789</v>
      </c>
      <c r="I455" s="536"/>
      <c r="S455" s="681" t="s">
        <v>977</v>
      </c>
      <c r="T455" s="658">
        <v>1700000</v>
      </c>
      <c r="U455" t="s">
        <v>942</v>
      </c>
      <c r="V455" s="659">
        <v>2.6769462653466945E-2</v>
      </c>
      <c r="W455" s="687">
        <v>208.83430180365031</v>
      </c>
      <c r="X455" s="680"/>
    </row>
    <row r="456" spans="3:24">
      <c r="C456" s="619" t="s">
        <v>1010</v>
      </c>
      <c r="D456" s="536" t="s">
        <v>1010</v>
      </c>
      <c r="F456" s="619" t="s">
        <v>1010</v>
      </c>
      <c r="G456" s="536">
        <v>0</v>
      </c>
      <c r="I456" s="536"/>
      <c r="S456" s="681" t="s">
        <v>1011</v>
      </c>
      <c r="T456" s="658">
        <v>1260000</v>
      </c>
      <c r="U456" t="s">
        <v>940</v>
      </c>
      <c r="V456" s="659">
        <v>2.8860034926461574E-2</v>
      </c>
      <c r="W456" s="687">
        <v>123.75240088601822</v>
      </c>
      <c r="X456" s="680"/>
    </row>
    <row r="457" spans="3:24">
      <c r="S457" s="681" t="s">
        <v>1011</v>
      </c>
      <c r="T457" s="658">
        <v>900000</v>
      </c>
      <c r="U457" t="s">
        <v>941</v>
      </c>
      <c r="V457" s="659">
        <v>2.0847192968785951E-2</v>
      </c>
      <c r="W457" s="687">
        <v>80.811077818565082</v>
      </c>
      <c r="X457" s="680"/>
    </row>
    <row r="458" spans="3:24">
      <c r="S458" s="681" t="s">
        <v>1011</v>
      </c>
      <c r="T458" s="658">
        <v>900000</v>
      </c>
      <c r="U458" t="s">
        <v>942</v>
      </c>
      <c r="V458" s="659">
        <v>1.9831906334442172E-2</v>
      </c>
      <c r="W458" s="687">
        <v>74.134470102646446</v>
      </c>
      <c r="X458" s="680"/>
    </row>
    <row r="459" spans="3:24">
      <c r="C459" s="688" t="s">
        <v>1012</v>
      </c>
      <c r="S459" s="681" t="s">
        <v>979</v>
      </c>
      <c r="T459" s="658">
        <v>4100000</v>
      </c>
      <c r="U459" t="s">
        <v>980</v>
      </c>
      <c r="V459" s="659">
        <v>6.8177672052485067E-2</v>
      </c>
      <c r="W459" s="687">
        <v>224.02414643985549</v>
      </c>
      <c r="X459" s="680"/>
    </row>
    <row r="460" spans="3:24">
      <c r="D460" s="606" t="s">
        <v>1013</v>
      </c>
      <c r="E460" s="688"/>
      <c r="F460" s="606" t="s">
        <v>1013</v>
      </c>
      <c r="G460" s="688" t="s">
        <v>1014</v>
      </c>
      <c r="S460" s="681" t="s">
        <v>979</v>
      </c>
      <c r="T460" s="658">
        <v>5050000</v>
      </c>
      <c r="U460" t="s">
        <v>941</v>
      </c>
      <c r="V460" s="659">
        <v>3.4597320331747825E-2</v>
      </c>
      <c r="W460" s="687">
        <v>151.18079561342711</v>
      </c>
      <c r="X460" s="680"/>
    </row>
    <row r="461" spans="3:24">
      <c r="D461" s="606" t="s">
        <v>1015</v>
      </c>
      <c r="E461" s="688"/>
      <c r="F461" s="606" t="s">
        <v>1015</v>
      </c>
      <c r="S461" s="681" t="s">
        <v>981</v>
      </c>
      <c r="T461" s="658">
        <v>2050000</v>
      </c>
      <c r="U461" t="s">
        <v>980</v>
      </c>
      <c r="V461" s="659">
        <v>5.2984380493528063E-2</v>
      </c>
      <c r="W461" s="687">
        <v>138.55400847910596</v>
      </c>
      <c r="X461" s="680"/>
    </row>
    <row r="462" spans="3:24">
      <c r="C462" s="619" t="s">
        <v>961</v>
      </c>
      <c r="D462" s="536">
        <v>3214</v>
      </c>
      <c r="F462" s="536">
        <v>3214</v>
      </c>
      <c r="G462" s="536">
        <v>0</v>
      </c>
      <c r="S462" s="681" t="s">
        <v>981</v>
      </c>
      <c r="T462" s="658">
        <v>1560000</v>
      </c>
      <c r="U462" t="s">
        <v>941</v>
      </c>
      <c r="V462" s="659">
        <v>2.3163382792669905E-2</v>
      </c>
      <c r="W462" s="687">
        <v>58.443857666271924</v>
      </c>
      <c r="X462" s="680"/>
    </row>
    <row r="463" spans="3:24">
      <c r="C463" s="619" t="s">
        <v>1016</v>
      </c>
      <c r="D463" s="536">
        <v>2098</v>
      </c>
      <c r="F463" s="536">
        <v>2098</v>
      </c>
      <c r="G463" s="536">
        <v>0</v>
      </c>
      <c r="S463" s="681" t="s">
        <v>982</v>
      </c>
      <c r="T463" s="658">
        <v>700000</v>
      </c>
      <c r="U463" t="s">
        <v>940</v>
      </c>
      <c r="V463" s="659">
        <v>2.5869977944580999E-2</v>
      </c>
      <c r="W463" s="687">
        <v>60.843456935798713</v>
      </c>
      <c r="X463" s="680"/>
    </row>
    <row r="464" spans="3:24">
      <c r="C464" s="619" t="s">
        <v>1017</v>
      </c>
      <c r="D464" s="536">
        <v>1328</v>
      </c>
      <c r="F464" s="536">
        <v>1328</v>
      </c>
      <c r="G464" s="536">
        <v>0</v>
      </c>
      <c r="S464" s="681" t="s">
        <v>982</v>
      </c>
      <c r="T464" s="658">
        <v>550000</v>
      </c>
      <c r="U464" t="s">
        <v>941</v>
      </c>
      <c r="V464" s="659">
        <v>1.9548747088386768E-2</v>
      </c>
      <c r="W464" s="687">
        <v>43.600360527502289</v>
      </c>
      <c r="X464" s="680"/>
    </row>
    <row r="465" spans="3:36">
      <c r="C465" s="619" t="s">
        <v>1018</v>
      </c>
      <c r="D465" s="536">
        <v>7232</v>
      </c>
      <c r="F465" s="536">
        <v>7232</v>
      </c>
      <c r="G465" s="536">
        <v>0</v>
      </c>
      <c r="S465" s="681" t="s">
        <v>982</v>
      </c>
      <c r="T465" s="658">
        <v>720000</v>
      </c>
      <c r="U465" t="s">
        <v>942</v>
      </c>
      <c r="V465" s="659">
        <v>3.0077410118466742E-2</v>
      </c>
      <c r="W465" s="687">
        <v>69.65102056654041</v>
      </c>
      <c r="X465" s="680"/>
    </row>
    <row r="466" spans="3:36">
      <c r="S466" s="681" t="s">
        <v>1019</v>
      </c>
      <c r="T466" s="658">
        <v>1250000</v>
      </c>
      <c r="U466" t="s">
        <v>940</v>
      </c>
      <c r="V466" s="659">
        <v>3.5176913773888437E-2</v>
      </c>
      <c r="W466" s="687">
        <v>141.14800981190137</v>
      </c>
      <c r="X466" s="680"/>
    </row>
    <row r="467" spans="3:36">
      <c r="C467" s="688" t="s">
        <v>1020</v>
      </c>
      <c r="D467" s="689">
        <v>13872</v>
      </c>
      <c r="E467" s="688"/>
      <c r="F467" s="689">
        <v>13872</v>
      </c>
      <c r="G467" s="689">
        <v>0</v>
      </c>
      <c r="S467" s="681" t="s">
        <v>1019</v>
      </c>
      <c r="T467" s="658">
        <v>880000</v>
      </c>
      <c r="U467" t="s">
        <v>941</v>
      </c>
      <c r="V467" s="659">
        <v>2.5984858423676111E-2</v>
      </c>
      <c r="W467" s="687">
        <v>94.515275408030902</v>
      </c>
      <c r="X467" s="680"/>
    </row>
    <row r="468" spans="3:36" ht="14.65" thickBot="1">
      <c r="S468" s="690" t="s">
        <v>1019</v>
      </c>
      <c r="T468" s="691">
        <v>900000</v>
      </c>
      <c r="U468" s="692" t="s">
        <v>942</v>
      </c>
      <c r="V468" s="693">
        <v>2.5250483093358457E-2</v>
      </c>
      <c r="W468" s="694">
        <v>89.255067704075373</v>
      </c>
      <c r="X468" s="695"/>
    </row>
    <row r="469" spans="3:36" ht="14.65" thickBot="1">
      <c r="D469" s="606" t="s">
        <v>1021</v>
      </c>
      <c r="E469" s="688"/>
      <c r="F469" s="606" t="s">
        <v>1021</v>
      </c>
      <c r="AB469" s="619" t="s">
        <v>1022</v>
      </c>
    </row>
    <row r="470" spans="3:36">
      <c r="D470" s="606" t="s">
        <v>1015</v>
      </c>
      <c r="E470" s="688"/>
      <c r="F470" s="606" t="s">
        <v>1015</v>
      </c>
      <c r="S470" s="673" t="s">
        <v>994</v>
      </c>
      <c r="T470" s="674"/>
      <c r="U470" s="675"/>
      <c r="V470" s="675"/>
      <c r="W470" s="676"/>
      <c r="X470" s="681"/>
      <c r="Y470" s="1"/>
      <c r="AB470" s="638"/>
      <c r="AC470" s="638"/>
      <c r="AD470" s="638"/>
      <c r="AE470" s="638"/>
      <c r="AF470" s="638"/>
      <c r="AG470" s="638"/>
      <c r="AH470" s="638"/>
      <c r="AI470" s="638"/>
      <c r="AJ470" s="638"/>
    </row>
    <row r="471" spans="3:36">
      <c r="C471" s="619" t="s">
        <v>961</v>
      </c>
      <c r="D471" s="536">
        <v>1881</v>
      </c>
      <c r="F471" s="536">
        <v>1881</v>
      </c>
      <c r="G471" s="536">
        <v>0</v>
      </c>
      <c r="S471" s="678" t="s">
        <v>995</v>
      </c>
      <c r="T471" s="679"/>
      <c r="V471" s="1" t="s">
        <v>1023</v>
      </c>
      <c r="W471" s="1" t="s">
        <v>1023</v>
      </c>
      <c r="X471" s="696"/>
      <c r="Y471" s="1"/>
      <c r="Z471" s="683"/>
      <c r="AB471" s="697" t="s">
        <v>1024</v>
      </c>
      <c r="AC471" s="698" t="s">
        <v>1025</v>
      </c>
      <c r="AD471" s="698" t="s">
        <v>1026</v>
      </c>
      <c r="AE471" s="698" t="s">
        <v>1027</v>
      </c>
      <c r="AF471" s="698" t="s">
        <v>1028</v>
      </c>
      <c r="AG471" s="698" t="s">
        <v>1029</v>
      </c>
      <c r="AH471" s="698" t="s">
        <v>1030</v>
      </c>
      <c r="AI471" s="698" t="s">
        <v>1031</v>
      </c>
      <c r="AJ471" s="698" t="s">
        <v>1032</v>
      </c>
    </row>
    <row r="472" spans="3:36">
      <c r="C472" s="619" t="s">
        <v>1016</v>
      </c>
      <c r="D472" s="536">
        <v>1521</v>
      </c>
      <c r="F472" s="536">
        <v>1521</v>
      </c>
      <c r="G472" s="536">
        <v>0</v>
      </c>
      <c r="S472" s="681"/>
      <c r="T472" s="682"/>
      <c r="V472" s="683" t="s">
        <v>65</v>
      </c>
      <c r="W472" s="683" t="s">
        <v>65</v>
      </c>
      <c r="X472" s="699"/>
      <c r="Y472" s="683"/>
      <c r="Z472" s="700"/>
      <c r="AB472" s="701" t="s">
        <v>946</v>
      </c>
      <c r="AC472" s="702">
        <v>1090000</v>
      </c>
      <c r="AD472" s="702">
        <v>845000</v>
      </c>
      <c r="AE472" s="702">
        <v>890000</v>
      </c>
      <c r="AF472" s="702">
        <v>700000</v>
      </c>
      <c r="AG472" s="702">
        <v>650000</v>
      </c>
      <c r="AH472" s="702">
        <v>690000</v>
      </c>
      <c r="AI472" s="702">
        <v>570000</v>
      </c>
      <c r="AJ472" s="702">
        <v>820000</v>
      </c>
    </row>
    <row r="473" spans="3:36">
      <c r="C473" s="619" t="s">
        <v>1017</v>
      </c>
      <c r="D473" s="536">
        <v>857</v>
      </c>
      <c r="F473" s="536">
        <v>857</v>
      </c>
      <c r="G473" s="536">
        <v>0</v>
      </c>
      <c r="S473" s="684" t="s">
        <v>997</v>
      </c>
      <c r="T473" s="700" t="s">
        <v>1033</v>
      </c>
      <c r="U473" s="685" t="s">
        <v>999</v>
      </c>
      <c r="V473" s="108" t="s">
        <v>109</v>
      </c>
      <c r="W473" s="1" t="s">
        <v>381</v>
      </c>
      <c r="X473" s="703"/>
      <c r="Y473" s="1"/>
      <c r="Z473" s="614"/>
      <c r="AB473" s="608"/>
      <c r="AC473" s="704"/>
      <c r="AD473" s="704"/>
      <c r="AE473" s="704"/>
      <c r="AF473" s="704"/>
      <c r="AG473" s="704"/>
      <c r="AH473" s="704"/>
      <c r="AI473" s="704"/>
      <c r="AJ473" s="704"/>
    </row>
    <row r="474" spans="3:36">
      <c r="C474" s="619" t="s">
        <v>1018</v>
      </c>
      <c r="D474" s="536">
        <v>4751</v>
      </c>
      <c r="F474" s="536">
        <v>4751</v>
      </c>
      <c r="G474" s="536">
        <v>0</v>
      </c>
      <c r="S474" s="681" t="s">
        <v>939</v>
      </c>
      <c r="T474" s="658">
        <v>1090000</v>
      </c>
      <c r="U474" t="s">
        <v>940</v>
      </c>
      <c r="V474" s="659">
        <v>2.7309607732815426E-2</v>
      </c>
      <c r="W474" s="687">
        <v>90.969371790379228</v>
      </c>
      <c r="X474" s="705"/>
      <c r="Y474" s="687"/>
      <c r="Z474" s="614"/>
      <c r="AB474" s="608" t="s">
        <v>1034</v>
      </c>
      <c r="AC474" s="704">
        <v>77</v>
      </c>
      <c r="AD474" s="704">
        <v>77</v>
      </c>
      <c r="AE474" s="704">
        <v>77</v>
      </c>
      <c r="AF474" s="704">
        <v>77</v>
      </c>
      <c r="AG474" s="704">
        <v>77</v>
      </c>
      <c r="AH474" s="704">
        <v>77</v>
      </c>
      <c r="AI474" s="704">
        <v>77</v>
      </c>
      <c r="AJ474" s="704">
        <v>77</v>
      </c>
    </row>
    <row r="475" spans="3:36">
      <c r="S475" s="681" t="s">
        <v>965</v>
      </c>
      <c r="T475" s="658">
        <v>1890000</v>
      </c>
      <c r="U475" t="s">
        <v>940</v>
      </c>
      <c r="V475" s="659">
        <v>5.7231734719759661E-2</v>
      </c>
      <c r="W475" s="687">
        <v>367.20359549492696</v>
      </c>
      <c r="X475" s="705"/>
      <c r="Y475" s="687"/>
      <c r="Z475" s="614"/>
      <c r="AB475" s="706" t="s">
        <v>1035</v>
      </c>
      <c r="AC475" s="704">
        <v>410</v>
      </c>
      <c r="AD475" s="704">
        <v>410</v>
      </c>
      <c r="AE475" s="704">
        <v>410</v>
      </c>
      <c r="AF475" s="704">
        <v>410</v>
      </c>
      <c r="AG475" s="704">
        <v>410</v>
      </c>
      <c r="AH475" s="704">
        <v>410</v>
      </c>
      <c r="AI475" s="704">
        <v>410</v>
      </c>
      <c r="AJ475" s="704">
        <v>410</v>
      </c>
    </row>
    <row r="476" spans="3:36">
      <c r="C476" s="688" t="s">
        <v>1020</v>
      </c>
      <c r="D476" s="689">
        <v>9010</v>
      </c>
      <c r="E476" s="688"/>
      <c r="F476" s="689">
        <v>9010</v>
      </c>
      <c r="G476" s="689">
        <v>0</v>
      </c>
      <c r="S476" s="681" t="s">
        <v>977</v>
      </c>
      <c r="T476" s="658">
        <v>2081000</v>
      </c>
      <c r="U476" t="s">
        <v>940</v>
      </c>
      <c r="V476" s="659">
        <v>3.680162043614138E-2</v>
      </c>
      <c r="W476" s="687">
        <v>387.33102532386692</v>
      </c>
      <c r="X476" s="705"/>
      <c r="Y476" s="687"/>
      <c r="Z476" s="614"/>
      <c r="AB476" s="707" t="s">
        <v>1036</v>
      </c>
      <c r="AC476" s="704">
        <v>115</v>
      </c>
      <c r="AD476" s="704">
        <v>160</v>
      </c>
      <c r="AE476" s="704">
        <v>115</v>
      </c>
      <c r="AF476" s="704">
        <v>115</v>
      </c>
      <c r="AG476" s="704">
        <v>115</v>
      </c>
      <c r="AH476" s="704">
        <v>160</v>
      </c>
      <c r="AI476" s="704">
        <v>160</v>
      </c>
      <c r="AJ476" s="704">
        <v>115</v>
      </c>
    </row>
    <row r="477" spans="3:36">
      <c r="C477" s="688" t="s">
        <v>1037</v>
      </c>
      <c r="D477" s="708">
        <v>0.64950980392156865</v>
      </c>
      <c r="E477" s="688"/>
      <c r="F477" s="708">
        <v>0.64950980392156865</v>
      </c>
      <c r="G477" s="688"/>
      <c r="S477" s="681" t="s">
        <v>1011</v>
      </c>
      <c r="T477" s="658">
        <v>1260000</v>
      </c>
      <c r="U477" t="s">
        <v>940</v>
      </c>
      <c r="V477" s="659">
        <v>2.8860034926461574E-2</v>
      </c>
      <c r="W477" s="687">
        <v>123.75240088601822</v>
      </c>
      <c r="X477" s="705"/>
      <c r="Y477" s="687"/>
      <c r="Z477" s="614"/>
      <c r="AB477" s="608" t="s">
        <v>1038</v>
      </c>
      <c r="AC477" s="704">
        <v>32.454187196940204</v>
      </c>
      <c r="AD477" s="704">
        <v>25.159438698545387</v>
      </c>
      <c r="AE477" s="704">
        <v>26.499290463556679</v>
      </c>
      <c r="AF477" s="704">
        <v>20.84213856684233</v>
      </c>
      <c r="AG477" s="704">
        <v>19.35341438349645</v>
      </c>
      <c r="AH477" s="704">
        <v>20.544393730173155</v>
      </c>
      <c r="AI477" s="704">
        <v>16.971455690143042</v>
      </c>
      <c r="AJ477" s="704">
        <v>24.415076606872447</v>
      </c>
    </row>
    <row r="478" spans="3:36">
      <c r="S478" s="681" t="s">
        <v>982</v>
      </c>
      <c r="T478" s="658">
        <v>700000</v>
      </c>
      <c r="U478" t="s">
        <v>940</v>
      </c>
      <c r="V478" s="659">
        <v>2.5869977944580999E-2</v>
      </c>
      <c r="W478" s="687">
        <v>60.843456935798713</v>
      </c>
      <c r="X478" s="705"/>
      <c r="Y478" s="687"/>
      <c r="Z478" s="614"/>
      <c r="AB478" s="709" t="s">
        <v>952</v>
      </c>
      <c r="AC478" s="704">
        <v>259.63512471694253</v>
      </c>
      <c r="AD478" s="704">
        <v>201.27677099616187</v>
      </c>
      <c r="AE478" s="704">
        <v>211.99565229181547</v>
      </c>
      <c r="AF478" s="704">
        <v>166.73815348794474</v>
      </c>
      <c r="AG478" s="704">
        <v>154.82828538166299</v>
      </c>
      <c r="AH478" s="704">
        <v>164.35617986668839</v>
      </c>
      <c r="AI478" s="704">
        <v>135.77249641161217</v>
      </c>
      <c r="AJ478" s="704">
        <v>195.321836943021</v>
      </c>
    </row>
    <row r="479" spans="3:36">
      <c r="S479" s="681" t="s">
        <v>1019</v>
      </c>
      <c r="T479" s="658">
        <v>1250000</v>
      </c>
      <c r="U479" t="s">
        <v>940</v>
      </c>
      <c r="V479" s="659">
        <v>3.5176913773888437E-2</v>
      </c>
      <c r="W479" s="687">
        <v>141.14800981190137</v>
      </c>
      <c r="X479" s="705"/>
      <c r="Y479" s="687"/>
      <c r="Z479" s="614"/>
      <c r="AB479" s="709" t="s">
        <v>953</v>
      </c>
      <c r="AC479" s="704">
        <v>170.21277658047936</v>
      </c>
      <c r="AD479" s="704">
        <v>131.95394147752756</v>
      </c>
      <c r="AE479" s="704">
        <v>138.98107445562076</v>
      </c>
      <c r="AF479" s="704">
        <v>109.31095743700509</v>
      </c>
      <c r="AG479" s="704">
        <v>101.50303190579044</v>
      </c>
      <c r="AH479" s="704">
        <v>107.74937233076216</v>
      </c>
      <c r="AI479" s="704">
        <v>89.010351055846996</v>
      </c>
      <c r="AJ479" s="704">
        <v>128.04997871192023</v>
      </c>
    </row>
    <row r="480" spans="3:36">
      <c r="C480" s="688" t="s">
        <v>1039</v>
      </c>
      <c r="G480" s="614"/>
      <c r="S480" s="681" t="s">
        <v>939</v>
      </c>
      <c r="T480" s="658">
        <v>845000</v>
      </c>
      <c r="U480" t="s">
        <v>941</v>
      </c>
      <c r="V480" s="659">
        <v>2.7718575035571291E-2</v>
      </c>
      <c r="W480" s="687">
        <v>85.93514847186043</v>
      </c>
      <c r="X480" s="705"/>
      <c r="Y480" s="687"/>
      <c r="Z480" s="614"/>
      <c r="AB480" s="709" t="s">
        <v>954</v>
      </c>
      <c r="AC480" s="704">
        <v>244.75029583308378</v>
      </c>
      <c r="AD480" s="704">
        <v>189.73761465959248</v>
      </c>
      <c r="AE480" s="704">
        <v>199.84198467105006</v>
      </c>
      <c r="AF480" s="704">
        <v>157.17908906711804</v>
      </c>
      <c r="AG480" s="704">
        <v>145.9520112766096</v>
      </c>
      <c r="AH480" s="704">
        <v>154.93367350901636</v>
      </c>
      <c r="AI480" s="704">
        <v>127.98868681179611</v>
      </c>
      <c r="AJ480" s="704">
        <v>184.12407576433827</v>
      </c>
    </row>
    <row r="481" spans="3:36">
      <c r="G481" s="614"/>
      <c r="S481" s="681" t="s">
        <v>965</v>
      </c>
      <c r="T481" s="658">
        <v>1045000</v>
      </c>
      <c r="U481" t="s">
        <v>941</v>
      </c>
      <c r="V481" s="659">
        <v>2.3905044872354456E-2</v>
      </c>
      <c r="W481" s="687">
        <v>116.6825209713752</v>
      </c>
      <c r="X481" s="705"/>
      <c r="Y481" s="687"/>
      <c r="Z481" s="614"/>
      <c r="AB481" s="608" t="s">
        <v>967</v>
      </c>
      <c r="AC481" s="704">
        <v>247.17648480198946</v>
      </c>
      <c r="AD481" s="704">
        <v>282.72853401277024</v>
      </c>
      <c r="AE481" s="704">
        <v>201.82300135208314</v>
      </c>
      <c r="AF481" s="704">
        <v>158.73719207467212</v>
      </c>
      <c r="AG481" s="704">
        <v>147.39882121219554</v>
      </c>
      <c r="AH481" s="704">
        <v>230.867086945339</v>
      </c>
      <c r="AI481" s="704">
        <v>190.71628921571482</v>
      </c>
      <c r="AJ481" s="704">
        <v>185.94928214461592</v>
      </c>
    </row>
    <row r="482" spans="3:36">
      <c r="C482" s="688" t="s">
        <v>1040</v>
      </c>
      <c r="S482" s="681" t="s">
        <v>977</v>
      </c>
      <c r="T482" s="658">
        <v>1100000</v>
      </c>
      <c r="U482" t="s">
        <v>941</v>
      </c>
      <c r="V482" s="659">
        <v>9.1354456700213794E-3</v>
      </c>
      <c r="W482" s="687">
        <v>66.992531082810274</v>
      </c>
      <c r="X482" s="705"/>
      <c r="Y482" s="687"/>
      <c r="Z482" s="614"/>
      <c r="AB482" s="608" t="s">
        <v>968</v>
      </c>
      <c r="AC482" s="704">
        <v>155.97956838451435</v>
      </c>
      <c r="AD482" s="704">
        <v>148.63255652644796</v>
      </c>
      <c r="AE482" s="704">
        <v>127.35946409377777</v>
      </c>
      <c r="AF482" s="704">
        <v>100.17036501757802</v>
      </c>
      <c r="AG482" s="704">
        <v>93.015338944893884</v>
      </c>
      <c r="AH482" s="704">
        <v>121.36859645354922</v>
      </c>
      <c r="AI482" s="704">
        <v>100.26101446162762</v>
      </c>
      <c r="AJ482" s="704">
        <v>117.34242759201997</v>
      </c>
    </row>
    <row r="483" spans="3:36">
      <c r="D483" s="710" t="s">
        <v>1041</v>
      </c>
      <c r="E483" s="710"/>
      <c r="F483" s="710" t="s">
        <v>944</v>
      </c>
      <c r="I483" s="606"/>
      <c r="S483" s="681" t="s">
        <v>1011</v>
      </c>
      <c r="T483" s="658">
        <v>900000</v>
      </c>
      <c r="U483" t="s">
        <v>941</v>
      </c>
      <c r="V483" s="659">
        <v>2.0847192968785951E-2</v>
      </c>
      <c r="W483" s="687">
        <v>80.811077818565082</v>
      </c>
      <c r="X483" s="705"/>
      <c r="Y483" s="687"/>
      <c r="Z483" s="614"/>
      <c r="AB483" s="608" t="s">
        <v>958</v>
      </c>
      <c r="AC483" s="704">
        <v>467.40864121146751</v>
      </c>
      <c r="AD483" s="704">
        <v>359.32782884865622</v>
      </c>
      <c r="AE483" s="704">
        <v>449.10021544192375</v>
      </c>
      <c r="AF483" s="704">
        <v>798.42226584405944</v>
      </c>
      <c r="AG483" s="704">
        <v>0</v>
      </c>
      <c r="AH483" s="704">
        <v>330.10201408943527</v>
      </c>
      <c r="AI483" s="704">
        <v>327.03700469399195</v>
      </c>
      <c r="AJ483" s="704">
        <v>512</v>
      </c>
    </row>
    <row r="484" spans="3:36">
      <c r="C484" t="s">
        <v>940</v>
      </c>
      <c r="D484" s="614">
        <v>240</v>
      </c>
      <c r="F484" s="614">
        <v>300</v>
      </c>
      <c r="G484" t="s">
        <v>1042</v>
      </c>
      <c r="I484" s="614"/>
      <c r="S484" s="681" t="s">
        <v>979</v>
      </c>
      <c r="T484" s="658">
        <v>5050000</v>
      </c>
      <c r="U484" t="s">
        <v>941</v>
      </c>
      <c r="V484" s="659">
        <v>3.4597320331747825E-2</v>
      </c>
      <c r="W484" s="687">
        <v>151.18079561342711</v>
      </c>
      <c r="X484" s="705"/>
      <c r="Y484" s="687"/>
      <c r="Z484" s="614"/>
      <c r="AB484" s="608" t="s">
        <v>961</v>
      </c>
      <c r="AC484" s="704">
        <v>694</v>
      </c>
      <c r="AD484" s="704">
        <v>652</v>
      </c>
      <c r="AE484" s="704">
        <v>694</v>
      </c>
      <c r="AF484" s="704">
        <v>0</v>
      </c>
      <c r="AG484" s="704">
        <v>0</v>
      </c>
      <c r="AH484" s="704">
        <v>652</v>
      </c>
      <c r="AI484" s="704">
        <v>480</v>
      </c>
      <c r="AJ484" s="704">
        <v>560</v>
      </c>
    </row>
    <row r="485" spans="3:36">
      <c r="C485" t="s">
        <v>941</v>
      </c>
      <c r="D485" s="614">
        <v>170</v>
      </c>
      <c r="F485" s="614">
        <v>200</v>
      </c>
      <c r="G485" t="s">
        <v>1042</v>
      </c>
      <c r="I485" s="614"/>
      <c r="S485" s="681" t="s">
        <v>981</v>
      </c>
      <c r="T485" s="658">
        <v>1560000</v>
      </c>
      <c r="U485" t="s">
        <v>941</v>
      </c>
      <c r="V485" s="659">
        <v>2.3163382792669905E-2</v>
      </c>
      <c r="W485" s="687">
        <v>58.443857666271924</v>
      </c>
      <c r="X485" s="705"/>
      <c r="Y485" s="687"/>
      <c r="Z485" s="614"/>
      <c r="AB485" s="608" t="s">
        <v>1043</v>
      </c>
      <c r="AC485" s="704">
        <v>327</v>
      </c>
      <c r="AD485" s="704">
        <v>327</v>
      </c>
      <c r="AE485" s="704">
        <v>327</v>
      </c>
      <c r="AF485" s="704">
        <v>327</v>
      </c>
      <c r="AG485" s="704">
        <v>327</v>
      </c>
      <c r="AH485" s="704">
        <v>327</v>
      </c>
      <c r="AI485" s="704">
        <v>327</v>
      </c>
      <c r="AJ485" s="704">
        <v>327</v>
      </c>
    </row>
    <row r="486" spans="3:36">
      <c r="C486" t="s">
        <v>942</v>
      </c>
      <c r="D486" s="614">
        <v>180</v>
      </c>
      <c r="F486" s="614">
        <v>250</v>
      </c>
      <c r="G486" t="s">
        <v>1042</v>
      </c>
      <c r="I486" s="614"/>
      <c r="S486" s="681" t="s">
        <v>982</v>
      </c>
      <c r="T486" s="658">
        <v>550000</v>
      </c>
      <c r="U486" t="s">
        <v>941</v>
      </c>
      <c r="V486" s="659">
        <v>1.9548747088386768E-2</v>
      </c>
      <c r="W486" s="687">
        <v>43.600360527502289</v>
      </c>
      <c r="X486" s="705"/>
      <c r="Y486" s="687"/>
      <c r="Z486" s="614"/>
      <c r="AB486" s="701" t="s">
        <v>964</v>
      </c>
      <c r="AC486" s="711">
        <v>3422.0084947386654</v>
      </c>
      <c r="AD486" s="711">
        <v>3186.20810123295</v>
      </c>
      <c r="AE486" s="711">
        <v>3199.992098783076</v>
      </c>
      <c r="AF486" s="711">
        <v>2661.7915775084675</v>
      </c>
      <c r="AG486" s="711">
        <v>1812.4423191178971</v>
      </c>
      <c r="AH486" s="711">
        <v>2977.3127329382114</v>
      </c>
      <c r="AI486" s="711">
        <v>2663.1487143539807</v>
      </c>
      <c r="AJ486" s="711">
        <v>3057.5940937760356</v>
      </c>
    </row>
    <row r="487" spans="3:36">
      <c r="C487" t="s">
        <v>986</v>
      </c>
      <c r="D487" s="614">
        <v>720</v>
      </c>
      <c r="F487" s="614">
        <v>480</v>
      </c>
      <c r="I487" s="614"/>
      <c r="S487" s="681" t="s">
        <v>1019</v>
      </c>
      <c r="T487" s="658">
        <v>880000</v>
      </c>
      <c r="U487" t="s">
        <v>941</v>
      </c>
      <c r="V487" s="659">
        <v>2.5984858423676111E-2</v>
      </c>
      <c r="W487" s="687">
        <v>94.515275408030902</v>
      </c>
      <c r="X487" s="705"/>
      <c r="Y487" s="687"/>
      <c r="Z487" s="614"/>
      <c r="AB487" s="608"/>
      <c r="AC487" s="707"/>
      <c r="AD487" s="707"/>
      <c r="AE487" s="707"/>
      <c r="AF487" s="707"/>
      <c r="AG487" s="707"/>
      <c r="AH487" s="707"/>
      <c r="AI487" s="707"/>
      <c r="AJ487" s="707"/>
    </row>
    <row r="488" spans="3:36">
      <c r="C488" t="s">
        <v>988</v>
      </c>
      <c r="D488" s="614">
        <v>340</v>
      </c>
      <c r="F488" s="614">
        <v>190</v>
      </c>
      <c r="I488" s="614"/>
      <c r="S488" s="681" t="s">
        <v>939</v>
      </c>
      <c r="T488" s="658">
        <v>890000</v>
      </c>
      <c r="U488" t="s">
        <v>942</v>
      </c>
      <c r="V488" s="659">
        <v>1.8897669365767183E-2</v>
      </c>
      <c r="W488" s="687">
        <v>59.350800844909372</v>
      </c>
      <c r="X488" s="705"/>
      <c r="Y488" s="687"/>
      <c r="Z488" s="614"/>
      <c r="AB488" s="608" t="s">
        <v>1044</v>
      </c>
      <c r="AC488" s="712">
        <v>2.7309607732815426E-2</v>
      </c>
      <c r="AD488" s="712">
        <v>2.7718575035571291E-2</v>
      </c>
      <c r="AE488" s="712">
        <v>1.8897669365767183E-2</v>
      </c>
      <c r="AF488" s="712">
        <v>5.1467617094194687E-2</v>
      </c>
      <c r="AG488" s="712">
        <v>3.3154963838308078E-2</v>
      </c>
      <c r="AH488" s="712">
        <v>2.6052722817688438E-2</v>
      </c>
      <c r="AI488" s="712">
        <v>1.7982614452656212E-2</v>
      </c>
      <c r="AJ488" s="712">
        <v>6.3129353977949082E-2</v>
      </c>
    </row>
    <row r="489" spans="3:36">
      <c r="C489" t="s">
        <v>990</v>
      </c>
      <c r="D489" s="614">
        <v>580</v>
      </c>
      <c r="F489" s="614">
        <v>300</v>
      </c>
      <c r="I489" s="614"/>
      <c r="N489" s="535"/>
      <c r="P489" s="535"/>
      <c r="Q489" s="535"/>
      <c r="S489" s="681" t="s">
        <v>965</v>
      </c>
      <c r="T489" s="658">
        <v>1650000</v>
      </c>
      <c r="U489" t="s">
        <v>942</v>
      </c>
      <c r="V489" s="659">
        <v>4.9746271692161947E-2</v>
      </c>
      <c r="W489" s="687">
        <v>294.39907547807343</v>
      </c>
      <c r="X489" s="705"/>
      <c r="Y489" s="687"/>
      <c r="Z489" s="614"/>
      <c r="AB489" s="637" t="s">
        <v>1045</v>
      </c>
      <c r="AC489" s="713">
        <v>90.969371790379228</v>
      </c>
      <c r="AD489" s="713">
        <v>85.93514847186043</v>
      </c>
      <c r="AE489" s="713">
        <v>59.350800844909372</v>
      </c>
      <c r="AF489" s="713">
        <v>130.2903365434654</v>
      </c>
      <c r="AG489" s="713">
        <v>58.163065225109449</v>
      </c>
      <c r="AH489" s="713">
        <v>75.597580560775896</v>
      </c>
      <c r="AI489" s="713">
        <v>47.044395336814432</v>
      </c>
      <c r="AJ489" s="713">
        <v>181.56204524372242</v>
      </c>
    </row>
    <row r="490" spans="3:36">
      <c r="C490" t="s">
        <v>991</v>
      </c>
      <c r="D490" s="614">
        <v>580</v>
      </c>
      <c r="F490" s="614">
        <v>512</v>
      </c>
      <c r="I490" s="614"/>
      <c r="N490" s="614"/>
      <c r="P490" s="614"/>
      <c r="Q490" s="714"/>
      <c r="S490" s="681" t="s">
        <v>977</v>
      </c>
      <c r="T490" s="658">
        <v>1700000</v>
      </c>
      <c r="U490" t="s">
        <v>942</v>
      </c>
      <c r="V490" s="659">
        <v>2.6769462653466945E-2</v>
      </c>
      <c r="W490" s="687">
        <v>208.83430180365031</v>
      </c>
      <c r="X490" s="705"/>
      <c r="Y490" s="687"/>
      <c r="Z490" s="614"/>
    </row>
    <row r="491" spans="3:36">
      <c r="C491" t="s">
        <v>992</v>
      </c>
      <c r="D491" s="614">
        <v>560</v>
      </c>
      <c r="F491" s="614">
        <v>530</v>
      </c>
      <c r="I491" s="614"/>
      <c r="N491" s="614"/>
      <c r="P491" s="614"/>
      <c r="Q491" s="714"/>
      <c r="S491" s="681" t="s">
        <v>1011</v>
      </c>
      <c r="T491" s="658">
        <v>900000</v>
      </c>
      <c r="U491" t="s">
        <v>942</v>
      </c>
      <c r="V491" s="659">
        <v>1.9831906334442172E-2</v>
      </c>
      <c r="W491" s="687">
        <v>74.134470102646446</v>
      </c>
      <c r="X491" s="705"/>
      <c r="Y491" s="687"/>
      <c r="Z491" s="614"/>
      <c r="AB491" s="619" t="s">
        <v>1046</v>
      </c>
    </row>
    <row r="492" spans="3:36">
      <c r="N492" s="614"/>
      <c r="P492" s="614"/>
      <c r="Q492" s="714"/>
      <c r="S492" s="681" t="s">
        <v>982</v>
      </c>
      <c r="T492" s="658">
        <v>720000</v>
      </c>
      <c r="U492" t="s">
        <v>942</v>
      </c>
      <c r="V492" s="659">
        <v>3.0077410118466742E-2</v>
      </c>
      <c r="W492" s="687">
        <v>69.65102056654041</v>
      </c>
      <c r="X492" s="705"/>
      <c r="Y492" s="687"/>
      <c r="Z492" s="614"/>
      <c r="AB492" s="638"/>
      <c r="AC492" s="638"/>
      <c r="AD492" s="638"/>
      <c r="AE492" s="638"/>
      <c r="AF492" s="638"/>
      <c r="AG492" s="638"/>
      <c r="AH492" s="638"/>
    </row>
    <row r="493" spans="3:36">
      <c r="N493" s="614"/>
      <c r="P493" s="614"/>
      <c r="Q493" s="714"/>
      <c r="S493" s="681" t="s">
        <v>1019</v>
      </c>
      <c r="T493" s="658">
        <v>900000</v>
      </c>
      <c r="U493" t="s">
        <v>942</v>
      </c>
      <c r="V493" s="659">
        <v>2.5250483093358457E-2</v>
      </c>
      <c r="W493" s="687">
        <v>89.255067704075373</v>
      </c>
      <c r="X493" s="705"/>
      <c r="Y493" s="687"/>
      <c r="Z493" s="614"/>
      <c r="AB493" s="697" t="s">
        <v>1024</v>
      </c>
      <c r="AC493" s="698" t="s">
        <v>1025</v>
      </c>
      <c r="AD493" s="698" t="s">
        <v>1026</v>
      </c>
      <c r="AE493" s="698" t="s">
        <v>1027</v>
      </c>
      <c r="AF493" s="698" t="s">
        <v>1025</v>
      </c>
      <c r="AG493" s="698" t="s">
        <v>1026</v>
      </c>
      <c r="AH493" s="698" t="s">
        <v>1027</v>
      </c>
      <c r="AI493" s="608"/>
    </row>
    <row r="494" spans="3:36">
      <c r="C494" s="688" t="s">
        <v>1047</v>
      </c>
      <c r="N494" s="614"/>
      <c r="P494" s="614"/>
      <c r="Q494" s="714"/>
      <c r="S494" s="681" t="s">
        <v>979</v>
      </c>
      <c r="T494" s="658">
        <v>4100000</v>
      </c>
      <c r="U494" t="s">
        <v>980</v>
      </c>
      <c r="V494" s="659">
        <v>6.8177672052485067E-2</v>
      </c>
      <c r="W494" s="687">
        <v>224.02414643985549</v>
      </c>
      <c r="X494" s="705"/>
      <c r="Y494" s="687"/>
      <c r="Z494" s="614"/>
      <c r="AB494" s="697" t="s">
        <v>974</v>
      </c>
      <c r="AC494" s="698" t="s">
        <v>1048</v>
      </c>
      <c r="AD494" s="698" t="s">
        <v>1048</v>
      </c>
      <c r="AE494" s="698" t="s">
        <v>1048</v>
      </c>
      <c r="AF494" s="698" t="s">
        <v>1049</v>
      </c>
      <c r="AG494" s="698" t="s">
        <v>1049</v>
      </c>
      <c r="AH494" s="698" t="s">
        <v>1049</v>
      </c>
    </row>
    <row r="495" spans="3:36">
      <c r="D495" s="710" t="s">
        <v>1041</v>
      </c>
      <c r="E495" s="710"/>
      <c r="F495" s="710" t="s">
        <v>944</v>
      </c>
      <c r="I495" s="606"/>
      <c r="N495" s="614"/>
      <c r="P495" s="614"/>
      <c r="Q495" s="714"/>
      <c r="S495" s="681" t="s">
        <v>981</v>
      </c>
      <c r="T495" s="658">
        <v>2050000</v>
      </c>
      <c r="U495" t="s">
        <v>980</v>
      </c>
      <c r="V495" s="659">
        <v>5.2984380493528063E-2</v>
      </c>
      <c r="W495" s="687">
        <v>138.55400847910596</v>
      </c>
      <c r="X495" s="705"/>
      <c r="Y495" s="687"/>
      <c r="Z495" s="614"/>
      <c r="AB495" s="701" t="s">
        <v>946</v>
      </c>
      <c r="AC495" s="702">
        <v>1890000</v>
      </c>
      <c r="AD495" s="702">
        <v>1045000</v>
      </c>
      <c r="AE495" s="702">
        <v>1650000</v>
      </c>
      <c r="AF495" s="702">
        <v>1250000</v>
      </c>
      <c r="AG495" s="702">
        <v>880000</v>
      </c>
      <c r="AH495" s="702">
        <v>900000</v>
      </c>
    </row>
    <row r="496" spans="3:36">
      <c r="C496" t="s">
        <v>940</v>
      </c>
      <c r="D496" s="614">
        <v>336</v>
      </c>
      <c r="F496" s="614">
        <v>694</v>
      </c>
      <c r="I496" s="614"/>
      <c r="N496" s="614"/>
      <c r="P496" s="614"/>
      <c r="Q496" s="714"/>
      <c r="S496" s="681" t="s">
        <v>939</v>
      </c>
      <c r="T496" s="658">
        <v>700000</v>
      </c>
      <c r="U496" t="s">
        <v>986</v>
      </c>
      <c r="V496" s="659">
        <v>5.1467617094194687E-2</v>
      </c>
      <c r="W496" s="687">
        <v>130.2903365434654</v>
      </c>
      <c r="X496" s="705"/>
      <c r="Y496" s="687"/>
      <c r="Z496" s="614"/>
      <c r="AB496" s="608"/>
      <c r="AC496" s="704"/>
      <c r="AD496" s="704"/>
      <c r="AE496" s="704"/>
      <c r="AF496" s="704"/>
      <c r="AG496" s="704"/>
      <c r="AH496" s="704"/>
    </row>
    <row r="497" spans="3:36">
      <c r="C497" t="s">
        <v>941</v>
      </c>
      <c r="D497" s="614">
        <v>474</v>
      </c>
      <c r="F497" s="614">
        <v>652</v>
      </c>
      <c r="I497" s="614"/>
      <c r="N497" s="614"/>
      <c r="P497" s="614"/>
      <c r="Q497" s="614"/>
      <c r="S497" s="681" t="s">
        <v>939</v>
      </c>
      <c r="T497" s="658">
        <v>820000</v>
      </c>
      <c r="U497" t="s">
        <v>991</v>
      </c>
      <c r="V497" s="659">
        <v>6.3129353977949082E-2</v>
      </c>
      <c r="W497" s="687">
        <v>181.56204524372242</v>
      </c>
      <c r="X497" s="705"/>
      <c r="Y497" s="687"/>
      <c r="Z497" s="614"/>
      <c r="AB497" s="608" t="s">
        <v>1034</v>
      </c>
      <c r="AC497" s="704">
        <v>77</v>
      </c>
      <c r="AD497" s="704">
        <v>77</v>
      </c>
      <c r="AE497" s="704">
        <v>77</v>
      </c>
      <c r="AF497" s="704">
        <v>77</v>
      </c>
      <c r="AG497" s="704">
        <v>77</v>
      </c>
      <c r="AH497" s="704">
        <v>77</v>
      </c>
    </row>
    <row r="498" spans="3:36">
      <c r="C498" t="s">
        <v>942</v>
      </c>
      <c r="D498" s="614">
        <v>396</v>
      </c>
      <c r="F498" s="614">
        <v>694</v>
      </c>
      <c r="I498" s="715"/>
      <c r="S498" s="681" t="s">
        <v>939</v>
      </c>
      <c r="T498" s="658">
        <v>570000</v>
      </c>
      <c r="U498" t="s">
        <v>988</v>
      </c>
      <c r="V498" s="659">
        <v>1.7982614452656212E-2</v>
      </c>
      <c r="W498" s="687">
        <v>47.044395336814432</v>
      </c>
      <c r="X498" s="705"/>
      <c r="Y498" s="687"/>
      <c r="Z498" s="614"/>
      <c r="AB498" s="706" t="s">
        <v>1035</v>
      </c>
      <c r="AC498" s="704">
        <v>0</v>
      </c>
      <c r="AD498" s="704">
        <v>0</v>
      </c>
      <c r="AE498" s="704">
        <v>0</v>
      </c>
      <c r="AF498" s="704">
        <v>410</v>
      </c>
      <c r="AG498" s="704">
        <v>410</v>
      </c>
      <c r="AH498" s="704">
        <v>410</v>
      </c>
    </row>
    <row r="499" spans="3:36">
      <c r="C499" t="s">
        <v>988</v>
      </c>
      <c r="D499" s="614">
        <v>510</v>
      </c>
      <c r="F499" s="614">
        <v>480</v>
      </c>
      <c r="I499" s="614"/>
      <c r="N499" s="535"/>
      <c r="P499" s="535"/>
      <c r="Q499" s="535"/>
      <c r="S499" s="681" t="s">
        <v>939</v>
      </c>
      <c r="T499" s="658">
        <v>520000</v>
      </c>
      <c r="U499" s="658" t="s">
        <v>992</v>
      </c>
      <c r="V499" s="659">
        <v>2.9850289869175203E-2</v>
      </c>
      <c r="W499" s="687">
        <v>65.499386209420663</v>
      </c>
      <c r="X499" s="705"/>
      <c r="Y499" s="687"/>
      <c r="Z499" s="614"/>
      <c r="AB499" s="707" t="s">
        <v>1036</v>
      </c>
      <c r="AC499" s="704">
        <v>0</v>
      </c>
      <c r="AD499" s="704">
        <v>0</v>
      </c>
      <c r="AE499" s="704">
        <v>0</v>
      </c>
      <c r="AF499" s="704">
        <v>115</v>
      </c>
      <c r="AG499" s="704">
        <v>160</v>
      </c>
      <c r="AH499" s="704">
        <v>115</v>
      </c>
    </row>
    <row r="500" spans="3:36">
      <c r="C500" t="s">
        <v>990</v>
      </c>
      <c r="D500" s="614">
        <v>400</v>
      </c>
      <c r="F500" s="614">
        <v>620</v>
      </c>
      <c r="I500" s="614"/>
      <c r="N500" s="614"/>
      <c r="P500" s="614"/>
      <c r="Q500" s="714"/>
      <c r="S500" s="681" t="s">
        <v>939</v>
      </c>
      <c r="T500" s="658">
        <v>650000</v>
      </c>
      <c r="U500" t="s">
        <v>989</v>
      </c>
      <c r="V500" s="659">
        <v>3.3154963838308078E-2</v>
      </c>
      <c r="W500" s="687">
        <v>58.163065225109449</v>
      </c>
      <c r="X500" s="705"/>
      <c r="Y500" s="687"/>
      <c r="AB500" s="608" t="s">
        <v>1038</v>
      </c>
      <c r="AC500" s="704">
        <v>56.273774130474294</v>
      </c>
      <c r="AD500" s="704">
        <v>31.114335431928907</v>
      </c>
      <c r="AE500" s="704">
        <v>49.127898050414068</v>
      </c>
      <c r="AF500" s="704">
        <v>37.218104583647019</v>
      </c>
      <c r="AG500" s="704">
        <v>26.201545626887501</v>
      </c>
      <c r="AH500" s="704">
        <v>26.797035300225854</v>
      </c>
    </row>
    <row r="501" spans="3:36" ht="14.65" thickBot="1">
      <c r="C501" t="s">
        <v>991</v>
      </c>
      <c r="D501" s="614">
        <v>360</v>
      </c>
      <c r="F501" s="614">
        <v>560</v>
      </c>
      <c r="I501" s="614"/>
      <c r="N501" s="614"/>
      <c r="P501" s="614"/>
      <c r="Q501" s="714"/>
      <c r="S501" s="690" t="s">
        <v>939</v>
      </c>
      <c r="T501" s="716">
        <v>860000</v>
      </c>
      <c r="U501" s="717" t="s">
        <v>990</v>
      </c>
      <c r="V501" s="718">
        <v>2.3828764799757068E-2</v>
      </c>
      <c r="W501" s="719">
        <v>73.793242698662198</v>
      </c>
      <c r="X501" s="705"/>
      <c r="Y501" s="687"/>
      <c r="AB501" s="709" t="s">
        <v>952</v>
      </c>
      <c r="AC501" s="704">
        <v>450.1930144174508</v>
      </c>
      <c r="AD501" s="704">
        <v>248.91624342128895</v>
      </c>
      <c r="AE501" s="704">
        <v>393.02564750729834</v>
      </c>
      <c r="AF501" s="704">
        <v>297.74670265704418</v>
      </c>
      <c r="AG501" s="704">
        <v>209.61367867055912</v>
      </c>
      <c r="AH501" s="704">
        <v>214.37762591307182</v>
      </c>
    </row>
    <row r="502" spans="3:36">
      <c r="C502" t="s">
        <v>992</v>
      </c>
      <c r="D502" s="614">
        <v>600</v>
      </c>
      <c r="F502" s="614">
        <v>800</v>
      </c>
      <c r="I502" s="614"/>
      <c r="N502" s="614"/>
      <c r="P502" s="614"/>
      <c r="Q502" s="714"/>
      <c r="AB502" s="709" t="s">
        <v>953</v>
      </c>
      <c r="AC502" s="704">
        <v>295.13958507991373</v>
      </c>
      <c r="AD502" s="704">
        <v>163.18564360238616</v>
      </c>
      <c r="AE502" s="704">
        <v>257.66154253008341</v>
      </c>
      <c r="AF502" s="704">
        <v>195.19813828036621</v>
      </c>
      <c r="AG502" s="704">
        <v>137.41948934937781</v>
      </c>
      <c r="AH502" s="704">
        <v>140.54265956186367</v>
      </c>
    </row>
    <row r="503" spans="3:36">
      <c r="N503" s="614"/>
      <c r="P503" s="614"/>
      <c r="Q503" s="714"/>
      <c r="AB503" s="709" t="s">
        <v>954</v>
      </c>
      <c r="AC503" s="704">
        <v>445.60271750527966</v>
      </c>
      <c r="AD503" s="704">
        <v>246.37822211270753</v>
      </c>
      <c r="AE503" s="704">
        <v>389.01824544111713</v>
      </c>
      <c r="AF503" s="704">
        <v>284.18540657224463</v>
      </c>
      <c r="AG503" s="704">
        <v>200.06652622686022</v>
      </c>
      <c r="AH503" s="704">
        <v>204.61349273201617</v>
      </c>
    </row>
    <row r="504" spans="3:36">
      <c r="N504" s="614"/>
      <c r="P504" s="614"/>
      <c r="Q504" s="714"/>
      <c r="AB504" s="608" t="s">
        <v>967</v>
      </c>
      <c r="AC504" s="704">
        <v>1607.2140697560553</v>
      </c>
      <c r="AD504" s="704">
        <v>1311.1744883580395</v>
      </c>
      <c r="AE504" s="704">
        <v>1403.1233942314768</v>
      </c>
      <c r="AF504" s="704">
        <v>478.3375207607308</v>
      </c>
      <c r="AG504" s="704">
        <v>496.86612190409915</v>
      </c>
      <c r="AH504" s="704">
        <v>344.40301494772615</v>
      </c>
    </row>
    <row r="505" spans="3:36">
      <c r="N505" s="614"/>
      <c r="P505" s="614"/>
      <c r="Q505" s="714"/>
      <c r="AB505" s="608" t="s">
        <v>968</v>
      </c>
      <c r="AC505" s="704">
        <v>270.45998554746069</v>
      </c>
      <c r="AD505" s="704">
        <v>183.8118598463173</v>
      </c>
      <c r="AE505" s="704">
        <v>236.11586039857679</v>
      </c>
      <c r="AF505" s="704">
        <v>178.87565181710363</v>
      </c>
      <c r="AG505" s="704">
        <v>154.78893460742509</v>
      </c>
      <c r="AH505" s="704">
        <v>128.79046930831461</v>
      </c>
    </row>
    <row r="506" spans="3:36">
      <c r="N506" s="614"/>
      <c r="P506" s="614"/>
      <c r="Q506" s="614"/>
      <c r="AB506" s="707" t="s">
        <v>969</v>
      </c>
      <c r="AC506" s="704">
        <v>1542.2130970349206</v>
      </c>
      <c r="AD506" s="704">
        <v>988.17639395573997</v>
      </c>
      <c r="AE506" s="704">
        <v>1292.0027626667925</v>
      </c>
      <c r="AF506" s="704">
        <v>254.99555175841942</v>
      </c>
      <c r="AG506" s="704">
        <v>208.03713556962947</v>
      </c>
      <c r="AH506" s="704">
        <v>176.18219490910806</v>
      </c>
    </row>
    <row r="507" spans="3:36">
      <c r="AB507" s="608" t="s">
        <v>958</v>
      </c>
      <c r="AC507" s="704">
        <v>764.44378992979614</v>
      </c>
      <c r="AD507" s="704">
        <v>515.26169211237072</v>
      </c>
      <c r="AE507" s="704">
        <v>840.58940310862772</v>
      </c>
      <c r="AF507" s="704">
        <v>530.37886405247832</v>
      </c>
      <c r="AG507" s="704">
        <v>399.1126476499183</v>
      </c>
      <c r="AH507" s="704">
        <v>491.60475581716588</v>
      </c>
    </row>
    <row r="508" spans="3:36">
      <c r="AB508" s="608" t="s">
        <v>961</v>
      </c>
      <c r="AC508" s="704">
        <v>694</v>
      </c>
      <c r="AD508" s="704">
        <v>652</v>
      </c>
      <c r="AE508" s="704">
        <v>694</v>
      </c>
      <c r="AF508" s="704">
        <v>694</v>
      </c>
      <c r="AG508" s="704">
        <v>652</v>
      </c>
      <c r="AH508" s="704">
        <v>694</v>
      </c>
    </row>
    <row r="509" spans="3:36">
      <c r="AB509" s="608" t="s">
        <v>1043</v>
      </c>
      <c r="AC509" s="704">
        <v>150</v>
      </c>
      <c r="AD509" s="704">
        <v>150</v>
      </c>
      <c r="AE509" s="704">
        <v>150</v>
      </c>
      <c r="AF509" s="704">
        <v>327</v>
      </c>
      <c r="AG509" s="704">
        <v>327</v>
      </c>
      <c r="AH509" s="704">
        <v>327</v>
      </c>
      <c r="AI509" s="658"/>
      <c r="AJ509" s="658"/>
    </row>
    <row r="510" spans="3:36">
      <c r="V510" s="659"/>
      <c r="AB510" s="701" t="s">
        <v>964</v>
      </c>
      <c r="AC510" s="711">
        <v>6783.2872122675517</v>
      </c>
      <c r="AD510" s="711">
        <v>4997.7660577069792</v>
      </c>
      <c r="AE510" s="711">
        <v>6212.4119328005872</v>
      </c>
      <c r="AF510" s="711">
        <v>4153.6662972085205</v>
      </c>
      <c r="AG510" s="711">
        <v>3731.836436331243</v>
      </c>
      <c r="AH510" s="711">
        <v>3624.0416052159781</v>
      </c>
    </row>
    <row r="511" spans="3:36">
      <c r="AB511" s="608"/>
      <c r="AC511" s="707"/>
      <c r="AD511" s="707"/>
      <c r="AE511" s="707"/>
      <c r="AF511" s="707"/>
      <c r="AG511" s="707"/>
      <c r="AH511" s="707"/>
    </row>
    <row r="512" spans="3:36">
      <c r="AB512" s="608" t="s">
        <v>1044</v>
      </c>
      <c r="AC512" s="712">
        <v>5.7231734719759661E-2</v>
      </c>
      <c r="AD512" s="712">
        <v>2.3905044872354456E-2</v>
      </c>
      <c r="AE512" s="712">
        <v>4.9746271692161947E-2</v>
      </c>
      <c r="AF512" s="712">
        <v>3.5176913773888437E-2</v>
      </c>
      <c r="AG512" s="712">
        <v>2.5984858423676111E-2</v>
      </c>
      <c r="AH512" s="712">
        <v>2.5250483093358457E-2</v>
      </c>
    </row>
    <row r="513" spans="28:34">
      <c r="AB513" s="637" t="s">
        <v>1045</v>
      </c>
      <c r="AC513" s="713">
        <v>367.20359549492696</v>
      </c>
      <c r="AD513" s="713">
        <v>116.6825209713752</v>
      </c>
      <c r="AE513" s="713">
        <v>294.39907547807343</v>
      </c>
      <c r="AF513" s="713">
        <v>141.14800981190137</v>
      </c>
      <c r="AG513" s="713">
        <v>94.515275408030902</v>
      </c>
      <c r="AH513" s="713">
        <v>89.255067704075373</v>
      </c>
    </row>
    <row r="514" spans="28:34">
      <c r="AF514" s="658"/>
      <c r="AG514" s="658"/>
      <c r="AH514" s="658"/>
    </row>
    <row r="516" spans="28:34">
      <c r="AB516" s="619" t="s">
        <v>1050</v>
      </c>
    </row>
    <row r="517" spans="28:34">
      <c r="AB517" s="638"/>
      <c r="AC517" s="638"/>
      <c r="AD517" s="638"/>
      <c r="AE517" s="638"/>
      <c r="AF517" s="638"/>
      <c r="AG517" s="638"/>
      <c r="AH517" s="638"/>
    </row>
    <row r="518" spans="28:34">
      <c r="AB518" s="697" t="s">
        <v>1024</v>
      </c>
      <c r="AC518" s="698" t="s">
        <v>1025</v>
      </c>
      <c r="AD518" s="698" t="s">
        <v>1026</v>
      </c>
      <c r="AE518" s="698" t="s">
        <v>1027</v>
      </c>
      <c r="AF518" s="698" t="s">
        <v>1025</v>
      </c>
      <c r="AG518" s="698" t="s">
        <v>1026</v>
      </c>
      <c r="AH518" s="698" t="s">
        <v>1027</v>
      </c>
    </row>
    <row r="519" spans="28:34">
      <c r="AB519" s="697" t="s">
        <v>974</v>
      </c>
      <c r="AC519" s="720" t="s">
        <v>1051</v>
      </c>
      <c r="AD519" s="720" t="s">
        <v>1051</v>
      </c>
      <c r="AE519" s="720" t="s">
        <v>1051</v>
      </c>
      <c r="AF519" s="698" t="s">
        <v>1049</v>
      </c>
      <c r="AG519" s="698" t="s">
        <v>1049</v>
      </c>
      <c r="AH519" s="698" t="s">
        <v>1049</v>
      </c>
    </row>
    <row r="520" spans="28:34">
      <c r="AB520" s="701" t="s">
        <v>946</v>
      </c>
      <c r="AC520" s="702">
        <v>2081000</v>
      </c>
      <c r="AD520" s="702">
        <v>1100000</v>
      </c>
      <c r="AE520" s="702">
        <v>1700000</v>
      </c>
      <c r="AF520" s="702">
        <v>1260000</v>
      </c>
      <c r="AG520" s="702">
        <v>900000</v>
      </c>
      <c r="AH520" s="702">
        <v>900000</v>
      </c>
    </row>
    <row r="521" spans="28:34">
      <c r="AB521" s="608"/>
      <c r="AC521" s="704"/>
      <c r="AD521" s="704"/>
      <c r="AE521" s="704"/>
      <c r="AF521" s="704"/>
      <c r="AG521" s="704"/>
      <c r="AH521" s="704"/>
    </row>
    <row r="522" spans="28:34">
      <c r="AB522" s="608" t="s">
        <v>1034</v>
      </c>
      <c r="AC522" s="704">
        <v>77</v>
      </c>
      <c r="AD522" s="704">
        <v>77</v>
      </c>
      <c r="AE522" s="704">
        <v>77</v>
      </c>
      <c r="AF522" s="704">
        <v>77</v>
      </c>
      <c r="AG522" s="704">
        <v>77</v>
      </c>
      <c r="AH522" s="704">
        <v>77</v>
      </c>
    </row>
    <row r="523" spans="28:34">
      <c r="AB523" s="706" t="s">
        <v>1035</v>
      </c>
      <c r="AC523" s="704">
        <v>0</v>
      </c>
      <c r="AD523" s="704">
        <v>0</v>
      </c>
      <c r="AE523" s="704">
        <v>0</v>
      </c>
      <c r="AF523" s="704">
        <v>410</v>
      </c>
      <c r="AG523" s="704">
        <v>410</v>
      </c>
      <c r="AH523" s="704">
        <v>410</v>
      </c>
    </row>
    <row r="524" spans="28:34">
      <c r="AB524" s="707" t="s">
        <v>1036</v>
      </c>
      <c r="AC524" s="704">
        <v>0</v>
      </c>
      <c r="AD524" s="704">
        <v>0</v>
      </c>
      <c r="AE524" s="704">
        <v>0</v>
      </c>
      <c r="AF524" s="704">
        <v>115</v>
      </c>
      <c r="AG524" s="704">
        <v>160</v>
      </c>
      <c r="AH524" s="704">
        <v>115</v>
      </c>
    </row>
    <row r="525" spans="28:34">
      <c r="AB525" s="608" t="s">
        <v>1038</v>
      </c>
      <c r="AC525" s="704">
        <v>74.352840613026672</v>
      </c>
      <c r="AD525" s="704">
        <v>39.302318440331256</v>
      </c>
      <c r="AE525" s="704">
        <v>60.739946680511935</v>
      </c>
      <c r="AF525" s="704">
        <v>39.391641891332007</v>
      </c>
      <c r="AG525" s="704">
        <v>28.136887065237151</v>
      </c>
      <c r="AH525" s="704">
        <v>28.136887065237151</v>
      </c>
    </row>
    <row r="526" spans="28:34">
      <c r="AB526" s="709" t="s">
        <v>952</v>
      </c>
      <c r="AC526" s="704">
        <v>1734.9104870420651</v>
      </c>
      <c r="AD526" s="704">
        <v>917.0598441836961</v>
      </c>
      <c r="AE526" s="704">
        <v>1417.2743046475302</v>
      </c>
      <c r="AF526" s="704">
        <v>487.70909895223838</v>
      </c>
      <c r="AG526" s="704">
        <v>348.36364210874171</v>
      </c>
      <c r="AH526" s="704">
        <v>348.36364210874171</v>
      </c>
    </row>
    <row r="527" spans="28:34">
      <c r="AB527" s="709" t="s">
        <v>953</v>
      </c>
      <c r="AC527" s="704">
        <v>324.96586060915371</v>
      </c>
      <c r="AD527" s="704">
        <v>171.77436168672227</v>
      </c>
      <c r="AE527" s="704">
        <v>265.46946806129807</v>
      </c>
      <c r="AF527" s="704">
        <v>196.75972338660915</v>
      </c>
      <c r="AG527" s="704">
        <v>140.54265956186367</v>
      </c>
      <c r="AH527" s="704">
        <v>140.54265956186367</v>
      </c>
    </row>
    <row r="528" spans="28:34">
      <c r="AB528" s="709" t="s">
        <v>954</v>
      </c>
      <c r="AC528" s="704">
        <v>492.61826957862542</v>
      </c>
      <c r="AD528" s="704">
        <v>260.39408771575586</v>
      </c>
      <c r="AE528" s="704">
        <v>402.42722646980451</v>
      </c>
      <c r="AF528" s="704">
        <v>286.75916808648486</v>
      </c>
      <c r="AG528" s="704">
        <v>204.82797720463208</v>
      </c>
      <c r="AH528" s="704">
        <v>204.82797720463208</v>
      </c>
    </row>
    <row r="529" spans="28:34">
      <c r="AB529" s="608" t="s">
        <v>967</v>
      </c>
      <c r="AC529" s="704">
        <v>1769.6362323610324</v>
      </c>
      <c r="AD529" s="704">
        <v>1380.183671955831</v>
      </c>
      <c r="AE529" s="704">
        <v>1445.642284965764</v>
      </c>
      <c r="AF529" s="704">
        <v>482.1642209268166</v>
      </c>
      <c r="AG529" s="704">
        <v>508.15853376555594</v>
      </c>
      <c r="AH529" s="704">
        <v>344.40301494772615</v>
      </c>
    </row>
    <row r="530" spans="28:34">
      <c r="AB530" s="608" t="s">
        <v>968</v>
      </c>
      <c r="AC530" s="704">
        <v>297.7921851451141</v>
      </c>
      <c r="AD530" s="704">
        <v>193.48616825928136</v>
      </c>
      <c r="AE530" s="704">
        <v>243.27088647126092</v>
      </c>
      <c r="AF530" s="704">
        <v>180.30665703164044</v>
      </c>
      <c r="AG530" s="704">
        <v>158.30686493941204</v>
      </c>
      <c r="AH530" s="704">
        <v>128.79046930831461</v>
      </c>
    </row>
    <row r="531" spans="28:34">
      <c r="AB531" s="707" t="s">
        <v>969</v>
      </c>
      <c r="AC531" s="704">
        <v>1698.0663782696665</v>
      </c>
      <c r="AD531" s="704">
        <v>1040.1856778481474</v>
      </c>
      <c r="AE531" s="704">
        <v>1331.1543615354831</v>
      </c>
      <c r="AF531" s="704">
        <v>257.03551617248678</v>
      </c>
      <c r="AG531" s="704">
        <v>212.76525228712106</v>
      </c>
      <c r="AH531" s="704">
        <v>176.18219490910806</v>
      </c>
    </row>
    <row r="532" spans="28:34">
      <c r="AB532" s="608" t="s">
        <v>958</v>
      </c>
      <c r="AC532" s="704">
        <v>875.30209931184879</v>
      </c>
      <c r="AD532" s="704">
        <v>573.33621434359679</v>
      </c>
      <c r="AE532" s="704">
        <v>934.54680814863673</v>
      </c>
      <c r="AF532" s="704">
        <v>532.22189496489807</v>
      </c>
      <c r="AG532" s="704">
        <v>403.63793509650736</v>
      </c>
      <c r="AH532" s="704">
        <v>491.60475581716588</v>
      </c>
    </row>
    <row r="533" spans="28:34">
      <c r="AB533" s="608" t="s">
        <v>961</v>
      </c>
      <c r="AC533" s="704">
        <v>2776</v>
      </c>
      <c r="AD533" s="704">
        <v>1956</v>
      </c>
      <c r="AE533" s="704">
        <v>1041</v>
      </c>
      <c r="AF533" s="704">
        <v>694</v>
      </c>
      <c r="AG533" s="704">
        <v>652</v>
      </c>
      <c r="AH533" s="704">
        <v>694</v>
      </c>
    </row>
    <row r="534" spans="28:34">
      <c r="AB534" s="608" t="s">
        <v>1043</v>
      </c>
      <c r="AC534" s="704">
        <v>150</v>
      </c>
      <c r="AD534" s="704">
        <v>150</v>
      </c>
      <c r="AE534" s="704">
        <v>150</v>
      </c>
      <c r="AF534" s="704">
        <v>327</v>
      </c>
      <c r="AG534" s="704">
        <v>327</v>
      </c>
      <c r="AH534" s="704">
        <v>327</v>
      </c>
    </row>
    <row r="535" spans="28:34">
      <c r="AB535" s="701" t="s">
        <v>964</v>
      </c>
      <c r="AC535" s="711">
        <v>10912.16718018744</v>
      </c>
      <c r="AD535" s="711">
        <v>7400.2451716902706</v>
      </c>
      <c r="AE535" s="711">
        <v>8010.0481142371973</v>
      </c>
      <c r="AF535" s="711">
        <v>4411.7721902366702</v>
      </c>
      <c r="AG535" s="711">
        <v>3957.1640208532344</v>
      </c>
      <c r="AH535" s="711">
        <v>3812.2758697469526</v>
      </c>
    </row>
    <row r="536" spans="28:34">
      <c r="AB536" s="608"/>
      <c r="AC536" s="707"/>
      <c r="AD536" s="707"/>
      <c r="AE536" s="707"/>
      <c r="AF536" s="707"/>
      <c r="AG536" s="707"/>
      <c r="AH536" s="707"/>
    </row>
    <row r="537" spans="28:34">
      <c r="AB537" s="608" t="s">
        <v>1044</v>
      </c>
      <c r="AC537" s="712">
        <v>3.680162043614138E-2</v>
      </c>
      <c r="AD537" s="712">
        <v>9.1354456700213794E-3</v>
      </c>
      <c r="AE537" s="712">
        <v>2.6769462653466945E-2</v>
      </c>
      <c r="AF537" s="712">
        <v>2.8860034926461574E-2</v>
      </c>
      <c r="AG537" s="712">
        <v>2.0847192968785951E-2</v>
      </c>
      <c r="AH537" s="712">
        <v>1.9831906334442172E-2</v>
      </c>
    </row>
    <row r="538" spans="28:34">
      <c r="AB538" s="637" t="s">
        <v>1045</v>
      </c>
      <c r="AC538" s="713">
        <v>387.33102532386692</v>
      </c>
      <c r="AD538" s="713">
        <v>66.992531082810274</v>
      </c>
      <c r="AE538" s="713">
        <v>208.83430180365031</v>
      </c>
      <c r="AF538" s="713">
        <v>123.75240088601822</v>
      </c>
      <c r="AG538" s="713">
        <v>80.811077818565082</v>
      </c>
      <c r="AH538" s="713">
        <v>74.134470102646446</v>
      </c>
    </row>
    <row r="541" spans="28:34">
      <c r="AB541" s="619" t="s">
        <v>1052</v>
      </c>
    </row>
    <row r="542" spans="28:34">
      <c r="AB542" s="638"/>
      <c r="AC542" s="638"/>
      <c r="AD542" s="638"/>
      <c r="AE542" s="638"/>
      <c r="AF542" s="638"/>
    </row>
    <row r="543" spans="28:34">
      <c r="AB543" s="697" t="s">
        <v>1024</v>
      </c>
      <c r="AC543" s="698" t="s">
        <v>1053</v>
      </c>
      <c r="AD543" s="698" t="s">
        <v>1026</v>
      </c>
      <c r="AE543" s="698" t="s">
        <v>1053</v>
      </c>
      <c r="AF543" s="698" t="s">
        <v>1026</v>
      </c>
    </row>
    <row r="544" spans="28:34">
      <c r="AB544" s="697" t="s">
        <v>974</v>
      </c>
      <c r="AC544" s="720" t="s">
        <v>975</v>
      </c>
      <c r="AD544" s="720" t="s">
        <v>975</v>
      </c>
      <c r="AE544" s="720" t="s">
        <v>976</v>
      </c>
      <c r="AF544" s="645" t="s">
        <v>976</v>
      </c>
    </row>
    <row r="545" spans="28:32">
      <c r="AB545" s="701" t="s">
        <v>946</v>
      </c>
      <c r="AC545" s="702">
        <v>4100000</v>
      </c>
      <c r="AD545" s="702">
        <v>5050000</v>
      </c>
      <c r="AE545" s="702">
        <v>2050000</v>
      </c>
      <c r="AF545" s="702">
        <v>1560000</v>
      </c>
    </row>
    <row r="546" spans="28:32">
      <c r="AB546" s="608"/>
      <c r="AC546" s="704"/>
      <c r="AD546" s="704"/>
      <c r="AE546" s="704"/>
      <c r="AF546" s="704"/>
    </row>
    <row r="547" spans="28:32">
      <c r="AB547" s="608" t="s">
        <v>1034</v>
      </c>
      <c r="AC547" s="704">
        <v>77</v>
      </c>
      <c r="AD547" s="704">
        <v>77</v>
      </c>
      <c r="AE547" s="704">
        <v>77</v>
      </c>
      <c r="AF547" s="704">
        <v>77</v>
      </c>
    </row>
    <row r="548" spans="28:32">
      <c r="AB548" s="706" t="s">
        <v>1035</v>
      </c>
      <c r="AC548" s="704">
        <v>410</v>
      </c>
      <c r="AD548" s="704">
        <v>410</v>
      </c>
      <c r="AE548" s="704">
        <v>410</v>
      </c>
      <c r="AF548" s="704">
        <v>410</v>
      </c>
    </row>
    <row r="549" spans="28:32">
      <c r="AB549" s="707" t="s">
        <v>1036</v>
      </c>
      <c r="AC549" s="704">
        <v>115</v>
      </c>
      <c r="AD549" s="704">
        <v>160</v>
      </c>
      <c r="AE549" s="704">
        <v>115</v>
      </c>
      <c r="AF549" s="704">
        <v>160</v>
      </c>
    </row>
    <row r="550" spans="28:32">
      <c r="AB550" s="608" t="s">
        <v>1038</v>
      </c>
      <c r="AC550" s="704">
        <v>146.49045964123468</v>
      </c>
      <c r="AD550" s="704">
        <v>180.43337102152074</v>
      </c>
      <c r="AE550" s="704">
        <v>73.24522982061734</v>
      </c>
      <c r="AF550" s="704">
        <v>55.737833424469777</v>
      </c>
    </row>
    <row r="551" spans="28:32">
      <c r="AB551" s="709" t="s">
        <v>952</v>
      </c>
      <c r="AC551" s="704">
        <v>195.321836943021</v>
      </c>
      <c r="AD551" s="704">
        <v>240.57933574689173</v>
      </c>
      <c r="AE551" s="704">
        <v>292.98275541453148</v>
      </c>
      <c r="AF551" s="704">
        <v>222.95273094959467</v>
      </c>
    </row>
    <row r="552" spans="28:32">
      <c r="AB552" s="709" t="s">
        <v>953</v>
      </c>
      <c r="AC552" s="704">
        <v>480.18742016970089</v>
      </c>
      <c r="AD552" s="704">
        <v>591.4503589895096</v>
      </c>
      <c r="AE552" s="704">
        <v>320.12494677980067</v>
      </c>
      <c r="AF552" s="704">
        <v>243.60727657389711</v>
      </c>
    </row>
    <row r="553" spans="28:32">
      <c r="AB553" s="709" t="s">
        <v>954</v>
      </c>
      <c r="AC553" s="704">
        <v>690.46528411626855</v>
      </c>
      <c r="AD553" s="704">
        <v>850.45114263101368</v>
      </c>
      <c r="AE553" s="704">
        <v>460.31018941084568</v>
      </c>
      <c r="AF553" s="704">
        <v>350.28482706386302</v>
      </c>
    </row>
    <row r="554" spans="28:32">
      <c r="AB554" s="608" t="s">
        <v>967</v>
      </c>
      <c r="AC554" s="704">
        <v>753.09459268569447</v>
      </c>
      <c r="AD554" s="704">
        <v>1368.6403176085641</v>
      </c>
      <c r="AE554" s="704">
        <v>464.87320536153982</v>
      </c>
      <c r="AF554" s="704">
        <v>521.96037048511425</v>
      </c>
    </row>
    <row r="555" spans="28:32">
      <c r="AB555" s="608" t="s">
        <v>968</v>
      </c>
      <c r="AC555" s="704">
        <v>0</v>
      </c>
      <c r="AD555" s="704">
        <v>0</v>
      </c>
      <c r="AE555" s="704">
        <v>0</v>
      </c>
      <c r="AF555" s="704">
        <v>0</v>
      </c>
    </row>
    <row r="556" spans="28:32">
      <c r="AB556" s="707" t="s">
        <v>969</v>
      </c>
      <c r="AC556" s="704">
        <v>0</v>
      </c>
      <c r="AD556" s="704">
        <v>0</v>
      </c>
      <c r="AE556" s="704">
        <v>0</v>
      </c>
      <c r="AF556" s="704">
        <v>0</v>
      </c>
    </row>
    <row r="557" spans="28:32">
      <c r="AB557" s="608" t="s">
        <v>958</v>
      </c>
      <c r="AC557" s="704">
        <v>0</v>
      </c>
      <c r="AD557" s="704">
        <v>0</v>
      </c>
      <c r="AE557" s="704">
        <v>0</v>
      </c>
      <c r="AF557" s="704">
        <v>0</v>
      </c>
    </row>
    <row r="558" spans="28:32">
      <c r="AB558" s="608" t="s">
        <v>961</v>
      </c>
      <c r="AC558" s="704">
        <v>0</v>
      </c>
      <c r="AD558" s="704">
        <v>0</v>
      </c>
      <c r="AE558" s="704">
        <v>0</v>
      </c>
      <c r="AF558" s="704">
        <v>0</v>
      </c>
    </row>
    <row r="559" spans="28:32">
      <c r="AB559" s="608" t="s">
        <v>1043</v>
      </c>
      <c r="AC559" s="704">
        <v>327</v>
      </c>
      <c r="AD559" s="704">
        <v>327</v>
      </c>
      <c r="AE559" s="704">
        <v>327</v>
      </c>
      <c r="AF559" s="704">
        <v>327</v>
      </c>
    </row>
    <row r="560" spans="28:32">
      <c r="AB560" s="701" t="s">
        <v>964</v>
      </c>
      <c r="AC560" s="711">
        <v>3509.9114420253586</v>
      </c>
      <c r="AD560" s="711">
        <v>4520.9063744669384</v>
      </c>
      <c r="AE560" s="711">
        <v>2753.5512432968285</v>
      </c>
      <c r="AF560" s="711">
        <v>2581.5579550064322</v>
      </c>
    </row>
    <row r="561" spans="28:32">
      <c r="AB561" s="608"/>
      <c r="AC561" s="707"/>
      <c r="AD561" s="707"/>
      <c r="AE561" s="707"/>
      <c r="AF561" s="707"/>
    </row>
    <row r="562" spans="28:32">
      <c r="AB562" s="608" t="s">
        <v>1044</v>
      </c>
      <c r="AC562" s="712">
        <v>6.8177672052485067E-2</v>
      </c>
      <c r="AD562" s="712">
        <v>3.4597320331747825E-2</v>
      </c>
      <c r="AE562" s="712">
        <v>5.2984380493528063E-2</v>
      </c>
      <c r="AF562" s="712">
        <v>2.3163382792669905E-2</v>
      </c>
    </row>
    <row r="563" spans="28:32">
      <c r="AB563" s="637" t="s">
        <v>1045</v>
      </c>
      <c r="AC563" s="713">
        <v>224.02414643985549</v>
      </c>
      <c r="AD563" s="713">
        <v>151.18079561342711</v>
      </c>
      <c r="AE563" s="713">
        <v>138.55400847910596</v>
      </c>
      <c r="AF563" s="713">
        <v>58.443857666271924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40"/>
  <sheetViews>
    <sheetView topLeftCell="B22" workbookViewId="0">
      <selection activeCell="C51" sqref="C51"/>
    </sheetView>
  </sheetViews>
  <sheetFormatPr defaultRowHeight="14.25"/>
  <cols>
    <col min="1" max="1" width="14.7109375" style="534" hidden="1" customWidth="1"/>
    <col min="2" max="2" width="8.7109375" style="535" customWidth="1"/>
    <col min="3" max="3" width="30.7109375" customWidth="1"/>
    <col min="4" max="5" width="15.7109375" style="536" customWidth="1"/>
    <col min="6" max="6" width="13.7109375" style="536" customWidth="1"/>
    <col min="7" max="7" width="6.7109375" style="536" customWidth="1"/>
    <col min="8" max="8" width="2.5703125" style="536" customWidth="1"/>
    <col min="9" max="10" width="15.7109375" style="536" customWidth="1"/>
    <col min="11" max="11" width="13.7109375" style="536" customWidth="1"/>
    <col min="12" max="12" width="6.7109375" style="536" customWidth="1"/>
    <col min="13" max="13" width="2.5703125" style="536" customWidth="1"/>
    <col min="14" max="14" width="15.7109375" style="536" customWidth="1"/>
    <col min="15" max="15" width="15.7109375" style="537" customWidth="1"/>
    <col min="16" max="17" width="50.7109375" customWidth="1"/>
  </cols>
  <sheetData>
    <row r="1" spans="1:20" s="533" customFormat="1" hidden="1">
      <c r="A1" s="722" t="s">
        <v>1054</v>
      </c>
      <c r="B1" s="723" t="s">
        <v>1055</v>
      </c>
      <c r="C1" s="724"/>
      <c r="D1" s="725"/>
      <c r="E1" s="725"/>
      <c r="F1" s="725"/>
      <c r="G1" s="725"/>
      <c r="H1" s="725"/>
      <c r="I1" s="725"/>
      <c r="J1" s="725"/>
      <c r="K1" s="725"/>
      <c r="L1" s="725"/>
      <c r="M1" s="725"/>
      <c r="N1" s="725"/>
      <c r="O1" s="726"/>
      <c r="P1" s="724"/>
      <c r="Q1" s="724"/>
      <c r="R1" s="724"/>
      <c r="S1" s="724"/>
      <c r="T1" s="724"/>
    </row>
    <row r="2" spans="1:20">
      <c r="A2" s="534" t="s">
        <v>1056</v>
      </c>
    </row>
    <row r="3" spans="1:20" ht="25.5">
      <c r="A3" s="534" t="s">
        <v>1057</v>
      </c>
      <c r="B3" s="538" t="s">
        <v>1058</v>
      </c>
    </row>
    <row r="4" spans="1:20" ht="21">
      <c r="A4" s="534" t="s">
        <v>1057</v>
      </c>
      <c r="B4" s="539" t="s">
        <v>1059</v>
      </c>
      <c r="C4" s="540"/>
    </row>
    <row r="5" spans="1:20" ht="18">
      <c r="A5" s="534" t="s">
        <v>1057</v>
      </c>
      <c r="B5" s="541" t="s">
        <v>1060</v>
      </c>
      <c r="C5" s="540"/>
      <c r="P5" s="535"/>
      <c r="Q5" s="535" t="s">
        <v>1061</v>
      </c>
    </row>
    <row r="6" spans="1:20" ht="18">
      <c r="A6" s="534" t="s">
        <v>1057</v>
      </c>
      <c r="B6" s="541" t="s">
        <v>1062</v>
      </c>
      <c r="C6" s="540"/>
    </row>
    <row r="7" spans="1:20" ht="21.4" thickBot="1">
      <c r="A7" s="534" t="s">
        <v>1057</v>
      </c>
      <c r="B7" s="542"/>
      <c r="C7" s="540"/>
    </row>
    <row r="8" spans="1:20">
      <c r="A8" s="534" t="s">
        <v>1063</v>
      </c>
      <c r="B8" s="543" t="s">
        <v>1064</v>
      </c>
      <c r="C8" s="544" t="s">
        <v>1065</v>
      </c>
      <c r="D8" s="545" t="s">
        <v>1066</v>
      </c>
      <c r="E8" s="545" t="s">
        <v>1066</v>
      </c>
      <c r="F8" s="545"/>
      <c r="G8" s="546" t="s">
        <v>1067</v>
      </c>
      <c r="H8" s="547"/>
      <c r="I8" s="548" t="s">
        <v>1068</v>
      </c>
      <c r="J8" s="545" t="s">
        <v>1068</v>
      </c>
      <c r="K8" s="545"/>
      <c r="L8" s="546" t="s">
        <v>1067</v>
      </c>
      <c r="N8" s="548" t="s">
        <v>1069</v>
      </c>
      <c r="O8" s="549" t="s">
        <v>1070</v>
      </c>
      <c r="P8" s="550" t="s">
        <v>1071</v>
      </c>
      <c r="Q8" s="550" t="s">
        <v>1072</v>
      </c>
    </row>
    <row r="9" spans="1:20">
      <c r="A9" s="534" t="s">
        <v>1057</v>
      </c>
      <c r="B9" s="551"/>
      <c r="C9" s="552"/>
      <c r="D9" s="553" t="s">
        <v>1073</v>
      </c>
      <c r="E9" s="553" t="s">
        <v>1074</v>
      </c>
      <c r="F9" s="553" t="s">
        <v>1075</v>
      </c>
      <c r="G9" s="554" t="s">
        <v>1076</v>
      </c>
      <c r="H9" s="547"/>
      <c r="I9" s="555" t="s">
        <v>1077</v>
      </c>
      <c r="J9" s="553" t="s">
        <v>1074</v>
      </c>
      <c r="K9" s="553" t="s">
        <v>1075</v>
      </c>
      <c r="L9" s="554" t="s">
        <v>1076</v>
      </c>
      <c r="N9" s="555" t="s">
        <v>1074</v>
      </c>
      <c r="O9" s="556" t="s">
        <v>1078</v>
      </c>
      <c r="P9" s="557"/>
      <c r="Q9" s="557"/>
    </row>
    <row r="10" spans="1:20">
      <c r="A10" s="534" t="s">
        <v>1057</v>
      </c>
      <c r="B10" s="558"/>
      <c r="C10" s="559"/>
      <c r="D10" s="560"/>
      <c r="E10" s="561"/>
      <c r="F10" s="560"/>
      <c r="G10" s="562"/>
      <c r="H10" s="563"/>
      <c r="I10" s="564"/>
      <c r="J10" s="560"/>
      <c r="K10" s="560"/>
      <c r="L10" s="562"/>
      <c r="M10" s="563"/>
      <c r="N10" s="564"/>
      <c r="O10" s="565"/>
      <c r="P10" s="566"/>
      <c r="Q10" s="566"/>
    </row>
    <row r="11" spans="1:20">
      <c r="A11" s="534" t="s">
        <v>1079</v>
      </c>
      <c r="B11" s="567" t="s">
        <v>1080</v>
      </c>
      <c r="C11" s="559" t="s">
        <v>1081</v>
      </c>
      <c r="D11" s="568">
        <v>851575.55</v>
      </c>
      <c r="E11" s="569">
        <v>854414.54</v>
      </c>
      <c r="F11" s="568">
        <v>2838.99</v>
      </c>
      <c r="G11" s="570" t="s">
        <v>1082</v>
      </c>
      <c r="H11" s="571"/>
      <c r="I11" s="572">
        <v>10206351.02</v>
      </c>
      <c r="J11" s="568">
        <v>10252974.48</v>
      </c>
      <c r="K11" s="568">
        <v>46623.46</v>
      </c>
      <c r="L11" s="570" t="s">
        <v>1082</v>
      </c>
      <c r="M11" s="571"/>
      <c r="N11" s="572">
        <v>10252974.48</v>
      </c>
      <c r="O11" s="565">
        <v>0.99545268935459197</v>
      </c>
      <c r="P11" s="573"/>
      <c r="Q11" s="573"/>
      <c r="R11" s="574" t="s">
        <v>1083</v>
      </c>
      <c r="S11">
        <v>12</v>
      </c>
      <c r="T11" s="574" t="s">
        <v>1084</v>
      </c>
    </row>
    <row r="12" spans="1:20">
      <c r="A12" s="534" t="s">
        <v>1079</v>
      </c>
      <c r="B12" s="567" t="s">
        <v>1085</v>
      </c>
      <c r="C12" s="559" t="s">
        <v>1086</v>
      </c>
      <c r="D12" s="568">
        <v>460802.03</v>
      </c>
      <c r="E12" s="569">
        <v>391266.08</v>
      </c>
      <c r="F12" s="568">
        <v>-69535.95</v>
      </c>
      <c r="G12" s="570" t="s">
        <v>1087</v>
      </c>
      <c r="H12" s="571"/>
      <c r="I12" s="572">
        <v>4044289.42</v>
      </c>
      <c r="J12" s="568">
        <v>4695192.96</v>
      </c>
      <c r="K12" s="568">
        <v>650903.54</v>
      </c>
      <c r="L12" s="570" t="s">
        <v>1082</v>
      </c>
      <c r="M12" s="571"/>
      <c r="N12" s="572">
        <v>4695192.96</v>
      </c>
      <c r="O12" s="565">
        <v>0.86136809593444297</v>
      </c>
      <c r="P12" s="573"/>
      <c r="Q12" s="573"/>
      <c r="R12" s="574" t="s">
        <v>1083</v>
      </c>
      <c r="S12">
        <v>12</v>
      </c>
      <c r="T12" s="574" t="s">
        <v>1084</v>
      </c>
    </row>
    <row r="13" spans="1:20">
      <c r="A13" s="534" t="s">
        <v>1079</v>
      </c>
      <c r="B13" s="567" t="s">
        <v>1088</v>
      </c>
      <c r="C13" s="559" t="s">
        <v>1089</v>
      </c>
      <c r="D13" s="568">
        <v>0</v>
      </c>
      <c r="E13" s="569">
        <v>7083.37</v>
      </c>
      <c r="F13" s="568">
        <v>7083.37</v>
      </c>
      <c r="G13" s="570" t="s">
        <v>1082</v>
      </c>
      <c r="H13" s="571"/>
      <c r="I13" s="572">
        <v>106788.85</v>
      </c>
      <c r="J13" s="568">
        <v>85000</v>
      </c>
      <c r="K13" s="568">
        <v>-21788.85</v>
      </c>
      <c r="L13" s="570" t="s">
        <v>1087</v>
      </c>
      <c r="M13" s="571"/>
      <c r="N13" s="572">
        <v>85000</v>
      </c>
      <c r="O13" s="565">
        <v>1.25633941176471</v>
      </c>
      <c r="P13" s="573"/>
      <c r="Q13" s="573"/>
      <c r="R13" s="574" t="s">
        <v>1083</v>
      </c>
      <c r="S13">
        <v>12</v>
      </c>
      <c r="T13" s="574" t="s">
        <v>1084</v>
      </c>
    </row>
    <row r="14" spans="1:20">
      <c r="A14" s="534" t="s">
        <v>1079</v>
      </c>
      <c r="B14" s="567" t="s">
        <v>1090</v>
      </c>
      <c r="C14" s="559" t="s">
        <v>1091</v>
      </c>
      <c r="D14" s="568">
        <v>-149743.4</v>
      </c>
      <c r="E14" s="569">
        <v>3360000</v>
      </c>
      <c r="F14" s="568">
        <v>3509743.4</v>
      </c>
      <c r="G14" s="570" t="s">
        <v>1082</v>
      </c>
      <c r="H14" s="571"/>
      <c r="I14" s="572">
        <v>5057898.7699999996</v>
      </c>
      <c r="J14" s="568">
        <v>3360000</v>
      </c>
      <c r="K14" s="568">
        <v>-1697898.77</v>
      </c>
      <c r="L14" s="570" t="s">
        <v>1087</v>
      </c>
      <c r="M14" s="571"/>
      <c r="N14" s="572">
        <v>3360000</v>
      </c>
      <c r="O14" s="565">
        <v>1.5053270148809501</v>
      </c>
      <c r="P14" s="573"/>
      <c r="Q14" s="573"/>
      <c r="R14" s="574" t="s">
        <v>1083</v>
      </c>
      <c r="S14">
        <v>12</v>
      </c>
      <c r="T14" s="574" t="s">
        <v>1084</v>
      </c>
    </row>
    <row r="15" spans="1:20">
      <c r="A15" s="534" t="s">
        <v>1079</v>
      </c>
      <c r="B15" s="567" t="s">
        <v>1092</v>
      </c>
      <c r="C15" s="559" t="s">
        <v>1093</v>
      </c>
      <c r="D15" s="568">
        <v>0</v>
      </c>
      <c r="E15" s="569">
        <v>0</v>
      </c>
      <c r="F15" s="568">
        <v>0</v>
      </c>
      <c r="G15" s="570" t="s">
        <v>1087</v>
      </c>
      <c r="H15" s="571"/>
      <c r="I15" s="572">
        <v>0</v>
      </c>
      <c r="J15" s="568">
        <v>0</v>
      </c>
      <c r="K15" s="568">
        <v>0</v>
      </c>
      <c r="L15" s="570" t="s">
        <v>1087</v>
      </c>
      <c r="M15" s="571"/>
      <c r="N15" s="572">
        <v>0</v>
      </c>
      <c r="O15" s="565">
        <v>0</v>
      </c>
      <c r="P15" s="573"/>
      <c r="Q15" s="573"/>
      <c r="R15" s="574" t="s">
        <v>1083</v>
      </c>
      <c r="S15">
        <v>12</v>
      </c>
      <c r="T15" s="574" t="s">
        <v>1084</v>
      </c>
    </row>
    <row r="16" spans="1:20">
      <c r="A16" s="534" t="s">
        <v>1057</v>
      </c>
      <c r="B16" s="558"/>
      <c r="C16" s="559"/>
      <c r="D16" s="575"/>
      <c r="E16" s="575"/>
      <c r="F16" s="575"/>
      <c r="G16" s="576"/>
      <c r="H16" s="571"/>
      <c r="I16" s="577"/>
      <c r="J16" s="575"/>
      <c r="K16" s="575"/>
      <c r="L16" s="576"/>
      <c r="M16" s="571"/>
      <c r="N16" s="577"/>
      <c r="O16" s="578"/>
      <c r="P16" s="573"/>
      <c r="Q16" s="573"/>
    </row>
    <row r="17" spans="1:20">
      <c r="A17" s="534" t="s">
        <v>1057</v>
      </c>
      <c r="B17" s="579"/>
      <c r="C17" s="580" t="s">
        <v>1094</v>
      </c>
      <c r="D17" s="581">
        <f>SUBTOTAL(9,D11:D16)</f>
        <v>1162634.1800000002</v>
      </c>
      <c r="E17" s="581">
        <f>SUBTOTAL(9,E11:E16)</f>
        <v>4612763.99</v>
      </c>
      <c r="F17" s="581">
        <f>SUBTOTAL(9,F11:F16)</f>
        <v>3450129.81</v>
      </c>
      <c r="G17" s="582" t="str">
        <f>IF(E17-D17&lt;0,"F","U")</f>
        <v>U</v>
      </c>
      <c r="H17" s="583"/>
      <c r="I17" s="584">
        <f>SUBTOTAL(9,I11:I16)</f>
        <v>19415328.059999999</v>
      </c>
      <c r="J17" s="581">
        <f>SUBTOTAL(9,J11:J16)</f>
        <v>18393167.440000001</v>
      </c>
      <c r="K17" s="581">
        <f>SUBTOTAL(9,K11:K16)</f>
        <v>-1022160.62</v>
      </c>
      <c r="L17" s="582" t="str">
        <f>IF(J17-I17&lt;0,"F","U")</f>
        <v>F</v>
      </c>
      <c r="M17" s="583"/>
      <c r="N17" s="584">
        <f>SUBTOTAL(9,N11:N16)</f>
        <v>18393167.440000001</v>
      </c>
      <c r="O17" s="585">
        <f>IFERROR(I17/N17,0)</f>
        <v>1.0555728437385441</v>
      </c>
      <c r="P17" s="586"/>
      <c r="Q17" s="586"/>
    </row>
    <row r="18" spans="1:20">
      <c r="A18" s="534" t="s">
        <v>1063</v>
      </c>
      <c r="B18" s="558"/>
      <c r="C18" s="559"/>
      <c r="D18" s="568"/>
      <c r="E18" s="568"/>
      <c r="F18" s="568"/>
      <c r="G18" s="570"/>
      <c r="H18" s="571"/>
      <c r="I18" s="572"/>
      <c r="J18" s="568"/>
      <c r="K18" s="568"/>
      <c r="L18" s="582"/>
      <c r="M18" s="571"/>
      <c r="N18" s="572"/>
      <c r="O18" s="565"/>
      <c r="P18" s="573"/>
      <c r="Q18" s="573"/>
    </row>
    <row r="19" spans="1:20">
      <c r="A19" s="534" t="s">
        <v>1079</v>
      </c>
      <c r="B19" s="567" t="s">
        <v>1095</v>
      </c>
      <c r="C19" s="559" t="s">
        <v>1096</v>
      </c>
      <c r="D19" s="568">
        <v>492564.81</v>
      </c>
      <c r="E19" s="568">
        <v>456626.49</v>
      </c>
      <c r="F19" s="568">
        <v>-35938.32</v>
      </c>
      <c r="G19" s="570" t="s">
        <v>1082</v>
      </c>
      <c r="H19" s="571"/>
      <c r="I19" s="572">
        <v>5931724.0999999996</v>
      </c>
      <c r="J19" s="568">
        <v>5479518.0999999996</v>
      </c>
      <c r="K19" s="568">
        <v>-452206</v>
      </c>
      <c r="L19" s="570" t="s">
        <v>1082</v>
      </c>
      <c r="M19" s="571"/>
      <c r="N19" s="572">
        <v>5479518.0999999996</v>
      </c>
      <c r="O19" s="565">
        <v>1.0825266002862599</v>
      </c>
      <c r="P19" s="573"/>
      <c r="Q19" s="573"/>
      <c r="R19" s="574" t="s">
        <v>1097</v>
      </c>
      <c r="S19">
        <v>12</v>
      </c>
      <c r="T19" s="574" t="s">
        <v>1084</v>
      </c>
    </row>
    <row r="20" spans="1:20">
      <c r="A20" s="534" t="s">
        <v>1079</v>
      </c>
      <c r="B20" s="567" t="s">
        <v>1098</v>
      </c>
      <c r="C20" s="559" t="s">
        <v>1099</v>
      </c>
      <c r="D20" s="568">
        <v>6650.53</v>
      </c>
      <c r="E20" s="568">
        <v>18932.41</v>
      </c>
      <c r="F20" s="568">
        <v>12281.88</v>
      </c>
      <c r="G20" s="570" t="s">
        <v>1087</v>
      </c>
      <c r="H20" s="571"/>
      <c r="I20" s="572">
        <v>78742.75</v>
      </c>
      <c r="J20" s="568">
        <v>227187.16</v>
      </c>
      <c r="K20" s="568">
        <v>148444.41</v>
      </c>
      <c r="L20" s="570" t="s">
        <v>1087</v>
      </c>
      <c r="M20" s="571"/>
      <c r="N20" s="572">
        <v>227187.16</v>
      </c>
      <c r="O20" s="565">
        <v>0.34659859298386397</v>
      </c>
      <c r="P20" s="573"/>
      <c r="Q20" s="573"/>
      <c r="R20" s="574" t="s">
        <v>1097</v>
      </c>
      <c r="S20">
        <v>12</v>
      </c>
      <c r="T20" s="574" t="s">
        <v>1084</v>
      </c>
    </row>
    <row r="21" spans="1:20">
      <c r="A21" s="534" t="s">
        <v>1079</v>
      </c>
      <c r="B21" s="567" t="s">
        <v>1100</v>
      </c>
      <c r="C21" s="559" t="s">
        <v>1101</v>
      </c>
      <c r="D21" s="568">
        <v>0</v>
      </c>
      <c r="E21" s="568">
        <v>0</v>
      </c>
      <c r="F21" s="568">
        <v>0</v>
      </c>
      <c r="G21" s="570" t="s">
        <v>1087</v>
      </c>
      <c r="H21" s="571"/>
      <c r="I21" s="572">
        <v>0</v>
      </c>
      <c r="J21" s="568">
        <v>0</v>
      </c>
      <c r="K21" s="568">
        <v>0</v>
      </c>
      <c r="L21" s="570" t="s">
        <v>1087</v>
      </c>
      <c r="M21" s="571"/>
      <c r="N21" s="572">
        <v>0</v>
      </c>
      <c r="O21" s="565">
        <v>0</v>
      </c>
      <c r="P21" s="573"/>
      <c r="Q21" s="573"/>
      <c r="R21" s="574" t="s">
        <v>1097</v>
      </c>
      <c r="S21">
        <v>12</v>
      </c>
      <c r="T21" s="574" t="s">
        <v>1084</v>
      </c>
    </row>
    <row r="22" spans="1:20">
      <c r="A22" s="534" t="s">
        <v>1079</v>
      </c>
      <c r="B22" s="567" t="s">
        <v>1102</v>
      </c>
      <c r="C22" s="559" t="s">
        <v>1103</v>
      </c>
      <c r="D22" s="568">
        <v>23896</v>
      </c>
      <c r="E22" s="568">
        <v>24575</v>
      </c>
      <c r="F22" s="568">
        <v>679</v>
      </c>
      <c r="G22" s="570" t="s">
        <v>1087</v>
      </c>
      <c r="H22" s="571"/>
      <c r="I22" s="572">
        <v>286755.24</v>
      </c>
      <c r="J22" s="568">
        <v>294900</v>
      </c>
      <c r="K22" s="568">
        <v>8144.76</v>
      </c>
      <c r="L22" s="570" t="s">
        <v>1087</v>
      </c>
      <c r="M22" s="571"/>
      <c r="N22" s="572">
        <v>294900</v>
      </c>
      <c r="O22" s="565">
        <v>0.97238128179043704</v>
      </c>
      <c r="P22" s="573"/>
      <c r="Q22" s="573"/>
      <c r="R22" s="574" t="s">
        <v>1097</v>
      </c>
      <c r="S22">
        <v>12</v>
      </c>
      <c r="T22" s="574" t="s">
        <v>1084</v>
      </c>
    </row>
    <row r="23" spans="1:20">
      <c r="A23" s="534" t="s">
        <v>1079</v>
      </c>
      <c r="B23" s="567" t="s">
        <v>1104</v>
      </c>
      <c r="C23" s="559" t="s">
        <v>1105</v>
      </c>
      <c r="D23" s="568">
        <v>4973.16</v>
      </c>
      <c r="E23" s="568">
        <v>1328.02</v>
      </c>
      <c r="F23" s="568">
        <v>-3645.14</v>
      </c>
      <c r="G23" s="570" t="s">
        <v>1082</v>
      </c>
      <c r="H23" s="571"/>
      <c r="I23" s="572">
        <v>6333.9</v>
      </c>
      <c r="J23" s="568">
        <v>15938</v>
      </c>
      <c r="K23" s="568">
        <v>9604.1</v>
      </c>
      <c r="L23" s="570" t="s">
        <v>1087</v>
      </c>
      <c r="M23" s="571"/>
      <c r="N23" s="572">
        <v>15938</v>
      </c>
      <c r="O23" s="565">
        <v>0.397408708746392</v>
      </c>
      <c r="P23" s="573"/>
      <c r="Q23" s="573"/>
      <c r="R23" s="574" t="s">
        <v>1097</v>
      </c>
      <c r="S23">
        <v>12</v>
      </c>
      <c r="T23" s="574" t="s">
        <v>1084</v>
      </c>
    </row>
    <row r="24" spans="1:20">
      <c r="A24" s="534" t="s">
        <v>1079</v>
      </c>
      <c r="B24" s="567" t="s">
        <v>1106</v>
      </c>
      <c r="C24" s="559" t="s">
        <v>1107</v>
      </c>
      <c r="D24" s="568">
        <v>97501.23</v>
      </c>
      <c r="E24" s="568">
        <v>88914.17</v>
      </c>
      <c r="F24" s="568">
        <v>-8587.06</v>
      </c>
      <c r="G24" s="570" t="s">
        <v>1082</v>
      </c>
      <c r="H24" s="571"/>
      <c r="I24" s="572">
        <v>1013271.62</v>
      </c>
      <c r="J24" s="568">
        <v>1066970.04</v>
      </c>
      <c r="K24" s="568">
        <v>53698.42</v>
      </c>
      <c r="L24" s="570" t="s">
        <v>1087</v>
      </c>
      <c r="M24" s="571"/>
      <c r="N24" s="572">
        <v>1066970.04</v>
      </c>
      <c r="O24" s="565">
        <v>0.94967204514945902</v>
      </c>
      <c r="P24" s="573"/>
      <c r="Q24" s="573"/>
      <c r="R24" s="574" t="s">
        <v>1097</v>
      </c>
      <c r="S24">
        <v>12</v>
      </c>
      <c r="T24" s="574" t="s">
        <v>1084</v>
      </c>
    </row>
    <row r="25" spans="1:20">
      <c r="A25" s="534" t="s">
        <v>1079</v>
      </c>
      <c r="B25" s="567" t="s">
        <v>1108</v>
      </c>
      <c r="C25" s="559" t="s">
        <v>1109</v>
      </c>
      <c r="D25" s="568">
        <v>1253.6400000000001</v>
      </c>
      <c r="E25" s="568">
        <v>816.63</v>
      </c>
      <c r="F25" s="568">
        <v>-437.01</v>
      </c>
      <c r="G25" s="570" t="s">
        <v>1082</v>
      </c>
      <c r="H25" s="571"/>
      <c r="I25" s="572">
        <v>15309.09</v>
      </c>
      <c r="J25" s="568">
        <v>9800</v>
      </c>
      <c r="K25" s="568">
        <v>-5509.09</v>
      </c>
      <c r="L25" s="570" t="s">
        <v>1082</v>
      </c>
      <c r="M25" s="571"/>
      <c r="N25" s="572">
        <v>9800</v>
      </c>
      <c r="O25" s="565">
        <v>1.5621520408163301</v>
      </c>
      <c r="P25" s="573"/>
      <c r="Q25" s="573"/>
      <c r="R25" s="574" t="s">
        <v>1097</v>
      </c>
      <c r="S25">
        <v>12</v>
      </c>
      <c r="T25" s="574" t="s">
        <v>1084</v>
      </c>
    </row>
    <row r="26" spans="1:20">
      <c r="A26" s="534" t="s">
        <v>1079</v>
      </c>
      <c r="B26" s="567" t="s">
        <v>1110</v>
      </c>
      <c r="C26" s="559" t="s">
        <v>1111</v>
      </c>
      <c r="D26" s="568">
        <v>4974.4399999999996</v>
      </c>
      <c r="E26" s="568">
        <v>4875.1099999999997</v>
      </c>
      <c r="F26" s="568">
        <v>-99.33</v>
      </c>
      <c r="G26" s="570" t="s">
        <v>1082</v>
      </c>
      <c r="H26" s="571"/>
      <c r="I26" s="572">
        <v>62154.22</v>
      </c>
      <c r="J26" s="568">
        <v>58500</v>
      </c>
      <c r="K26" s="568">
        <v>-3654.22</v>
      </c>
      <c r="L26" s="570" t="s">
        <v>1082</v>
      </c>
      <c r="M26" s="571"/>
      <c r="N26" s="572">
        <v>58500</v>
      </c>
      <c r="O26" s="565">
        <v>1.0624652991453001</v>
      </c>
      <c r="P26" s="573"/>
      <c r="Q26" s="573"/>
      <c r="R26" s="574" t="s">
        <v>1097</v>
      </c>
      <c r="S26">
        <v>12</v>
      </c>
      <c r="T26" s="574" t="s">
        <v>1084</v>
      </c>
    </row>
    <row r="27" spans="1:20">
      <c r="A27" s="534" t="s">
        <v>1079</v>
      </c>
      <c r="B27" s="567" t="s">
        <v>1112</v>
      </c>
      <c r="C27" s="559" t="s">
        <v>1113</v>
      </c>
      <c r="D27" s="568">
        <v>28531.56</v>
      </c>
      <c r="E27" s="568">
        <v>0</v>
      </c>
      <c r="F27" s="568">
        <v>-28531.56</v>
      </c>
      <c r="G27" s="570" t="s">
        <v>1082</v>
      </c>
      <c r="H27" s="571"/>
      <c r="I27" s="572">
        <v>41081.040000000001</v>
      </c>
      <c r="J27" s="568">
        <v>0</v>
      </c>
      <c r="K27" s="568">
        <v>-41081.040000000001</v>
      </c>
      <c r="L27" s="570" t="s">
        <v>1082</v>
      </c>
      <c r="M27" s="571"/>
      <c r="N27" s="572">
        <v>0</v>
      </c>
      <c r="O27" s="565">
        <v>0</v>
      </c>
      <c r="P27" s="573"/>
      <c r="Q27" s="573"/>
      <c r="R27" s="574" t="s">
        <v>1097</v>
      </c>
      <c r="S27">
        <v>12</v>
      </c>
      <c r="T27" s="574" t="s">
        <v>1084</v>
      </c>
    </row>
    <row r="28" spans="1:20">
      <c r="A28" s="534" t="s">
        <v>1079</v>
      </c>
      <c r="B28" s="567" t="s">
        <v>1114</v>
      </c>
      <c r="C28" s="559" t="s">
        <v>1115</v>
      </c>
      <c r="D28" s="568">
        <v>16937.259999999998</v>
      </c>
      <c r="E28" s="568">
        <v>0</v>
      </c>
      <c r="F28" s="568">
        <v>-16937.259999999998</v>
      </c>
      <c r="G28" s="570" t="s">
        <v>1082</v>
      </c>
      <c r="H28" s="571"/>
      <c r="I28" s="572">
        <v>21606.1</v>
      </c>
      <c r="J28" s="568">
        <v>0</v>
      </c>
      <c r="K28" s="568">
        <v>-21606.1</v>
      </c>
      <c r="L28" s="570" t="s">
        <v>1082</v>
      </c>
      <c r="M28" s="571"/>
      <c r="N28" s="572">
        <v>0</v>
      </c>
      <c r="O28" s="565">
        <v>0</v>
      </c>
      <c r="P28" s="573"/>
      <c r="Q28" s="573"/>
      <c r="R28" s="574" t="s">
        <v>1097</v>
      </c>
      <c r="S28">
        <v>12</v>
      </c>
      <c r="T28" s="574" t="s">
        <v>1084</v>
      </c>
    </row>
    <row r="29" spans="1:20">
      <c r="A29" s="534" t="s">
        <v>1079</v>
      </c>
      <c r="B29" s="567" t="s">
        <v>1116</v>
      </c>
      <c r="C29" s="559" t="s">
        <v>1117</v>
      </c>
      <c r="D29" s="568">
        <v>913422.5</v>
      </c>
      <c r="E29" s="568">
        <v>331853.06</v>
      </c>
      <c r="F29" s="568">
        <v>-581569.43999999994</v>
      </c>
      <c r="G29" s="570" t="s">
        <v>1082</v>
      </c>
      <c r="H29" s="571"/>
      <c r="I29" s="572">
        <v>4627557.07</v>
      </c>
      <c r="J29" s="568">
        <v>3982237.38</v>
      </c>
      <c r="K29" s="568">
        <v>-645319.68999999994</v>
      </c>
      <c r="L29" s="570" t="s">
        <v>1082</v>
      </c>
      <c r="M29" s="571"/>
      <c r="N29" s="572">
        <v>3982237.38</v>
      </c>
      <c r="O29" s="565">
        <v>1.1620495285492001</v>
      </c>
      <c r="P29" s="573"/>
      <c r="Q29" s="573"/>
      <c r="R29" s="574" t="s">
        <v>1097</v>
      </c>
      <c r="S29">
        <v>12</v>
      </c>
      <c r="T29" s="574" t="s">
        <v>1084</v>
      </c>
    </row>
    <row r="30" spans="1:20">
      <c r="A30" s="534" t="s">
        <v>1079</v>
      </c>
      <c r="B30" s="567" t="s">
        <v>1118</v>
      </c>
      <c r="C30" s="559" t="s">
        <v>1119</v>
      </c>
      <c r="D30" s="568">
        <v>114015.72</v>
      </c>
      <c r="E30" s="568">
        <v>14471.14</v>
      </c>
      <c r="F30" s="568">
        <v>-99544.58</v>
      </c>
      <c r="G30" s="570" t="s">
        <v>1082</v>
      </c>
      <c r="H30" s="571"/>
      <c r="I30" s="572">
        <v>132429.45000000001</v>
      </c>
      <c r="J30" s="568">
        <v>173655</v>
      </c>
      <c r="K30" s="568">
        <v>41225.550000000003</v>
      </c>
      <c r="L30" s="570" t="s">
        <v>1087</v>
      </c>
      <c r="M30" s="571"/>
      <c r="N30" s="572">
        <v>173655</v>
      </c>
      <c r="O30" s="565">
        <v>0.76260084650600302</v>
      </c>
      <c r="P30" s="573"/>
      <c r="Q30" s="573"/>
      <c r="R30" s="574" t="s">
        <v>1097</v>
      </c>
      <c r="S30">
        <v>12</v>
      </c>
      <c r="T30" s="574" t="s">
        <v>1084</v>
      </c>
    </row>
    <row r="31" spans="1:20">
      <c r="A31" s="534" t="s">
        <v>1079</v>
      </c>
      <c r="B31" s="567" t="s">
        <v>1120</v>
      </c>
      <c r="C31" s="559" t="s">
        <v>1121</v>
      </c>
      <c r="D31" s="568">
        <v>1507.58</v>
      </c>
      <c r="E31" s="568">
        <v>0</v>
      </c>
      <c r="F31" s="568">
        <v>-1507.58</v>
      </c>
      <c r="G31" s="570" t="s">
        <v>1082</v>
      </c>
      <c r="H31" s="571"/>
      <c r="I31" s="572">
        <v>3015.11</v>
      </c>
      <c r="J31" s="568">
        <v>0</v>
      </c>
      <c r="K31" s="568">
        <v>-3015.11</v>
      </c>
      <c r="L31" s="570" t="s">
        <v>1082</v>
      </c>
      <c r="M31" s="571"/>
      <c r="N31" s="572">
        <v>0</v>
      </c>
      <c r="O31" s="565">
        <v>0</v>
      </c>
      <c r="P31" s="573"/>
      <c r="Q31" s="573"/>
      <c r="R31" s="574" t="s">
        <v>1097</v>
      </c>
      <c r="S31">
        <v>12</v>
      </c>
      <c r="T31" s="574" t="s">
        <v>1084</v>
      </c>
    </row>
    <row r="32" spans="1:20">
      <c r="A32" s="534" t="s">
        <v>1079</v>
      </c>
      <c r="B32" s="567" t="s">
        <v>1122</v>
      </c>
      <c r="C32" s="559" t="s">
        <v>1123</v>
      </c>
      <c r="D32" s="568">
        <v>0</v>
      </c>
      <c r="E32" s="568">
        <v>4194.7</v>
      </c>
      <c r="F32" s="568">
        <v>4194.7</v>
      </c>
      <c r="G32" s="570" t="s">
        <v>1087</v>
      </c>
      <c r="H32" s="571"/>
      <c r="I32" s="572">
        <v>0</v>
      </c>
      <c r="J32" s="568">
        <v>50334.09</v>
      </c>
      <c r="K32" s="568">
        <v>50334.09</v>
      </c>
      <c r="L32" s="570" t="s">
        <v>1087</v>
      </c>
      <c r="M32" s="571"/>
      <c r="N32" s="572">
        <v>50334.09</v>
      </c>
      <c r="O32" s="565">
        <v>0</v>
      </c>
      <c r="P32" s="573"/>
      <c r="Q32" s="573"/>
      <c r="R32" s="574" t="s">
        <v>1097</v>
      </c>
      <c r="S32">
        <v>12</v>
      </c>
      <c r="T32" s="574" t="s">
        <v>1084</v>
      </c>
    </row>
    <row r="33" spans="1:20">
      <c r="A33" s="534" t="s">
        <v>1079</v>
      </c>
      <c r="B33" s="567" t="s">
        <v>1124</v>
      </c>
      <c r="C33" s="559" t="s">
        <v>1125</v>
      </c>
      <c r="D33" s="568">
        <v>347239.2</v>
      </c>
      <c r="E33" s="568">
        <v>160235.15</v>
      </c>
      <c r="F33" s="568">
        <v>-187004.05</v>
      </c>
      <c r="G33" s="570" t="s">
        <v>1082</v>
      </c>
      <c r="H33" s="571"/>
      <c r="I33" s="572">
        <v>1007074.78</v>
      </c>
      <c r="J33" s="568">
        <v>1922821.36</v>
      </c>
      <c r="K33" s="568">
        <v>915746.58</v>
      </c>
      <c r="L33" s="570" t="s">
        <v>1087</v>
      </c>
      <c r="M33" s="571"/>
      <c r="N33" s="572">
        <v>1922821.36</v>
      </c>
      <c r="O33" s="565">
        <v>0.52374848800306595</v>
      </c>
      <c r="P33" s="573"/>
      <c r="Q33" s="573"/>
      <c r="R33" s="574" t="s">
        <v>1097</v>
      </c>
      <c r="S33">
        <v>12</v>
      </c>
      <c r="T33" s="574" t="s">
        <v>1084</v>
      </c>
    </row>
    <row r="34" spans="1:20">
      <c r="A34" s="534" t="s">
        <v>1079</v>
      </c>
      <c r="B34" s="567" t="s">
        <v>1126</v>
      </c>
      <c r="C34" s="559" t="s">
        <v>1127</v>
      </c>
      <c r="D34" s="568">
        <v>-97116.01</v>
      </c>
      <c r="E34" s="568">
        <v>103460.05</v>
      </c>
      <c r="F34" s="568">
        <v>200576.06</v>
      </c>
      <c r="G34" s="570" t="s">
        <v>1087</v>
      </c>
      <c r="H34" s="571"/>
      <c r="I34" s="572">
        <v>4179.2700000000004</v>
      </c>
      <c r="J34" s="568">
        <v>1017698.2</v>
      </c>
      <c r="K34" s="568">
        <v>1013518.93</v>
      </c>
      <c r="L34" s="570" t="s">
        <v>1087</v>
      </c>
      <c r="M34" s="571"/>
      <c r="N34" s="572">
        <v>1017698.2</v>
      </c>
      <c r="O34" s="565">
        <v>4.1065907358389803E-3</v>
      </c>
      <c r="P34" s="573"/>
      <c r="Q34" s="573"/>
      <c r="R34" s="574" t="s">
        <v>1128</v>
      </c>
      <c r="S34">
        <v>12</v>
      </c>
      <c r="T34" s="574" t="s">
        <v>1084</v>
      </c>
    </row>
    <row r="35" spans="1:20">
      <c r="A35" s="534" t="s">
        <v>1057</v>
      </c>
      <c r="B35" s="558"/>
      <c r="C35" s="559"/>
      <c r="D35" s="575"/>
      <c r="E35" s="575"/>
      <c r="F35" s="575"/>
      <c r="G35" s="576"/>
      <c r="H35" s="571"/>
      <c r="I35" s="577"/>
      <c r="J35" s="575"/>
      <c r="K35" s="575"/>
      <c r="L35" s="576"/>
      <c r="M35" s="571"/>
      <c r="N35" s="577"/>
      <c r="O35" s="578"/>
      <c r="P35" s="573"/>
      <c r="Q35" s="573"/>
    </row>
    <row r="36" spans="1:20">
      <c r="A36" s="534" t="s">
        <v>1057</v>
      </c>
      <c r="B36" s="579"/>
      <c r="C36" s="580" t="s">
        <v>1129</v>
      </c>
      <c r="D36" s="587">
        <f>SUBTOTAL(9,D19:D35)</f>
        <v>1956351.6199999999</v>
      </c>
      <c r="E36" s="587">
        <f>SUBTOTAL(9,E19:E35)</f>
        <v>1210281.93</v>
      </c>
      <c r="F36" s="587">
        <f>SUBTOTAL(9,F19:F35)</f>
        <v>-746069.69</v>
      </c>
      <c r="G36" s="582" t="str">
        <f>IF(E36-D36&gt;0,"F","U")</f>
        <v>U</v>
      </c>
      <c r="H36" s="583"/>
      <c r="I36" s="588">
        <f>SUBTOTAL(9,I19:I35)</f>
        <v>13231233.739999996</v>
      </c>
      <c r="J36" s="587">
        <f>SUBTOTAL(9,J19:J35)</f>
        <v>14299559.329999998</v>
      </c>
      <c r="K36" s="587">
        <f>SUBTOTAL(9,K19:K35)</f>
        <v>1068325.5900000001</v>
      </c>
      <c r="L36" s="582" t="str">
        <f>IF(J36-I36&gt;0,"F","U")</f>
        <v>F</v>
      </c>
      <c r="M36" s="583"/>
      <c r="N36" s="588">
        <f>SUBTOTAL(9,N19:N35)</f>
        <v>14299559.329999998</v>
      </c>
      <c r="O36" s="585">
        <f>IFERROR(I36/N36,0)</f>
        <v>0.92528961450170777</v>
      </c>
      <c r="P36" s="586"/>
      <c r="Q36" s="586"/>
    </row>
    <row r="37" spans="1:20">
      <c r="A37" s="534" t="s">
        <v>1057</v>
      </c>
      <c r="B37" s="558"/>
      <c r="C37" s="559"/>
      <c r="D37" s="568"/>
      <c r="E37" s="568"/>
      <c r="F37" s="568"/>
      <c r="G37" s="570"/>
      <c r="H37" s="571"/>
      <c r="I37" s="572"/>
      <c r="J37" s="568"/>
      <c r="K37" s="568"/>
      <c r="L37" s="582"/>
      <c r="M37" s="571"/>
      <c r="N37" s="572"/>
      <c r="O37" s="565"/>
      <c r="P37" s="573"/>
      <c r="Q37" s="573"/>
    </row>
    <row r="38" spans="1:20">
      <c r="A38" s="534" t="s">
        <v>1057</v>
      </c>
      <c r="B38" s="579" t="s">
        <v>1130</v>
      </c>
      <c r="C38" s="580"/>
      <c r="D38" s="589">
        <f>D17-D36</f>
        <v>-793717.43999999971</v>
      </c>
      <c r="E38" s="589">
        <f>E17-E36</f>
        <v>3402482.0600000005</v>
      </c>
      <c r="F38" s="589">
        <f>F17-F36</f>
        <v>4196199.5</v>
      </c>
      <c r="G38" s="582" t="str">
        <f>IF(E38-D38&lt;0,"F","U")</f>
        <v>U</v>
      </c>
      <c r="H38" s="583"/>
      <c r="I38" s="590">
        <f>I17-I36</f>
        <v>6184094.3200000022</v>
      </c>
      <c r="J38" s="589">
        <f>J17-J36</f>
        <v>4093608.1100000031</v>
      </c>
      <c r="K38" s="589">
        <f>K17-K36</f>
        <v>-2090486.21</v>
      </c>
      <c r="L38" s="582" t="str">
        <f>IF(J38-I38&lt;0,"F","U")</f>
        <v>F</v>
      </c>
      <c r="M38" s="583"/>
      <c r="N38" s="590">
        <f>N17-N36</f>
        <v>4093608.1100000031</v>
      </c>
      <c r="O38" s="591">
        <f>IFERROR(I38/N38,0)</f>
        <v>1.5106708199285832</v>
      </c>
      <c r="P38" s="586"/>
      <c r="Q38" s="586"/>
    </row>
    <row r="39" spans="1:20" ht="14.65" thickBot="1">
      <c r="A39" s="534" t="s">
        <v>1057</v>
      </c>
      <c r="B39" s="592"/>
      <c r="C39" s="593"/>
      <c r="D39" s="594"/>
      <c r="E39" s="594"/>
      <c r="F39" s="594"/>
      <c r="G39" s="595"/>
      <c r="I39" s="596"/>
      <c r="J39" s="594"/>
      <c r="K39" s="594"/>
      <c r="L39" s="595"/>
      <c r="N39" s="596"/>
      <c r="O39" s="597"/>
      <c r="P39" s="598"/>
      <c r="Q39" s="598"/>
    </row>
    <row r="40" spans="1:20">
      <c r="A40" s="534" t="s">
        <v>1057</v>
      </c>
      <c r="B40" s="2"/>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45"/>
  <sheetViews>
    <sheetView topLeftCell="B26" workbookViewId="0">
      <selection activeCell="E57" sqref="E57"/>
    </sheetView>
  </sheetViews>
  <sheetFormatPr defaultRowHeight="14.25"/>
  <cols>
    <col min="1" max="1" width="14.7109375" style="534" hidden="1" customWidth="1"/>
    <col min="2" max="2" width="8.7109375" style="535" customWidth="1"/>
    <col min="3" max="3" width="30.7109375" customWidth="1"/>
    <col min="4" max="5" width="15.7109375" style="536" customWidth="1"/>
    <col min="6" max="6" width="13.7109375" style="536" customWidth="1"/>
    <col min="7" max="7" width="6.7109375" style="536" customWidth="1"/>
    <col min="8" max="8" width="2.5703125" style="536" customWidth="1"/>
    <col min="9" max="10" width="15.7109375" style="536" customWidth="1"/>
    <col min="11" max="11" width="13.7109375" style="536" customWidth="1"/>
    <col min="12" max="12" width="6.7109375" style="536" customWidth="1"/>
    <col min="13" max="13" width="2.5703125" style="536" customWidth="1"/>
    <col min="14" max="14" width="15.7109375" style="536" customWidth="1"/>
    <col min="15" max="15" width="15.7109375" style="537" customWidth="1"/>
    <col min="16" max="17" width="50.7109375" customWidth="1"/>
  </cols>
  <sheetData>
    <row r="1" spans="1:20" s="724" customFormat="1" hidden="1">
      <c r="A1" s="722" t="s">
        <v>1054</v>
      </c>
      <c r="B1" s="723" t="s">
        <v>1055</v>
      </c>
      <c r="D1" s="725"/>
      <c r="E1" s="725"/>
      <c r="F1" s="725"/>
      <c r="G1" s="725"/>
      <c r="H1" s="725"/>
      <c r="I1" s="725"/>
      <c r="J1" s="725"/>
      <c r="K1" s="725"/>
      <c r="L1" s="725"/>
      <c r="M1" s="725"/>
      <c r="N1" s="725"/>
      <c r="O1" s="726"/>
    </row>
    <row r="2" spans="1:20">
      <c r="A2" s="534" t="s">
        <v>1056</v>
      </c>
    </row>
    <row r="3" spans="1:20" ht="25.5">
      <c r="A3" s="534" t="s">
        <v>1057</v>
      </c>
      <c r="B3" s="538" t="s">
        <v>1058</v>
      </c>
    </row>
    <row r="4" spans="1:20" ht="21">
      <c r="A4" s="534" t="s">
        <v>1057</v>
      </c>
      <c r="B4" s="539" t="s">
        <v>1131</v>
      </c>
      <c r="C4" s="540"/>
    </row>
    <row r="5" spans="1:20" ht="18">
      <c r="A5" s="534" t="s">
        <v>1057</v>
      </c>
      <c r="B5" s="541" t="s">
        <v>1132</v>
      </c>
      <c r="C5" s="540"/>
      <c r="P5" s="535"/>
      <c r="Q5" s="535" t="s">
        <v>1133</v>
      </c>
    </row>
    <row r="6" spans="1:20" ht="18">
      <c r="A6" s="534" t="s">
        <v>1057</v>
      </c>
      <c r="B6" s="541" t="s">
        <v>1062</v>
      </c>
      <c r="C6" s="540"/>
    </row>
    <row r="7" spans="1:20" ht="21.4" thickBot="1">
      <c r="A7" s="534" t="s">
        <v>1057</v>
      </c>
      <c r="B7" s="542"/>
      <c r="C7" s="540"/>
    </row>
    <row r="8" spans="1:20">
      <c r="A8" s="534" t="s">
        <v>1063</v>
      </c>
      <c r="B8" s="543" t="s">
        <v>1064</v>
      </c>
      <c r="C8" s="544" t="s">
        <v>1065</v>
      </c>
      <c r="D8" s="545" t="s">
        <v>1134</v>
      </c>
      <c r="E8" s="545" t="s">
        <v>1134</v>
      </c>
      <c r="F8" s="545"/>
      <c r="G8" s="546" t="s">
        <v>1067</v>
      </c>
      <c r="H8" s="547"/>
      <c r="I8" s="548" t="s">
        <v>1068</v>
      </c>
      <c r="J8" s="545" t="s">
        <v>1068</v>
      </c>
      <c r="K8" s="545"/>
      <c r="L8" s="546" t="s">
        <v>1067</v>
      </c>
      <c r="N8" s="548" t="s">
        <v>1069</v>
      </c>
      <c r="O8" s="549" t="s">
        <v>1070</v>
      </c>
      <c r="P8" s="550" t="s">
        <v>1071</v>
      </c>
      <c r="Q8" s="550" t="s">
        <v>1072</v>
      </c>
    </row>
    <row r="9" spans="1:20">
      <c r="A9" s="534" t="s">
        <v>1057</v>
      </c>
      <c r="B9" s="551"/>
      <c r="C9" s="552"/>
      <c r="D9" s="553" t="s">
        <v>1073</v>
      </c>
      <c r="E9" s="553" t="s">
        <v>1074</v>
      </c>
      <c r="F9" s="553" t="s">
        <v>1075</v>
      </c>
      <c r="G9" s="554" t="s">
        <v>1076</v>
      </c>
      <c r="H9" s="547"/>
      <c r="I9" s="555" t="s">
        <v>1077</v>
      </c>
      <c r="J9" s="553" t="s">
        <v>1074</v>
      </c>
      <c r="K9" s="553" t="s">
        <v>1075</v>
      </c>
      <c r="L9" s="554" t="s">
        <v>1076</v>
      </c>
      <c r="N9" s="555" t="s">
        <v>1074</v>
      </c>
      <c r="O9" s="556" t="s">
        <v>1078</v>
      </c>
      <c r="P9" s="557"/>
      <c r="Q9" s="557"/>
    </row>
    <row r="10" spans="1:20">
      <c r="A10" s="534" t="s">
        <v>1057</v>
      </c>
      <c r="B10" s="558"/>
      <c r="C10" s="559"/>
      <c r="D10" s="560"/>
      <c r="E10" s="561"/>
      <c r="F10" s="560"/>
      <c r="G10" s="562"/>
      <c r="H10" s="563"/>
      <c r="I10" s="564"/>
      <c r="J10" s="560"/>
      <c r="K10" s="560"/>
      <c r="L10" s="562"/>
      <c r="M10" s="563"/>
      <c r="N10" s="564"/>
      <c r="O10" s="565"/>
      <c r="P10" s="566"/>
      <c r="Q10" s="566"/>
    </row>
    <row r="11" spans="1:20">
      <c r="A11" s="534" t="s">
        <v>1079</v>
      </c>
      <c r="B11" s="567" t="s">
        <v>1135</v>
      </c>
      <c r="C11" s="559" t="s">
        <v>1136</v>
      </c>
      <c r="D11" s="568">
        <v>0</v>
      </c>
      <c r="E11" s="569">
        <v>0</v>
      </c>
      <c r="F11" s="568">
        <v>0</v>
      </c>
      <c r="G11" s="570" t="s">
        <v>1087</v>
      </c>
      <c r="H11" s="571"/>
      <c r="I11" s="572">
        <v>14737695.6</v>
      </c>
      <c r="J11" s="568">
        <v>14673247.800000001</v>
      </c>
      <c r="K11" s="568">
        <v>-64447.8</v>
      </c>
      <c r="L11" s="570" t="s">
        <v>1087</v>
      </c>
      <c r="M11" s="571"/>
      <c r="N11" s="572">
        <v>14673247.800000001</v>
      </c>
      <c r="O11" s="565">
        <v>1.0043921973429799</v>
      </c>
      <c r="P11" s="573"/>
      <c r="Q11" s="573"/>
      <c r="R11" s="574" t="s">
        <v>1083</v>
      </c>
      <c r="S11">
        <v>12</v>
      </c>
      <c r="T11" s="574" t="s">
        <v>1137</v>
      </c>
    </row>
    <row r="12" spans="1:20">
      <c r="A12" s="534" t="s">
        <v>1079</v>
      </c>
      <c r="B12" s="567" t="s">
        <v>1138</v>
      </c>
      <c r="C12" s="559" t="s">
        <v>1139</v>
      </c>
      <c r="D12" s="568">
        <v>0</v>
      </c>
      <c r="E12" s="569">
        <v>0</v>
      </c>
      <c r="F12" s="568">
        <v>0</v>
      </c>
      <c r="G12" s="570" t="s">
        <v>1087</v>
      </c>
      <c r="H12" s="571"/>
      <c r="I12" s="572">
        <v>4678713.71</v>
      </c>
      <c r="J12" s="568">
        <v>3623890.32</v>
      </c>
      <c r="K12" s="568">
        <v>-1054823.3899999999</v>
      </c>
      <c r="L12" s="570" t="s">
        <v>1087</v>
      </c>
      <c r="M12" s="571"/>
      <c r="N12" s="572">
        <v>3623890.32</v>
      </c>
      <c r="O12" s="565">
        <v>1.2910748661951801</v>
      </c>
      <c r="P12" s="573"/>
      <c r="Q12" s="573"/>
      <c r="R12" s="574" t="s">
        <v>1083</v>
      </c>
      <c r="S12">
        <v>12</v>
      </c>
      <c r="T12" s="574" t="s">
        <v>1137</v>
      </c>
    </row>
    <row r="13" spans="1:20">
      <c r="A13" s="534" t="s">
        <v>1079</v>
      </c>
      <c r="B13" s="567" t="s">
        <v>1088</v>
      </c>
      <c r="C13" s="559" t="s">
        <v>1089</v>
      </c>
      <c r="D13" s="568">
        <v>0</v>
      </c>
      <c r="E13" s="569">
        <v>343200</v>
      </c>
      <c r="F13" s="568">
        <v>343200</v>
      </c>
      <c r="G13" s="570" t="s">
        <v>1082</v>
      </c>
      <c r="H13" s="571"/>
      <c r="I13" s="572">
        <v>109015.06</v>
      </c>
      <c r="J13" s="568">
        <v>686400</v>
      </c>
      <c r="K13" s="568">
        <v>577384.93999999994</v>
      </c>
      <c r="L13" s="570" t="s">
        <v>1082</v>
      </c>
      <c r="M13" s="571"/>
      <c r="N13" s="572">
        <v>343200</v>
      </c>
      <c r="O13" s="565">
        <v>0.31764294871794901</v>
      </c>
      <c r="P13" s="573"/>
      <c r="Q13" s="573"/>
      <c r="R13" s="574" t="s">
        <v>1083</v>
      </c>
      <c r="S13">
        <v>13</v>
      </c>
      <c r="T13" s="574" t="s">
        <v>1137</v>
      </c>
    </row>
    <row r="14" spans="1:20">
      <c r="A14" s="534" t="s">
        <v>1079</v>
      </c>
      <c r="B14" s="567" t="s">
        <v>1090</v>
      </c>
      <c r="C14" s="559" t="s">
        <v>1091</v>
      </c>
      <c r="D14" s="568">
        <v>0</v>
      </c>
      <c r="E14" s="569">
        <v>0</v>
      </c>
      <c r="F14" s="568">
        <v>0</v>
      </c>
      <c r="G14" s="570" t="s">
        <v>1087</v>
      </c>
      <c r="H14" s="571"/>
      <c r="I14" s="572">
        <v>4742945.34</v>
      </c>
      <c r="J14" s="568">
        <v>3570000</v>
      </c>
      <c r="K14" s="568">
        <v>-1172945.3400000001</v>
      </c>
      <c r="L14" s="570" t="s">
        <v>1087</v>
      </c>
      <c r="M14" s="571"/>
      <c r="N14" s="572">
        <v>3570000</v>
      </c>
      <c r="O14" s="565">
        <v>1.3285561176470599</v>
      </c>
      <c r="P14" s="573"/>
      <c r="Q14" s="573"/>
      <c r="R14" s="574" t="s">
        <v>1083</v>
      </c>
      <c r="S14">
        <v>12</v>
      </c>
      <c r="T14" s="574" t="s">
        <v>1137</v>
      </c>
    </row>
    <row r="15" spans="1:20">
      <c r="A15" s="534" t="s">
        <v>1079</v>
      </c>
      <c r="B15" s="567" t="s">
        <v>1092</v>
      </c>
      <c r="C15" s="559" t="s">
        <v>1093</v>
      </c>
      <c r="D15" s="568">
        <v>0</v>
      </c>
      <c r="E15" s="569">
        <v>0</v>
      </c>
      <c r="F15" s="568">
        <v>0</v>
      </c>
      <c r="G15" s="570" t="s">
        <v>1087</v>
      </c>
      <c r="H15" s="571"/>
      <c r="I15" s="572">
        <v>0</v>
      </c>
      <c r="J15" s="568">
        <v>0</v>
      </c>
      <c r="K15" s="568">
        <v>0</v>
      </c>
      <c r="L15" s="570" t="s">
        <v>1087</v>
      </c>
      <c r="M15" s="571"/>
      <c r="N15" s="572">
        <v>0</v>
      </c>
      <c r="O15" s="565">
        <v>0</v>
      </c>
      <c r="P15" s="573"/>
      <c r="Q15" s="573"/>
      <c r="R15" s="574" t="s">
        <v>1083</v>
      </c>
      <c r="S15">
        <v>12</v>
      </c>
      <c r="T15" s="574" t="s">
        <v>1137</v>
      </c>
    </row>
    <row r="16" spans="1:20">
      <c r="A16" s="534" t="s">
        <v>1057</v>
      </c>
      <c r="B16" s="558"/>
      <c r="C16" s="559"/>
      <c r="D16" s="575"/>
      <c r="E16" s="575"/>
      <c r="F16" s="575"/>
      <c r="G16" s="576"/>
      <c r="H16" s="571"/>
      <c r="I16" s="577"/>
      <c r="J16" s="575"/>
      <c r="K16" s="575"/>
      <c r="L16" s="576"/>
      <c r="M16" s="571"/>
      <c r="N16" s="577"/>
      <c r="O16" s="578"/>
      <c r="P16" s="573"/>
      <c r="Q16" s="573"/>
    </row>
    <row r="17" spans="1:20">
      <c r="A17" s="534" t="s">
        <v>1057</v>
      </c>
      <c r="B17" s="579"/>
      <c r="C17" s="580" t="s">
        <v>1094</v>
      </c>
      <c r="D17" s="581">
        <f>SUBTOTAL(9,D11:D16)</f>
        <v>0</v>
      </c>
      <c r="E17" s="581">
        <f>SUBTOTAL(9,E11:E16)</f>
        <v>343200</v>
      </c>
      <c r="F17" s="581">
        <f>SUBTOTAL(9,F11:F16)</f>
        <v>343200</v>
      </c>
      <c r="G17" s="582" t="str">
        <f>IF(E17-D17&lt;0,"F","U")</f>
        <v>U</v>
      </c>
      <c r="H17" s="583"/>
      <c r="I17" s="584">
        <f>SUBTOTAL(9,I11:I16)</f>
        <v>24268369.709999997</v>
      </c>
      <c r="J17" s="581">
        <f>SUBTOTAL(9,J11:J16)</f>
        <v>22553538.120000001</v>
      </c>
      <c r="K17" s="581">
        <f>SUBTOTAL(9,K11:K16)</f>
        <v>-1714831.59</v>
      </c>
      <c r="L17" s="582" t="str">
        <f>IF(J17-I17&lt;0,"F","U")</f>
        <v>F</v>
      </c>
      <c r="M17" s="583"/>
      <c r="N17" s="584">
        <f>SUBTOTAL(9,N11:N16)</f>
        <v>22210338.120000001</v>
      </c>
      <c r="O17" s="585">
        <f>IFERROR(I17/N17,0)</f>
        <v>1.0926609752125644</v>
      </c>
      <c r="P17" s="586"/>
      <c r="Q17" s="586"/>
    </row>
    <row r="18" spans="1:20">
      <c r="A18" s="534" t="s">
        <v>1063</v>
      </c>
      <c r="B18" s="558"/>
      <c r="C18" s="559"/>
      <c r="D18" s="568"/>
      <c r="E18" s="568"/>
      <c r="F18" s="568"/>
      <c r="G18" s="570"/>
      <c r="H18" s="571"/>
      <c r="I18" s="572"/>
      <c r="J18" s="568"/>
      <c r="K18" s="568"/>
      <c r="L18" s="582"/>
      <c r="M18" s="571"/>
      <c r="N18" s="572"/>
      <c r="O18" s="565"/>
      <c r="P18" s="573"/>
      <c r="Q18" s="573"/>
    </row>
    <row r="19" spans="1:20">
      <c r="A19" s="534" t="s">
        <v>1079</v>
      </c>
      <c r="B19" s="567" t="s">
        <v>1095</v>
      </c>
      <c r="C19" s="559" t="s">
        <v>1096</v>
      </c>
      <c r="D19" s="568">
        <v>0</v>
      </c>
      <c r="E19" s="568">
        <v>8543527.1300000008</v>
      </c>
      <c r="F19" s="568">
        <v>8543527.1300000008</v>
      </c>
      <c r="G19" s="570" t="s">
        <v>1087</v>
      </c>
      <c r="H19" s="571"/>
      <c r="I19" s="572">
        <v>7825925.0099999998</v>
      </c>
      <c r="J19" s="568">
        <v>16404611.060000001</v>
      </c>
      <c r="K19" s="568">
        <v>8578686.0500000007</v>
      </c>
      <c r="L19" s="570" t="s">
        <v>1087</v>
      </c>
      <c r="M19" s="571"/>
      <c r="N19" s="572">
        <v>7861083.9299999997</v>
      </c>
      <c r="O19" s="565">
        <v>0.99552747174396405</v>
      </c>
      <c r="P19" s="573"/>
      <c r="Q19" s="573"/>
      <c r="R19" s="574" t="s">
        <v>1097</v>
      </c>
      <c r="S19">
        <v>13</v>
      </c>
      <c r="T19" s="574" t="s">
        <v>1137</v>
      </c>
    </row>
    <row r="20" spans="1:20">
      <c r="A20" s="534" t="s">
        <v>1079</v>
      </c>
      <c r="B20" s="567" t="s">
        <v>1098</v>
      </c>
      <c r="C20" s="559" t="s">
        <v>1099</v>
      </c>
      <c r="D20" s="568">
        <v>0</v>
      </c>
      <c r="E20" s="568">
        <v>146085.17000000001</v>
      </c>
      <c r="F20" s="568">
        <v>146085.17000000001</v>
      </c>
      <c r="G20" s="570" t="s">
        <v>1087</v>
      </c>
      <c r="H20" s="571"/>
      <c r="I20" s="572">
        <v>136962.74</v>
      </c>
      <c r="J20" s="568">
        <v>211562.51</v>
      </c>
      <c r="K20" s="568">
        <v>74599.77</v>
      </c>
      <c r="L20" s="570" t="s">
        <v>1087</v>
      </c>
      <c r="M20" s="571"/>
      <c r="N20" s="572">
        <v>65477.34</v>
      </c>
      <c r="O20" s="565">
        <v>2.0917578508839898</v>
      </c>
      <c r="P20" s="573"/>
      <c r="Q20" s="573"/>
      <c r="R20" s="574" t="s">
        <v>1097</v>
      </c>
      <c r="S20">
        <v>13</v>
      </c>
      <c r="T20" s="574" t="s">
        <v>1137</v>
      </c>
    </row>
    <row r="21" spans="1:20">
      <c r="A21" s="534" t="s">
        <v>1079</v>
      </c>
      <c r="B21" s="567" t="s">
        <v>1100</v>
      </c>
      <c r="C21" s="559" t="s">
        <v>1101</v>
      </c>
      <c r="D21" s="568">
        <v>0</v>
      </c>
      <c r="E21" s="568">
        <v>0</v>
      </c>
      <c r="F21" s="568">
        <v>0</v>
      </c>
      <c r="G21" s="570" t="s">
        <v>1087</v>
      </c>
      <c r="H21" s="571"/>
      <c r="I21" s="572">
        <v>0</v>
      </c>
      <c r="J21" s="568">
        <v>0</v>
      </c>
      <c r="K21" s="568">
        <v>0</v>
      </c>
      <c r="L21" s="570" t="s">
        <v>1087</v>
      </c>
      <c r="M21" s="571"/>
      <c r="N21" s="572">
        <v>0</v>
      </c>
      <c r="O21" s="565">
        <v>0</v>
      </c>
      <c r="P21" s="573"/>
      <c r="Q21" s="573"/>
      <c r="R21" s="574" t="s">
        <v>1097</v>
      </c>
      <c r="S21">
        <v>12</v>
      </c>
      <c r="T21" s="574" t="s">
        <v>1137</v>
      </c>
    </row>
    <row r="22" spans="1:20">
      <c r="A22" s="534" t="s">
        <v>1079</v>
      </c>
      <c r="B22" s="567" t="s">
        <v>1140</v>
      </c>
      <c r="C22" s="559" t="s">
        <v>1141</v>
      </c>
      <c r="D22" s="568">
        <v>0</v>
      </c>
      <c r="E22" s="568">
        <v>0</v>
      </c>
      <c r="F22" s="568">
        <v>0</v>
      </c>
      <c r="G22" s="570" t="s">
        <v>1087</v>
      </c>
      <c r="H22" s="571"/>
      <c r="I22" s="572">
        <v>16.170000000000002</v>
      </c>
      <c r="J22" s="568">
        <v>0</v>
      </c>
      <c r="K22" s="568">
        <v>-16.170000000000002</v>
      </c>
      <c r="L22" s="570" t="s">
        <v>1082</v>
      </c>
      <c r="M22" s="571"/>
      <c r="N22" s="572">
        <v>0</v>
      </c>
      <c r="O22" s="565">
        <v>0</v>
      </c>
      <c r="P22" s="573"/>
      <c r="Q22" s="573"/>
      <c r="R22" s="574" t="s">
        <v>1097</v>
      </c>
      <c r="S22">
        <v>12</v>
      </c>
      <c r="T22" s="574" t="s">
        <v>1137</v>
      </c>
    </row>
    <row r="23" spans="1:20">
      <c r="A23" s="534" t="s">
        <v>1079</v>
      </c>
      <c r="B23" s="567" t="s">
        <v>1142</v>
      </c>
      <c r="C23" s="559" t="s">
        <v>1143</v>
      </c>
      <c r="D23" s="568">
        <v>0</v>
      </c>
      <c r="E23" s="568">
        <v>0</v>
      </c>
      <c r="F23" s="568">
        <v>0</v>
      </c>
      <c r="G23" s="570" t="s">
        <v>1087</v>
      </c>
      <c r="H23" s="571"/>
      <c r="I23" s="572">
        <v>0</v>
      </c>
      <c r="J23" s="568">
        <v>0</v>
      </c>
      <c r="K23" s="568">
        <v>0</v>
      </c>
      <c r="L23" s="570" t="s">
        <v>1087</v>
      </c>
      <c r="M23" s="571"/>
      <c r="N23" s="572">
        <v>0</v>
      </c>
      <c r="O23" s="565">
        <v>0</v>
      </c>
      <c r="P23" s="573"/>
      <c r="Q23" s="573"/>
      <c r="R23" s="574" t="s">
        <v>1097</v>
      </c>
      <c r="S23">
        <v>5</v>
      </c>
      <c r="T23" s="574" t="s">
        <v>1137</v>
      </c>
    </row>
    <row r="24" spans="1:20">
      <c r="A24" s="534" t="s">
        <v>1079</v>
      </c>
      <c r="B24" s="567" t="s">
        <v>1102</v>
      </c>
      <c r="C24" s="559" t="s">
        <v>1103</v>
      </c>
      <c r="D24" s="568">
        <v>0</v>
      </c>
      <c r="E24" s="568">
        <v>393100</v>
      </c>
      <c r="F24" s="568">
        <v>393100</v>
      </c>
      <c r="G24" s="570" t="s">
        <v>1087</v>
      </c>
      <c r="H24" s="571"/>
      <c r="I24" s="572">
        <v>425887.16</v>
      </c>
      <c r="J24" s="568">
        <v>773400</v>
      </c>
      <c r="K24" s="568">
        <v>347512.84</v>
      </c>
      <c r="L24" s="570" t="s">
        <v>1087</v>
      </c>
      <c r="M24" s="571"/>
      <c r="N24" s="572">
        <v>380300</v>
      </c>
      <c r="O24" s="565">
        <v>1.1198715750723101</v>
      </c>
      <c r="P24" s="573"/>
      <c r="Q24" s="573"/>
      <c r="R24" s="574" t="s">
        <v>1097</v>
      </c>
      <c r="S24">
        <v>13</v>
      </c>
      <c r="T24" s="574" t="s">
        <v>1137</v>
      </c>
    </row>
    <row r="25" spans="1:20">
      <c r="A25" s="534" t="s">
        <v>1079</v>
      </c>
      <c r="B25" s="567" t="s">
        <v>1104</v>
      </c>
      <c r="C25" s="559" t="s">
        <v>1105</v>
      </c>
      <c r="D25" s="568">
        <v>0</v>
      </c>
      <c r="E25" s="568">
        <v>15652</v>
      </c>
      <c r="F25" s="568">
        <v>15652</v>
      </c>
      <c r="G25" s="570" t="s">
        <v>1087</v>
      </c>
      <c r="H25" s="571"/>
      <c r="I25" s="572">
        <v>7084.52</v>
      </c>
      <c r="J25" s="568">
        <v>31304</v>
      </c>
      <c r="K25" s="568">
        <v>24219.48</v>
      </c>
      <c r="L25" s="570" t="s">
        <v>1087</v>
      </c>
      <c r="M25" s="571"/>
      <c r="N25" s="572">
        <v>15652</v>
      </c>
      <c r="O25" s="565">
        <v>0.45262714030155898</v>
      </c>
      <c r="P25" s="573"/>
      <c r="Q25" s="573"/>
      <c r="R25" s="574" t="s">
        <v>1097</v>
      </c>
      <c r="S25">
        <v>13</v>
      </c>
      <c r="T25" s="574" t="s">
        <v>1137</v>
      </c>
    </row>
    <row r="26" spans="1:20">
      <c r="A26" s="534" t="s">
        <v>1079</v>
      </c>
      <c r="B26" s="567" t="s">
        <v>1106</v>
      </c>
      <c r="C26" s="559" t="s">
        <v>1107</v>
      </c>
      <c r="D26" s="568">
        <v>0</v>
      </c>
      <c r="E26" s="568">
        <v>1176287.49</v>
      </c>
      <c r="F26" s="568">
        <v>1176287.49</v>
      </c>
      <c r="G26" s="570" t="s">
        <v>1087</v>
      </c>
      <c r="H26" s="571"/>
      <c r="I26" s="572">
        <v>1024310.97</v>
      </c>
      <c r="J26" s="568">
        <v>2249297.37</v>
      </c>
      <c r="K26" s="568">
        <v>1224986.3999999999</v>
      </c>
      <c r="L26" s="570" t="s">
        <v>1087</v>
      </c>
      <c r="M26" s="571"/>
      <c r="N26" s="572">
        <v>1073009.8799999999</v>
      </c>
      <c r="O26" s="565">
        <v>0.95461466766736602</v>
      </c>
      <c r="P26" s="573"/>
      <c r="Q26" s="573"/>
      <c r="R26" s="574" t="s">
        <v>1097</v>
      </c>
      <c r="S26">
        <v>13</v>
      </c>
      <c r="T26" s="574" t="s">
        <v>1137</v>
      </c>
    </row>
    <row r="27" spans="1:20">
      <c r="A27" s="534" t="s">
        <v>1079</v>
      </c>
      <c r="B27" s="567" t="s">
        <v>1108</v>
      </c>
      <c r="C27" s="559" t="s">
        <v>1109</v>
      </c>
      <c r="D27" s="568">
        <v>0</v>
      </c>
      <c r="E27" s="568">
        <v>14500</v>
      </c>
      <c r="F27" s="568">
        <v>14500</v>
      </c>
      <c r="G27" s="570" t="s">
        <v>1087</v>
      </c>
      <c r="H27" s="571"/>
      <c r="I27" s="572">
        <v>21533.49</v>
      </c>
      <c r="J27" s="568">
        <v>29000</v>
      </c>
      <c r="K27" s="568">
        <v>7466.51</v>
      </c>
      <c r="L27" s="570" t="s">
        <v>1087</v>
      </c>
      <c r="M27" s="571"/>
      <c r="N27" s="572">
        <v>14500</v>
      </c>
      <c r="O27" s="565">
        <v>1.4850682758620699</v>
      </c>
      <c r="P27" s="573"/>
      <c r="Q27" s="573"/>
      <c r="R27" s="574" t="s">
        <v>1097</v>
      </c>
      <c r="S27">
        <v>13</v>
      </c>
      <c r="T27" s="574" t="s">
        <v>1137</v>
      </c>
    </row>
    <row r="28" spans="1:20">
      <c r="A28" s="534" t="s">
        <v>1079</v>
      </c>
      <c r="B28" s="567" t="s">
        <v>1110</v>
      </c>
      <c r="C28" s="559" t="s">
        <v>1111</v>
      </c>
      <c r="D28" s="568">
        <v>0</v>
      </c>
      <c r="E28" s="568">
        <v>94600</v>
      </c>
      <c r="F28" s="568">
        <v>94600</v>
      </c>
      <c r="G28" s="570" t="s">
        <v>1087</v>
      </c>
      <c r="H28" s="571"/>
      <c r="I28" s="572">
        <v>96275.78</v>
      </c>
      <c r="J28" s="568">
        <v>189200</v>
      </c>
      <c r="K28" s="568">
        <v>92924.22</v>
      </c>
      <c r="L28" s="570" t="s">
        <v>1087</v>
      </c>
      <c r="M28" s="571"/>
      <c r="N28" s="572">
        <v>94600</v>
      </c>
      <c r="O28" s="565">
        <v>1.0177143763213501</v>
      </c>
      <c r="P28" s="573"/>
      <c r="Q28" s="573"/>
      <c r="R28" s="574" t="s">
        <v>1097</v>
      </c>
      <c r="S28">
        <v>13</v>
      </c>
      <c r="T28" s="574" t="s">
        <v>1137</v>
      </c>
    </row>
    <row r="29" spans="1:20">
      <c r="A29" s="534" t="s">
        <v>1079</v>
      </c>
      <c r="B29" s="567" t="s">
        <v>1144</v>
      </c>
      <c r="C29" s="559" t="s">
        <v>1145</v>
      </c>
      <c r="D29" s="568">
        <v>0</v>
      </c>
      <c r="E29" s="568">
        <v>0</v>
      </c>
      <c r="F29" s="568">
        <v>0</v>
      </c>
      <c r="G29" s="570" t="s">
        <v>1087</v>
      </c>
      <c r="H29" s="571"/>
      <c r="I29" s="572">
        <v>0</v>
      </c>
      <c r="J29" s="568">
        <v>0</v>
      </c>
      <c r="K29" s="568">
        <v>0</v>
      </c>
      <c r="L29" s="570" t="s">
        <v>1087</v>
      </c>
      <c r="M29" s="571"/>
      <c r="N29" s="572">
        <v>0</v>
      </c>
      <c r="O29" s="565">
        <v>0</v>
      </c>
      <c r="P29" s="573"/>
      <c r="Q29" s="573"/>
      <c r="R29" s="574" t="s">
        <v>1097</v>
      </c>
      <c r="S29">
        <v>12</v>
      </c>
      <c r="T29" s="574" t="s">
        <v>1137</v>
      </c>
    </row>
    <row r="30" spans="1:20">
      <c r="A30" s="534" t="s">
        <v>1079</v>
      </c>
      <c r="B30" s="567" t="s">
        <v>1112</v>
      </c>
      <c r="C30" s="559" t="s">
        <v>1113</v>
      </c>
      <c r="D30" s="568">
        <v>0</v>
      </c>
      <c r="E30" s="568">
        <v>0</v>
      </c>
      <c r="F30" s="568">
        <v>0</v>
      </c>
      <c r="G30" s="570" t="s">
        <v>1087</v>
      </c>
      <c r="H30" s="571"/>
      <c r="I30" s="572">
        <v>16334.58</v>
      </c>
      <c r="J30" s="568">
        <v>0</v>
      </c>
      <c r="K30" s="568">
        <v>-16334.58</v>
      </c>
      <c r="L30" s="570" t="s">
        <v>1082</v>
      </c>
      <c r="M30" s="571"/>
      <c r="N30" s="572">
        <v>0</v>
      </c>
      <c r="O30" s="565">
        <v>0</v>
      </c>
      <c r="P30" s="573"/>
      <c r="Q30" s="573"/>
      <c r="R30" s="574" t="s">
        <v>1097</v>
      </c>
      <c r="S30">
        <v>12</v>
      </c>
      <c r="T30" s="574" t="s">
        <v>1137</v>
      </c>
    </row>
    <row r="31" spans="1:20">
      <c r="A31" s="534" t="s">
        <v>1079</v>
      </c>
      <c r="B31" s="567" t="s">
        <v>1114</v>
      </c>
      <c r="C31" s="559" t="s">
        <v>1115</v>
      </c>
      <c r="D31" s="568">
        <v>0</v>
      </c>
      <c r="E31" s="568">
        <v>0</v>
      </c>
      <c r="F31" s="568">
        <v>0</v>
      </c>
      <c r="G31" s="570" t="s">
        <v>1087</v>
      </c>
      <c r="H31" s="571"/>
      <c r="I31" s="572">
        <v>25532</v>
      </c>
      <c r="J31" s="568">
        <v>0</v>
      </c>
      <c r="K31" s="568">
        <v>-25532</v>
      </c>
      <c r="L31" s="570" t="s">
        <v>1082</v>
      </c>
      <c r="M31" s="571"/>
      <c r="N31" s="572">
        <v>0</v>
      </c>
      <c r="O31" s="565">
        <v>0</v>
      </c>
      <c r="P31" s="573"/>
      <c r="Q31" s="573"/>
      <c r="R31" s="574" t="s">
        <v>1097</v>
      </c>
      <c r="S31">
        <v>12</v>
      </c>
      <c r="T31" s="574" t="s">
        <v>1137</v>
      </c>
    </row>
    <row r="32" spans="1:20">
      <c r="A32" s="534" t="s">
        <v>1079</v>
      </c>
      <c r="B32" s="567" t="s">
        <v>1116</v>
      </c>
      <c r="C32" s="559" t="s">
        <v>1117</v>
      </c>
      <c r="D32" s="568">
        <v>0</v>
      </c>
      <c r="E32" s="568">
        <v>5084802.4000000004</v>
      </c>
      <c r="F32" s="568">
        <v>5084802.4000000004</v>
      </c>
      <c r="G32" s="570" t="s">
        <v>1087</v>
      </c>
      <c r="H32" s="571"/>
      <c r="I32" s="572">
        <v>4767607.3600000003</v>
      </c>
      <c r="J32" s="568">
        <v>9870004.8000000007</v>
      </c>
      <c r="K32" s="568">
        <v>5102397.4400000004</v>
      </c>
      <c r="L32" s="570" t="s">
        <v>1087</v>
      </c>
      <c r="M32" s="571"/>
      <c r="N32" s="572">
        <v>4785202.4000000004</v>
      </c>
      <c r="O32" s="565">
        <v>0.99632303118463705</v>
      </c>
      <c r="P32" s="573"/>
      <c r="Q32" s="573"/>
      <c r="R32" s="574" t="s">
        <v>1097</v>
      </c>
      <c r="S32">
        <v>13</v>
      </c>
      <c r="T32" s="574" t="s">
        <v>1137</v>
      </c>
    </row>
    <row r="33" spans="1:20">
      <c r="A33" s="534" t="s">
        <v>1079</v>
      </c>
      <c r="B33" s="567" t="s">
        <v>1146</v>
      </c>
      <c r="C33" s="559" t="s">
        <v>1147</v>
      </c>
      <c r="D33" s="568">
        <v>0</v>
      </c>
      <c r="E33" s="568">
        <v>1878955.34</v>
      </c>
      <c r="F33" s="568">
        <v>1878955.34</v>
      </c>
      <c r="G33" s="570" t="s">
        <v>1087</v>
      </c>
      <c r="H33" s="571"/>
      <c r="I33" s="572">
        <v>1797183.09</v>
      </c>
      <c r="J33" s="568">
        <v>3744910.68</v>
      </c>
      <c r="K33" s="568">
        <v>1947727.59</v>
      </c>
      <c r="L33" s="570" t="s">
        <v>1087</v>
      </c>
      <c r="M33" s="571"/>
      <c r="N33" s="572">
        <v>1865955.34</v>
      </c>
      <c r="O33" s="565">
        <v>0.96314367845481197</v>
      </c>
      <c r="P33" s="573"/>
      <c r="Q33" s="573"/>
      <c r="R33" s="574" t="s">
        <v>1097</v>
      </c>
      <c r="S33">
        <v>13</v>
      </c>
      <c r="T33" s="574" t="s">
        <v>1137</v>
      </c>
    </row>
    <row r="34" spans="1:20">
      <c r="A34" s="534" t="s">
        <v>1079</v>
      </c>
      <c r="B34" s="567" t="s">
        <v>1118</v>
      </c>
      <c r="C34" s="559" t="s">
        <v>1119</v>
      </c>
      <c r="D34" s="568">
        <v>0</v>
      </c>
      <c r="E34" s="568">
        <v>206098</v>
      </c>
      <c r="F34" s="568">
        <v>206098</v>
      </c>
      <c r="G34" s="570" t="s">
        <v>1087</v>
      </c>
      <c r="H34" s="571"/>
      <c r="I34" s="572">
        <v>149390.72</v>
      </c>
      <c r="J34" s="568">
        <v>374270</v>
      </c>
      <c r="K34" s="568">
        <v>224879.28</v>
      </c>
      <c r="L34" s="570" t="s">
        <v>1087</v>
      </c>
      <c r="M34" s="571"/>
      <c r="N34" s="572">
        <v>168172</v>
      </c>
      <c r="O34" s="565">
        <v>0.88832100468567898</v>
      </c>
      <c r="P34" s="573"/>
      <c r="Q34" s="573"/>
      <c r="R34" s="574" t="s">
        <v>1097</v>
      </c>
      <c r="S34">
        <v>13</v>
      </c>
      <c r="T34" s="574" t="s">
        <v>1137</v>
      </c>
    </row>
    <row r="35" spans="1:20">
      <c r="A35" s="534" t="s">
        <v>1079</v>
      </c>
      <c r="B35" s="567" t="s">
        <v>1120</v>
      </c>
      <c r="C35" s="559" t="s">
        <v>1121</v>
      </c>
      <c r="D35" s="568">
        <v>0</v>
      </c>
      <c r="E35" s="568">
        <v>0</v>
      </c>
      <c r="F35" s="568">
        <v>0</v>
      </c>
      <c r="G35" s="570" t="s">
        <v>1087</v>
      </c>
      <c r="H35" s="571"/>
      <c r="I35" s="572">
        <v>20005.55</v>
      </c>
      <c r="J35" s="568">
        <v>0</v>
      </c>
      <c r="K35" s="568">
        <v>-20005.55</v>
      </c>
      <c r="L35" s="570" t="s">
        <v>1082</v>
      </c>
      <c r="M35" s="571"/>
      <c r="N35" s="572">
        <v>0</v>
      </c>
      <c r="O35" s="565">
        <v>0</v>
      </c>
      <c r="P35" s="573"/>
      <c r="Q35" s="573"/>
      <c r="R35" s="574" t="s">
        <v>1097</v>
      </c>
      <c r="S35">
        <v>12</v>
      </c>
      <c r="T35" s="574" t="s">
        <v>1137</v>
      </c>
    </row>
    <row r="36" spans="1:20">
      <c r="A36" s="534" t="s">
        <v>1079</v>
      </c>
      <c r="B36" s="567" t="s">
        <v>1122</v>
      </c>
      <c r="C36" s="559" t="s">
        <v>1123</v>
      </c>
      <c r="D36" s="568">
        <v>0</v>
      </c>
      <c r="E36" s="568">
        <v>59309.38</v>
      </c>
      <c r="F36" s="568">
        <v>59309.38</v>
      </c>
      <c r="G36" s="570" t="s">
        <v>1087</v>
      </c>
      <c r="H36" s="571"/>
      <c r="I36" s="572">
        <v>0</v>
      </c>
      <c r="J36" s="568">
        <v>108733.87</v>
      </c>
      <c r="K36" s="568">
        <v>108733.87</v>
      </c>
      <c r="L36" s="570" t="s">
        <v>1087</v>
      </c>
      <c r="M36" s="571"/>
      <c r="N36" s="572">
        <v>49424.49</v>
      </c>
      <c r="O36" s="565">
        <v>0</v>
      </c>
      <c r="P36" s="573"/>
      <c r="Q36" s="573"/>
      <c r="R36" s="574" t="s">
        <v>1097</v>
      </c>
      <c r="S36">
        <v>13</v>
      </c>
      <c r="T36" s="574" t="s">
        <v>1137</v>
      </c>
    </row>
    <row r="37" spans="1:20">
      <c r="A37" s="534" t="s">
        <v>1079</v>
      </c>
      <c r="B37" s="567" t="s">
        <v>1124</v>
      </c>
      <c r="C37" s="559" t="s">
        <v>1125</v>
      </c>
      <c r="D37" s="568">
        <v>0</v>
      </c>
      <c r="E37" s="568">
        <v>3494604.07</v>
      </c>
      <c r="F37" s="568">
        <v>3494604.07</v>
      </c>
      <c r="G37" s="570" t="s">
        <v>1087</v>
      </c>
      <c r="H37" s="571"/>
      <c r="I37" s="572">
        <v>2038345.97</v>
      </c>
      <c r="J37" s="568">
        <v>6366215.3700000001</v>
      </c>
      <c r="K37" s="568">
        <v>4327869.4000000004</v>
      </c>
      <c r="L37" s="570" t="s">
        <v>1087</v>
      </c>
      <c r="M37" s="571"/>
      <c r="N37" s="572">
        <v>2871611.3</v>
      </c>
      <c r="O37" s="565">
        <v>0.70982655974365405</v>
      </c>
      <c r="P37" s="573"/>
      <c r="Q37" s="573"/>
      <c r="R37" s="574" t="s">
        <v>1097</v>
      </c>
      <c r="S37">
        <v>13</v>
      </c>
      <c r="T37" s="574" t="s">
        <v>1137</v>
      </c>
    </row>
    <row r="38" spans="1:20">
      <c r="A38" s="534" t="s">
        <v>1079</v>
      </c>
      <c r="B38" s="567" t="s">
        <v>1126</v>
      </c>
      <c r="C38" s="559" t="s">
        <v>1127</v>
      </c>
      <c r="D38" s="568">
        <v>3.91</v>
      </c>
      <c r="E38" s="568">
        <v>1475955.05</v>
      </c>
      <c r="F38" s="568">
        <v>1475951.14</v>
      </c>
      <c r="G38" s="570" t="s">
        <v>1087</v>
      </c>
      <c r="H38" s="571"/>
      <c r="I38" s="572">
        <v>6245.35</v>
      </c>
      <c r="J38" s="568">
        <v>2995813.36</v>
      </c>
      <c r="K38" s="568">
        <v>2989568.01</v>
      </c>
      <c r="L38" s="570" t="s">
        <v>1087</v>
      </c>
      <c r="M38" s="571"/>
      <c r="N38" s="572">
        <v>1519858.31</v>
      </c>
      <c r="O38" s="565">
        <v>4.1091659392907499E-3</v>
      </c>
      <c r="P38" s="573"/>
      <c r="Q38" s="573"/>
      <c r="R38" s="574" t="s">
        <v>1128</v>
      </c>
      <c r="S38">
        <v>13</v>
      </c>
      <c r="T38" s="574" t="s">
        <v>1137</v>
      </c>
    </row>
    <row r="39" spans="1:20">
      <c r="A39" s="534" t="s">
        <v>1057</v>
      </c>
      <c r="B39" s="558"/>
      <c r="C39" s="559"/>
      <c r="D39" s="575"/>
      <c r="E39" s="575"/>
      <c r="F39" s="575"/>
      <c r="G39" s="576"/>
      <c r="H39" s="571"/>
      <c r="I39" s="577"/>
      <c r="J39" s="575"/>
      <c r="K39" s="575"/>
      <c r="L39" s="576"/>
      <c r="M39" s="571"/>
      <c r="N39" s="577"/>
      <c r="O39" s="578"/>
      <c r="P39" s="573"/>
      <c r="Q39" s="573"/>
    </row>
    <row r="40" spans="1:20">
      <c r="A40" s="534" t="s">
        <v>1057</v>
      </c>
      <c r="B40" s="579"/>
      <c r="C40" s="580" t="s">
        <v>1129</v>
      </c>
      <c r="D40" s="587">
        <f>SUBTOTAL(9,D19:D39)</f>
        <v>3.91</v>
      </c>
      <c r="E40" s="587">
        <f>SUBTOTAL(9,E19:E39)</f>
        <v>22583476.030000001</v>
      </c>
      <c r="F40" s="587">
        <f>SUBTOTAL(9,F19:F39)</f>
        <v>22583472.120000001</v>
      </c>
      <c r="G40" s="582" t="str">
        <f>IF(E40-D40&gt;0,"F","U")</f>
        <v>F</v>
      </c>
      <c r="H40" s="583"/>
      <c r="I40" s="588">
        <f>SUBTOTAL(9,I19:I39)</f>
        <v>18358640.460000005</v>
      </c>
      <c r="J40" s="587">
        <f>SUBTOTAL(9,J19:J39)</f>
        <v>43348323.019999996</v>
      </c>
      <c r="K40" s="587">
        <f>SUBTOTAL(9,K19:K39)</f>
        <v>24989682.560000002</v>
      </c>
      <c r="L40" s="582" t="str">
        <f>IF(J40-I40&gt;0,"F","U")</f>
        <v>F</v>
      </c>
      <c r="M40" s="583"/>
      <c r="N40" s="588">
        <f>SUBTOTAL(9,N19:N39)</f>
        <v>20764846.989999998</v>
      </c>
      <c r="O40" s="585">
        <f>IFERROR(I40/N40,0)</f>
        <v>0.8841211528715438</v>
      </c>
      <c r="P40" s="586"/>
      <c r="Q40" s="586"/>
    </row>
    <row r="41" spans="1:20">
      <c r="A41" s="534" t="s">
        <v>1057</v>
      </c>
      <c r="B41" s="558"/>
      <c r="C41" s="559"/>
      <c r="D41" s="568"/>
      <c r="E41" s="568"/>
      <c r="F41" s="568"/>
      <c r="G41" s="570"/>
      <c r="H41" s="571"/>
      <c r="I41" s="572"/>
      <c r="J41" s="568"/>
      <c r="K41" s="568"/>
      <c r="L41" s="582"/>
      <c r="M41" s="571"/>
      <c r="N41" s="572"/>
      <c r="O41" s="565"/>
      <c r="P41" s="573"/>
      <c r="Q41" s="573"/>
    </row>
    <row r="42" spans="1:20">
      <c r="A42" s="534" t="s">
        <v>1057</v>
      </c>
      <c r="B42" s="579" t="s">
        <v>1130</v>
      </c>
      <c r="C42" s="580"/>
      <c r="D42" s="589">
        <f>D17-D40</f>
        <v>-3.91</v>
      </c>
      <c r="E42" s="589">
        <f>E17-E40</f>
        <v>-22240276.030000001</v>
      </c>
      <c r="F42" s="589">
        <f>F17-F40</f>
        <v>-22240272.120000001</v>
      </c>
      <c r="G42" s="582" t="str">
        <f>IF(E42-D42&lt;0,"F","U")</f>
        <v>F</v>
      </c>
      <c r="H42" s="583"/>
      <c r="I42" s="590">
        <f>I17-I40</f>
        <v>5909729.2499999925</v>
      </c>
      <c r="J42" s="589">
        <f>J17-J40</f>
        <v>-20794784.899999995</v>
      </c>
      <c r="K42" s="589">
        <f>K17-K40</f>
        <v>-26704514.150000002</v>
      </c>
      <c r="L42" s="582" t="str">
        <f>IF(J42-I42&lt;0,"F","U")</f>
        <v>F</v>
      </c>
      <c r="M42" s="583"/>
      <c r="N42" s="590">
        <f>N17-N40</f>
        <v>1445491.1300000027</v>
      </c>
      <c r="O42" s="591">
        <f>IFERROR(I42/N42,0)</f>
        <v>4.0883884565932833</v>
      </c>
      <c r="P42" s="586"/>
      <c r="Q42" s="586"/>
    </row>
    <row r="43" spans="1:20" ht="14.65" thickBot="1">
      <c r="A43" s="534" t="s">
        <v>1057</v>
      </c>
      <c r="B43" s="592"/>
      <c r="C43" s="593"/>
      <c r="D43" s="594"/>
      <c r="E43" s="594"/>
      <c r="F43" s="594"/>
      <c r="G43" s="595"/>
      <c r="I43" s="596"/>
      <c r="J43" s="594"/>
      <c r="K43" s="594"/>
      <c r="L43" s="595"/>
      <c r="N43" s="596"/>
      <c r="O43" s="597"/>
      <c r="P43" s="598"/>
      <c r="Q43" s="598"/>
    </row>
    <row r="44" spans="1:20">
      <c r="A44" s="534" t="s">
        <v>1057</v>
      </c>
      <c r="B44" s="2"/>
    </row>
    <row r="45" spans="1:20">
      <c r="A45" s="534" t="s">
        <v>1148</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T71"/>
  <sheetViews>
    <sheetView topLeftCell="B2" workbookViewId="0">
      <selection activeCell="I56" sqref="I56:I57"/>
    </sheetView>
  </sheetViews>
  <sheetFormatPr defaultRowHeight="14.25"/>
  <cols>
    <col min="1" max="1" width="14.7109375" style="534" hidden="1" customWidth="1"/>
    <col min="2" max="2" width="8.7109375" style="535" customWidth="1"/>
    <col min="3" max="3" width="30.7109375" customWidth="1"/>
    <col min="4" max="5" width="15.7109375" style="536" customWidth="1"/>
    <col min="6" max="6" width="13.7109375" style="536" customWidth="1"/>
    <col min="7" max="7" width="6.7109375" style="536" customWidth="1"/>
    <col min="8" max="8" width="2.5703125" style="536" customWidth="1"/>
    <col min="9" max="10" width="15.7109375" style="536" customWidth="1"/>
    <col min="11" max="11" width="13.7109375" style="536" customWidth="1"/>
    <col min="12" max="12" width="6.7109375" style="536" customWidth="1"/>
    <col min="13" max="13" width="2.5703125" style="536" customWidth="1"/>
    <col min="14" max="14" width="15.7109375" style="536" customWidth="1"/>
    <col min="15" max="15" width="15.7109375" style="537" customWidth="1"/>
    <col min="16" max="17" width="50.7109375" customWidth="1"/>
  </cols>
  <sheetData>
    <row r="1" spans="1:20" s="724" customFormat="1" hidden="1">
      <c r="A1" s="722" t="s">
        <v>1054</v>
      </c>
      <c r="B1" s="723" t="s">
        <v>1055</v>
      </c>
      <c r="D1" s="725"/>
      <c r="E1" s="725"/>
      <c r="F1" s="725"/>
      <c r="G1" s="725"/>
      <c r="H1" s="725"/>
      <c r="I1" s="725"/>
      <c r="J1" s="725"/>
      <c r="K1" s="725"/>
      <c r="L1" s="725"/>
      <c r="M1" s="725"/>
      <c r="N1" s="725"/>
      <c r="O1" s="726"/>
    </row>
    <row r="2" spans="1:20">
      <c r="A2" s="534" t="s">
        <v>1056</v>
      </c>
    </row>
    <row r="3" spans="1:20" ht="25.5">
      <c r="A3" s="534" t="s">
        <v>1057</v>
      </c>
      <c r="B3" s="538" t="s">
        <v>1058</v>
      </c>
    </row>
    <row r="4" spans="1:20" ht="21">
      <c r="A4" s="534" t="s">
        <v>1057</v>
      </c>
      <c r="B4" s="539" t="s">
        <v>1149</v>
      </c>
      <c r="C4" s="540"/>
    </row>
    <row r="5" spans="1:20" ht="18">
      <c r="A5" s="534" t="s">
        <v>1057</v>
      </c>
      <c r="B5" s="541" t="s">
        <v>1060</v>
      </c>
      <c r="C5" s="540"/>
      <c r="P5" s="535"/>
      <c r="Q5" s="535" t="s">
        <v>1150</v>
      </c>
    </row>
    <row r="6" spans="1:20" ht="18">
      <c r="A6" s="534" t="s">
        <v>1057</v>
      </c>
      <c r="B6" s="541" t="s">
        <v>1062</v>
      </c>
      <c r="C6" s="540"/>
    </row>
    <row r="7" spans="1:20" ht="21.4" thickBot="1">
      <c r="A7" s="534" t="s">
        <v>1057</v>
      </c>
      <c r="B7" s="542"/>
      <c r="C7" s="540"/>
    </row>
    <row r="8" spans="1:20">
      <c r="A8" s="534" t="s">
        <v>1063</v>
      </c>
      <c r="B8" s="543" t="s">
        <v>1064</v>
      </c>
      <c r="C8" s="544" t="s">
        <v>1065</v>
      </c>
      <c r="D8" s="545" t="s">
        <v>1066</v>
      </c>
      <c r="E8" s="545" t="s">
        <v>1066</v>
      </c>
      <c r="F8" s="545"/>
      <c r="G8" s="546" t="s">
        <v>1067</v>
      </c>
      <c r="H8" s="547"/>
      <c r="I8" s="548" t="s">
        <v>1068</v>
      </c>
      <c r="J8" s="545" t="s">
        <v>1068</v>
      </c>
      <c r="K8" s="545"/>
      <c r="L8" s="546" t="s">
        <v>1067</v>
      </c>
      <c r="N8" s="548" t="s">
        <v>1069</v>
      </c>
      <c r="O8" s="549" t="s">
        <v>1070</v>
      </c>
      <c r="P8" s="550" t="s">
        <v>1071</v>
      </c>
      <c r="Q8" s="550" t="s">
        <v>1072</v>
      </c>
    </row>
    <row r="9" spans="1:20">
      <c r="A9" s="534" t="s">
        <v>1057</v>
      </c>
      <c r="B9" s="551"/>
      <c r="C9" s="552"/>
      <c r="D9" s="553" t="s">
        <v>1073</v>
      </c>
      <c r="E9" s="553" t="s">
        <v>1074</v>
      </c>
      <c r="F9" s="553" t="s">
        <v>1075</v>
      </c>
      <c r="G9" s="554" t="s">
        <v>1076</v>
      </c>
      <c r="H9" s="547"/>
      <c r="I9" s="555" t="s">
        <v>1077</v>
      </c>
      <c r="J9" s="553" t="s">
        <v>1074</v>
      </c>
      <c r="K9" s="553" t="s">
        <v>1075</v>
      </c>
      <c r="L9" s="554" t="s">
        <v>1076</v>
      </c>
      <c r="N9" s="555" t="s">
        <v>1074</v>
      </c>
      <c r="O9" s="556" t="s">
        <v>1078</v>
      </c>
      <c r="P9" s="557"/>
      <c r="Q9" s="557"/>
    </row>
    <row r="10" spans="1:20">
      <c r="A10" s="534" t="s">
        <v>1057</v>
      </c>
      <c r="B10" s="558"/>
      <c r="C10" s="559"/>
      <c r="D10" s="560"/>
      <c r="E10" s="561"/>
      <c r="F10" s="560"/>
      <c r="G10" s="562"/>
      <c r="H10" s="563"/>
      <c r="I10" s="564"/>
      <c r="J10" s="560"/>
      <c r="K10" s="560"/>
      <c r="L10" s="562"/>
      <c r="M10" s="563"/>
      <c r="N10" s="564"/>
      <c r="O10" s="565"/>
      <c r="P10" s="566"/>
      <c r="Q10" s="566"/>
    </row>
    <row r="11" spans="1:20">
      <c r="A11" s="534" t="s">
        <v>1079</v>
      </c>
      <c r="B11" s="567" t="s">
        <v>1151</v>
      </c>
      <c r="C11" s="559" t="s">
        <v>1152</v>
      </c>
      <c r="D11" s="568">
        <v>10650.83</v>
      </c>
      <c r="E11" s="569">
        <v>112389.96</v>
      </c>
      <c r="F11" s="568">
        <v>101739.13</v>
      </c>
      <c r="G11" s="570" t="s">
        <v>1082</v>
      </c>
      <c r="H11" s="571"/>
      <c r="I11" s="572">
        <v>203068.13</v>
      </c>
      <c r="J11" s="568">
        <v>1348679.96</v>
      </c>
      <c r="K11" s="568">
        <v>1145611.83</v>
      </c>
      <c r="L11" s="570" t="s">
        <v>1082</v>
      </c>
      <c r="M11" s="571"/>
      <c r="N11" s="572">
        <v>1348679.96</v>
      </c>
      <c r="O11" s="565">
        <v>0.15056806360494901</v>
      </c>
      <c r="P11" s="573"/>
      <c r="Q11" s="573"/>
      <c r="R11" s="574" t="s">
        <v>1083</v>
      </c>
      <c r="S11">
        <v>12</v>
      </c>
      <c r="T11" s="574" t="s">
        <v>1153</v>
      </c>
    </row>
    <row r="12" spans="1:20">
      <c r="A12" s="534" t="s">
        <v>1079</v>
      </c>
      <c r="B12" s="567" t="s">
        <v>1090</v>
      </c>
      <c r="C12" s="559" t="s">
        <v>1091</v>
      </c>
      <c r="D12" s="568">
        <v>-184046.87</v>
      </c>
      <c r="E12" s="569">
        <v>4070000</v>
      </c>
      <c r="F12" s="568">
        <v>4254046.87</v>
      </c>
      <c r="G12" s="570" t="s">
        <v>1082</v>
      </c>
      <c r="H12" s="571"/>
      <c r="I12" s="572">
        <v>8958266.1600000001</v>
      </c>
      <c r="J12" s="568">
        <v>4070000</v>
      </c>
      <c r="K12" s="568">
        <v>-4888266.16</v>
      </c>
      <c r="L12" s="570" t="s">
        <v>1087</v>
      </c>
      <c r="M12" s="571"/>
      <c r="N12" s="572">
        <v>4070000</v>
      </c>
      <c r="O12" s="565">
        <v>2.2010481965601998</v>
      </c>
      <c r="P12" s="573"/>
      <c r="Q12" s="573"/>
      <c r="R12" s="574" t="s">
        <v>1083</v>
      </c>
      <c r="S12">
        <v>12</v>
      </c>
      <c r="T12" s="574" t="s">
        <v>1153</v>
      </c>
    </row>
    <row r="13" spans="1:20">
      <c r="A13" s="534" t="s">
        <v>1079</v>
      </c>
      <c r="B13" s="567" t="s">
        <v>1092</v>
      </c>
      <c r="C13" s="559" t="s">
        <v>1093</v>
      </c>
      <c r="D13" s="568">
        <v>0</v>
      </c>
      <c r="E13" s="569">
        <v>0</v>
      </c>
      <c r="F13" s="568">
        <v>0</v>
      </c>
      <c r="G13" s="570" t="s">
        <v>1087</v>
      </c>
      <c r="H13" s="571"/>
      <c r="I13" s="572">
        <v>0</v>
      </c>
      <c r="J13" s="568">
        <v>0</v>
      </c>
      <c r="K13" s="568">
        <v>0</v>
      </c>
      <c r="L13" s="570" t="s">
        <v>1087</v>
      </c>
      <c r="M13" s="571"/>
      <c r="N13" s="572">
        <v>0</v>
      </c>
      <c r="O13" s="565">
        <v>0</v>
      </c>
      <c r="P13" s="573"/>
      <c r="Q13" s="573"/>
      <c r="R13" s="574" t="s">
        <v>1083</v>
      </c>
      <c r="S13">
        <v>12</v>
      </c>
      <c r="T13" s="574" t="s">
        <v>1153</v>
      </c>
    </row>
    <row r="14" spans="1:20">
      <c r="A14" s="534" t="s">
        <v>1057</v>
      </c>
      <c r="B14" s="558"/>
      <c r="C14" s="559"/>
      <c r="D14" s="575"/>
      <c r="E14" s="575"/>
      <c r="F14" s="575"/>
      <c r="G14" s="576"/>
      <c r="H14" s="571"/>
      <c r="I14" s="577"/>
      <c r="J14" s="575"/>
      <c r="K14" s="575"/>
      <c r="L14" s="576"/>
      <c r="M14" s="571"/>
      <c r="N14" s="577"/>
      <c r="O14" s="578"/>
      <c r="P14" s="573"/>
      <c r="Q14" s="573"/>
    </row>
    <row r="15" spans="1:20">
      <c r="A15" s="534" t="s">
        <v>1057</v>
      </c>
      <c r="B15" s="579"/>
      <c r="C15" s="580" t="s">
        <v>1094</v>
      </c>
      <c r="D15" s="581">
        <f>SUBTOTAL(9,D11:D14)</f>
        <v>-173396.04</v>
      </c>
      <c r="E15" s="581">
        <f>SUBTOTAL(9,E11:E14)</f>
        <v>4182389.96</v>
      </c>
      <c r="F15" s="581">
        <f>SUBTOTAL(9,F11:F14)</f>
        <v>4355786</v>
      </c>
      <c r="G15" s="582" t="str">
        <f>IF(E15-D15&lt;0,"F","U")</f>
        <v>U</v>
      </c>
      <c r="H15" s="583"/>
      <c r="I15" s="584">
        <f>SUBTOTAL(9,I11:I14)</f>
        <v>9161334.290000001</v>
      </c>
      <c r="J15" s="581">
        <f>SUBTOTAL(9,J11:J14)</f>
        <v>5418679.96</v>
      </c>
      <c r="K15" s="581">
        <f>SUBTOTAL(9,K11:K14)</f>
        <v>-3742654.33</v>
      </c>
      <c r="L15" s="582" t="str">
        <f>IF(J15-I15&lt;0,"F","U")</f>
        <v>F</v>
      </c>
      <c r="M15" s="583"/>
      <c r="N15" s="584">
        <f>SUBTOTAL(9,N11:N14)</f>
        <v>5418679.96</v>
      </c>
      <c r="O15" s="585">
        <f>IFERROR(I15/N15,0)</f>
        <v>1.6906948477540278</v>
      </c>
      <c r="P15" s="586"/>
      <c r="Q15" s="586"/>
    </row>
    <row r="16" spans="1:20">
      <c r="A16" s="534" t="s">
        <v>1063</v>
      </c>
      <c r="B16" s="558"/>
      <c r="C16" s="559"/>
      <c r="D16" s="568"/>
      <c r="E16" s="568"/>
      <c r="F16" s="568"/>
      <c r="G16" s="570"/>
      <c r="H16" s="571"/>
      <c r="I16" s="572"/>
      <c r="J16" s="568"/>
      <c r="K16" s="568"/>
      <c r="L16" s="582"/>
      <c r="M16" s="571"/>
      <c r="N16" s="572"/>
      <c r="O16" s="565"/>
      <c r="P16" s="573"/>
      <c r="Q16" s="573"/>
    </row>
    <row r="17" spans="1:20">
      <c r="A17" s="534" t="s">
        <v>1079</v>
      </c>
      <c r="B17" s="567" t="s">
        <v>1095</v>
      </c>
      <c r="C17" s="559" t="s">
        <v>1096</v>
      </c>
      <c r="D17" s="568">
        <v>422872.55</v>
      </c>
      <c r="E17" s="568">
        <v>397354.69</v>
      </c>
      <c r="F17" s="568">
        <v>-25517.86</v>
      </c>
      <c r="G17" s="570" t="s">
        <v>1082</v>
      </c>
      <c r="H17" s="571"/>
      <c r="I17" s="572">
        <v>5045257.57</v>
      </c>
      <c r="J17" s="568">
        <v>4768257.05</v>
      </c>
      <c r="K17" s="568">
        <v>-277000.52</v>
      </c>
      <c r="L17" s="570" t="s">
        <v>1082</v>
      </c>
      <c r="M17" s="571"/>
      <c r="N17" s="572">
        <v>4768257.05</v>
      </c>
      <c r="O17" s="565">
        <v>1.0580926147846801</v>
      </c>
      <c r="P17" s="573"/>
      <c r="Q17" s="573"/>
      <c r="R17" s="574" t="s">
        <v>1097</v>
      </c>
      <c r="S17">
        <v>12</v>
      </c>
      <c r="T17" s="574" t="s">
        <v>1153</v>
      </c>
    </row>
    <row r="18" spans="1:20">
      <c r="A18" s="534" t="s">
        <v>1079</v>
      </c>
      <c r="B18" s="567" t="s">
        <v>1098</v>
      </c>
      <c r="C18" s="559" t="s">
        <v>1099</v>
      </c>
      <c r="D18" s="568">
        <v>17903.060000000001</v>
      </c>
      <c r="E18" s="568">
        <v>5722.88</v>
      </c>
      <c r="F18" s="568">
        <v>-12180.18</v>
      </c>
      <c r="G18" s="570" t="s">
        <v>1082</v>
      </c>
      <c r="H18" s="571"/>
      <c r="I18" s="572">
        <v>214975.88</v>
      </c>
      <c r="J18" s="568">
        <v>68675.88</v>
      </c>
      <c r="K18" s="568">
        <v>-146300</v>
      </c>
      <c r="L18" s="570" t="s">
        <v>1082</v>
      </c>
      <c r="M18" s="571"/>
      <c r="N18" s="572">
        <v>68675.88</v>
      </c>
      <c r="O18" s="565">
        <v>3.13029669223023</v>
      </c>
      <c r="P18" s="573"/>
      <c r="Q18" s="573"/>
      <c r="R18" s="574" t="s">
        <v>1097</v>
      </c>
      <c r="S18">
        <v>12</v>
      </c>
      <c r="T18" s="574" t="s">
        <v>1153</v>
      </c>
    </row>
    <row r="19" spans="1:20">
      <c r="A19" s="534" t="s">
        <v>1079</v>
      </c>
      <c r="B19" s="567" t="s">
        <v>1100</v>
      </c>
      <c r="C19" s="559" t="s">
        <v>1101</v>
      </c>
      <c r="D19" s="568">
        <v>0</v>
      </c>
      <c r="E19" s="568">
        <v>0</v>
      </c>
      <c r="F19" s="568">
        <v>0</v>
      </c>
      <c r="G19" s="570" t="s">
        <v>1087</v>
      </c>
      <c r="H19" s="571"/>
      <c r="I19" s="572">
        <v>0</v>
      </c>
      <c r="J19" s="568">
        <v>0</v>
      </c>
      <c r="K19" s="568">
        <v>0</v>
      </c>
      <c r="L19" s="570" t="s">
        <v>1087</v>
      </c>
      <c r="M19" s="571"/>
      <c r="N19" s="572">
        <v>0</v>
      </c>
      <c r="O19" s="565">
        <v>0</v>
      </c>
      <c r="P19" s="573"/>
      <c r="Q19" s="573"/>
      <c r="R19" s="574" t="s">
        <v>1097</v>
      </c>
      <c r="S19">
        <v>12</v>
      </c>
      <c r="T19" s="574" t="s">
        <v>1153</v>
      </c>
    </row>
    <row r="20" spans="1:20">
      <c r="A20" s="534" t="s">
        <v>1079</v>
      </c>
      <c r="B20" s="567" t="s">
        <v>1102</v>
      </c>
      <c r="C20" s="559" t="s">
        <v>1103</v>
      </c>
      <c r="D20" s="568">
        <v>19838</v>
      </c>
      <c r="E20" s="568">
        <v>3741.74</v>
      </c>
      <c r="F20" s="568">
        <v>-16096.26</v>
      </c>
      <c r="G20" s="570" t="s">
        <v>1082</v>
      </c>
      <c r="H20" s="571"/>
      <c r="I20" s="572">
        <v>238058.94</v>
      </c>
      <c r="J20" s="568">
        <v>44900</v>
      </c>
      <c r="K20" s="568">
        <v>-193158.94</v>
      </c>
      <c r="L20" s="570" t="s">
        <v>1082</v>
      </c>
      <c r="M20" s="571"/>
      <c r="N20" s="572">
        <v>44900</v>
      </c>
      <c r="O20" s="565">
        <v>5.3019808463251703</v>
      </c>
      <c r="P20" s="573"/>
      <c r="Q20" s="573"/>
      <c r="R20" s="574" t="s">
        <v>1097</v>
      </c>
      <c r="S20">
        <v>12</v>
      </c>
      <c r="T20" s="574" t="s">
        <v>1153</v>
      </c>
    </row>
    <row r="21" spans="1:20">
      <c r="A21" s="534" t="s">
        <v>1079</v>
      </c>
      <c r="B21" s="567" t="s">
        <v>1104</v>
      </c>
      <c r="C21" s="559" t="s">
        <v>1105</v>
      </c>
      <c r="D21" s="568">
        <v>2862.73</v>
      </c>
      <c r="E21" s="568">
        <v>1325.75</v>
      </c>
      <c r="F21" s="568">
        <v>-1536.98</v>
      </c>
      <c r="G21" s="570" t="s">
        <v>1082</v>
      </c>
      <c r="H21" s="571"/>
      <c r="I21" s="572">
        <v>24351.79</v>
      </c>
      <c r="J21" s="568">
        <v>15909</v>
      </c>
      <c r="K21" s="568">
        <v>-8442.7900000000009</v>
      </c>
      <c r="L21" s="570" t="s">
        <v>1082</v>
      </c>
      <c r="M21" s="571"/>
      <c r="N21" s="572">
        <v>15909</v>
      </c>
      <c r="O21" s="565">
        <v>1.5306926896725099</v>
      </c>
      <c r="P21" s="573"/>
      <c r="Q21" s="573"/>
      <c r="R21" s="574" t="s">
        <v>1097</v>
      </c>
      <c r="S21">
        <v>12</v>
      </c>
      <c r="T21" s="574" t="s">
        <v>1153</v>
      </c>
    </row>
    <row r="22" spans="1:20">
      <c r="A22" s="534" t="s">
        <v>1079</v>
      </c>
      <c r="B22" s="567" t="s">
        <v>1108</v>
      </c>
      <c r="C22" s="559" t="s">
        <v>1109</v>
      </c>
      <c r="D22" s="568">
        <v>1468.68</v>
      </c>
      <c r="E22" s="568">
        <v>950</v>
      </c>
      <c r="F22" s="568">
        <v>-518.67999999999995</v>
      </c>
      <c r="G22" s="570" t="s">
        <v>1082</v>
      </c>
      <c r="H22" s="571"/>
      <c r="I22" s="572">
        <v>17624.16</v>
      </c>
      <c r="J22" s="568">
        <v>11400</v>
      </c>
      <c r="K22" s="568">
        <v>-6224.16</v>
      </c>
      <c r="L22" s="570" t="s">
        <v>1082</v>
      </c>
      <c r="M22" s="571"/>
      <c r="N22" s="572">
        <v>11400</v>
      </c>
      <c r="O22" s="565">
        <v>1.54597894736842</v>
      </c>
      <c r="P22" s="573"/>
      <c r="Q22" s="573"/>
      <c r="R22" s="574" t="s">
        <v>1097</v>
      </c>
      <c r="S22">
        <v>12</v>
      </c>
      <c r="T22" s="574" t="s">
        <v>1153</v>
      </c>
    </row>
    <row r="23" spans="1:20">
      <c r="A23" s="534" t="s">
        <v>1079</v>
      </c>
      <c r="B23" s="567" t="s">
        <v>1110</v>
      </c>
      <c r="C23" s="559" t="s">
        <v>1111</v>
      </c>
      <c r="D23" s="568">
        <v>6085.7</v>
      </c>
      <c r="E23" s="568">
        <v>5941.63</v>
      </c>
      <c r="F23" s="568">
        <v>-144.07</v>
      </c>
      <c r="G23" s="570" t="s">
        <v>1082</v>
      </c>
      <c r="H23" s="571"/>
      <c r="I23" s="572">
        <v>73028.41</v>
      </c>
      <c r="J23" s="568">
        <v>71300</v>
      </c>
      <c r="K23" s="568">
        <v>-1728.41</v>
      </c>
      <c r="L23" s="570" t="s">
        <v>1082</v>
      </c>
      <c r="M23" s="571"/>
      <c r="N23" s="572">
        <v>71300</v>
      </c>
      <c r="O23" s="565">
        <v>1.0242413744740499</v>
      </c>
      <c r="P23" s="573"/>
      <c r="Q23" s="573"/>
      <c r="R23" s="574" t="s">
        <v>1097</v>
      </c>
      <c r="S23">
        <v>12</v>
      </c>
      <c r="T23" s="574" t="s">
        <v>1153</v>
      </c>
    </row>
    <row r="24" spans="1:20">
      <c r="A24" s="534" t="s">
        <v>1079</v>
      </c>
      <c r="B24" s="567" t="s">
        <v>1112</v>
      </c>
      <c r="C24" s="559" t="s">
        <v>1113</v>
      </c>
      <c r="D24" s="568">
        <v>3350.15</v>
      </c>
      <c r="E24" s="568">
        <v>0</v>
      </c>
      <c r="F24" s="568">
        <v>-3350.15</v>
      </c>
      <c r="G24" s="570" t="s">
        <v>1082</v>
      </c>
      <c r="H24" s="571"/>
      <c r="I24" s="572">
        <v>5330.81</v>
      </c>
      <c r="J24" s="568">
        <v>0</v>
      </c>
      <c r="K24" s="568">
        <v>-5330.81</v>
      </c>
      <c r="L24" s="570" t="s">
        <v>1082</v>
      </c>
      <c r="M24" s="571"/>
      <c r="N24" s="572">
        <v>0</v>
      </c>
      <c r="O24" s="565">
        <v>0</v>
      </c>
      <c r="P24" s="573"/>
      <c r="Q24" s="573"/>
      <c r="R24" s="574" t="s">
        <v>1097</v>
      </c>
      <c r="S24">
        <v>12</v>
      </c>
      <c r="T24" s="574" t="s">
        <v>1153</v>
      </c>
    </row>
    <row r="25" spans="1:20">
      <c r="A25" s="534" t="s">
        <v>1079</v>
      </c>
      <c r="B25" s="567" t="s">
        <v>1114</v>
      </c>
      <c r="C25" s="559" t="s">
        <v>1115</v>
      </c>
      <c r="D25" s="568">
        <v>11315.01</v>
      </c>
      <c r="E25" s="568">
        <v>0</v>
      </c>
      <c r="F25" s="568">
        <v>-11315.01</v>
      </c>
      <c r="G25" s="570" t="s">
        <v>1082</v>
      </c>
      <c r="H25" s="571"/>
      <c r="I25" s="572">
        <v>14214.21</v>
      </c>
      <c r="J25" s="568">
        <v>0</v>
      </c>
      <c r="K25" s="568">
        <v>-14214.21</v>
      </c>
      <c r="L25" s="570" t="s">
        <v>1082</v>
      </c>
      <c r="M25" s="571"/>
      <c r="N25" s="572">
        <v>0</v>
      </c>
      <c r="O25" s="565">
        <v>0</v>
      </c>
      <c r="P25" s="573"/>
      <c r="Q25" s="573"/>
      <c r="R25" s="574" t="s">
        <v>1097</v>
      </c>
      <c r="S25">
        <v>12</v>
      </c>
      <c r="T25" s="574" t="s">
        <v>1153</v>
      </c>
    </row>
    <row r="26" spans="1:20">
      <c r="A26" s="534" t="s">
        <v>1079</v>
      </c>
      <c r="B26" s="567" t="s">
        <v>1116</v>
      </c>
      <c r="C26" s="559" t="s">
        <v>1117</v>
      </c>
      <c r="D26" s="568">
        <v>240401.38</v>
      </c>
      <c r="E26" s="568">
        <v>88760.34</v>
      </c>
      <c r="F26" s="568">
        <v>-151641.04</v>
      </c>
      <c r="G26" s="570" t="s">
        <v>1082</v>
      </c>
      <c r="H26" s="571"/>
      <c r="I26" s="572">
        <v>722159.3</v>
      </c>
      <c r="J26" s="568">
        <v>1065122.8700000001</v>
      </c>
      <c r="K26" s="568">
        <v>342963.57</v>
      </c>
      <c r="L26" s="570" t="s">
        <v>1087</v>
      </c>
      <c r="M26" s="571"/>
      <c r="N26" s="572">
        <v>1065122.8700000001</v>
      </c>
      <c r="O26" s="565">
        <v>0.67800562765120198</v>
      </c>
      <c r="P26" s="573"/>
      <c r="Q26" s="573"/>
      <c r="R26" s="574" t="s">
        <v>1097</v>
      </c>
      <c r="S26">
        <v>12</v>
      </c>
      <c r="T26" s="574" t="s">
        <v>1153</v>
      </c>
    </row>
    <row r="27" spans="1:20">
      <c r="A27" s="534" t="s">
        <v>1079</v>
      </c>
      <c r="B27" s="567" t="s">
        <v>1118</v>
      </c>
      <c r="C27" s="559" t="s">
        <v>1119</v>
      </c>
      <c r="D27" s="568">
        <v>11409.2</v>
      </c>
      <c r="E27" s="568">
        <v>13234.37</v>
      </c>
      <c r="F27" s="568">
        <v>1825.17</v>
      </c>
      <c r="G27" s="570" t="s">
        <v>1087</v>
      </c>
      <c r="H27" s="571"/>
      <c r="I27" s="572">
        <v>14124.81</v>
      </c>
      <c r="J27" s="568">
        <v>158812</v>
      </c>
      <c r="K27" s="568">
        <v>144687.19</v>
      </c>
      <c r="L27" s="570" t="s">
        <v>1087</v>
      </c>
      <c r="M27" s="571"/>
      <c r="N27" s="572">
        <v>158812</v>
      </c>
      <c r="O27" s="565">
        <v>8.8940445306399996E-2</v>
      </c>
      <c r="P27" s="573"/>
      <c r="Q27" s="573"/>
      <c r="R27" s="574" t="s">
        <v>1097</v>
      </c>
      <c r="S27">
        <v>12</v>
      </c>
      <c r="T27" s="574" t="s">
        <v>1153</v>
      </c>
    </row>
    <row r="28" spans="1:20">
      <c r="A28" s="534" t="s">
        <v>1079</v>
      </c>
      <c r="B28" s="567" t="s">
        <v>1120</v>
      </c>
      <c r="C28" s="559" t="s">
        <v>1121</v>
      </c>
      <c r="D28" s="568">
        <v>155.29</v>
      </c>
      <c r="E28" s="568">
        <v>0</v>
      </c>
      <c r="F28" s="568">
        <v>-155.29</v>
      </c>
      <c r="G28" s="570" t="s">
        <v>1082</v>
      </c>
      <c r="H28" s="571"/>
      <c r="I28" s="572">
        <v>310.60000000000002</v>
      </c>
      <c r="J28" s="568">
        <v>0</v>
      </c>
      <c r="K28" s="568">
        <v>-310.60000000000002</v>
      </c>
      <c r="L28" s="570" t="s">
        <v>1082</v>
      </c>
      <c r="M28" s="571"/>
      <c r="N28" s="572">
        <v>0</v>
      </c>
      <c r="O28" s="565">
        <v>0</v>
      </c>
      <c r="P28" s="573"/>
      <c r="Q28" s="573"/>
      <c r="R28" s="574" t="s">
        <v>1097</v>
      </c>
      <c r="S28">
        <v>12</v>
      </c>
      <c r="T28" s="574" t="s">
        <v>1153</v>
      </c>
    </row>
    <row r="29" spans="1:20">
      <c r="A29" s="534" t="s">
        <v>1079</v>
      </c>
      <c r="B29" s="567" t="s">
        <v>1122</v>
      </c>
      <c r="C29" s="559" t="s">
        <v>1123</v>
      </c>
      <c r="D29" s="568">
        <v>0</v>
      </c>
      <c r="E29" s="568">
        <v>4186.84</v>
      </c>
      <c r="F29" s="568">
        <v>4186.84</v>
      </c>
      <c r="G29" s="570" t="s">
        <v>1087</v>
      </c>
      <c r="H29" s="571"/>
      <c r="I29" s="572">
        <v>0</v>
      </c>
      <c r="J29" s="568">
        <v>50241.42</v>
      </c>
      <c r="K29" s="568">
        <v>50241.42</v>
      </c>
      <c r="L29" s="570" t="s">
        <v>1087</v>
      </c>
      <c r="M29" s="571"/>
      <c r="N29" s="572">
        <v>50241.42</v>
      </c>
      <c r="O29" s="565">
        <v>0</v>
      </c>
      <c r="P29" s="573"/>
      <c r="Q29" s="573"/>
      <c r="R29" s="574" t="s">
        <v>1097</v>
      </c>
      <c r="S29">
        <v>12</v>
      </c>
      <c r="T29" s="574" t="s">
        <v>1153</v>
      </c>
    </row>
    <row r="30" spans="1:20">
      <c r="A30" s="534" t="s">
        <v>1079</v>
      </c>
      <c r="B30" s="567" t="s">
        <v>1124</v>
      </c>
      <c r="C30" s="559" t="s">
        <v>1125</v>
      </c>
      <c r="D30" s="568">
        <v>74678.64</v>
      </c>
      <c r="E30" s="568">
        <v>62205.79</v>
      </c>
      <c r="F30" s="568">
        <v>-12472.85</v>
      </c>
      <c r="G30" s="570" t="s">
        <v>1082</v>
      </c>
      <c r="H30" s="571"/>
      <c r="I30" s="572">
        <v>375872.2</v>
      </c>
      <c r="J30" s="568">
        <v>746469.37</v>
      </c>
      <c r="K30" s="568">
        <v>370597.17</v>
      </c>
      <c r="L30" s="570" t="s">
        <v>1087</v>
      </c>
      <c r="M30" s="571"/>
      <c r="N30" s="572">
        <v>746469.37</v>
      </c>
      <c r="O30" s="565">
        <v>0.50353331979314797</v>
      </c>
      <c r="P30" s="573"/>
      <c r="Q30" s="573"/>
      <c r="R30" s="574" t="s">
        <v>1097</v>
      </c>
      <c r="S30">
        <v>12</v>
      </c>
      <c r="T30" s="574" t="s">
        <v>1153</v>
      </c>
    </row>
    <row r="31" spans="1:20">
      <c r="A31" s="534" t="s">
        <v>1079</v>
      </c>
      <c r="B31" s="567" t="s">
        <v>1126</v>
      </c>
      <c r="C31" s="559" t="s">
        <v>1127</v>
      </c>
      <c r="D31" s="568">
        <v>-24476.5</v>
      </c>
      <c r="E31" s="568">
        <v>26075.42</v>
      </c>
      <c r="F31" s="568">
        <v>50551.92</v>
      </c>
      <c r="G31" s="570" t="s">
        <v>1087</v>
      </c>
      <c r="H31" s="571"/>
      <c r="I31" s="572">
        <v>1053.33</v>
      </c>
      <c r="J31" s="568">
        <v>256494.2</v>
      </c>
      <c r="K31" s="568">
        <v>255440.87</v>
      </c>
      <c r="L31" s="570" t="s">
        <v>1087</v>
      </c>
      <c r="M31" s="571"/>
      <c r="N31" s="572">
        <v>256494.2</v>
      </c>
      <c r="O31" s="565">
        <v>4.1066425673562997E-3</v>
      </c>
      <c r="P31" s="573"/>
      <c r="Q31" s="573"/>
      <c r="R31" s="574" t="s">
        <v>1128</v>
      </c>
      <c r="S31">
        <v>12</v>
      </c>
      <c r="T31" s="574" t="s">
        <v>1153</v>
      </c>
    </row>
    <row r="32" spans="1:20">
      <c r="A32" s="534" t="s">
        <v>1057</v>
      </c>
      <c r="B32" s="558"/>
      <c r="C32" s="559"/>
      <c r="D32" s="575"/>
      <c r="E32" s="575"/>
      <c r="F32" s="575"/>
      <c r="G32" s="576"/>
      <c r="H32" s="571"/>
      <c r="I32" s="577"/>
      <c r="J32" s="575"/>
      <c r="K32" s="575"/>
      <c r="L32" s="576"/>
      <c r="M32" s="571"/>
      <c r="N32" s="577"/>
      <c r="O32" s="578"/>
      <c r="P32" s="573"/>
      <c r="Q32" s="573"/>
    </row>
    <row r="33" spans="1:17">
      <c r="A33" s="534" t="s">
        <v>1057</v>
      </c>
      <c r="B33" s="579"/>
      <c r="C33" s="580" t="s">
        <v>1129</v>
      </c>
      <c r="D33" s="587">
        <f>SUBTOTAL(9,D17:D32)</f>
        <v>787863.89</v>
      </c>
      <c r="E33" s="587">
        <f>SUBTOTAL(9,E17:E32)</f>
        <v>609499.45000000007</v>
      </c>
      <c r="F33" s="587">
        <f>SUBTOTAL(9,F17:F32)</f>
        <v>-178364.44</v>
      </c>
      <c r="G33" s="582" t="str">
        <f>IF(E33-D33&gt;0,"F","U")</f>
        <v>U</v>
      </c>
      <c r="H33" s="583"/>
      <c r="I33" s="588">
        <f>SUBTOTAL(9,I17:I32)</f>
        <v>6746362.0099999998</v>
      </c>
      <c r="J33" s="587">
        <f>SUBTOTAL(9,J17:J32)</f>
        <v>7257581.79</v>
      </c>
      <c r="K33" s="587">
        <f>SUBTOTAL(9,K17:K32)</f>
        <v>511219.77999999991</v>
      </c>
      <c r="L33" s="582" t="str">
        <f>IF(J33-I33&gt;0,"F","U")</f>
        <v>F</v>
      </c>
      <c r="M33" s="583"/>
      <c r="N33" s="588">
        <f>SUBTOTAL(9,N17:N32)</f>
        <v>7257581.79</v>
      </c>
      <c r="O33" s="585">
        <f>IFERROR(I33/N33,0)</f>
        <v>0.92956058990552548</v>
      </c>
      <c r="P33" s="586"/>
      <c r="Q33" s="586"/>
    </row>
    <row r="34" spans="1:17">
      <c r="A34" s="534" t="s">
        <v>1057</v>
      </c>
      <c r="B34" s="558"/>
      <c r="C34" s="559"/>
      <c r="D34" s="568"/>
      <c r="E34" s="568"/>
      <c r="F34" s="568"/>
      <c r="G34" s="570"/>
      <c r="H34" s="571"/>
      <c r="I34" s="572"/>
      <c r="J34" s="568"/>
      <c r="K34" s="568"/>
      <c r="L34" s="582"/>
      <c r="M34" s="571"/>
      <c r="N34" s="572"/>
      <c r="O34" s="565"/>
      <c r="P34" s="573"/>
      <c r="Q34" s="573"/>
    </row>
    <row r="35" spans="1:17">
      <c r="A35" s="534" t="s">
        <v>1057</v>
      </c>
      <c r="B35" s="579" t="s">
        <v>1130</v>
      </c>
      <c r="C35" s="580"/>
      <c r="D35" s="589">
        <f>D15-D33</f>
        <v>-961259.93</v>
      </c>
      <c r="E35" s="589">
        <f>E15-E33</f>
        <v>3572890.51</v>
      </c>
      <c r="F35" s="589">
        <f>F15-F33</f>
        <v>4534150.4400000004</v>
      </c>
      <c r="G35" s="582" t="str">
        <f>IF(E35-D35&lt;0,"F","U")</f>
        <v>U</v>
      </c>
      <c r="H35" s="583"/>
      <c r="I35" s="590">
        <f>I15-I33</f>
        <v>2414972.2800000012</v>
      </c>
      <c r="J35" s="589">
        <f>J15-J33</f>
        <v>-1838901.83</v>
      </c>
      <c r="K35" s="589">
        <f>K15-K33</f>
        <v>-4253874.1100000003</v>
      </c>
      <c r="L35" s="582" t="str">
        <f>IF(J35-I35&lt;0,"F","U")</f>
        <v>F</v>
      </c>
      <c r="M35" s="583"/>
      <c r="N35" s="590">
        <f>N15-N33</f>
        <v>-1838901.83</v>
      </c>
      <c r="O35" s="591">
        <f>IFERROR(I35/N35,0)</f>
        <v>-1.313268734960148</v>
      </c>
      <c r="P35" s="586"/>
      <c r="Q35" s="586"/>
    </row>
    <row r="36" spans="1:17" ht="14.65" thickBot="1">
      <c r="A36" s="534" t="s">
        <v>1057</v>
      </c>
      <c r="B36" s="592"/>
      <c r="C36" s="593"/>
      <c r="D36" s="594"/>
      <c r="E36" s="594"/>
      <c r="F36" s="594"/>
      <c r="G36" s="595"/>
      <c r="I36" s="596"/>
      <c r="J36" s="594"/>
      <c r="K36" s="594"/>
      <c r="L36" s="595"/>
      <c r="N36" s="596"/>
      <c r="O36" s="597"/>
      <c r="P36" s="598"/>
      <c r="Q36" s="598"/>
    </row>
    <row r="37" spans="1:17">
      <c r="A37" s="534" t="s">
        <v>1057</v>
      </c>
      <c r="B37" s="2"/>
    </row>
    <row r="38" spans="1:17" ht="25.5">
      <c r="B38" s="538" t="s">
        <v>1058</v>
      </c>
    </row>
    <row r="39" spans="1:17" ht="21">
      <c r="B39" s="539" t="s">
        <v>1154</v>
      </c>
      <c r="C39" s="540"/>
    </row>
    <row r="40" spans="1:17" ht="18">
      <c r="B40" s="541" t="s">
        <v>1060</v>
      </c>
      <c r="C40" s="540"/>
    </row>
    <row r="41" spans="1:17" ht="18">
      <c r="B41" s="541" t="s">
        <v>1155</v>
      </c>
      <c r="C41" s="540"/>
    </row>
    <row r="42" spans="1:17" ht="21.4" thickBot="1">
      <c r="B42" s="542"/>
      <c r="C42" s="540"/>
    </row>
    <row r="43" spans="1:17">
      <c r="B43" s="543" t="s">
        <v>1064</v>
      </c>
      <c r="C43" s="544" t="s">
        <v>1065</v>
      </c>
      <c r="D43" s="545" t="s">
        <v>1066</v>
      </c>
      <c r="E43" s="545" t="s">
        <v>1066</v>
      </c>
      <c r="F43" s="545"/>
      <c r="G43" s="546" t="s">
        <v>1067</v>
      </c>
      <c r="H43" s="547"/>
      <c r="I43" s="548" t="s">
        <v>1068</v>
      </c>
      <c r="J43" s="545" t="s">
        <v>1068</v>
      </c>
      <c r="K43" s="545"/>
      <c r="L43" s="546" t="s">
        <v>1067</v>
      </c>
      <c r="N43" s="548" t="s">
        <v>1069</v>
      </c>
      <c r="O43" s="549" t="s">
        <v>1070</v>
      </c>
    </row>
    <row r="44" spans="1:17">
      <c r="B44" s="551"/>
      <c r="C44" s="552"/>
      <c r="D44" s="553" t="s">
        <v>1073</v>
      </c>
      <c r="E44" s="553" t="s">
        <v>1074</v>
      </c>
      <c r="F44" s="553" t="s">
        <v>1075</v>
      </c>
      <c r="G44" s="554" t="s">
        <v>1076</v>
      </c>
      <c r="H44" s="547"/>
      <c r="I44" s="555" t="s">
        <v>1077</v>
      </c>
      <c r="J44" s="553" t="s">
        <v>1074</v>
      </c>
      <c r="K44" s="553" t="s">
        <v>1075</v>
      </c>
      <c r="L44" s="554" t="s">
        <v>1076</v>
      </c>
      <c r="N44" s="555" t="s">
        <v>1074</v>
      </c>
      <c r="O44" s="556" t="s">
        <v>1078</v>
      </c>
    </row>
    <row r="45" spans="1:17">
      <c r="B45" s="558"/>
      <c r="C45" s="559"/>
      <c r="D45" s="560"/>
      <c r="E45" s="561"/>
      <c r="F45" s="560"/>
      <c r="G45" s="562"/>
      <c r="H45" s="563"/>
      <c r="I45" s="564"/>
      <c r="J45" s="560"/>
      <c r="K45" s="560"/>
      <c r="L45" s="562"/>
      <c r="M45" s="563"/>
      <c r="N45" s="564"/>
      <c r="O45" s="565"/>
    </row>
    <row r="46" spans="1:17">
      <c r="B46" s="567" t="s">
        <v>1156</v>
      </c>
      <c r="C46" s="559" t="s">
        <v>1157</v>
      </c>
      <c r="D46" s="568">
        <v>82727.61</v>
      </c>
      <c r="E46" s="569">
        <v>81885.289999999994</v>
      </c>
      <c r="F46" s="568">
        <v>-842.32</v>
      </c>
      <c r="G46" s="570" t="s">
        <v>1087</v>
      </c>
      <c r="H46" s="571"/>
      <c r="I46" s="572">
        <v>992356.35</v>
      </c>
      <c r="J46" s="568">
        <v>982623.48</v>
      </c>
      <c r="K46" s="568">
        <v>-9732.8700000000008</v>
      </c>
      <c r="L46" s="570" t="s">
        <v>1087</v>
      </c>
      <c r="M46" s="571"/>
      <c r="N46" s="572">
        <v>982623.48</v>
      </c>
      <c r="O46" s="565">
        <v>1.0099049841552701</v>
      </c>
    </row>
    <row r="47" spans="1:17">
      <c r="B47" s="567" t="s">
        <v>1158</v>
      </c>
      <c r="C47" s="559" t="s">
        <v>1159</v>
      </c>
      <c r="D47" s="568">
        <v>168717.76</v>
      </c>
      <c r="E47" s="569">
        <v>167575.06</v>
      </c>
      <c r="F47" s="568">
        <v>-1142.7</v>
      </c>
      <c r="G47" s="570" t="s">
        <v>1087</v>
      </c>
      <c r="H47" s="571"/>
      <c r="I47" s="572">
        <v>2023698.26</v>
      </c>
      <c r="J47" s="568">
        <v>2010900.72</v>
      </c>
      <c r="K47" s="568">
        <v>-12797.54</v>
      </c>
      <c r="L47" s="570" t="s">
        <v>1087</v>
      </c>
      <c r="M47" s="571"/>
      <c r="N47" s="572">
        <v>2010900.72</v>
      </c>
      <c r="O47" s="565">
        <v>1.0063640834540999</v>
      </c>
    </row>
    <row r="48" spans="1:17">
      <c r="B48" s="567" t="s">
        <v>1160</v>
      </c>
      <c r="C48" s="559" t="s">
        <v>1161</v>
      </c>
      <c r="D48" s="568">
        <v>578350.25</v>
      </c>
      <c r="E48" s="569">
        <v>577405.22</v>
      </c>
      <c r="F48" s="568">
        <v>-945.03</v>
      </c>
      <c r="G48" s="570" t="s">
        <v>1087</v>
      </c>
      <c r="H48" s="571"/>
      <c r="I48" s="572">
        <v>6938010.6299999999</v>
      </c>
      <c r="J48" s="568">
        <v>6928862.6399999997</v>
      </c>
      <c r="K48" s="568">
        <v>-9147.99</v>
      </c>
      <c r="L48" s="570" t="s">
        <v>1087</v>
      </c>
      <c r="M48" s="571"/>
      <c r="N48" s="572">
        <v>6928862.6399999997</v>
      </c>
      <c r="O48" s="565">
        <v>1.00132027296186</v>
      </c>
    </row>
    <row r="49" spans="2:15">
      <c r="B49" s="567" t="s">
        <v>1162</v>
      </c>
      <c r="C49" s="559" t="s">
        <v>1163</v>
      </c>
      <c r="D49" s="568">
        <v>751107.73</v>
      </c>
      <c r="E49" s="569">
        <v>751369.87</v>
      </c>
      <c r="F49" s="568">
        <v>262.14</v>
      </c>
      <c r="G49" s="570" t="s">
        <v>1082</v>
      </c>
      <c r="H49" s="571"/>
      <c r="I49" s="572">
        <v>9013404.0199999996</v>
      </c>
      <c r="J49" s="568">
        <v>9016438.4399999995</v>
      </c>
      <c r="K49" s="568">
        <v>3034.42</v>
      </c>
      <c r="L49" s="570" t="s">
        <v>1082</v>
      </c>
      <c r="M49" s="571"/>
      <c r="N49" s="572">
        <v>9016438.4399999995</v>
      </c>
      <c r="O49" s="565">
        <v>0.99966345691592196</v>
      </c>
    </row>
    <row r="50" spans="2:15">
      <c r="B50" s="567" t="s">
        <v>1164</v>
      </c>
      <c r="C50" s="559" t="s">
        <v>1165</v>
      </c>
      <c r="D50" s="568">
        <v>16411.23</v>
      </c>
      <c r="E50" s="569">
        <v>16158.23</v>
      </c>
      <c r="F50" s="568">
        <v>-253</v>
      </c>
      <c r="G50" s="570" t="s">
        <v>1087</v>
      </c>
      <c r="H50" s="571"/>
      <c r="I50" s="572">
        <v>196456.44</v>
      </c>
      <c r="J50" s="568">
        <v>193898.76</v>
      </c>
      <c r="K50" s="568">
        <v>-2557.6799999999998</v>
      </c>
      <c r="L50" s="570" t="s">
        <v>1087</v>
      </c>
      <c r="M50" s="571"/>
      <c r="N50" s="572">
        <v>193898.76</v>
      </c>
      <c r="O50" s="565">
        <v>1.01319080122018</v>
      </c>
    </row>
    <row r="51" spans="2:15">
      <c r="B51" s="567" t="s">
        <v>1166</v>
      </c>
      <c r="C51" s="559" t="s">
        <v>1167</v>
      </c>
      <c r="D51" s="568">
        <v>349835.11</v>
      </c>
      <c r="E51" s="569">
        <v>349900.27</v>
      </c>
      <c r="F51" s="568">
        <v>65.16</v>
      </c>
      <c r="G51" s="570" t="s">
        <v>1082</v>
      </c>
      <c r="H51" s="571"/>
      <c r="I51" s="572">
        <v>4183352.85</v>
      </c>
      <c r="J51" s="568">
        <v>4198803.24</v>
      </c>
      <c r="K51" s="568">
        <v>15450.39</v>
      </c>
      <c r="L51" s="570" t="s">
        <v>1082</v>
      </c>
      <c r="M51" s="571"/>
      <c r="N51" s="572">
        <v>4198803.24</v>
      </c>
      <c r="O51" s="565">
        <v>0.99632028720640897</v>
      </c>
    </row>
    <row r="52" spans="2:15">
      <c r="B52" s="567" t="s">
        <v>1168</v>
      </c>
      <c r="C52" s="559" t="s">
        <v>1169</v>
      </c>
      <c r="D52" s="568">
        <v>89981.17</v>
      </c>
      <c r="E52" s="569">
        <v>90259.75</v>
      </c>
      <c r="F52" s="568">
        <v>278.58</v>
      </c>
      <c r="G52" s="570" t="s">
        <v>1082</v>
      </c>
      <c r="H52" s="571"/>
      <c r="I52" s="572">
        <v>1083494.21</v>
      </c>
      <c r="J52" s="568">
        <v>1083117</v>
      </c>
      <c r="K52" s="568">
        <v>-377.21</v>
      </c>
      <c r="L52" s="570" t="s">
        <v>1087</v>
      </c>
      <c r="M52" s="571"/>
      <c r="N52" s="572">
        <v>1083117</v>
      </c>
      <c r="O52" s="565">
        <v>1.00034826339167</v>
      </c>
    </row>
    <row r="53" spans="2:15">
      <c r="B53" s="567" t="s">
        <v>1170</v>
      </c>
      <c r="C53" s="559" t="s">
        <v>1171</v>
      </c>
      <c r="D53" s="568">
        <v>242996.43</v>
      </c>
      <c r="E53" s="569">
        <v>242740.14</v>
      </c>
      <c r="F53" s="568">
        <v>-256.29000000000002</v>
      </c>
      <c r="G53" s="570" t="s">
        <v>1087</v>
      </c>
      <c r="H53" s="571"/>
      <c r="I53" s="572">
        <v>2915464.97</v>
      </c>
      <c r="J53" s="568">
        <v>2912881.68</v>
      </c>
      <c r="K53" s="568">
        <v>-2583.29</v>
      </c>
      <c r="L53" s="570" t="s">
        <v>1087</v>
      </c>
      <c r="M53" s="571"/>
      <c r="N53" s="572">
        <v>2912881.68</v>
      </c>
      <c r="O53" s="565">
        <v>1.0008868503028201</v>
      </c>
    </row>
    <row r="54" spans="2:15">
      <c r="B54" s="567" t="s">
        <v>1172</v>
      </c>
      <c r="C54" s="559" t="s">
        <v>1173</v>
      </c>
      <c r="D54" s="568">
        <v>690419.54</v>
      </c>
      <c r="E54" s="569">
        <v>689954.17</v>
      </c>
      <c r="F54" s="568">
        <v>-465.37</v>
      </c>
      <c r="G54" s="570" t="s">
        <v>1087</v>
      </c>
      <c r="H54" s="571"/>
      <c r="I54" s="572">
        <v>8272824.9699999997</v>
      </c>
      <c r="J54" s="568">
        <v>8279450.04</v>
      </c>
      <c r="K54" s="568">
        <v>6625.07</v>
      </c>
      <c r="L54" s="570" t="s">
        <v>1082</v>
      </c>
      <c r="M54" s="571"/>
      <c r="N54" s="572">
        <v>8279450.04</v>
      </c>
      <c r="O54" s="565">
        <v>0.99919981762460197</v>
      </c>
    </row>
    <row r="55" spans="2:15">
      <c r="B55" s="567" t="s">
        <v>1174</v>
      </c>
      <c r="C55" s="559" t="s">
        <v>1175</v>
      </c>
      <c r="D55" s="568">
        <v>364892.07</v>
      </c>
      <c r="E55" s="569">
        <v>364238.48</v>
      </c>
      <c r="F55" s="568">
        <v>-653.59</v>
      </c>
      <c r="G55" s="570" t="s">
        <v>1087</v>
      </c>
      <c r="H55" s="571"/>
      <c r="I55" s="572">
        <v>4379388.1900000004</v>
      </c>
      <c r="J55" s="568">
        <v>4370861.76</v>
      </c>
      <c r="K55" s="568">
        <v>-8526.43</v>
      </c>
      <c r="L55" s="570" t="s">
        <v>1087</v>
      </c>
      <c r="M55" s="571"/>
      <c r="N55" s="572">
        <v>4370861.76</v>
      </c>
      <c r="O55" s="565">
        <v>1.0019507434616299</v>
      </c>
    </row>
    <row r="56" spans="2:15">
      <c r="B56" s="567" t="s">
        <v>1176</v>
      </c>
      <c r="C56" s="559" t="s">
        <v>1177</v>
      </c>
      <c r="D56" s="568">
        <v>193757.51</v>
      </c>
      <c r="E56" s="569">
        <v>194493.3</v>
      </c>
      <c r="F56" s="568">
        <v>735.79</v>
      </c>
      <c r="G56" s="570" t="s">
        <v>1082</v>
      </c>
      <c r="H56" s="571"/>
      <c r="I56" s="572">
        <v>2323680.29</v>
      </c>
      <c r="J56" s="568">
        <v>2333919.6</v>
      </c>
      <c r="K56" s="568">
        <v>10239.31</v>
      </c>
      <c r="L56" s="570" t="s">
        <v>1082</v>
      </c>
      <c r="M56" s="571"/>
      <c r="N56" s="572">
        <v>2333919.6</v>
      </c>
      <c r="O56" s="565">
        <v>0.995612826594369</v>
      </c>
    </row>
    <row r="57" spans="2:15">
      <c r="B57" s="567" t="s">
        <v>1178</v>
      </c>
      <c r="C57" s="559" t="s">
        <v>1179</v>
      </c>
      <c r="D57" s="568">
        <v>106622.41</v>
      </c>
      <c r="E57" s="569">
        <v>106009.92</v>
      </c>
      <c r="F57" s="568">
        <v>-612.49</v>
      </c>
      <c r="G57" s="570" t="s">
        <v>1087</v>
      </c>
      <c r="H57" s="571"/>
      <c r="I57" s="572">
        <v>1279107.8400000001</v>
      </c>
      <c r="J57" s="568">
        <v>1272119.04</v>
      </c>
      <c r="K57" s="568">
        <v>-6988.8</v>
      </c>
      <c r="L57" s="570" t="s">
        <v>1087</v>
      </c>
      <c r="M57" s="571"/>
      <c r="N57" s="572">
        <v>1272119.04</v>
      </c>
      <c r="O57" s="565">
        <v>1.0054938254835</v>
      </c>
    </row>
    <row r="58" spans="2:15">
      <c r="B58" s="567" t="s">
        <v>1180</v>
      </c>
      <c r="C58" s="559" t="s">
        <v>1181</v>
      </c>
      <c r="D58" s="568">
        <v>1052276.21</v>
      </c>
      <c r="E58" s="569">
        <v>1056441.96</v>
      </c>
      <c r="F58" s="568">
        <v>4165.75</v>
      </c>
      <c r="G58" s="570" t="s">
        <v>1082</v>
      </c>
      <c r="H58" s="571"/>
      <c r="I58" s="572">
        <v>12601898.789999999</v>
      </c>
      <c r="J58" s="568">
        <v>12677303.52</v>
      </c>
      <c r="K58" s="568">
        <v>75404.73</v>
      </c>
      <c r="L58" s="570" t="s">
        <v>1082</v>
      </c>
      <c r="M58" s="571"/>
      <c r="N58" s="572">
        <v>12677303.52</v>
      </c>
      <c r="O58" s="565">
        <v>0.99405198985091403</v>
      </c>
    </row>
    <row r="59" spans="2:15">
      <c r="B59" s="567" t="s">
        <v>1182</v>
      </c>
      <c r="C59" s="559" t="s">
        <v>1183</v>
      </c>
      <c r="D59" s="568">
        <v>637568.59</v>
      </c>
      <c r="E59" s="569">
        <v>640669.19999999995</v>
      </c>
      <c r="F59" s="568">
        <v>3100.61</v>
      </c>
      <c r="G59" s="570" t="s">
        <v>1082</v>
      </c>
      <c r="H59" s="571"/>
      <c r="I59" s="572">
        <v>7646595.1699999999</v>
      </c>
      <c r="J59" s="568">
        <v>7688030.4000000004</v>
      </c>
      <c r="K59" s="568">
        <v>41435.230000000003</v>
      </c>
      <c r="L59" s="570" t="s">
        <v>1082</v>
      </c>
      <c r="M59" s="571"/>
      <c r="N59" s="572">
        <v>7688030.4000000004</v>
      </c>
      <c r="O59" s="565">
        <v>0.99461042323661997</v>
      </c>
    </row>
    <row r="60" spans="2:15">
      <c r="B60" s="567" t="s">
        <v>1184</v>
      </c>
      <c r="C60" s="559" t="s">
        <v>1185</v>
      </c>
      <c r="D60" s="568">
        <v>-6689.86</v>
      </c>
      <c r="E60" s="569">
        <v>0</v>
      </c>
      <c r="F60" s="568">
        <v>6689.86</v>
      </c>
      <c r="G60" s="570" t="s">
        <v>1082</v>
      </c>
      <c r="H60" s="571"/>
      <c r="I60" s="572">
        <v>-80278.350000000006</v>
      </c>
      <c r="J60" s="568">
        <v>0</v>
      </c>
      <c r="K60" s="568">
        <v>80278.350000000006</v>
      </c>
      <c r="L60" s="570" t="s">
        <v>1082</v>
      </c>
      <c r="M60" s="571"/>
      <c r="N60" s="572">
        <v>0</v>
      </c>
      <c r="O60" s="565">
        <v>0</v>
      </c>
    </row>
    <row r="61" spans="2:15">
      <c r="B61" s="567" t="s">
        <v>1186</v>
      </c>
      <c r="C61" s="559" t="s">
        <v>1187</v>
      </c>
      <c r="D61" s="568">
        <v>-6497.54</v>
      </c>
      <c r="E61" s="569">
        <v>1486.08</v>
      </c>
      <c r="F61" s="568">
        <v>7983.62</v>
      </c>
      <c r="G61" s="570" t="s">
        <v>1082</v>
      </c>
      <c r="H61" s="571"/>
      <c r="I61" s="572">
        <v>1080133.17</v>
      </c>
      <c r="J61" s="568">
        <v>900000</v>
      </c>
      <c r="K61" s="568">
        <v>-180133.17</v>
      </c>
      <c r="L61" s="570" t="s">
        <v>1087</v>
      </c>
      <c r="M61" s="571"/>
      <c r="N61" s="572">
        <v>900000</v>
      </c>
      <c r="O61" s="565">
        <v>1.2001479666666699</v>
      </c>
    </row>
    <row r="62" spans="2:15">
      <c r="B62" s="567" t="s">
        <v>1188</v>
      </c>
      <c r="C62" s="559" t="s">
        <v>1189</v>
      </c>
      <c r="D62" s="568">
        <v>0</v>
      </c>
      <c r="E62" s="569">
        <v>0</v>
      </c>
      <c r="F62" s="568">
        <v>0</v>
      </c>
      <c r="G62" s="570" t="s">
        <v>1087</v>
      </c>
      <c r="H62" s="571"/>
      <c r="I62" s="572">
        <v>3632.74</v>
      </c>
      <c r="J62" s="568">
        <v>0</v>
      </c>
      <c r="K62" s="568">
        <v>-3632.74</v>
      </c>
      <c r="L62" s="570" t="s">
        <v>1087</v>
      </c>
      <c r="M62" s="571"/>
      <c r="N62" s="572">
        <v>0</v>
      </c>
      <c r="O62" s="565">
        <v>0</v>
      </c>
    </row>
    <row r="63" spans="2:15">
      <c r="B63" s="567" t="s">
        <v>1190</v>
      </c>
      <c r="C63" s="559" t="s">
        <v>1191</v>
      </c>
      <c r="D63" s="568">
        <v>-61584.94</v>
      </c>
      <c r="E63" s="569">
        <v>5000</v>
      </c>
      <c r="F63" s="568">
        <v>66584.94</v>
      </c>
      <c r="G63" s="570" t="s">
        <v>1082</v>
      </c>
      <c r="H63" s="571"/>
      <c r="I63" s="572">
        <v>85998.28</v>
      </c>
      <c r="J63" s="568">
        <v>60000</v>
      </c>
      <c r="K63" s="568">
        <v>-25998.28</v>
      </c>
      <c r="L63" s="570" t="s">
        <v>1087</v>
      </c>
      <c r="M63" s="571"/>
      <c r="N63" s="572">
        <v>60000</v>
      </c>
      <c r="O63" s="565">
        <v>1.43330466666667</v>
      </c>
    </row>
    <row r="64" spans="2:15">
      <c r="B64" s="567" t="s">
        <v>1192</v>
      </c>
      <c r="C64" s="559" t="s">
        <v>1193</v>
      </c>
      <c r="D64" s="568">
        <v>1307490.72</v>
      </c>
      <c r="E64" s="569">
        <v>541666.63</v>
      </c>
      <c r="F64" s="568">
        <v>-765824.09</v>
      </c>
      <c r="G64" s="570" t="s">
        <v>1087</v>
      </c>
      <c r="H64" s="571"/>
      <c r="I64" s="572">
        <v>5776794.5</v>
      </c>
      <c r="J64" s="568">
        <v>6500000</v>
      </c>
      <c r="K64" s="568">
        <v>723205.5</v>
      </c>
      <c r="L64" s="570" t="s">
        <v>1082</v>
      </c>
      <c r="M64" s="571"/>
      <c r="N64" s="572">
        <v>6500000</v>
      </c>
      <c r="O64" s="565">
        <v>0.88873761538461504</v>
      </c>
    </row>
    <row r="65" spans="2:15">
      <c r="B65" s="567" t="s">
        <v>1194</v>
      </c>
      <c r="C65" s="559" t="s">
        <v>1195</v>
      </c>
      <c r="D65" s="568">
        <v>-336282.65</v>
      </c>
      <c r="E65" s="569">
        <v>-508333.37</v>
      </c>
      <c r="F65" s="568">
        <v>-172050.72</v>
      </c>
      <c r="G65" s="570" t="s">
        <v>1087</v>
      </c>
      <c r="H65" s="571"/>
      <c r="I65" s="572">
        <v>-5635194.4800000004</v>
      </c>
      <c r="J65" s="568">
        <v>-6100000</v>
      </c>
      <c r="K65" s="568">
        <v>-464805.52</v>
      </c>
      <c r="L65" s="570" t="s">
        <v>1087</v>
      </c>
      <c r="M65" s="571"/>
      <c r="N65" s="572">
        <v>-6100000</v>
      </c>
      <c r="O65" s="565">
        <v>0.92380237377049201</v>
      </c>
    </row>
    <row r="66" spans="2:15">
      <c r="B66" s="567" t="s">
        <v>1088</v>
      </c>
      <c r="C66" s="559" t="s">
        <v>1089</v>
      </c>
      <c r="D66" s="568">
        <v>0</v>
      </c>
      <c r="E66" s="569">
        <v>0</v>
      </c>
      <c r="F66" s="568">
        <v>0</v>
      </c>
      <c r="G66" s="570" t="s">
        <v>1087</v>
      </c>
      <c r="H66" s="571"/>
      <c r="I66" s="572">
        <v>17.39</v>
      </c>
      <c r="J66" s="568">
        <v>0</v>
      </c>
      <c r="K66" s="568">
        <v>-17.39</v>
      </c>
      <c r="L66" s="570" t="s">
        <v>1087</v>
      </c>
      <c r="M66" s="571"/>
      <c r="N66" s="572">
        <v>0</v>
      </c>
      <c r="O66" s="565">
        <v>0</v>
      </c>
    </row>
    <row r="67" spans="2:15">
      <c r="B67" s="567" t="s">
        <v>1196</v>
      </c>
      <c r="C67" s="559" t="s">
        <v>1197</v>
      </c>
      <c r="D67" s="568">
        <v>0</v>
      </c>
      <c r="E67" s="569">
        <v>0</v>
      </c>
      <c r="F67" s="568">
        <v>0</v>
      </c>
      <c r="G67" s="570" t="s">
        <v>1087</v>
      </c>
      <c r="H67" s="571"/>
      <c r="I67" s="572">
        <v>0</v>
      </c>
      <c r="J67" s="568">
        <v>0</v>
      </c>
      <c r="K67" s="568">
        <v>0</v>
      </c>
      <c r="L67" s="570" t="s">
        <v>1087</v>
      </c>
      <c r="M67" s="571"/>
      <c r="N67" s="572">
        <v>0</v>
      </c>
      <c r="O67" s="565">
        <v>0</v>
      </c>
    </row>
    <row r="68" spans="2:15">
      <c r="B68" s="567" t="s">
        <v>1198</v>
      </c>
      <c r="C68" s="559" t="s">
        <v>1199</v>
      </c>
      <c r="D68" s="568">
        <v>5144682.78</v>
      </c>
      <c r="E68" s="569">
        <v>0</v>
      </c>
      <c r="F68" s="568">
        <v>-5144682.78</v>
      </c>
      <c r="G68" s="570" t="s">
        <v>1087</v>
      </c>
      <c r="H68" s="571"/>
      <c r="I68" s="572">
        <v>5144682.78</v>
      </c>
      <c r="J68" s="568">
        <v>0</v>
      </c>
      <c r="K68" s="568">
        <v>-5144682.78</v>
      </c>
      <c r="L68" s="570" t="s">
        <v>1087</v>
      </c>
      <c r="M68" s="571"/>
      <c r="N68" s="572">
        <v>0</v>
      </c>
      <c r="O68" s="565">
        <v>0</v>
      </c>
    </row>
    <row r="69" spans="2:15">
      <c r="B69" s="567" t="s">
        <v>1200</v>
      </c>
      <c r="C69" s="559" t="s">
        <v>1201</v>
      </c>
      <c r="D69" s="568">
        <v>4103.3</v>
      </c>
      <c r="E69" s="569">
        <v>0</v>
      </c>
      <c r="F69" s="568">
        <v>-4103.3</v>
      </c>
      <c r="G69" s="570" t="s">
        <v>1087</v>
      </c>
      <c r="H69" s="571"/>
      <c r="I69" s="572">
        <v>53141.52</v>
      </c>
      <c r="J69" s="568">
        <v>0</v>
      </c>
      <c r="K69" s="568">
        <v>-53141.52</v>
      </c>
      <c r="L69" s="570" t="s">
        <v>1087</v>
      </c>
      <c r="M69" s="571"/>
      <c r="N69" s="572">
        <v>0</v>
      </c>
      <c r="O69" s="565">
        <v>0</v>
      </c>
    </row>
    <row r="70" spans="2:15">
      <c r="B70" s="558"/>
      <c r="C70" s="559"/>
      <c r="D70" s="575"/>
      <c r="E70" s="575"/>
      <c r="F70" s="575"/>
      <c r="G70" s="576"/>
      <c r="H70" s="571"/>
      <c r="I70" s="577"/>
      <c r="J70" s="575"/>
      <c r="K70" s="575"/>
      <c r="L70" s="576"/>
      <c r="M70" s="571"/>
      <c r="N70" s="577"/>
      <c r="O70" s="578"/>
    </row>
    <row r="71" spans="2:15">
      <c r="B71" s="579"/>
      <c r="C71" s="580" t="s">
        <v>1094</v>
      </c>
      <c r="D71" s="581">
        <f>SUBTOTAL(9,D46:D70)</f>
        <v>11370885.43</v>
      </c>
      <c r="E71" s="581">
        <f>SUBTOTAL(9,E46:E70)</f>
        <v>5368920.2000000002</v>
      </c>
      <c r="F71" s="581">
        <f>SUBTOTAL(9,F46:F70)</f>
        <v>-6001965.2299999995</v>
      </c>
      <c r="G71" s="582" t="str">
        <f>IF(E71-D71&lt;0,"F","U")</f>
        <v>F</v>
      </c>
      <c r="H71" s="583"/>
      <c r="I71" s="584">
        <f>SUBTOTAL(9,I46:I70)</f>
        <v>70278660.530000001</v>
      </c>
      <c r="J71" s="581">
        <f>SUBTOTAL(9,J46:J70)</f>
        <v>65309210.319999993</v>
      </c>
      <c r="K71" s="581">
        <f>SUBTOTAL(9,K46:K70)</f>
        <v>-4969450.21</v>
      </c>
      <c r="L71" s="582" t="str">
        <f>IF(J71-I71&lt;0,"F","U")</f>
        <v>F</v>
      </c>
      <c r="M71" s="583"/>
      <c r="N71" s="584">
        <f>SUBTOTAL(9,N46:N70)</f>
        <v>65309210.319999993</v>
      </c>
      <c r="O71" s="585">
        <f>IFERROR(I71/N71,0)</f>
        <v>1.0760911085228386</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3:G7"/>
  <sheetViews>
    <sheetView workbookViewId="0">
      <selection activeCell="E6" sqref="E6:G6"/>
    </sheetView>
  </sheetViews>
  <sheetFormatPr defaultRowHeight="14.25"/>
  <cols>
    <col min="1" max="1" width="12.7109375" bestFit="1" customWidth="1"/>
    <col min="2" max="2" width="26.28515625" bestFit="1" customWidth="1"/>
    <col min="3" max="3" width="22.42578125" bestFit="1" customWidth="1"/>
    <col min="4" max="4" width="28" bestFit="1" customWidth="1"/>
    <col min="5" max="5" width="26.28515625" bestFit="1" customWidth="1"/>
    <col min="6" max="6" width="22.5703125" bestFit="1" customWidth="1"/>
    <col min="7" max="7" width="28.28515625" bestFit="1" customWidth="1"/>
  </cols>
  <sheetData>
    <row r="3" spans="1:7">
      <c r="A3" s="754" t="s">
        <v>1202</v>
      </c>
      <c r="B3" t="s">
        <v>1203</v>
      </c>
      <c r="C3" t="s">
        <v>1204</v>
      </c>
      <c r="D3" t="s">
        <v>1205</v>
      </c>
      <c r="E3" t="s">
        <v>1206</v>
      </c>
      <c r="F3" t="s">
        <v>1207</v>
      </c>
      <c r="G3" t="s">
        <v>1208</v>
      </c>
    </row>
    <row r="4" spans="1:7">
      <c r="A4" s="2" t="s">
        <v>1209</v>
      </c>
      <c r="B4" s="620">
        <v>5422023.8134380002</v>
      </c>
      <c r="C4" s="620">
        <v>2554660.6363110002</v>
      </c>
      <c r="D4" s="620">
        <v>1409461.950251</v>
      </c>
      <c r="E4" s="620">
        <v>4630147.850715002</v>
      </c>
      <c r="F4" s="620">
        <v>2356760.6682020002</v>
      </c>
      <c r="G4" s="620">
        <v>1233675.2310830001</v>
      </c>
    </row>
    <row r="5" spans="1:7">
      <c r="A5" s="2" t="s">
        <v>1210</v>
      </c>
      <c r="B5" s="620">
        <v>10700710.457010999</v>
      </c>
      <c r="C5" s="620">
        <v>15508818.69359</v>
      </c>
      <c r="D5" s="620">
        <v>5722703.5293990001</v>
      </c>
      <c r="E5" s="620">
        <v>8474552.3226430006</v>
      </c>
      <c r="F5" s="620">
        <v>14257106.467026003</v>
      </c>
      <c r="G5" s="620">
        <v>5273163.4603310004</v>
      </c>
    </row>
    <row r="6" spans="1:7">
      <c r="A6" s="2" t="s">
        <v>1016</v>
      </c>
      <c r="B6" s="620">
        <v>11927583.881887</v>
      </c>
      <c r="C6" s="620">
        <v>15204017.178493001</v>
      </c>
      <c r="D6" s="620">
        <v>4613010.3396199998</v>
      </c>
      <c r="E6" s="620">
        <v>6671738.6793839997</v>
      </c>
      <c r="F6" s="620">
        <v>9982528.2660999987</v>
      </c>
      <c r="G6" s="620">
        <v>2906550.6945159989</v>
      </c>
    </row>
    <row r="7" spans="1:7">
      <c r="A7" s="2" t="s">
        <v>1211</v>
      </c>
      <c r="B7" s="620">
        <v>28050318.152336001</v>
      </c>
      <c r="C7" s="620">
        <v>33267496.508394003</v>
      </c>
      <c r="D7" s="620">
        <v>11745175.81927</v>
      </c>
      <c r="E7" s="620">
        <v>19776438.852742001</v>
      </c>
      <c r="F7" s="620">
        <v>26596395.401328001</v>
      </c>
      <c r="G7" s="620">
        <v>9413389.3859299999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384"/>
  <sheetViews>
    <sheetView topLeftCell="O9" workbookViewId="0">
      <selection activeCell="O9" sqref="O9"/>
    </sheetView>
  </sheetViews>
  <sheetFormatPr defaultRowHeight="14.25"/>
  <cols>
    <col min="11" max="11" width="25.140625" customWidth="1"/>
    <col min="12" max="12" width="18" customWidth="1"/>
    <col min="13" max="13" width="22.5703125" customWidth="1"/>
    <col min="14" max="14" width="23.42578125" customWidth="1"/>
    <col min="15" max="15" width="22.85546875" customWidth="1"/>
    <col min="16" max="16" width="23.85546875" customWidth="1"/>
    <col min="17" max="17" width="32.85546875" customWidth="1"/>
  </cols>
  <sheetData>
    <row r="1" spans="1:17" ht="25.5">
      <c r="A1" s="727" t="s">
        <v>1212</v>
      </c>
    </row>
    <row r="2" spans="1:17" ht="18">
      <c r="A2" s="728" t="s">
        <v>1213</v>
      </c>
    </row>
    <row r="3" spans="1:17">
      <c r="A3" s="729" t="s">
        <v>1214</v>
      </c>
    </row>
    <row r="4" spans="1:17" ht="14.65" thickBot="1">
      <c r="A4" s="730"/>
    </row>
    <row r="5" spans="1:17" ht="28.5">
      <c r="A5" s="731" t="s">
        <v>1215</v>
      </c>
      <c r="B5" s="732" t="s">
        <v>1216</v>
      </c>
      <c r="C5" s="733" t="s">
        <v>1217</v>
      </c>
      <c r="D5" s="734" t="s">
        <v>1218</v>
      </c>
      <c r="E5" s="743" t="s">
        <v>1219</v>
      </c>
      <c r="F5" s="744" t="s">
        <v>1220</v>
      </c>
      <c r="G5" s="748" t="s">
        <v>1221</v>
      </c>
      <c r="H5" s="748" t="s">
        <v>1222</v>
      </c>
      <c r="I5" s="748" t="s">
        <v>1223</v>
      </c>
      <c r="K5" s="750" t="s">
        <v>1215</v>
      </c>
      <c r="L5" s="751" t="s">
        <v>1224</v>
      </c>
      <c r="M5" s="751" t="s">
        <v>1225</v>
      </c>
      <c r="N5" s="751" t="s">
        <v>1226</v>
      </c>
      <c r="O5" s="751" t="s">
        <v>1227</v>
      </c>
      <c r="P5" s="751" t="s">
        <v>1228</v>
      </c>
      <c r="Q5" s="751" t="s">
        <v>1229</v>
      </c>
    </row>
    <row r="6" spans="1:17" ht="85.5">
      <c r="A6" s="735" t="s">
        <v>1230</v>
      </c>
      <c r="B6" s="736"/>
      <c r="C6" s="737" t="s">
        <v>1231</v>
      </c>
      <c r="D6" s="738" t="s">
        <v>1232</v>
      </c>
      <c r="E6" s="745">
        <v>0</v>
      </c>
      <c r="F6" s="746">
        <v>37.61</v>
      </c>
      <c r="G6" s="749">
        <v>0.25</v>
      </c>
      <c r="H6" s="749">
        <v>0.5</v>
      </c>
      <c r="I6" s="749">
        <v>0.25</v>
      </c>
      <c r="K6" t="s">
        <v>1230</v>
      </c>
      <c r="L6" s="752">
        <v>0</v>
      </c>
      <c r="M6" s="752">
        <v>0</v>
      </c>
      <c r="N6" s="752">
        <v>0</v>
      </c>
      <c r="O6" s="752">
        <v>9.4024999999999999</v>
      </c>
      <c r="P6" s="752">
        <v>9.4024999999999999</v>
      </c>
      <c r="Q6" s="752">
        <v>18.805</v>
      </c>
    </row>
    <row r="7" spans="1:17" ht="26.65" thickBot="1">
      <c r="A7" s="739" t="s">
        <v>1230</v>
      </c>
      <c r="B7" s="740"/>
      <c r="C7" s="741"/>
      <c r="D7" s="742" t="s">
        <v>1233</v>
      </c>
      <c r="E7" s="747">
        <v>0</v>
      </c>
      <c r="F7" s="747">
        <v>37.61</v>
      </c>
      <c r="G7" s="747"/>
      <c r="H7" s="747"/>
      <c r="I7" s="747"/>
      <c r="K7" t="s">
        <v>1230</v>
      </c>
      <c r="L7" s="752">
        <v>0</v>
      </c>
      <c r="M7" s="752">
        <v>0</v>
      </c>
      <c r="N7" s="752">
        <v>0</v>
      </c>
      <c r="O7" s="752">
        <v>0</v>
      </c>
      <c r="P7" s="752">
        <v>0</v>
      </c>
      <c r="Q7" s="752">
        <v>0</v>
      </c>
    </row>
    <row r="8" spans="1:17" ht="42.75">
      <c r="A8" s="735" t="s">
        <v>1234</v>
      </c>
      <c r="B8" s="736" t="s">
        <v>1235</v>
      </c>
      <c r="C8" s="737" t="s">
        <v>1236</v>
      </c>
      <c r="D8" s="738" t="s">
        <v>1237</v>
      </c>
      <c r="E8" s="745">
        <v>5417</v>
      </c>
      <c r="F8" s="746">
        <v>0</v>
      </c>
      <c r="G8" s="749">
        <v>0</v>
      </c>
      <c r="H8" s="749">
        <v>0.8</v>
      </c>
      <c r="I8" s="749">
        <v>0.2</v>
      </c>
      <c r="K8" t="s">
        <v>1234</v>
      </c>
      <c r="L8" s="752">
        <v>0</v>
      </c>
      <c r="M8" s="752">
        <v>1083.4000000000001</v>
      </c>
      <c r="N8" s="752">
        <v>4333.6000000000004</v>
      </c>
      <c r="O8" s="752">
        <v>0</v>
      </c>
      <c r="P8" s="752">
        <v>0</v>
      </c>
      <c r="Q8" s="752">
        <v>0</v>
      </c>
    </row>
    <row r="9" spans="1:17" ht="42.75">
      <c r="A9" s="735" t="s">
        <v>1234</v>
      </c>
      <c r="B9" s="736" t="s">
        <v>1238</v>
      </c>
      <c r="C9" s="737" t="s">
        <v>1239</v>
      </c>
      <c r="D9" s="738" t="s">
        <v>1240</v>
      </c>
      <c r="E9" s="745">
        <v>1123879.3</v>
      </c>
      <c r="F9" s="746">
        <v>1036542.57</v>
      </c>
      <c r="G9" s="749">
        <v>9.8900000000000002E-2</v>
      </c>
      <c r="H9" s="749">
        <v>0</v>
      </c>
      <c r="I9" s="749">
        <v>0.90110000000000001</v>
      </c>
      <c r="K9" t="s">
        <v>1234</v>
      </c>
      <c r="L9" s="752">
        <v>111151.66277000001</v>
      </c>
      <c r="M9" s="752">
        <v>1012727.6372300001</v>
      </c>
      <c r="N9" s="752">
        <v>0</v>
      </c>
      <c r="O9" s="752">
        <v>102514.06017299999</v>
      </c>
      <c r="P9" s="752">
        <v>934028.50982699997</v>
      </c>
      <c r="Q9" s="752">
        <v>0</v>
      </c>
    </row>
    <row r="10" spans="1:17" ht="57">
      <c r="A10" s="735" t="s">
        <v>1234</v>
      </c>
      <c r="B10" s="736" t="s">
        <v>1241</v>
      </c>
      <c r="C10" s="737" t="s">
        <v>1242</v>
      </c>
      <c r="D10" s="738" t="s">
        <v>1243</v>
      </c>
      <c r="E10" s="745">
        <v>5170</v>
      </c>
      <c r="F10" s="746">
        <v>0</v>
      </c>
      <c r="G10" s="749">
        <v>0</v>
      </c>
      <c r="H10" s="749">
        <v>1</v>
      </c>
      <c r="I10" s="749">
        <v>0</v>
      </c>
      <c r="K10" t="s">
        <v>1234</v>
      </c>
      <c r="L10" s="752">
        <v>0</v>
      </c>
      <c r="M10" s="752">
        <v>0</v>
      </c>
      <c r="N10" s="752">
        <v>5170</v>
      </c>
      <c r="O10" s="752">
        <v>0</v>
      </c>
      <c r="P10" s="752">
        <v>0</v>
      </c>
      <c r="Q10" s="752">
        <v>0</v>
      </c>
    </row>
    <row r="11" spans="1:17" ht="71.25">
      <c r="A11" s="735" t="s">
        <v>1234</v>
      </c>
      <c r="B11" s="736" t="s">
        <v>1244</v>
      </c>
      <c r="C11" s="737" t="s">
        <v>1245</v>
      </c>
      <c r="D11" s="738" t="s">
        <v>1246</v>
      </c>
      <c r="E11" s="745">
        <v>331828.84000000003</v>
      </c>
      <c r="F11" s="746">
        <v>296594.37</v>
      </c>
      <c r="G11" s="749">
        <v>0.27500000000000002</v>
      </c>
      <c r="H11" s="749">
        <v>0.5544</v>
      </c>
      <c r="I11" s="749">
        <v>0.1706</v>
      </c>
      <c r="K11" t="s">
        <v>1234</v>
      </c>
      <c r="L11" s="752">
        <v>91252.931000000011</v>
      </c>
      <c r="M11" s="752">
        <v>56610.000104000006</v>
      </c>
      <c r="N11" s="752">
        <v>183965.90889600001</v>
      </c>
      <c r="O11" s="752">
        <v>81563.451750000007</v>
      </c>
      <c r="P11" s="752">
        <v>50598.999521999998</v>
      </c>
      <c r="Q11" s="752">
        <v>164431.91872799999</v>
      </c>
    </row>
    <row r="12" spans="1:17" ht="71.25">
      <c r="A12" s="735" t="s">
        <v>1234</v>
      </c>
      <c r="B12" s="736" t="s">
        <v>1247</v>
      </c>
      <c r="C12" s="737" t="s">
        <v>1248</v>
      </c>
      <c r="D12" s="738" t="s">
        <v>1249</v>
      </c>
      <c r="E12" s="745">
        <v>5000</v>
      </c>
      <c r="F12" s="746">
        <v>0</v>
      </c>
      <c r="G12" s="749">
        <v>0.18</v>
      </c>
      <c r="H12" s="749">
        <v>0.41</v>
      </c>
      <c r="I12" s="749">
        <v>0.41</v>
      </c>
      <c r="K12" t="s">
        <v>1234</v>
      </c>
      <c r="L12" s="752">
        <v>900</v>
      </c>
      <c r="M12" s="752">
        <v>2050</v>
      </c>
      <c r="N12" s="752">
        <v>2050</v>
      </c>
      <c r="O12" s="752">
        <v>0</v>
      </c>
      <c r="P12" s="752">
        <v>0</v>
      </c>
      <c r="Q12" s="752">
        <v>0</v>
      </c>
    </row>
    <row r="13" spans="1:17" ht="71.25">
      <c r="A13" s="735" t="s">
        <v>1234</v>
      </c>
      <c r="B13" s="736" t="s">
        <v>1250</v>
      </c>
      <c r="C13" s="737" t="s">
        <v>1251</v>
      </c>
      <c r="D13" s="738" t="s">
        <v>1252</v>
      </c>
      <c r="E13" s="745">
        <v>0</v>
      </c>
      <c r="F13" s="746">
        <v>0</v>
      </c>
      <c r="G13" s="749">
        <v>0</v>
      </c>
      <c r="H13" s="749">
        <v>0.8</v>
      </c>
      <c r="I13" s="749">
        <v>0.2</v>
      </c>
      <c r="K13" t="s">
        <v>1234</v>
      </c>
      <c r="L13" s="752">
        <v>0</v>
      </c>
      <c r="M13" s="752">
        <v>0</v>
      </c>
      <c r="N13" s="752">
        <v>0</v>
      </c>
      <c r="O13" s="752">
        <v>0</v>
      </c>
      <c r="P13" s="752">
        <v>0</v>
      </c>
      <c r="Q13" s="752">
        <v>0</v>
      </c>
    </row>
    <row r="14" spans="1:17" ht="57">
      <c r="A14" s="735" t="s">
        <v>1234</v>
      </c>
      <c r="B14" s="736" t="s">
        <v>1253</v>
      </c>
      <c r="C14" s="737" t="s">
        <v>1254</v>
      </c>
      <c r="D14" s="738" t="s">
        <v>1255</v>
      </c>
      <c r="E14" s="745">
        <v>9124</v>
      </c>
      <c r="F14" s="746">
        <v>8805</v>
      </c>
      <c r="G14" s="749">
        <v>0</v>
      </c>
      <c r="H14" s="749">
        <v>1</v>
      </c>
      <c r="I14" s="749">
        <v>0</v>
      </c>
      <c r="K14" t="s">
        <v>1234</v>
      </c>
      <c r="L14" s="752">
        <v>0</v>
      </c>
      <c r="M14" s="752">
        <v>0</v>
      </c>
      <c r="N14" s="752">
        <v>9124</v>
      </c>
      <c r="O14" s="752">
        <v>0</v>
      </c>
      <c r="P14" s="752">
        <v>0</v>
      </c>
      <c r="Q14" s="752">
        <v>8805</v>
      </c>
    </row>
    <row r="15" spans="1:17" ht="57">
      <c r="A15" s="735" t="s">
        <v>1234</v>
      </c>
      <c r="B15" s="736" t="s">
        <v>1256</v>
      </c>
      <c r="C15" s="737" t="s">
        <v>1257</v>
      </c>
      <c r="D15" s="738" t="s">
        <v>1258</v>
      </c>
      <c r="E15" s="745">
        <v>1849817.39</v>
      </c>
      <c r="F15" s="746">
        <v>1840930.13</v>
      </c>
      <c r="G15" s="749">
        <v>0.27500000000000002</v>
      </c>
      <c r="H15" s="749">
        <v>0</v>
      </c>
      <c r="I15" s="749">
        <v>0.72499999999999998</v>
      </c>
      <c r="K15" t="s">
        <v>1234</v>
      </c>
      <c r="L15" s="752">
        <v>508699.78224999999</v>
      </c>
      <c r="M15" s="752">
        <v>1341117.60775</v>
      </c>
      <c r="N15" s="752">
        <v>0</v>
      </c>
      <c r="O15" s="752">
        <v>506255.78575000004</v>
      </c>
      <c r="P15" s="752">
        <v>1334674.3442499998</v>
      </c>
      <c r="Q15" s="752">
        <v>0</v>
      </c>
    </row>
    <row r="16" spans="1:17" ht="42.75">
      <c r="A16" s="735" t="s">
        <v>1234</v>
      </c>
      <c r="B16" s="736" t="s">
        <v>1259</v>
      </c>
      <c r="C16" s="737" t="s">
        <v>1260</v>
      </c>
      <c r="D16" s="738" t="s">
        <v>1261</v>
      </c>
      <c r="E16" s="745">
        <v>5000</v>
      </c>
      <c r="F16" s="746">
        <v>0</v>
      </c>
      <c r="G16" s="749">
        <v>0</v>
      </c>
      <c r="H16" s="749">
        <v>0.8</v>
      </c>
      <c r="I16" s="749">
        <v>0.2</v>
      </c>
      <c r="K16" t="s">
        <v>1234</v>
      </c>
      <c r="L16" s="752">
        <v>0</v>
      </c>
      <c r="M16" s="752">
        <v>1000</v>
      </c>
      <c r="N16" s="752">
        <v>4000</v>
      </c>
      <c r="O16" s="752">
        <v>0</v>
      </c>
      <c r="P16" s="752">
        <v>0</v>
      </c>
      <c r="Q16" s="752">
        <v>0</v>
      </c>
    </row>
    <row r="17" spans="1:17" ht="42.75">
      <c r="A17" s="735" t="s">
        <v>1234</v>
      </c>
      <c r="B17" s="736" t="s">
        <v>1262</v>
      </c>
      <c r="C17" s="737" t="s">
        <v>1263</v>
      </c>
      <c r="D17" s="738" t="s">
        <v>1264</v>
      </c>
      <c r="E17" s="745">
        <v>5000</v>
      </c>
      <c r="F17" s="746">
        <v>0</v>
      </c>
      <c r="G17" s="749">
        <v>0</v>
      </c>
      <c r="H17" s="749">
        <v>0.8</v>
      </c>
      <c r="I17" s="749">
        <v>0.2</v>
      </c>
      <c r="K17" t="s">
        <v>1234</v>
      </c>
      <c r="L17" s="752">
        <v>0</v>
      </c>
      <c r="M17" s="752">
        <v>1000</v>
      </c>
      <c r="N17" s="752">
        <v>4000</v>
      </c>
      <c r="O17" s="752">
        <v>0</v>
      </c>
      <c r="P17" s="752">
        <v>0</v>
      </c>
      <c r="Q17" s="752">
        <v>0</v>
      </c>
    </row>
    <row r="18" spans="1:17" ht="71.25">
      <c r="A18" s="735" t="s">
        <v>1234</v>
      </c>
      <c r="B18" s="736" t="s">
        <v>1265</v>
      </c>
      <c r="C18" s="737" t="s">
        <v>1266</v>
      </c>
      <c r="D18" s="738" t="s">
        <v>1267</v>
      </c>
      <c r="E18" s="745">
        <v>5000</v>
      </c>
      <c r="F18" s="746">
        <v>0</v>
      </c>
      <c r="G18" s="749">
        <v>0</v>
      </c>
      <c r="H18" s="749">
        <v>0.8</v>
      </c>
      <c r="I18" s="749">
        <v>0.2</v>
      </c>
      <c r="K18" t="s">
        <v>1234</v>
      </c>
      <c r="L18" s="752">
        <v>0</v>
      </c>
      <c r="M18" s="752">
        <v>1000</v>
      </c>
      <c r="N18" s="752">
        <v>4000</v>
      </c>
      <c r="O18" s="752">
        <v>0</v>
      </c>
      <c r="P18" s="752">
        <v>0</v>
      </c>
      <c r="Q18" s="752">
        <v>0</v>
      </c>
    </row>
    <row r="19" spans="1:17" ht="71.25">
      <c r="A19" s="735" t="s">
        <v>1234</v>
      </c>
      <c r="B19" s="736" t="s">
        <v>1268</v>
      </c>
      <c r="C19" s="737" t="s">
        <v>1269</v>
      </c>
      <c r="D19" s="738" t="s">
        <v>1270</v>
      </c>
      <c r="E19" s="745">
        <v>3361</v>
      </c>
      <c r="F19" s="746">
        <v>3361</v>
      </c>
      <c r="G19" s="749">
        <v>0</v>
      </c>
      <c r="H19" s="749">
        <v>1</v>
      </c>
      <c r="I19" s="749">
        <v>0</v>
      </c>
      <c r="K19" t="s">
        <v>1234</v>
      </c>
      <c r="L19" s="752">
        <v>0</v>
      </c>
      <c r="M19" s="752">
        <v>0</v>
      </c>
      <c r="N19" s="752">
        <v>3361</v>
      </c>
      <c r="O19" s="752">
        <v>0</v>
      </c>
      <c r="P19" s="752">
        <v>0</v>
      </c>
      <c r="Q19" s="752">
        <v>3361</v>
      </c>
    </row>
    <row r="20" spans="1:17" ht="71.25">
      <c r="A20" s="735" t="s">
        <v>1234</v>
      </c>
      <c r="B20" s="736" t="s">
        <v>1271</v>
      </c>
      <c r="C20" s="737" t="s">
        <v>1272</v>
      </c>
      <c r="D20" s="738" t="s">
        <v>1273</v>
      </c>
      <c r="E20" s="745">
        <v>5298</v>
      </c>
      <c r="F20" s="746">
        <v>6160.94</v>
      </c>
      <c r="G20" s="749">
        <v>0</v>
      </c>
      <c r="H20" s="749">
        <v>1</v>
      </c>
      <c r="I20" s="749">
        <v>0</v>
      </c>
      <c r="K20" t="s">
        <v>1234</v>
      </c>
      <c r="L20" s="752">
        <v>0</v>
      </c>
      <c r="M20" s="752">
        <v>0</v>
      </c>
      <c r="N20" s="752">
        <v>5298</v>
      </c>
      <c r="O20" s="752">
        <v>0</v>
      </c>
      <c r="P20" s="752">
        <v>0</v>
      </c>
      <c r="Q20" s="752">
        <v>6160.94</v>
      </c>
    </row>
    <row r="21" spans="1:17" ht="57">
      <c r="A21" s="735" t="s">
        <v>1234</v>
      </c>
      <c r="B21" s="736" t="s">
        <v>1274</v>
      </c>
      <c r="C21" s="737" t="s">
        <v>1275</v>
      </c>
      <c r="D21" s="738" t="s">
        <v>1276</v>
      </c>
      <c r="E21" s="745">
        <v>40000</v>
      </c>
      <c r="F21" s="746">
        <v>0</v>
      </c>
      <c r="G21" s="749">
        <v>0</v>
      </c>
      <c r="H21" s="749">
        <v>1</v>
      </c>
      <c r="I21" s="749">
        <v>0</v>
      </c>
      <c r="K21" t="s">
        <v>1234</v>
      </c>
      <c r="L21" s="752">
        <v>0</v>
      </c>
      <c r="M21" s="752">
        <v>0</v>
      </c>
      <c r="N21" s="752">
        <v>40000</v>
      </c>
      <c r="O21" s="752">
        <v>0</v>
      </c>
      <c r="P21" s="752">
        <v>0</v>
      </c>
      <c r="Q21" s="752">
        <v>0</v>
      </c>
    </row>
    <row r="22" spans="1:17" ht="57">
      <c r="A22" s="735" t="s">
        <v>1234</v>
      </c>
      <c r="B22" s="736" t="s">
        <v>1277</v>
      </c>
      <c r="C22" s="737" t="s">
        <v>1278</v>
      </c>
      <c r="D22" s="738" t="s">
        <v>1279</v>
      </c>
      <c r="E22" s="745">
        <v>462</v>
      </c>
      <c r="F22" s="746">
        <v>0</v>
      </c>
      <c r="G22" s="749">
        <v>0</v>
      </c>
      <c r="H22" s="749">
        <v>0.8</v>
      </c>
      <c r="I22" s="749">
        <v>0.2</v>
      </c>
      <c r="K22" t="s">
        <v>1234</v>
      </c>
      <c r="L22" s="752">
        <v>0</v>
      </c>
      <c r="M22" s="752">
        <v>92.4</v>
      </c>
      <c r="N22" s="752">
        <v>369.6</v>
      </c>
      <c r="O22" s="752">
        <v>0</v>
      </c>
      <c r="P22" s="752">
        <v>0</v>
      </c>
      <c r="Q22" s="752">
        <v>0</v>
      </c>
    </row>
    <row r="23" spans="1:17" ht="71.25">
      <c r="A23" s="735" t="s">
        <v>1234</v>
      </c>
      <c r="B23" s="736" t="s">
        <v>1280</v>
      </c>
      <c r="C23" s="737" t="s">
        <v>1281</v>
      </c>
      <c r="D23" s="738" t="s">
        <v>1282</v>
      </c>
      <c r="E23" s="745">
        <v>4000</v>
      </c>
      <c r="F23" s="746">
        <v>0</v>
      </c>
      <c r="G23" s="749">
        <v>0</v>
      </c>
      <c r="H23" s="749">
        <v>0</v>
      </c>
      <c r="I23" s="749">
        <v>1</v>
      </c>
      <c r="K23" t="s">
        <v>1234</v>
      </c>
      <c r="L23" s="752">
        <v>0</v>
      </c>
      <c r="M23" s="752">
        <v>4000</v>
      </c>
      <c r="N23" s="752">
        <v>0</v>
      </c>
      <c r="O23" s="752">
        <v>0</v>
      </c>
      <c r="P23" s="752">
        <v>0</v>
      </c>
      <c r="Q23" s="752">
        <v>0</v>
      </c>
    </row>
    <row r="24" spans="1:17" ht="28.5">
      <c r="A24" s="735" t="s">
        <v>1234</v>
      </c>
      <c r="B24" s="736" t="s">
        <v>1283</v>
      </c>
      <c r="C24" s="737" t="s">
        <v>1284</v>
      </c>
      <c r="D24" s="738" t="s">
        <v>1285</v>
      </c>
      <c r="E24" s="745">
        <v>22387.21</v>
      </c>
      <c r="F24" s="746">
        <v>17006.04</v>
      </c>
      <c r="G24" s="749">
        <v>0</v>
      </c>
      <c r="H24" s="749">
        <v>0</v>
      </c>
      <c r="I24" s="749">
        <v>1</v>
      </c>
      <c r="K24" t="s">
        <v>1234</v>
      </c>
      <c r="L24" s="752">
        <v>0</v>
      </c>
      <c r="M24" s="752">
        <v>22387.21</v>
      </c>
      <c r="N24" s="752">
        <v>0</v>
      </c>
      <c r="O24" s="752">
        <v>0</v>
      </c>
      <c r="P24" s="752">
        <v>17006.04</v>
      </c>
      <c r="Q24" s="752">
        <v>0</v>
      </c>
    </row>
    <row r="25" spans="1:17" ht="57">
      <c r="A25" s="735" t="s">
        <v>1234</v>
      </c>
      <c r="B25" s="736" t="s">
        <v>1286</v>
      </c>
      <c r="C25" s="737" t="s">
        <v>1287</v>
      </c>
      <c r="D25" s="738" t="s">
        <v>1288</v>
      </c>
      <c r="E25" s="745">
        <v>4566982</v>
      </c>
      <c r="F25" s="746">
        <v>3268908.07</v>
      </c>
      <c r="G25" s="749">
        <v>0</v>
      </c>
      <c r="H25" s="749">
        <v>1</v>
      </c>
      <c r="I25" s="749">
        <v>0</v>
      </c>
      <c r="K25" t="s">
        <v>1234</v>
      </c>
      <c r="L25" s="752">
        <v>0</v>
      </c>
      <c r="M25" s="752">
        <v>0</v>
      </c>
      <c r="N25" s="752">
        <v>4566982</v>
      </c>
      <c r="O25" s="752">
        <v>0</v>
      </c>
      <c r="P25" s="752">
        <v>0</v>
      </c>
      <c r="Q25" s="752">
        <v>3268908.07</v>
      </c>
    </row>
    <row r="26" spans="1:17" ht="42.75">
      <c r="A26" s="735" t="s">
        <v>1234</v>
      </c>
      <c r="B26" s="736" t="s">
        <v>1289</v>
      </c>
      <c r="C26" s="737" t="s">
        <v>1290</v>
      </c>
      <c r="D26" s="738" t="s">
        <v>1291</v>
      </c>
      <c r="E26" s="745">
        <v>0</v>
      </c>
      <c r="F26" s="746">
        <v>0</v>
      </c>
      <c r="G26" s="749">
        <v>0.2</v>
      </c>
      <c r="H26" s="749">
        <v>0</v>
      </c>
      <c r="I26" s="749">
        <v>0.8</v>
      </c>
      <c r="K26" t="s">
        <v>1234</v>
      </c>
      <c r="L26" s="752">
        <v>0</v>
      </c>
      <c r="M26" s="752">
        <v>0</v>
      </c>
      <c r="N26" s="752">
        <v>0</v>
      </c>
      <c r="O26" s="752">
        <v>0</v>
      </c>
      <c r="P26" s="752">
        <v>0</v>
      </c>
      <c r="Q26" s="752">
        <v>0</v>
      </c>
    </row>
    <row r="27" spans="1:17" ht="42.75">
      <c r="A27" s="735" t="s">
        <v>1234</v>
      </c>
      <c r="B27" s="736" t="s">
        <v>1292</v>
      </c>
      <c r="C27" s="737" t="s">
        <v>1293</v>
      </c>
      <c r="D27" s="738" t="s">
        <v>1294</v>
      </c>
      <c r="E27" s="745">
        <v>4804</v>
      </c>
      <c r="F27" s="746">
        <v>1343</v>
      </c>
      <c r="G27" s="749">
        <v>0</v>
      </c>
      <c r="H27" s="749">
        <v>0.8</v>
      </c>
      <c r="I27" s="749">
        <v>0.2</v>
      </c>
      <c r="K27" t="s">
        <v>1234</v>
      </c>
      <c r="L27" s="752">
        <v>0</v>
      </c>
      <c r="M27" s="752">
        <v>960.80000000000007</v>
      </c>
      <c r="N27" s="752">
        <v>3843.2000000000003</v>
      </c>
      <c r="O27" s="752">
        <v>0</v>
      </c>
      <c r="P27" s="752">
        <v>268.60000000000002</v>
      </c>
      <c r="Q27" s="752">
        <v>1074.4000000000001</v>
      </c>
    </row>
    <row r="28" spans="1:17" ht="57">
      <c r="A28" s="735" t="s">
        <v>1234</v>
      </c>
      <c r="B28" s="736" t="s">
        <v>1295</v>
      </c>
      <c r="C28" s="737" t="s">
        <v>1296</v>
      </c>
      <c r="D28" s="738" t="s">
        <v>1297</v>
      </c>
      <c r="E28" s="745">
        <v>10719</v>
      </c>
      <c r="F28" s="746">
        <v>7834</v>
      </c>
      <c r="G28" s="749">
        <v>0</v>
      </c>
      <c r="H28" s="749">
        <v>0.8</v>
      </c>
      <c r="I28" s="749">
        <v>0.2</v>
      </c>
      <c r="K28" t="s">
        <v>1234</v>
      </c>
      <c r="L28" s="752">
        <v>0</v>
      </c>
      <c r="M28" s="752">
        <v>2143.8000000000002</v>
      </c>
      <c r="N28" s="752">
        <v>8575.2000000000007</v>
      </c>
      <c r="O28" s="752">
        <v>0</v>
      </c>
      <c r="P28" s="752">
        <v>1566.8000000000002</v>
      </c>
      <c r="Q28" s="752">
        <v>6267.2000000000007</v>
      </c>
    </row>
    <row r="29" spans="1:17" ht="42.75">
      <c r="A29" s="735" t="s">
        <v>1234</v>
      </c>
      <c r="B29" s="736" t="s">
        <v>1298</v>
      </c>
      <c r="C29" s="737" t="s">
        <v>1299</v>
      </c>
      <c r="D29" s="738" t="s">
        <v>1300</v>
      </c>
      <c r="E29" s="745">
        <v>0</v>
      </c>
      <c r="F29" s="746">
        <v>0</v>
      </c>
      <c r="G29" s="749">
        <v>0.27500000000000002</v>
      </c>
      <c r="H29" s="749">
        <v>0.5544</v>
      </c>
      <c r="I29" s="749">
        <v>0.1706</v>
      </c>
      <c r="K29" t="s">
        <v>1234</v>
      </c>
      <c r="L29" s="752">
        <v>0</v>
      </c>
      <c r="M29" s="752">
        <v>0</v>
      </c>
      <c r="N29" s="752">
        <v>0</v>
      </c>
      <c r="O29" s="752">
        <v>0</v>
      </c>
      <c r="P29" s="752">
        <v>0</v>
      </c>
      <c r="Q29" s="752">
        <v>0</v>
      </c>
    </row>
    <row r="30" spans="1:17" ht="57">
      <c r="A30" s="735" t="s">
        <v>1234</v>
      </c>
      <c r="B30" s="736" t="s">
        <v>1301</v>
      </c>
      <c r="C30" s="737" t="s">
        <v>1302</v>
      </c>
      <c r="D30" s="738" t="s">
        <v>1303</v>
      </c>
      <c r="E30" s="745">
        <v>10340</v>
      </c>
      <c r="F30" s="746">
        <v>0</v>
      </c>
      <c r="G30" s="749">
        <v>0</v>
      </c>
      <c r="H30" s="749">
        <v>1</v>
      </c>
      <c r="I30" s="749">
        <v>0</v>
      </c>
      <c r="K30" t="s">
        <v>1234</v>
      </c>
      <c r="L30" s="752">
        <v>0</v>
      </c>
      <c r="M30" s="752">
        <v>0</v>
      </c>
      <c r="N30" s="752">
        <v>10340</v>
      </c>
      <c r="O30" s="752">
        <v>0</v>
      </c>
      <c r="P30" s="752">
        <v>0</v>
      </c>
      <c r="Q30" s="752">
        <v>0</v>
      </c>
    </row>
    <row r="31" spans="1:17" ht="71.25">
      <c r="A31" s="735" t="s">
        <v>1234</v>
      </c>
      <c r="B31" s="736" t="s">
        <v>1304</v>
      </c>
      <c r="C31" s="737" t="s">
        <v>1305</v>
      </c>
      <c r="D31" s="738" t="s">
        <v>1306</v>
      </c>
      <c r="E31" s="745">
        <v>5170</v>
      </c>
      <c r="F31" s="746">
        <v>0</v>
      </c>
      <c r="G31" s="749">
        <v>0</v>
      </c>
      <c r="H31" s="749">
        <v>1</v>
      </c>
      <c r="I31" s="749">
        <v>0</v>
      </c>
      <c r="K31" t="s">
        <v>1234</v>
      </c>
      <c r="L31" s="752">
        <v>0</v>
      </c>
      <c r="M31" s="752">
        <v>0</v>
      </c>
      <c r="N31" s="752">
        <v>5170</v>
      </c>
      <c r="O31" s="752">
        <v>0</v>
      </c>
      <c r="P31" s="752">
        <v>0</v>
      </c>
      <c r="Q31" s="752">
        <v>0</v>
      </c>
    </row>
    <row r="32" spans="1:17" ht="42.75">
      <c r="A32" s="735" t="s">
        <v>1234</v>
      </c>
      <c r="B32" s="736" t="s">
        <v>1307</v>
      </c>
      <c r="C32" s="737" t="s">
        <v>1308</v>
      </c>
      <c r="D32" s="738" t="s">
        <v>1309</v>
      </c>
      <c r="E32" s="745">
        <v>51520.49</v>
      </c>
      <c r="F32" s="746">
        <v>50845.98</v>
      </c>
      <c r="G32" s="749">
        <v>0</v>
      </c>
      <c r="H32" s="749">
        <v>0.8</v>
      </c>
      <c r="I32" s="749">
        <v>0.2</v>
      </c>
      <c r="K32" t="s">
        <v>1234</v>
      </c>
      <c r="L32" s="752">
        <v>0</v>
      </c>
      <c r="M32" s="752">
        <v>10304.098</v>
      </c>
      <c r="N32" s="752">
        <v>41216.392</v>
      </c>
      <c r="O32" s="752">
        <v>0</v>
      </c>
      <c r="P32" s="752">
        <v>10169.196000000002</v>
      </c>
      <c r="Q32" s="752">
        <v>40676.784000000007</v>
      </c>
    </row>
    <row r="33" spans="1:17" ht="42.75">
      <c r="A33" s="735" t="s">
        <v>1234</v>
      </c>
      <c r="B33" s="736" t="s">
        <v>1310</v>
      </c>
      <c r="C33" s="737" t="s">
        <v>1311</v>
      </c>
      <c r="D33" s="738" t="s">
        <v>1312</v>
      </c>
      <c r="E33" s="745">
        <v>47291.35</v>
      </c>
      <c r="F33" s="746">
        <v>12291.35</v>
      </c>
      <c r="G33" s="749">
        <v>0</v>
      </c>
      <c r="H33" s="749">
        <v>1</v>
      </c>
      <c r="I33" s="749">
        <v>0</v>
      </c>
      <c r="K33" t="s">
        <v>1234</v>
      </c>
      <c r="L33" s="752">
        <v>0</v>
      </c>
      <c r="M33" s="752">
        <v>0</v>
      </c>
      <c r="N33" s="752">
        <v>47291.35</v>
      </c>
      <c r="O33" s="752">
        <v>0</v>
      </c>
      <c r="P33" s="752">
        <v>0</v>
      </c>
      <c r="Q33" s="752">
        <v>12291.35</v>
      </c>
    </row>
    <row r="34" spans="1:17" ht="42.75">
      <c r="A34" s="735" t="s">
        <v>1234</v>
      </c>
      <c r="B34" s="736" t="s">
        <v>1313</v>
      </c>
      <c r="C34" s="737" t="s">
        <v>1314</v>
      </c>
      <c r="D34" s="738" t="s">
        <v>1315</v>
      </c>
      <c r="E34" s="745">
        <v>0</v>
      </c>
      <c r="F34" s="746">
        <v>0</v>
      </c>
      <c r="G34" s="749">
        <v>0</v>
      </c>
      <c r="H34" s="749">
        <v>1</v>
      </c>
      <c r="I34" s="749">
        <v>0</v>
      </c>
      <c r="K34" t="s">
        <v>1234</v>
      </c>
      <c r="L34" s="752">
        <v>0</v>
      </c>
      <c r="M34" s="752">
        <v>0</v>
      </c>
      <c r="N34" s="752">
        <v>0</v>
      </c>
      <c r="O34" s="752">
        <v>0</v>
      </c>
      <c r="P34" s="752">
        <v>0</v>
      </c>
      <c r="Q34" s="752">
        <v>0</v>
      </c>
    </row>
    <row r="35" spans="1:17" ht="42.75">
      <c r="A35" s="735" t="s">
        <v>1234</v>
      </c>
      <c r="B35" s="736" t="s">
        <v>1316</v>
      </c>
      <c r="C35" s="737" t="s">
        <v>1317</v>
      </c>
      <c r="D35" s="738" t="s">
        <v>1318</v>
      </c>
      <c r="E35" s="745">
        <v>5170</v>
      </c>
      <c r="F35" s="746">
        <v>0</v>
      </c>
      <c r="G35" s="749">
        <v>0</v>
      </c>
      <c r="H35" s="749">
        <v>1</v>
      </c>
      <c r="I35" s="749">
        <v>0</v>
      </c>
      <c r="K35" t="s">
        <v>1234</v>
      </c>
      <c r="L35" s="752">
        <v>0</v>
      </c>
      <c r="M35" s="752">
        <v>0</v>
      </c>
      <c r="N35" s="752">
        <v>5170</v>
      </c>
      <c r="O35" s="752">
        <v>0</v>
      </c>
      <c r="P35" s="752">
        <v>0</v>
      </c>
      <c r="Q35" s="752">
        <v>0</v>
      </c>
    </row>
    <row r="36" spans="1:17" ht="42.75">
      <c r="A36" s="735" t="s">
        <v>1234</v>
      </c>
      <c r="B36" s="736" t="s">
        <v>1319</v>
      </c>
      <c r="C36" s="737" t="s">
        <v>1320</v>
      </c>
      <c r="D36" s="738" t="s">
        <v>1321</v>
      </c>
      <c r="E36" s="745">
        <v>5170</v>
      </c>
      <c r="F36" s="746">
        <v>6296.61</v>
      </c>
      <c r="G36" s="749">
        <v>0</v>
      </c>
      <c r="H36" s="749">
        <v>1</v>
      </c>
      <c r="I36" s="749">
        <v>0</v>
      </c>
      <c r="K36" t="s">
        <v>1234</v>
      </c>
      <c r="L36" s="752">
        <v>0</v>
      </c>
      <c r="M36" s="752">
        <v>0</v>
      </c>
      <c r="N36" s="752">
        <v>5170</v>
      </c>
      <c r="O36" s="752">
        <v>0</v>
      </c>
      <c r="P36" s="752">
        <v>0</v>
      </c>
      <c r="Q36" s="752">
        <v>6296.61</v>
      </c>
    </row>
    <row r="37" spans="1:17" ht="57">
      <c r="A37" s="735" t="s">
        <v>1234</v>
      </c>
      <c r="B37" s="736" t="s">
        <v>1322</v>
      </c>
      <c r="C37" s="737" t="s">
        <v>1323</v>
      </c>
      <c r="D37" s="738" t="s">
        <v>1324</v>
      </c>
      <c r="E37" s="745">
        <v>839757.37</v>
      </c>
      <c r="F37" s="746">
        <v>809142.19</v>
      </c>
      <c r="G37" s="749">
        <v>0.27500000000000002</v>
      </c>
      <c r="H37" s="749">
        <v>0.2072</v>
      </c>
      <c r="I37" s="749">
        <v>0.51780000000000004</v>
      </c>
      <c r="K37" t="s">
        <v>1234</v>
      </c>
      <c r="L37" s="752">
        <v>230933.27675000002</v>
      </c>
      <c r="M37" s="752">
        <v>434826.36618600006</v>
      </c>
      <c r="N37" s="752">
        <v>173997.72706400001</v>
      </c>
      <c r="O37" s="752">
        <v>222514.10225</v>
      </c>
      <c r="P37" s="752">
        <v>418973.82598199998</v>
      </c>
      <c r="Q37" s="752">
        <v>167654.261768</v>
      </c>
    </row>
    <row r="38" spans="1:17" ht="71.25">
      <c r="A38" s="735" t="s">
        <v>1234</v>
      </c>
      <c r="B38" s="736"/>
      <c r="C38" s="737" t="s">
        <v>1325</v>
      </c>
      <c r="D38" s="738" t="s">
        <v>1326</v>
      </c>
      <c r="E38" s="745">
        <v>21785.06</v>
      </c>
      <c r="F38" s="746">
        <v>17100.55</v>
      </c>
      <c r="G38" s="749">
        <v>0</v>
      </c>
      <c r="H38" s="749">
        <v>1</v>
      </c>
      <c r="I38" s="749">
        <v>0</v>
      </c>
      <c r="K38" t="s">
        <v>1234</v>
      </c>
      <c r="L38" s="752">
        <v>0</v>
      </c>
      <c r="M38" s="752">
        <v>0</v>
      </c>
      <c r="N38" s="752">
        <v>21785.06</v>
      </c>
      <c r="O38" s="752">
        <v>0</v>
      </c>
      <c r="P38" s="752">
        <v>0</v>
      </c>
      <c r="Q38" s="752">
        <v>17100.55</v>
      </c>
    </row>
    <row r="39" spans="1:17" ht="57">
      <c r="A39" s="735" t="s">
        <v>1234</v>
      </c>
      <c r="B39" s="736"/>
      <c r="C39" s="737" t="s">
        <v>1327</v>
      </c>
      <c r="D39" s="738" t="s">
        <v>1328</v>
      </c>
      <c r="E39" s="745">
        <v>0</v>
      </c>
      <c r="F39" s="746">
        <v>0</v>
      </c>
      <c r="G39" s="749">
        <v>1</v>
      </c>
      <c r="H39" s="749">
        <v>0</v>
      </c>
      <c r="I39" s="749">
        <v>0</v>
      </c>
      <c r="K39" t="s">
        <v>1234</v>
      </c>
      <c r="L39" s="752">
        <v>0</v>
      </c>
      <c r="M39" s="752">
        <v>0</v>
      </c>
      <c r="N39" s="752">
        <v>0</v>
      </c>
      <c r="O39" s="752">
        <v>0</v>
      </c>
      <c r="P39" s="752">
        <v>0</v>
      </c>
      <c r="Q39" s="752">
        <v>0</v>
      </c>
    </row>
    <row r="40" spans="1:17" ht="57">
      <c r="A40" s="735" t="s">
        <v>1234</v>
      </c>
      <c r="B40" s="736" t="s">
        <v>1329</v>
      </c>
      <c r="C40" s="737" t="s">
        <v>1330</v>
      </c>
      <c r="D40" s="738" t="s">
        <v>1331</v>
      </c>
      <c r="E40" s="745">
        <v>208</v>
      </c>
      <c r="F40" s="746">
        <v>0</v>
      </c>
      <c r="G40" s="749">
        <v>0</v>
      </c>
      <c r="H40" s="749">
        <v>0.8</v>
      </c>
      <c r="I40" s="749">
        <v>0.2</v>
      </c>
      <c r="K40" t="s">
        <v>1234</v>
      </c>
      <c r="L40" s="752">
        <v>0</v>
      </c>
      <c r="M40" s="752">
        <v>41.6</v>
      </c>
      <c r="N40" s="752">
        <v>166.4</v>
      </c>
      <c r="O40" s="752">
        <v>0</v>
      </c>
      <c r="P40" s="752">
        <v>0</v>
      </c>
      <c r="Q40" s="752">
        <v>0</v>
      </c>
    </row>
    <row r="41" spans="1:17" ht="42.75">
      <c r="A41" s="735" t="s">
        <v>1234</v>
      </c>
      <c r="B41" s="736" t="s">
        <v>1332</v>
      </c>
      <c r="C41" s="737" t="s">
        <v>1333</v>
      </c>
      <c r="D41" s="738" t="s">
        <v>1334</v>
      </c>
      <c r="E41" s="745">
        <v>20340</v>
      </c>
      <c r="F41" s="746">
        <v>17388.419999999998</v>
      </c>
      <c r="G41" s="749">
        <v>0</v>
      </c>
      <c r="H41" s="749">
        <v>0.8</v>
      </c>
      <c r="I41" s="749">
        <v>0.2</v>
      </c>
      <c r="K41" t="s">
        <v>1234</v>
      </c>
      <c r="L41" s="752">
        <v>0</v>
      </c>
      <c r="M41" s="752">
        <v>4068</v>
      </c>
      <c r="N41" s="752">
        <v>16272</v>
      </c>
      <c r="O41" s="752">
        <v>0</v>
      </c>
      <c r="P41" s="752">
        <v>3477.6839999999997</v>
      </c>
      <c r="Q41" s="752">
        <v>13910.735999999999</v>
      </c>
    </row>
    <row r="42" spans="1:17" ht="42.75">
      <c r="A42" s="735" t="s">
        <v>1234</v>
      </c>
      <c r="B42" s="736" t="s">
        <v>1335</v>
      </c>
      <c r="C42" s="737" t="s">
        <v>1336</v>
      </c>
      <c r="D42" s="738" t="s">
        <v>1337</v>
      </c>
      <c r="E42" s="745">
        <v>60000</v>
      </c>
      <c r="F42" s="746">
        <v>5500</v>
      </c>
      <c r="G42" s="749">
        <v>0</v>
      </c>
      <c r="H42" s="749">
        <v>1</v>
      </c>
      <c r="I42" s="749">
        <v>0</v>
      </c>
      <c r="K42" t="s">
        <v>1234</v>
      </c>
      <c r="L42" s="752">
        <v>0</v>
      </c>
      <c r="M42" s="752">
        <v>0</v>
      </c>
      <c r="N42" s="752">
        <v>60000</v>
      </c>
      <c r="O42" s="752">
        <v>0</v>
      </c>
      <c r="P42" s="752">
        <v>0</v>
      </c>
      <c r="Q42" s="752">
        <v>5500</v>
      </c>
    </row>
    <row r="43" spans="1:17" ht="42.75">
      <c r="A43" s="735" t="s">
        <v>1234</v>
      </c>
      <c r="B43" s="736" t="s">
        <v>1338</v>
      </c>
      <c r="C43" s="737" t="s">
        <v>1339</v>
      </c>
      <c r="D43" s="738" t="s">
        <v>1340</v>
      </c>
      <c r="E43" s="745">
        <v>30000</v>
      </c>
      <c r="F43" s="746">
        <v>0</v>
      </c>
      <c r="G43" s="749">
        <v>0</v>
      </c>
      <c r="H43" s="749">
        <v>0.8</v>
      </c>
      <c r="I43" s="749">
        <v>0.2</v>
      </c>
      <c r="K43" t="s">
        <v>1234</v>
      </c>
      <c r="L43" s="752">
        <v>0</v>
      </c>
      <c r="M43" s="752">
        <v>6000</v>
      </c>
      <c r="N43" s="752">
        <v>24000</v>
      </c>
      <c r="O43" s="752">
        <v>0</v>
      </c>
      <c r="P43" s="752">
        <v>0</v>
      </c>
      <c r="Q43" s="752">
        <v>0</v>
      </c>
    </row>
    <row r="44" spans="1:17" ht="71.25">
      <c r="A44" s="735" t="s">
        <v>1234</v>
      </c>
      <c r="B44" s="736" t="s">
        <v>1341</v>
      </c>
      <c r="C44" s="737" t="s">
        <v>1342</v>
      </c>
      <c r="D44" s="738" t="s">
        <v>1343</v>
      </c>
      <c r="E44" s="745">
        <v>2832</v>
      </c>
      <c r="F44" s="746">
        <v>0</v>
      </c>
      <c r="G44" s="749">
        <v>0</v>
      </c>
      <c r="H44" s="749">
        <v>1</v>
      </c>
      <c r="I44" s="749">
        <v>0</v>
      </c>
      <c r="K44" t="s">
        <v>1234</v>
      </c>
      <c r="L44" s="752">
        <v>0</v>
      </c>
      <c r="M44" s="752">
        <v>0</v>
      </c>
      <c r="N44" s="752">
        <v>2832</v>
      </c>
      <c r="O44" s="752">
        <v>0</v>
      </c>
      <c r="P44" s="752">
        <v>0</v>
      </c>
      <c r="Q44" s="752">
        <v>0</v>
      </c>
    </row>
    <row r="45" spans="1:17" ht="71.25">
      <c r="A45" s="735" t="s">
        <v>1234</v>
      </c>
      <c r="B45" s="736" t="s">
        <v>1344</v>
      </c>
      <c r="C45" s="737" t="s">
        <v>1345</v>
      </c>
      <c r="D45" s="738" t="s">
        <v>1346</v>
      </c>
      <c r="E45" s="745">
        <v>275</v>
      </c>
      <c r="F45" s="746">
        <v>0</v>
      </c>
      <c r="G45" s="749">
        <v>0</v>
      </c>
      <c r="H45" s="749">
        <v>1</v>
      </c>
      <c r="I45" s="749">
        <v>0</v>
      </c>
      <c r="K45" t="s">
        <v>1234</v>
      </c>
      <c r="L45" s="752">
        <v>0</v>
      </c>
      <c r="M45" s="752">
        <v>0</v>
      </c>
      <c r="N45" s="752">
        <v>275</v>
      </c>
      <c r="O45" s="752">
        <v>0</v>
      </c>
      <c r="P45" s="752">
        <v>0</v>
      </c>
      <c r="Q45" s="752">
        <v>0</v>
      </c>
    </row>
    <row r="46" spans="1:17" ht="57">
      <c r="A46" s="735" t="s">
        <v>1234</v>
      </c>
      <c r="B46" s="736" t="s">
        <v>1347</v>
      </c>
      <c r="C46" s="737" t="s">
        <v>1348</v>
      </c>
      <c r="D46" s="738" t="s">
        <v>1349</v>
      </c>
      <c r="E46" s="745">
        <v>250000</v>
      </c>
      <c r="F46" s="746">
        <v>39790</v>
      </c>
      <c r="G46" s="749">
        <v>0.25969999999999999</v>
      </c>
      <c r="H46" s="749">
        <v>0</v>
      </c>
      <c r="I46" s="749">
        <v>0.74029999999999996</v>
      </c>
      <c r="K46" t="s">
        <v>1234</v>
      </c>
      <c r="L46" s="752">
        <v>64925</v>
      </c>
      <c r="M46" s="752">
        <v>185075</v>
      </c>
      <c r="N46" s="752">
        <v>0</v>
      </c>
      <c r="O46" s="752">
        <v>10333.463</v>
      </c>
      <c r="P46" s="752">
        <v>29456.536999999997</v>
      </c>
      <c r="Q46" s="752">
        <v>0</v>
      </c>
    </row>
    <row r="47" spans="1:17" ht="42.75">
      <c r="A47" s="735" t="s">
        <v>1234</v>
      </c>
      <c r="B47" s="736" t="s">
        <v>1350</v>
      </c>
      <c r="C47" s="737" t="s">
        <v>1351</v>
      </c>
      <c r="D47" s="738" t="s">
        <v>1352</v>
      </c>
      <c r="E47" s="745">
        <v>0</v>
      </c>
      <c r="F47" s="746">
        <v>0</v>
      </c>
      <c r="G47" s="749">
        <v>0</v>
      </c>
      <c r="H47" s="749">
        <v>1</v>
      </c>
      <c r="I47" s="749">
        <v>0</v>
      </c>
      <c r="K47" t="s">
        <v>1234</v>
      </c>
      <c r="L47" s="752">
        <v>0</v>
      </c>
      <c r="M47" s="752">
        <v>0</v>
      </c>
      <c r="N47" s="752">
        <v>0</v>
      </c>
      <c r="O47" s="752">
        <v>0</v>
      </c>
      <c r="P47" s="752">
        <v>0</v>
      </c>
      <c r="Q47" s="752">
        <v>0</v>
      </c>
    </row>
    <row r="48" spans="1:17" ht="42.75">
      <c r="A48" s="735" t="s">
        <v>1234</v>
      </c>
      <c r="B48" s="736" t="s">
        <v>1353</v>
      </c>
      <c r="C48" s="737" t="s">
        <v>1354</v>
      </c>
      <c r="D48" s="738" t="s">
        <v>1355</v>
      </c>
      <c r="E48" s="745">
        <v>52380</v>
      </c>
      <c r="F48" s="746">
        <v>38088.81</v>
      </c>
      <c r="G48" s="749">
        <v>0</v>
      </c>
      <c r="H48" s="749">
        <v>0.8</v>
      </c>
      <c r="I48" s="749">
        <v>0.2</v>
      </c>
      <c r="K48" t="s">
        <v>1234</v>
      </c>
      <c r="L48" s="752">
        <v>0</v>
      </c>
      <c r="M48" s="752">
        <v>10476</v>
      </c>
      <c r="N48" s="752">
        <v>41904</v>
      </c>
      <c r="O48" s="752">
        <v>0</v>
      </c>
      <c r="P48" s="752">
        <v>7617.7619999999997</v>
      </c>
      <c r="Q48" s="752">
        <v>30471.047999999999</v>
      </c>
    </row>
    <row r="49" spans="1:17" ht="28.5">
      <c r="A49" s="735" t="s">
        <v>1234</v>
      </c>
      <c r="B49" s="736" t="s">
        <v>1356</v>
      </c>
      <c r="C49" s="737" t="s">
        <v>1357</v>
      </c>
      <c r="D49" s="738" t="s">
        <v>1358</v>
      </c>
      <c r="E49" s="745">
        <v>166550.19</v>
      </c>
      <c r="F49" s="746">
        <v>226637.06</v>
      </c>
      <c r="G49" s="749">
        <v>0</v>
      </c>
      <c r="H49" s="749">
        <v>0</v>
      </c>
      <c r="I49" s="749">
        <v>1</v>
      </c>
      <c r="K49" t="s">
        <v>1234</v>
      </c>
      <c r="L49" s="752">
        <v>0</v>
      </c>
      <c r="M49" s="752">
        <v>166550.19</v>
      </c>
      <c r="N49" s="752">
        <v>0</v>
      </c>
      <c r="O49" s="752">
        <v>0</v>
      </c>
      <c r="P49" s="752">
        <v>226637.06</v>
      </c>
      <c r="Q49" s="752">
        <v>0</v>
      </c>
    </row>
    <row r="50" spans="1:17" ht="57">
      <c r="A50" s="735" t="s">
        <v>1234</v>
      </c>
      <c r="B50" s="736" t="s">
        <v>1359</v>
      </c>
      <c r="C50" s="737" t="s">
        <v>1360</v>
      </c>
      <c r="D50" s="738" t="s">
        <v>1361</v>
      </c>
      <c r="E50" s="745">
        <v>30000</v>
      </c>
      <c r="F50" s="746">
        <v>14738.69</v>
      </c>
      <c r="G50" s="749">
        <v>0</v>
      </c>
      <c r="H50" s="749">
        <v>1</v>
      </c>
      <c r="I50" s="749">
        <v>0</v>
      </c>
      <c r="K50" t="s">
        <v>1234</v>
      </c>
      <c r="L50" s="752">
        <v>0</v>
      </c>
      <c r="M50" s="752">
        <v>0</v>
      </c>
      <c r="N50" s="752">
        <v>30000</v>
      </c>
      <c r="O50" s="752">
        <v>0</v>
      </c>
      <c r="P50" s="752">
        <v>0</v>
      </c>
      <c r="Q50" s="752">
        <v>14738.69</v>
      </c>
    </row>
    <row r="51" spans="1:17" ht="42.75">
      <c r="A51" s="735" t="s">
        <v>1234</v>
      </c>
      <c r="B51" s="736" t="s">
        <v>1362</v>
      </c>
      <c r="C51" s="737" t="s">
        <v>1363</v>
      </c>
      <c r="D51" s="738" t="s">
        <v>1364</v>
      </c>
      <c r="E51" s="745">
        <v>15000</v>
      </c>
      <c r="F51" s="746">
        <v>0</v>
      </c>
      <c r="G51" s="749">
        <v>0</v>
      </c>
      <c r="H51" s="749">
        <v>1</v>
      </c>
      <c r="I51" s="749">
        <v>0</v>
      </c>
      <c r="K51" t="s">
        <v>1234</v>
      </c>
      <c r="L51" s="752">
        <v>0</v>
      </c>
      <c r="M51" s="752">
        <v>0</v>
      </c>
      <c r="N51" s="752">
        <v>15000</v>
      </c>
      <c r="O51" s="752">
        <v>0</v>
      </c>
      <c r="P51" s="752">
        <v>0</v>
      </c>
      <c r="Q51" s="752">
        <v>0</v>
      </c>
    </row>
    <row r="52" spans="1:17" ht="57">
      <c r="A52" s="735" t="s">
        <v>1234</v>
      </c>
      <c r="B52" s="736" t="s">
        <v>1365</v>
      </c>
      <c r="C52" s="737" t="s">
        <v>1366</v>
      </c>
      <c r="D52" s="738" t="s">
        <v>1367</v>
      </c>
      <c r="E52" s="745">
        <v>400000</v>
      </c>
      <c r="F52" s="746">
        <v>61318.82</v>
      </c>
      <c r="G52" s="749">
        <v>0.3231</v>
      </c>
      <c r="H52" s="749">
        <v>0.4</v>
      </c>
      <c r="I52" s="749">
        <v>0.27689999999999998</v>
      </c>
      <c r="K52" t="s">
        <v>1234</v>
      </c>
      <c r="L52" s="752">
        <v>129240</v>
      </c>
      <c r="M52" s="752">
        <v>110759.99999999999</v>
      </c>
      <c r="N52" s="752">
        <v>160000</v>
      </c>
      <c r="O52" s="752">
        <v>19812.110742000001</v>
      </c>
      <c r="P52" s="752">
        <v>16979.181257999997</v>
      </c>
      <c r="Q52" s="752">
        <v>24527.528000000002</v>
      </c>
    </row>
    <row r="53" spans="1:17" ht="57">
      <c r="A53" s="735" t="s">
        <v>1234</v>
      </c>
      <c r="B53" s="736" t="s">
        <v>1368</v>
      </c>
      <c r="C53" s="737" t="s">
        <v>1369</v>
      </c>
      <c r="D53" s="738" t="s">
        <v>1370</v>
      </c>
      <c r="E53" s="745">
        <v>250000</v>
      </c>
      <c r="F53" s="746">
        <v>0</v>
      </c>
      <c r="G53" s="749">
        <v>0.37759999999999999</v>
      </c>
      <c r="H53" s="749">
        <v>0</v>
      </c>
      <c r="I53" s="749">
        <v>0.62239999999999995</v>
      </c>
      <c r="K53" t="s">
        <v>1234</v>
      </c>
      <c r="L53" s="752">
        <v>94400</v>
      </c>
      <c r="M53" s="752">
        <v>155600</v>
      </c>
      <c r="N53" s="752">
        <v>0</v>
      </c>
      <c r="O53" s="752">
        <v>0</v>
      </c>
      <c r="P53" s="752">
        <v>0</v>
      </c>
      <c r="Q53" s="752">
        <v>0</v>
      </c>
    </row>
    <row r="54" spans="1:17" ht="28.5">
      <c r="A54" s="735" t="s">
        <v>1234</v>
      </c>
      <c r="B54" s="736" t="s">
        <v>1371</v>
      </c>
      <c r="C54" s="737" t="s">
        <v>1372</v>
      </c>
      <c r="D54" s="738" t="s">
        <v>1373</v>
      </c>
      <c r="E54" s="745">
        <v>70000</v>
      </c>
      <c r="F54" s="746">
        <v>69889.53</v>
      </c>
      <c r="G54" s="749">
        <v>0.35249999999999998</v>
      </c>
      <c r="H54" s="749">
        <v>0</v>
      </c>
      <c r="I54" s="749">
        <v>0.64749999999999996</v>
      </c>
      <c r="K54" t="s">
        <v>1234</v>
      </c>
      <c r="L54" s="752">
        <v>24675</v>
      </c>
      <c r="M54" s="752">
        <v>45325</v>
      </c>
      <c r="N54" s="752">
        <v>0</v>
      </c>
      <c r="O54" s="752">
        <v>24636.059324999998</v>
      </c>
      <c r="P54" s="752">
        <v>45253.470674999997</v>
      </c>
      <c r="Q54" s="752">
        <v>0</v>
      </c>
    </row>
    <row r="55" spans="1:17" ht="42.75">
      <c r="A55" s="735" t="s">
        <v>1234</v>
      </c>
      <c r="B55" s="736" t="s">
        <v>1374</v>
      </c>
      <c r="C55" s="737" t="s">
        <v>1375</v>
      </c>
      <c r="D55" s="738" t="s">
        <v>1376</v>
      </c>
      <c r="E55" s="745">
        <v>925.15</v>
      </c>
      <c r="F55" s="746">
        <v>0</v>
      </c>
      <c r="G55" s="749">
        <v>0</v>
      </c>
      <c r="H55" s="749">
        <v>1</v>
      </c>
      <c r="I55" s="749">
        <v>0</v>
      </c>
      <c r="K55" t="s">
        <v>1234</v>
      </c>
      <c r="L55" s="752">
        <v>0</v>
      </c>
      <c r="M55" s="752">
        <v>0</v>
      </c>
      <c r="N55" s="752">
        <v>925.15</v>
      </c>
      <c r="O55" s="752">
        <v>0</v>
      </c>
      <c r="P55" s="752">
        <v>0</v>
      </c>
      <c r="Q55" s="752">
        <v>0</v>
      </c>
    </row>
    <row r="56" spans="1:17" ht="57">
      <c r="A56" s="735" t="s">
        <v>1234</v>
      </c>
      <c r="B56" s="736" t="s">
        <v>1377</v>
      </c>
      <c r="C56" s="737" t="s">
        <v>1378</v>
      </c>
      <c r="D56" s="738" t="s">
        <v>1379</v>
      </c>
      <c r="E56" s="745">
        <v>566.08000000000004</v>
      </c>
      <c r="F56" s="746">
        <v>278.51</v>
      </c>
      <c r="G56" s="749">
        <v>0</v>
      </c>
      <c r="H56" s="749">
        <v>1</v>
      </c>
      <c r="I56" s="749">
        <v>0</v>
      </c>
      <c r="K56" t="s">
        <v>1234</v>
      </c>
      <c r="L56" s="752">
        <v>0</v>
      </c>
      <c r="M56" s="752">
        <v>0</v>
      </c>
      <c r="N56" s="752">
        <v>566.08000000000004</v>
      </c>
      <c r="O56" s="752">
        <v>0</v>
      </c>
      <c r="P56" s="752">
        <v>0</v>
      </c>
      <c r="Q56" s="752">
        <v>278.51</v>
      </c>
    </row>
    <row r="57" spans="1:17" ht="57">
      <c r="A57" s="735" t="s">
        <v>1234</v>
      </c>
      <c r="B57" s="736" t="s">
        <v>1380</v>
      </c>
      <c r="C57" s="737" t="s">
        <v>1381</v>
      </c>
      <c r="D57" s="738" t="s">
        <v>1382</v>
      </c>
      <c r="E57" s="745">
        <v>12805.76</v>
      </c>
      <c r="F57" s="746">
        <v>23384.35</v>
      </c>
      <c r="G57" s="749">
        <v>0</v>
      </c>
      <c r="H57" s="749">
        <v>1</v>
      </c>
      <c r="I57" s="749">
        <v>0</v>
      </c>
      <c r="K57" t="s">
        <v>1234</v>
      </c>
      <c r="L57" s="752">
        <v>0</v>
      </c>
      <c r="M57" s="752">
        <v>0</v>
      </c>
      <c r="N57" s="752">
        <v>12805.76</v>
      </c>
      <c r="O57" s="752">
        <v>0</v>
      </c>
      <c r="P57" s="752">
        <v>0</v>
      </c>
      <c r="Q57" s="752">
        <v>23384.35</v>
      </c>
    </row>
    <row r="58" spans="1:17" ht="57">
      <c r="A58" s="735" t="s">
        <v>1234</v>
      </c>
      <c r="B58" s="736" t="s">
        <v>1383</v>
      </c>
      <c r="C58" s="737" t="s">
        <v>1384</v>
      </c>
      <c r="D58" s="738" t="s">
        <v>1385</v>
      </c>
      <c r="E58" s="745">
        <v>10805.52</v>
      </c>
      <c r="F58" s="746">
        <v>10769</v>
      </c>
      <c r="G58" s="749">
        <v>0</v>
      </c>
      <c r="H58" s="749">
        <v>1</v>
      </c>
      <c r="I58" s="749">
        <v>0</v>
      </c>
      <c r="K58" t="s">
        <v>1234</v>
      </c>
      <c r="L58" s="752">
        <v>0</v>
      </c>
      <c r="M58" s="752">
        <v>0</v>
      </c>
      <c r="N58" s="752">
        <v>10805.52</v>
      </c>
      <c r="O58" s="752">
        <v>0</v>
      </c>
      <c r="P58" s="752">
        <v>0</v>
      </c>
      <c r="Q58" s="752">
        <v>10769</v>
      </c>
    </row>
    <row r="59" spans="1:17" ht="71.25">
      <c r="A59" s="735" t="s">
        <v>1234</v>
      </c>
      <c r="B59" s="736" t="s">
        <v>1386</v>
      </c>
      <c r="C59" s="737" t="s">
        <v>1387</v>
      </c>
      <c r="D59" s="738" t="s">
        <v>1388</v>
      </c>
      <c r="E59" s="745">
        <v>462</v>
      </c>
      <c r="F59" s="746">
        <v>0</v>
      </c>
      <c r="G59" s="749">
        <v>0</v>
      </c>
      <c r="H59" s="749">
        <v>1</v>
      </c>
      <c r="I59" s="749">
        <v>0</v>
      </c>
      <c r="K59" t="s">
        <v>1234</v>
      </c>
      <c r="L59" s="752">
        <v>0</v>
      </c>
      <c r="M59" s="752">
        <v>0</v>
      </c>
      <c r="N59" s="752">
        <v>462</v>
      </c>
      <c r="O59" s="752">
        <v>0</v>
      </c>
      <c r="P59" s="752">
        <v>0</v>
      </c>
      <c r="Q59" s="752">
        <v>0</v>
      </c>
    </row>
    <row r="60" spans="1:17" ht="57">
      <c r="A60" s="735" t="s">
        <v>1234</v>
      </c>
      <c r="B60" s="736" t="s">
        <v>1389</v>
      </c>
      <c r="C60" s="737" t="s">
        <v>1390</v>
      </c>
      <c r="D60" s="738" t="s">
        <v>1391</v>
      </c>
      <c r="E60" s="745">
        <v>650000</v>
      </c>
      <c r="F60" s="746">
        <v>65108.32</v>
      </c>
      <c r="G60" s="749">
        <v>0.50049999999999994</v>
      </c>
      <c r="H60" s="749">
        <v>0</v>
      </c>
      <c r="I60" s="749">
        <v>0.4995</v>
      </c>
      <c r="K60" t="s">
        <v>1234</v>
      </c>
      <c r="L60" s="752">
        <v>325324.99999999994</v>
      </c>
      <c r="M60" s="752">
        <v>324675</v>
      </c>
      <c r="N60" s="752">
        <v>0</v>
      </c>
      <c r="O60" s="752">
        <v>32586.714159999996</v>
      </c>
      <c r="P60" s="752">
        <v>32521.60584</v>
      </c>
      <c r="Q60" s="752">
        <v>0</v>
      </c>
    </row>
    <row r="61" spans="1:17" ht="42.75">
      <c r="A61" s="735" t="s">
        <v>1234</v>
      </c>
      <c r="B61" s="736" t="s">
        <v>1392</v>
      </c>
      <c r="C61" s="737" t="s">
        <v>1393</v>
      </c>
      <c r="D61" s="738" t="s">
        <v>1394</v>
      </c>
      <c r="E61" s="745">
        <v>2683</v>
      </c>
      <c r="F61" s="746">
        <v>0</v>
      </c>
      <c r="G61" s="749">
        <v>0</v>
      </c>
      <c r="H61" s="749">
        <v>1</v>
      </c>
      <c r="I61" s="749">
        <v>0</v>
      </c>
      <c r="K61" t="s">
        <v>1234</v>
      </c>
      <c r="L61" s="752">
        <v>0</v>
      </c>
      <c r="M61" s="752">
        <v>0</v>
      </c>
      <c r="N61" s="752">
        <v>2683</v>
      </c>
      <c r="O61" s="752">
        <v>0</v>
      </c>
      <c r="P61" s="752">
        <v>0</v>
      </c>
      <c r="Q61" s="752">
        <v>0</v>
      </c>
    </row>
    <row r="62" spans="1:17" ht="57">
      <c r="A62" s="735" t="s">
        <v>1234</v>
      </c>
      <c r="B62" s="736" t="s">
        <v>1395</v>
      </c>
      <c r="C62" s="737" t="s">
        <v>1396</v>
      </c>
      <c r="D62" s="738" t="s">
        <v>1397</v>
      </c>
      <c r="E62" s="745">
        <v>300000</v>
      </c>
      <c r="F62" s="746">
        <v>136450.29</v>
      </c>
      <c r="G62" s="749">
        <v>0.5</v>
      </c>
      <c r="H62" s="749">
        <v>0</v>
      </c>
      <c r="I62" s="749">
        <v>0.5</v>
      </c>
      <c r="K62" t="s">
        <v>1234</v>
      </c>
      <c r="L62" s="752">
        <v>150000</v>
      </c>
      <c r="M62" s="752">
        <v>150000</v>
      </c>
      <c r="N62" s="752">
        <v>0</v>
      </c>
      <c r="O62" s="752">
        <v>68225.145000000004</v>
      </c>
      <c r="P62" s="752">
        <v>68225.145000000004</v>
      </c>
      <c r="Q62" s="752">
        <v>0</v>
      </c>
    </row>
    <row r="63" spans="1:17" ht="57">
      <c r="A63" s="735" t="s">
        <v>1234</v>
      </c>
      <c r="B63" s="736" t="s">
        <v>1398</v>
      </c>
      <c r="C63" s="737" t="s">
        <v>1399</v>
      </c>
      <c r="D63" s="738" t="s">
        <v>1400</v>
      </c>
      <c r="E63" s="745">
        <v>200000</v>
      </c>
      <c r="F63" s="746">
        <v>97888.71</v>
      </c>
      <c r="G63" s="749">
        <v>0</v>
      </c>
      <c r="H63" s="749">
        <v>0</v>
      </c>
      <c r="I63" s="749">
        <v>1</v>
      </c>
      <c r="K63" t="s">
        <v>1234</v>
      </c>
      <c r="L63" s="752">
        <v>0</v>
      </c>
      <c r="M63" s="752">
        <v>200000</v>
      </c>
      <c r="N63" s="752">
        <v>0</v>
      </c>
      <c r="O63" s="752">
        <v>0</v>
      </c>
      <c r="P63" s="752">
        <v>97888.71</v>
      </c>
      <c r="Q63" s="752">
        <v>0</v>
      </c>
    </row>
    <row r="64" spans="1:17" ht="71.25">
      <c r="A64" s="735" t="s">
        <v>1234</v>
      </c>
      <c r="B64" s="736" t="s">
        <v>1401</v>
      </c>
      <c r="C64" s="737" t="s">
        <v>1402</v>
      </c>
      <c r="D64" s="738" t="s">
        <v>1403</v>
      </c>
      <c r="E64" s="745">
        <v>345000</v>
      </c>
      <c r="F64" s="746">
        <v>10909.27</v>
      </c>
      <c r="G64" s="749">
        <v>0</v>
      </c>
      <c r="H64" s="749">
        <v>0</v>
      </c>
      <c r="I64" s="749">
        <v>1</v>
      </c>
      <c r="K64" t="s">
        <v>1234</v>
      </c>
      <c r="L64" s="752">
        <v>0</v>
      </c>
      <c r="M64" s="752">
        <v>345000</v>
      </c>
      <c r="N64" s="752">
        <v>0</v>
      </c>
      <c r="O64" s="752">
        <v>0</v>
      </c>
      <c r="P64" s="752">
        <v>10909.27</v>
      </c>
      <c r="Q64" s="752">
        <v>0</v>
      </c>
    </row>
    <row r="65" spans="1:17" ht="71.25">
      <c r="A65" s="735" t="s">
        <v>1234</v>
      </c>
      <c r="B65" s="736"/>
      <c r="C65" s="737" t="s">
        <v>1404</v>
      </c>
      <c r="D65" s="738" t="s">
        <v>1405</v>
      </c>
      <c r="E65" s="745">
        <v>30000</v>
      </c>
      <c r="F65" s="746">
        <v>25625.21</v>
      </c>
      <c r="G65" s="749">
        <v>0</v>
      </c>
      <c r="H65" s="749">
        <v>0</v>
      </c>
      <c r="I65" s="749">
        <v>1</v>
      </c>
      <c r="K65" t="s">
        <v>1234</v>
      </c>
      <c r="L65" s="752">
        <v>0</v>
      </c>
      <c r="M65" s="752">
        <v>30000</v>
      </c>
      <c r="N65" s="752">
        <v>0</v>
      </c>
      <c r="O65" s="752">
        <v>0</v>
      </c>
      <c r="P65" s="752">
        <v>25625.21</v>
      </c>
      <c r="Q65" s="752">
        <v>0</v>
      </c>
    </row>
    <row r="66" spans="1:17" ht="57">
      <c r="A66" s="735" t="s">
        <v>1234</v>
      </c>
      <c r="B66" s="736"/>
      <c r="C66" s="737" t="s">
        <v>1406</v>
      </c>
      <c r="D66" s="738" t="s">
        <v>1407</v>
      </c>
      <c r="E66" s="745">
        <v>75000</v>
      </c>
      <c r="F66" s="746">
        <v>0</v>
      </c>
      <c r="G66" s="749">
        <v>0</v>
      </c>
      <c r="H66" s="749">
        <v>0</v>
      </c>
      <c r="I66" s="749">
        <v>1</v>
      </c>
      <c r="K66" t="s">
        <v>1234</v>
      </c>
      <c r="L66" s="752">
        <v>0</v>
      </c>
      <c r="M66" s="752">
        <v>75000</v>
      </c>
      <c r="N66" s="752">
        <v>0</v>
      </c>
      <c r="O66" s="752">
        <v>0</v>
      </c>
      <c r="P66" s="752">
        <v>0</v>
      </c>
      <c r="Q66" s="752">
        <v>0</v>
      </c>
    </row>
    <row r="67" spans="1:17" ht="57">
      <c r="A67" s="735" t="s">
        <v>1234</v>
      </c>
      <c r="B67" s="736" t="s">
        <v>1408</v>
      </c>
      <c r="C67" s="737" t="s">
        <v>1409</v>
      </c>
      <c r="D67" s="738" t="s">
        <v>1410</v>
      </c>
      <c r="E67" s="745">
        <v>0</v>
      </c>
      <c r="F67" s="746">
        <v>0</v>
      </c>
      <c r="G67" s="749">
        <v>0</v>
      </c>
      <c r="H67" s="749">
        <v>1</v>
      </c>
      <c r="I67" s="749">
        <v>0</v>
      </c>
      <c r="K67" t="s">
        <v>1234</v>
      </c>
      <c r="L67" s="752">
        <v>0</v>
      </c>
      <c r="M67" s="752">
        <v>0</v>
      </c>
      <c r="N67" s="752">
        <v>0</v>
      </c>
      <c r="O67" s="752">
        <v>0</v>
      </c>
      <c r="P67" s="752">
        <v>0</v>
      </c>
      <c r="Q67" s="752">
        <v>0</v>
      </c>
    </row>
    <row r="68" spans="1:17" ht="42.75">
      <c r="A68" s="735" t="s">
        <v>1234</v>
      </c>
      <c r="B68" s="736" t="s">
        <v>1411</v>
      </c>
      <c r="C68" s="737" t="s">
        <v>1412</v>
      </c>
      <c r="D68" s="738" t="s">
        <v>1413</v>
      </c>
      <c r="E68" s="745">
        <v>0</v>
      </c>
      <c r="F68" s="746">
        <v>0</v>
      </c>
      <c r="G68" s="749">
        <v>0</v>
      </c>
      <c r="H68" s="749">
        <v>0</v>
      </c>
      <c r="I68" s="749">
        <v>1</v>
      </c>
      <c r="K68" t="s">
        <v>1234</v>
      </c>
      <c r="L68" s="752">
        <v>0</v>
      </c>
      <c r="M68" s="752">
        <v>0</v>
      </c>
      <c r="N68" s="752">
        <v>0</v>
      </c>
      <c r="O68" s="752">
        <v>0</v>
      </c>
      <c r="P68" s="752">
        <v>0</v>
      </c>
      <c r="Q68" s="752">
        <v>0</v>
      </c>
    </row>
    <row r="69" spans="1:17" ht="42.75">
      <c r="A69" s="735" t="s">
        <v>1234</v>
      </c>
      <c r="B69" s="736" t="s">
        <v>1414</v>
      </c>
      <c r="C69" s="737" t="s">
        <v>1415</v>
      </c>
      <c r="D69" s="738" t="s">
        <v>1416</v>
      </c>
      <c r="E69" s="745">
        <v>0</v>
      </c>
      <c r="F69" s="746">
        <v>0</v>
      </c>
      <c r="G69" s="749">
        <v>0</v>
      </c>
      <c r="H69" s="749">
        <v>0</v>
      </c>
      <c r="I69" s="749">
        <v>0</v>
      </c>
      <c r="K69" t="s">
        <v>1234</v>
      </c>
      <c r="L69" s="752">
        <v>0</v>
      </c>
      <c r="M69" s="752">
        <v>0</v>
      </c>
      <c r="N69" s="752">
        <v>0</v>
      </c>
      <c r="O69" s="752">
        <v>0</v>
      </c>
      <c r="P69" s="752">
        <v>0</v>
      </c>
      <c r="Q69" s="752">
        <v>0</v>
      </c>
    </row>
    <row r="70" spans="1:17" ht="26.65" thickBot="1">
      <c r="A70" s="739" t="s">
        <v>1234</v>
      </c>
      <c r="B70" s="740"/>
      <c r="C70" s="741"/>
      <c r="D70" s="742" t="s">
        <v>1417</v>
      </c>
      <c r="E70" s="747">
        <v>11965286.709999999</v>
      </c>
      <c r="F70" s="747">
        <v>8226926.7899999991</v>
      </c>
      <c r="G70" s="747"/>
      <c r="H70" s="747"/>
      <c r="I70" s="747"/>
      <c r="K70" t="s">
        <v>1234</v>
      </c>
      <c r="L70" s="752">
        <v>0</v>
      </c>
      <c r="M70" s="752">
        <v>0</v>
      </c>
      <c r="N70" s="752">
        <v>0</v>
      </c>
      <c r="O70" s="752">
        <v>0</v>
      </c>
      <c r="P70" s="752">
        <v>0</v>
      </c>
      <c r="Q70" s="752">
        <v>0</v>
      </c>
    </row>
    <row r="71" spans="1:17" ht="71.25">
      <c r="A71" s="735" t="s">
        <v>1418</v>
      </c>
      <c r="B71" s="736" t="s">
        <v>1419</v>
      </c>
      <c r="C71" s="737" t="s">
        <v>1420</v>
      </c>
      <c r="D71" s="738" t="s">
        <v>1421</v>
      </c>
      <c r="E71" s="745">
        <v>0</v>
      </c>
      <c r="F71" s="746">
        <v>0</v>
      </c>
      <c r="G71" s="749">
        <v>0</v>
      </c>
      <c r="H71" s="749">
        <v>0.8</v>
      </c>
      <c r="I71" s="749">
        <v>0.2</v>
      </c>
      <c r="K71" t="s">
        <v>1418</v>
      </c>
      <c r="L71" s="752">
        <v>0</v>
      </c>
      <c r="M71" s="752">
        <v>0</v>
      </c>
      <c r="N71" s="752">
        <v>0</v>
      </c>
      <c r="O71" s="752">
        <v>0</v>
      </c>
      <c r="P71" s="752">
        <v>0</v>
      </c>
      <c r="Q71" s="752">
        <v>0</v>
      </c>
    </row>
    <row r="72" spans="1:17" ht="57">
      <c r="A72" s="735" t="s">
        <v>1418</v>
      </c>
      <c r="B72" s="736" t="s">
        <v>1422</v>
      </c>
      <c r="C72" s="737" t="s">
        <v>1423</v>
      </c>
      <c r="D72" s="738" t="s">
        <v>1424</v>
      </c>
      <c r="E72" s="745">
        <v>0</v>
      </c>
      <c r="F72" s="746">
        <v>0</v>
      </c>
      <c r="G72" s="749">
        <v>0</v>
      </c>
      <c r="H72" s="749">
        <v>0.8</v>
      </c>
      <c r="I72" s="749">
        <v>0.2</v>
      </c>
      <c r="K72" t="s">
        <v>1418</v>
      </c>
      <c r="L72" s="752">
        <v>0</v>
      </c>
      <c r="M72" s="752">
        <v>0</v>
      </c>
      <c r="N72" s="752">
        <v>0</v>
      </c>
      <c r="O72" s="752">
        <v>0</v>
      </c>
      <c r="P72" s="752">
        <v>0</v>
      </c>
      <c r="Q72" s="752">
        <v>0</v>
      </c>
    </row>
    <row r="73" spans="1:17" ht="71.25">
      <c r="A73" s="735" t="s">
        <v>1418</v>
      </c>
      <c r="B73" s="736" t="s">
        <v>1425</v>
      </c>
      <c r="C73" s="737" t="s">
        <v>1426</v>
      </c>
      <c r="D73" s="738" t="s">
        <v>1427</v>
      </c>
      <c r="E73" s="745">
        <v>12408</v>
      </c>
      <c r="F73" s="746">
        <v>0</v>
      </c>
      <c r="G73" s="749">
        <v>0</v>
      </c>
      <c r="H73" s="749">
        <v>0.8</v>
      </c>
      <c r="I73" s="749">
        <v>0.2</v>
      </c>
      <c r="K73" t="s">
        <v>1418</v>
      </c>
      <c r="L73" s="752">
        <v>0</v>
      </c>
      <c r="M73" s="752">
        <v>2481.6000000000004</v>
      </c>
      <c r="N73" s="752">
        <v>9926.4000000000015</v>
      </c>
      <c r="O73" s="752">
        <v>0</v>
      </c>
      <c r="P73" s="752">
        <v>0</v>
      </c>
      <c r="Q73" s="752">
        <v>0</v>
      </c>
    </row>
    <row r="74" spans="1:17" ht="71.25">
      <c r="A74" s="735" t="s">
        <v>1418</v>
      </c>
      <c r="B74" s="736" t="s">
        <v>1428</v>
      </c>
      <c r="C74" s="737" t="s">
        <v>1429</v>
      </c>
      <c r="D74" s="738" t="s">
        <v>1430</v>
      </c>
      <c r="E74" s="745">
        <v>0</v>
      </c>
      <c r="F74" s="746">
        <v>0</v>
      </c>
      <c r="G74" s="749">
        <v>0</v>
      </c>
      <c r="H74" s="749">
        <v>0.8</v>
      </c>
      <c r="I74" s="749">
        <v>0.2</v>
      </c>
      <c r="K74" t="s">
        <v>1418</v>
      </c>
      <c r="L74" s="752">
        <v>0</v>
      </c>
      <c r="M74" s="752">
        <v>0</v>
      </c>
      <c r="N74" s="752">
        <v>0</v>
      </c>
      <c r="O74" s="752">
        <v>0</v>
      </c>
      <c r="P74" s="752">
        <v>0</v>
      </c>
      <c r="Q74" s="752">
        <v>0</v>
      </c>
    </row>
    <row r="75" spans="1:17" ht="39.75" thickBot="1">
      <c r="A75" s="739" t="s">
        <v>1418</v>
      </c>
      <c r="B75" s="740"/>
      <c r="C75" s="741"/>
      <c r="D75" s="742" t="s">
        <v>1431</v>
      </c>
      <c r="E75" s="747">
        <v>12408</v>
      </c>
      <c r="F75" s="747">
        <v>0</v>
      </c>
      <c r="G75" s="747"/>
      <c r="H75" s="747"/>
      <c r="I75" s="747"/>
      <c r="K75" t="s">
        <v>1418</v>
      </c>
      <c r="L75" s="752">
        <v>0</v>
      </c>
      <c r="M75" s="752">
        <v>0</v>
      </c>
      <c r="N75" s="752">
        <v>0</v>
      </c>
      <c r="O75" s="752">
        <v>0</v>
      </c>
      <c r="P75" s="752">
        <v>0</v>
      </c>
      <c r="Q75" s="752">
        <v>0</v>
      </c>
    </row>
    <row r="76" spans="1:17" ht="57">
      <c r="A76" s="735" t="s">
        <v>1432</v>
      </c>
      <c r="B76" s="736" t="s">
        <v>1433</v>
      </c>
      <c r="C76" s="737" t="s">
        <v>1434</v>
      </c>
      <c r="D76" s="738" t="s">
        <v>1435</v>
      </c>
      <c r="E76" s="745">
        <v>3656.07</v>
      </c>
      <c r="F76" s="746">
        <v>7127.53</v>
      </c>
      <c r="G76" s="749">
        <v>0</v>
      </c>
      <c r="H76" s="749">
        <v>1</v>
      </c>
      <c r="I76" s="749">
        <v>0</v>
      </c>
      <c r="K76" t="s">
        <v>1432</v>
      </c>
      <c r="L76" s="752">
        <v>0</v>
      </c>
      <c r="M76" s="752">
        <v>0</v>
      </c>
      <c r="N76" s="752">
        <v>3656.07</v>
      </c>
      <c r="O76" s="752">
        <v>0</v>
      </c>
      <c r="P76" s="752">
        <v>0</v>
      </c>
      <c r="Q76" s="752">
        <v>7127.53</v>
      </c>
    </row>
    <row r="77" spans="1:17" ht="42.75">
      <c r="A77" s="735" t="s">
        <v>1432</v>
      </c>
      <c r="B77" s="736" t="s">
        <v>1436</v>
      </c>
      <c r="C77" s="737" t="s">
        <v>1437</v>
      </c>
      <c r="D77" s="738" t="s">
        <v>1438</v>
      </c>
      <c r="E77" s="745">
        <v>533911.22</v>
      </c>
      <c r="F77" s="746">
        <v>347978.86</v>
      </c>
      <c r="G77" s="749">
        <v>0</v>
      </c>
      <c r="H77" s="749">
        <v>0.8</v>
      </c>
      <c r="I77" s="749">
        <v>0.2</v>
      </c>
      <c r="K77" t="s">
        <v>1432</v>
      </c>
      <c r="L77" s="752">
        <v>0</v>
      </c>
      <c r="M77" s="752">
        <v>106782.24400000001</v>
      </c>
      <c r="N77" s="752">
        <v>427128.97600000002</v>
      </c>
      <c r="O77" s="752">
        <v>0</v>
      </c>
      <c r="P77" s="752">
        <v>69595.771999999997</v>
      </c>
      <c r="Q77" s="752">
        <v>278383.08799999999</v>
      </c>
    </row>
    <row r="78" spans="1:17" ht="57">
      <c r="A78" s="735" t="s">
        <v>1432</v>
      </c>
      <c r="B78" s="736" t="s">
        <v>1439</v>
      </c>
      <c r="C78" s="737" t="s">
        <v>1440</v>
      </c>
      <c r="D78" s="738" t="s">
        <v>1441</v>
      </c>
      <c r="E78" s="745">
        <v>5000</v>
      </c>
      <c r="F78" s="746">
        <v>0</v>
      </c>
      <c r="G78" s="749">
        <v>0.23219999999999999</v>
      </c>
      <c r="H78" s="749">
        <v>0.38390000000000002</v>
      </c>
      <c r="I78" s="749">
        <v>0.38390000000000002</v>
      </c>
      <c r="K78" t="s">
        <v>1432</v>
      </c>
      <c r="L78" s="752">
        <v>1161</v>
      </c>
      <c r="M78" s="752">
        <v>1919.5</v>
      </c>
      <c r="N78" s="752">
        <v>1919.5</v>
      </c>
      <c r="O78" s="752">
        <v>0</v>
      </c>
      <c r="P78" s="752">
        <v>0</v>
      </c>
      <c r="Q78" s="752">
        <v>0</v>
      </c>
    </row>
    <row r="79" spans="1:17" ht="42.75">
      <c r="A79" s="735" t="s">
        <v>1432</v>
      </c>
      <c r="B79" s="736" t="s">
        <v>1442</v>
      </c>
      <c r="C79" s="737" t="s">
        <v>1443</v>
      </c>
      <c r="D79" s="738" t="s">
        <v>1444</v>
      </c>
      <c r="E79" s="745">
        <v>297</v>
      </c>
      <c r="F79" s="746">
        <v>0</v>
      </c>
      <c r="G79" s="749">
        <v>0</v>
      </c>
      <c r="H79" s="749">
        <v>0.8</v>
      </c>
      <c r="I79" s="749">
        <v>0.2</v>
      </c>
      <c r="K79" t="s">
        <v>1432</v>
      </c>
      <c r="L79" s="752">
        <v>0</v>
      </c>
      <c r="M79" s="752">
        <v>59.400000000000006</v>
      </c>
      <c r="N79" s="752">
        <v>237.60000000000002</v>
      </c>
      <c r="O79" s="752">
        <v>0</v>
      </c>
      <c r="P79" s="752">
        <v>0</v>
      </c>
      <c r="Q79" s="752">
        <v>0</v>
      </c>
    </row>
    <row r="80" spans="1:17" ht="42.75">
      <c r="A80" s="735" t="s">
        <v>1432</v>
      </c>
      <c r="B80" s="736" t="s">
        <v>1445</v>
      </c>
      <c r="C80" s="737" t="s">
        <v>1446</v>
      </c>
      <c r="D80" s="738" t="s">
        <v>1447</v>
      </c>
      <c r="E80" s="745">
        <v>121348.26</v>
      </c>
      <c r="F80" s="746">
        <v>61808.38</v>
      </c>
      <c r="G80" s="749">
        <v>0</v>
      </c>
      <c r="H80" s="749">
        <v>0.8</v>
      </c>
      <c r="I80" s="749">
        <v>0.2</v>
      </c>
      <c r="K80" t="s">
        <v>1432</v>
      </c>
      <c r="L80" s="752">
        <v>0</v>
      </c>
      <c r="M80" s="752">
        <v>24269.652000000002</v>
      </c>
      <c r="N80" s="752">
        <v>97078.608000000007</v>
      </c>
      <c r="O80" s="752">
        <v>0</v>
      </c>
      <c r="P80" s="752">
        <v>12361.675999999999</v>
      </c>
      <c r="Q80" s="752">
        <v>49446.703999999998</v>
      </c>
    </row>
    <row r="81" spans="1:17" ht="42.75">
      <c r="A81" s="735" t="s">
        <v>1432</v>
      </c>
      <c r="B81" s="736" t="s">
        <v>1448</v>
      </c>
      <c r="C81" s="737" t="s">
        <v>1449</v>
      </c>
      <c r="D81" s="738" t="s">
        <v>1450</v>
      </c>
      <c r="E81" s="745">
        <v>827.15</v>
      </c>
      <c r="F81" s="746">
        <v>0</v>
      </c>
      <c r="G81" s="749">
        <v>0</v>
      </c>
      <c r="H81" s="749">
        <v>0.8</v>
      </c>
      <c r="I81" s="749">
        <v>0.2</v>
      </c>
      <c r="K81" t="s">
        <v>1432</v>
      </c>
      <c r="L81" s="752">
        <v>0</v>
      </c>
      <c r="M81" s="752">
        <v>165.43</v>
      </c>
      <c r="N81" s="752">
        <v>661.72</v>
      </c>
      <c r="O81" s="752">
        <v>0</v>
      </c>
      <c r="P81" s="752">
        <v>0</v>
      </c>
      <c r="Q81" s="752">
        <v>0</v>
      </c>
    </row>
    <row r="82" spans="1:17" ht="26.65" thickBot="1">
      <c r="A82" s="739" t="s">
        <v>1432</v>
      </c>
      <c r="B82" s="740"/>
      <c r="C82" s="741"/>
      <c r="D82" s="742" t="s">
        <v>1451</v>
      </c>
      <c r="E82" s="747">
        <v>665039.69999999995</v>
      </c>
      <c r="F82" s="747">
        <v>416914.77</v>
      </c>
      <c r="G82" s="747"/>
      <c r="H82" s="747"/>
      <c r="I82" s="747"/>
      <c r="K82" t="s">
        <v>1432</v>
      </c>
      <c r="L82" s="752">
        <v>0</v>
      </c>
      <c r="M82" s="752">
        <v>0</v>
      </c>
      <c r="N82" s="752">
        <v>0</v>
      </c>
      <c r="O82" s="752">
        <v>0</v>
      </c>
      <c r="P82" s="752">
        <v>0</v>
      </c>
      <c r="Q82" s="752">
        <v>0</v>
      </c>
    </row>
    <row r="83" spans="1:17" ht="57">
      <c r="A83" s="735" t="s">
        <v>1452</v>
      </c>
      <c r="B83" s="736" t="s">
        <v>1453</v>
      </c>
      <c r="C83" s="737" t="s">
        <v>1454</v>
      </c>
      <c r="D83" s="738" t="s">
        <v>1455</v>
      </c>
      <c r="E83" s="745">
        <v>7722116.79</v>
      </c>
      <c r="F83" s="746">
        <v>7999835.29</v>
      </c>
      <c r="G83" s="749">
        <v>0</v>
      </c>
      <c r="H83" s="749">
        <v>0.5</v>
      </c>
      <c r="I83" s="749">
        <v>0.5</v>
      </c>
      <c r="K83" t="s">
        <v>1452</v>
      </c>
      <c r="L83" s="752">
        <v>0</v>
      </c>
      <c r="M83" s="752">
        <v>3861058.395</v>
      </c>
      <c r="N83" s="752">
        <v>3861058.395</v>
      </c>
      <c r="O83" s="752">
        <v>0</v>
      </c>
      <c r="P83" s="752">
        <v>3999917.645</v>
      </c>
      <c r="Q83" s="752">
        <v>3999917.645</v>
      </c>
    </row>
    <row r="84" spans="1:17" ht="42.75">
      <c r="A84" s="735" t="s">
        <v>1452</v>
      </c>
      <c r="B84" s="736" t="s">
        <v>1456</v>
      </c>
      <c r="C84" s="737" t="s">
        <v>1457</v>
      </c>
      <c r="D84" s="738" t="s">
        <v>1458</v>
      </c>
      <c r="E84" s="745">
        <v>0</v>
      </c>
      <c r="F84" s="746">
        <v>0</v>
      </c>
      <c r="G84" s="749">
        <v>0.35399999999999998</v>
      </c>
      <c r="H84" s="749">
        <v>0</v>
      </c>
      <c r="I84" s="749">
        <v>0.64600000000000002</v>
      </c>
      <c r="K84" t="s">
        <v>1452</v>
      </c>
      <c r="L84" s="752">
        <v>0</v>
      </c>
      <c r="M84" s="752">
        <v>0</v>
      </c>
      <c r="N84" s="752">
        <v>0</v>
      </c>
      <c r="O84" s="752">
        <v>0</v>
      </c>
      <c r="P84" s="752">
        <v>0</v>
      </c>
      <c r="Q84" s="752">
        <v>0</v>
      </c>
    </row>
    <row r="85" spans="1:17" ht="71.25">
      <c r="A85" s="735" t="s">
        <v>1452</v>
      </c>
      <c r="B85" s="736" t="s">
        <v>1459</v>
      </c>
      <c r="C85" s="737" t="s">
        <v>1460</v>
      </c>
      <c r="D85" s="738" t="s">
        <v>1461</v>
      </c>
      <c r="E85" s="745">
        <v>50000</v>
      </c>
      <c r="F85" s="746">
        <v>9998.6299999999992</v>
      </c>
      <c r="G85" s="749">
        <v>0.35599999999999998</v>
      </c>
      <c r="H85" s="749">
        <v>0</v>
      </c>
      <c r="I85" s="749">
        <v>0.64400000000000002</v>
      </c>
      <c r="K85" t="s">
        <v>1452</v>
      </c>
      <c r="L85" s="752">
        <v>17800</v>
      </c>
      <c r="M85" s="752">
        <v>32200</v>
      </c>
      <c r="N85" s="752">
        <v>0</v>
      </c>
      <c r="O85" s="752">
        <v>3559.5122799999995</v>
      </c>
      <c r="P85" s="752">
        <v>6439.1177199999993</v>
      </c>
      <c r="Q85" s="752">
        <v>0</v>
      </c>
    </row>
    <row r="86" spans="1:17" ht="71.25">
      <c r="A86" s="735" t="s">
        <v>1452</v>
      </c>
      <c r="B86" s="736" t="s">
        <v>1462</v>
      </c>
      <c r="C86" s="737" t="s">
        <v>1463</v>
      </c>
      <c r="D86" s="738" t="s">
        <v>1464</v>
      </c>
      <c r="E86" s="745">
        <v>200000</v>
      </c>
      <c r="F86" s="746">
        <v>3195</v>
      </c>
      <c r="G86" s="749">
        <v>100</v>
      </c>
      <c r="H86" s="749">
        <v>0</v>
      </c>
      <c r="I86" s="749">
        <v>0</v>
      </c>
      <c r="K86" t="s">
        <v>1452</v>
      </c>
      <c r="L86" s="752">
        <v>20000000</v>
      </c>
      <c r="M86" s="752">
        <v>0</v>
      </c>
      <c r="N86" s="752">
        <v>0</v>
      </c>
      <c r="O86" s="752">
        <v>319500</v>
      </c>
      <c r="P86" s="752">
        <v>0</v>
      </c>
      <c r="Q86" s="752">
        <v>0</v>
      </c>
    </row>
    <row r="87" spans="1:17" ht="57">
      <c r="A87" s="735" t="s">
        <v>1452</v>
      </c>
      <c r="B87" s="736" t="s">
        <v>1465</v>
      </c>
      <c r="C87" s="737" t="s">
        <v>1466</v>
      </c>
      <c r="D87" s="738" t="s">
        <v>1467</v>
      </c>
      <c r="E87" s="745">
        <v>0</v>
      </c>
      <c r="F87" s="746">
        <v>0</v>
      </c>
      <c r="G87" s="749">
        <v>0</v>
      </c>
      <c r="H87" s="749">
        <v>0</v>
      </c>
      <c r="I87" s="749">
        <v>1</v>
      </c>
      <c r="K87" t="s">
        <v>1452</v>
      </c>
      <c r="L87" s="752">
        <v>0</v>
      </c>
      <c r="M87" s="752">
        <v>0</v>
      </c>
      <c r="N87" s="752">
        <v>0</v>
      </c>
      <c r="O87" s="752">
        <v>0</v>
      </c>
      <c r="P87" s="752">
        <v>0</v>
      </c>
      <c r="Q87" s="752">
        <v>0</v>
      </c>
    </row>
    <row r="88" spans="1:17" ht="57">
      <c r="A88" s="735" t="s">
        <v>1452</v>
      </c>
      <c r="B88" s="736" t="s">
        <v>1468</v>
      </c>
      <c r="C88" s="737" t="s">
        <v>1469</v>
      </c>
      <c r="D88" s="738" t="s">
        <v>1470</v>
      </c>
      <c r="E88" s="745">
        <v>0</v>
      </c>
      <c r="F88" s="746">
        <v>0</v>
      </c>
      <c r="G88" s="749">
        <v>0</v>
      </c>
      <c r="H88" s="749">
        <v>0</v>
      </c>
      <c r="I88" s="749">
        <v>0</v>
      </c>
      <c r="K88" t="s">
        <v>1452</v>
      </c>
      <c r="L88" s="752">
        <v>0</v>
      </c>
      <c r="M88" s="752">
        <v>0</v>
      </c>
      <c r="N88" s="752">
        <v>0</v>
      </c>
      <c r="O88" s="752">
        <v>0</v>
      </c>
      <c r="P88" s="752">
        <v>0</v>
      </c>
      <c r="Q88" s="752">
        <v>0</v>
      </c>
    </row>
    <row r="89" spans="1:17" ht="57">
      <c r="A89" s="735" t="s">
        <v>1452</v>
      </c>
      <c r="B89" s="736" t="s">
        <v>1471</v>
      </c>
      <c r="C89" s="737" t="s">
        <v>1472</v>
      </c>
      <c r="D89" s="738" t="s">
        <v>1473</v>
      </c>
      <c r="E89" s="745">
        <v>0</v>
      </c>
      <c r="F89" s="746">
        <v>0</v>
      </c>
      <c r="G89" s="749">
        <v>0</v>
      </c>
      <c r="H89" s="749">
        <v>0</v>
      </c>
      <c r="I89" s="749">
        <v>0</v>
      </c>
      <c r="K89" t="s">
        <v>1452</v>
      </c>
      <c r="L89" s="752">
        <v>0</v>
      </c>
      <c r="M89" s="752">
        <v>0</v>
      </c>
      <c r="N89" s="752">
        <v>0</v>
      </c>
      <c r="O89" s="752">
        <v>0</v>
      </c>
      <c r="P89" s="752">
        <v>0</v>
      </c>
      <c r="Q89" s="752">
        <v>0</v>
      </c>
    </row>
    <row r="90" spans="1:17" ht="39.75" thickBot="1">
      <c r="A90" s="739" t="s">
        <v>1452</v>
      </c>
      <c r="B90" s="740"/>
      <c r="C90" s="741"/>
      <c r="D90" s="742" t="s">
        <v>1474</v>
      </c>
      <c r="E90" s="747">
        <v>7972116.79</v>
      </c>
      <c r="F90" s="747">
        <v>8013028.9199999999</v>
      </c>
      <c r="G90" s="747"/>
      <c r="H90" s="747"/>
      <c r="I90" s="747"/>
      <c r="K90" t="s">
        <v>1452</v>
      </c>
      <c r="L90" s="752">
        <v>0</v>
      </c>
      <c r="M90" s="752">
        <v>0</v>
      </c>
      <c r="N90" s="752">
        <v>0</v>
      </c>
      <c r="O90" s="752">
        <v>0</v>
      </c>
      <c r="P90" s="752">
        <v>0</v>
      </c>
      <c r="Q90" s="752">
        <v>0</v>
      </c>
    </row>
    <row r="91" spans="1:17" ht="42.75">
      <c r="A91" s="735" t="s">
        <v>971</v>
      </c>
      <c r="B91" s="736" t="s">
        <v>1475</v>
      </c>
      <c r="C91" s="737" t="s">
        <v>1476</v>
      </c>
      <c r="D91" s="738" t="s">
        <v>1477</v>
      </c>
      <c r="E91" s="745">
        <v>150000</v>
      </c>
      <c r="F91" s="746">
        <v>133367.29999999999</v>
      </c>
      <c r="G91" s="749">
        <v>0.21329999999999999</v>
      </c>
      <c r="H91" s="749">
        <v>0.52449999999999997</v>
      </c>
      <c r="I91" s="749">
        <v>0.26219999999999999</v>
      </c>
      <c r="K91" t="s">
        <v>971</v>
      </c>
      <c r="L91" s="752">
        <v>31995</v>
      </c>
      <c r="M91" s="752">
        <v>39330</v>
      </c>
      <c r="N91" s="752">
        <v>78675</v>
      </c>
      <c r="O91" s="752">
        <v>28447.245089999997</v>
      </c>
      <c r="P91" s="752">
        <v>34968.906059999994</v>
      </c>
      <c r="Q91" s="752">
        <v>69951.148849999983</v>
      </c>
    </row>
    <row r="92" spans="1:17" ht="71.25">
      <c r="A92" s="735" t="s">
        <v>971</v>
      </c>
      <c r="B92" s="736" t="s">
        <v>1478</v>
      </c>
      <c r="C92" s="737" t="s">
        <v>1479</v>
      </c>
      <c r="D92" s="738" t="s">
        <v>1480</v>
      </c>
      <c r="E92" s="745">
        <v>4416</v>
      </c>
      <c r="F92" s="746">
        <v>0</v>
      </c>
      <c r="G92" s="749">
        <v>0</v>
      </c>
      <c r="H92" s="749">
        <v>1</v>
      </c>
      <c r="I92" s="749">
        <v>0</v>
      </c>
      <c r="K92" t="s">
        <v>971</v>
      </c>
      <c r="L92" s="752">
        <v>0</v>
      </c>
      <c r="M92" s="752">
        <v>0</v>
      </c>
      <c r="N92" s="752">
        <v>4416</v>
      </c>
      <c r="O92" s="752">
        <v>0</v>
      </c>
      <c r="P92" s="752">
        <v>0</v>
      </c>
      <c r="Q92" s="752">
        <v>0</v>
      </c>
    </row>
    <row r="93" spans="1:17" ht="71.25">
      <c r="A93" s="735" t="s">
        <v>971</v>
      </c>
      <c r="B93" s="736" t="s">
        <v>1481</v>
      </c>
      <c r="C93" s="737" t="s">
        <v>1482</v>
      </c>
      <c r="D93" s="738" t="s">
        <v>1483</v>
      </c>
      <c r="E93" s="745">
        <v>24000</v>
      </c>
      <c r="F93" s="746">
        <v>19916.64</v>
      </c>
      <c r="G93" s="749">
        <v>0.32340000000000002</v>
      </c>
      <c r="H93" s="749">
        <v>0.25369999999999998</v>
      </c>
      <c r="I93" s="749">
        <v>0.4229</v>
      </c>
      <c r="K93" t="s">
        <v>971</v>
      </c>
      <c r="L93" s="752">
        <v>7761.6</v>
      </c>
      <c r="M93" s="752">
        <v>10149.6</v>
      </c>
      <c r="N93" s="752">
        <v>6088.7999999999993</v>
      </c>
      <c r="O93" s="752">
        <v>6441.0413760000001</v>
      </c>
      <c r="P93" s="752">
        <v>8422.7470560000002</v>
      </c>
      <c r="Q93" s="752">
        <v>5052.8515679999991</v>
      </c>
    </row>
    <row r="94" spans="1:17" ht="85.5">
      <c r="A94" s="735" t="s">
        <v>971</v>
      </c>
      <c r="B94" s="736" t="s">
        <v>1484</v>
      </c>
      <c r="C94" s="737" t="s">
        <v>1485</v>
      </c>
      <c r="D94" s="738" t="s">
        <v>1486</v>
      </c>
      <c r="E94" s="745">
        <v>4416</v>
      </c>
      <c r="F94" s="746">
        <v>520</v>
      </c>
      <c r="G94" s="749">
        <v>0</v>
      </c>
      <c r="H94" s="749">
        <v>1</v>
      </c>
      <c r="I94" s="749">
        <v>0</v>
      </c>
      <c r="K94" t="s">
        <v>971</v>
      </c>
      <c r="L94" s="752">
        <v>0</v>
      </c>
      <c r="M94" s="752">
        <v>0</v>
      </c>
      <c r="N94" s="752">
        <v>4416</v>
      </c>
      <c r="O94" s="752">
        <v>0</v>
      </c>
      <c r="P94" s="752">
        <v>0</v>
      </c>
      <c r="Q94" s="752">
        <v>520</v>
      </c>
    </row>
    <row r="95" spans="1:17" ht="42.75">
      <c r="A95" s="735" t="s">
        <v>971</v>
      </c>
      <c r="B95" s="736" t="s">
        <v>1487</v>
      </c>
      <c r="C95" s="737" t="s">
        <v>1488</v>
      </c>
      <c r="D95" s="738" t="s">
        <v>1489</v>
      </c>
      <c r="E95" s="745">
        <v>35000</v>
      </c>
      <c r="F95" s="746">
        <v>7579.81</v>
      </c>
      <c r="G95" s="749">
        <v>0</v>
      </c>
      <c r="H95" s="749">
        <v>1</v>
      </c>
      <c r="I95" s="749">
        <v>0</v>
      </c>
      <c r="K95" t="s">
        <v>971</v>
      </c>
      <c r="L95" s="752">
        <v>0</v>
      </c>
      <c r="M95" s="752">
        <v>0</v>
      </c>
      <c r="N95" s="752">
        <v>35000</v>
      </c>
      <c r="O95" s="752">
        <v>0</v>
      </c>
      <c r="P95" s="752">
        <v>0</v>
      </c>
      <c r="Q95" s="752">
        <v>7579.81</v>
      </c>
    </row>
    <row r="96" spans="1:17" ht="71.25">
      <c r="A96" s="735" t="s">
        <v>971</v>
      </c>
      <c r="B96" s="736" t="s">
        <v>1490</v>
      </c>
      <c r="C96" s="737" t="s">
        <v>1491</v>
      </c>
      <c r="D96" s="738" t="s">
        <v>1492</v>
      </c>
      <c r="E96" s="745">
        <v>250000</v>
      </c>
      <c r="F96" s="746">
        <v>292491.19</v>
      </c>
      <c r="G96" s="749">
        <v>0</v>
      </c>
      <c r="H96" s="749">
        <v>0.5</v>
      </c>
      <c r="I96" s="749">
        <v>0.5</v>
      </c>
      <c r="K96" t="s">
        <v>971</v>
      </c>
      <c r="L96" s="752">
        <v>0</v>
      </c>
      <c r="M96" s="752">
        <v>125000</v>
      </c>
      <c r="N96" s="752">
        <v>125000</v>
      </c>
      <c r="O96" s="752">
        <v>0</v>
      </c>
      <c r="P96" s="752">
        <v>146245.595</v>
      </c>
      <c r="Q96" s="752">
        <v>146245.595</v>
      </c>
    </row>
    <row r="97" spans="1:17" ht="85.5">
      <c r="A97" s="735" t="s">
        <v>971</v>
      </c>
      <c r="B97" s="736" t="s">
        <v>1493</v>
      </c>
      <c r="C97" s="737" t="s">
        <v>1494</v>
      </c>
      <c r="D97" s="738" t="s">
        <v>1495</v>
      </c>
      <c r="E97" s="745">
        <v>0</v>
      </c>
      <c r="F97" s="746">
        <v>0</v>
      </c>
      <c r="G97" s="749">
        <v>0</v>
      </c>
      <c r="H97" s="749">
        <v>0.5</v>
      </c>
      <c r="I97" s="749">
        <v>0.5</v>
      </c>
      <c r="K97" t="s">
        <v>971</v>
      </c>
      <c r="L97" s="752">
        <v>0</v>
      </c>
      <c r="M97" s="752">
        <v>0</v>
      </c>
      <c r="N97" s="752">
        <v>0</v>
      </c>
      <c r="O97" s="752">
        <v>0</v>
      </c>
      <c r="P97" s="752">
        <v>0</v>
      </c>
      <c r="Q97" s="752">
        <v>0</v>
      </c>
    </row>
    <row r="98" spans="1:17" ht="71.25">
      <c r="A98" s="735" t="s">
        <v>971</v>
      </c>
      <c r="B98" s="736" t="s">
        <v>1496</v>
      </c>
      <c r="C98" s="737" t="s">
        <v>1497</v>
      </c>
      <c r="D98" s="738" t="s">
        <v>1498</v>
      </c>
      <c r="E98" s="745">
        <v>16000</v>
      </c>
      <c r="F98" s="746">
        <v>0</v>
      </c>
      <c r="G98" s="749">
        <v>0</v>
      </c>
      <c r="H98" s="749">
        <v>0.5</v>
      </c>
      <c r="I98" s="749">
        <v>0.5</v>
      </c>
      <c r="K98" t="s">
        <v>971</v>
      </c>
      <c r="L98" s="752">
        <v>0</v>
      </c>
      <c r="M98" s="752">
        <v>8000</v>
      </c>
      <c r="N98" s="752">
        <v>8000</v>
      </c>
      <c r="O98" s="752">
        <v>0</v>
      </c>
      <c r="P98" s="752">
        <v>0</v>
      </c>
      <c r="Q98" s="752">
        <v>0</v>
      </c>
    </row>
    <row r="99" spans="1:17" ht="85.5">
      <c r="A99" s="735" t="s">
        <v>971</v>
      </c>
      <c r="B99" s="736" t="s">
        <v>1499</v>
      </c>
      <c r="C99" s="737" t="s">
        <v>1500</v>
      </c>
      <c r="D99" s="738" t="s">
        <v>1501</v>
      </c>
      <c r="E99" s="745">
        <v>52897</v>
      </c>
      <c r="F99" s="746">
        <v>18940.41</v>
      </c>
      <c r="G99" s="749">
        <v>0</v>
      </c>
      <c r="H99" s="749">
        <v>0.5</v>
      </c>
      <c r="I99" s="749">
        <v>0.5</v>
      </c>
      <c r="K99" t="s">
        <v>971</v>
      </c>
      <c r="L99" s="752">
        <v>0</v>
      </c>
      <c r="M99" s="752">
        <v>26448.5</v>
      </c>
      <c r="N99" s="752">
        <v>26448.5</v>
      </c>
      <c r="O99" s="752">
        <v>0</v>
      </c>
      <c r="P99" s="752">
        <v>9470.2049999999999</v>
      </c>
      <c r="Q99" s="752">
        <v>9470.2049999999999</v>
      </c>
    </row>
    <row r="100" spans="1:17" ht="57">
      <c r="A100" s="735" t="s">
        <v>971</v>
      </c>
      <c r="B100" s="736" t="s">
        <v>1502</v>
      </c>
      <c r="C100" s="737" t="s">
        <v>1503</v>
      </c>
      <c r="D100" s="738" t="s">
        <v>1504</v>
      </c>
      <c r="E100" s="745">
        <v>0</v>
      </c>
      <c r="F100" s="746">
        <v>0</v>
      </c>
      <c r="G100" s="749">
        <v>0</v>
      </c>
      <c r="H100" s="749">
        <v>0.5</v>
      </c>
      <c r="I100" s="749">
        <v>0.5</v>
      </c>
      <c r="K100" t="s">
        <v>971</v>
      </c>
      <c r="L100" s="752">
        <v>0</v>
      </c>
      <c r="M100" s="752">
        <v>0</v>
      </c>
      <c r="N100" s="752">
        <v>0</v>
      </c>
      <c r="O100" s="752">
        <v>0</v>
      </c>
      <c r="P100" s="752">
        <v>0</v>
      </c>
      <c r="Q100" s="752">
        <v>0</v>
      </c>
    </row>
    <row r="101" spans="1:17" ht="42.75">
      <c r="A101" s="735" t="s">
        <v>971</v>
      </c>
      <c r="B101" s="736" t="s">
        <v>1505</v>
      </c>
      <c r="C101" s="737" t="s">
        <v>1506</v>
      </c>
      <c r="D101" s="738" t="s">
        <v>1507</v>
      </c>
      <c r="E101" s="745">
        <v>0</v>
      </c>
      <c r="F101" s="746">
        <v>0</v>
      </c>
      <c r="G101" s="749">
        <v>0</v>
      </c>
      <c r="H101" s="749">
        <v>0.5</v>
      </c>
      <c r="I101" s="749">
        <v>0.5</v>
      </c>
      <c r="K101" t="s">
        <v>971</v>
      </c>
      <c r="L101" s="752">
        <v>0</v>
      </c>
      <c r="M101" s="752">
        <v>0</v>
      </c>
      <c r="N101" s="752">
        <v>0</v>
      </c>
      <c r="O101" s="752">
        <v>0</v>
      </c>
      <c r="P101" s="752">
        <v>0</v>
      </c>
      <c r="Q101" s="752">
        <v>0</v>
      </c>
    </row>
    <row r="102" spans="1:17" ht="57">
      <c r="A102" s="735" t="s">
        <v>971</v>
      </c>
      <c r="B102" s="736" t="s">
        <v>1508</v>
      </c>
      <c r="C102" s="737" t="s">
        <v>1509</v>
      </c>
      <c r="D102" s="738" t="s">
        <v>1510</v>
      </c>
      <c r="E102" s="745">
        <v>0</v>
      </c>
      <c r="F102" s="746">
        <v>0</v>
      </c>
      <c r="G102" s="749">
        <v>0</v>
      </c>
      <c r="H102" s="749">
        <v>0.5</v>
      </c>
      <c r="I102" s="749">
        <v>0.5</v>
      </c>
      <c r="K102" t="s">
        <v>971</v>
      </c>
      <c r="L102" s="752">
        <v>0</v>
      </c>
      <c r="M102" s="752">
        <v>0</v>
      </c>
      <c r="N102" s="752">
        <v>0</v>
      </c>
      <c r="O102" s="752">
        <v>0</v>
      </c>
      <c r="P102" s="752">
        <v>0</v>
      </c>
      <c r="Q102" s="752">
        <v>0</v>
      </c>
    </row>
    <row r="103" spans="1:17" ht="71.25">
      <c r="A103" s="735" t="s">
        <v>971</v>
      </c>
      <c r="B103" s="736" t="s">
        <v>1511</v>
      </c>
      <c r="C103" s="737" t="s">
        <v>1512</v>
      </c>
      <c r="D103" s="738" t="s">
        <v>1513</v>
      </c>
      <c r="E103" s="745">
        <v>670000</v>
      </c>
      <c r="F103" s="746">
        <v>620858.38</v>
      </c>
      <c r="G103" s="749">
        <v>0</v>
      </c>
      <c r="H103" s="749">
        <v>0.5</v>
      </c>
      <c r="I103" s="749">
        <v>0.5</v>
      </c>
      <c r="K103" t="s">
        <v>971</v>
      </c>
      <c r="L103" s="752">
        <v>0</v>
      </c>
      <c r="M103" s="752">
        <v>335000</v>
      </c>
      <c r="N103" s="752">
        <v>335000</v>
      </c>
      <c r="O103" s="752">
        <v>0</v>
      </c>
      <c r="P103" s="752">
        <v>310429.19</v>
      </c>
      <c r="Q103" s="752">
        <v>310429.19</v>
      </c>
    </row>
    <row r="104" spans="1:17" ht="57">
      <c r="A104" s="735" t="s">
        <v>971</v>
      </c>
      <c r="B104" s="736" t="s">
        <v>1514</v>
      </c>
      <c r="C104" s="737" t="s">
        <v>1515</v>
      </c>
      <c r="D104" s="738" t="s">
        <v>1516</v>
      </c>
      <c r="E104" s="745">
        <v>200000</v>
      </c>
      <c r="F104" s="746">
        <v>5807.5</v>
      </c>
      <c r="G104" s="749">
        <v>0.2</v>
      </c>
      <c r="H104" s="749">
        <v>0</v>
      </c>
      <c r="I104" s="749">
        <v>0.8</v>
      </c>
      <c r="K104" t="s">
        <v>971</v>
      </c>
      <c r="L104" s="752">
        <v>40000</v>
      </c>
      <c r="M104" s="752">
        <v>160000</v>
      </c>
      <c r="N104" s="752">
        <v>0</v>
      </c>
      <c r="O104" s="752">
        <v>1161.5</v>
      </c>
      <c r="P104" s="752">
        <v>4646</v>
      </c>
      <c r="Q104" s="752">
        <v>0</v>
      </c>
    </row>
    <row r="105" spans="1:17" ht="85.5">
      <c r="A105" s="735" t="s">
        <v>971</v>
      </c>
      <c r="B105" s="736" t="s">
        <v>1517</v>
      </c>
      <c r="C105" s="737" t="s">
        <v>1518</v>
      </c>
      <c r="D105" s="738" t="s">
        <v>1519</v>
      </c>
      <c r="E105" s="745">
        <v>27000</v>
      </c>
      <c r="F105" s="746">
        <v>26477.200000000001</v>
      </c>
      <c r="G105" s="749">
        <v>0</v>
      </c>
      <c r="H105" s="749">
        <v>0.5</v>
      </c>
      <c r="I105" s="749">
        <v>0.5</v>
      </c>
      <c r="K105" t="s">
        <v>971</v>
      </c>
      <c r="L105" s="752">
        <v>0</v>
      </c>
      <c r="M105" s="752">
        <v>13500</v>
      </c>
      <c r="N105" s="752">
        <v>13500</v>
      </c>
      <c r="O105" s="752">
        <v>0</v>
      </c>
      <c r="P105" s="752">
        <v>13238.6</v>
      </c>
      <c r="Q105" s="752">
        <v>13238.6</v>
      </c>
    </row>
    <row r="106" spans="1:17" ht="57">
      <c r="A106" s="735" t="s">
        <v>971</v>
      </c>
      <c r="B106" s="736" t="s">
        <v>1520</v>
      </c>
      <c r="C106" s="737" t="s">
        <v>1521</v>
      </c>
      <c r="D106" s="738" t="s">
        <v>1522</v>
      </c>
      <c r="E106" s="745">
        <v>660000</v>
      </c>
      <c r="F106" s="746">
        <v>660659.31999999995</v>
      </c>
      <c r="G106" s="749">
        <v>0</v>
      </c>
      <c r="H106" s="749">
        <v>0.5</v>
      </c>
      <c r="I106" s="749">
        <v>0.5</v>
      </c>
      <c r="K106" t="s">
        <v>971</v>
      </c>
      <c r="L106" s="752">
        <v>0</v>
      </c>
      <c r="M106" s="752">
        <v>330000</v>
      </c>
      <c r="N106" s="752">
        <v>330000</v>
      </c>
      <c r="O106" s="752">
        <v>0</v>
      </c>
      <c r="P106" s="752">
        <v>330329.65999999997</v>
      </c>
      <c r="Q106" s="752">
        <v>330329.65999999997</v>
      </c>
    </row>
    <row r="107" spans="1:17" ht="71.25">
      <c r="A107" s="735" t="s">
        <v>971</v>
      </c>
      <c r="B107" s="736"/>
      <c r="C107" s="737" t="s">
        <v>1523</v>
      </c>
      <c r="D107" s="738" t="s">
        <v>1524</v>
      </c>
      <c r="E107" s="745">
        <v>30000</v>
      </c>
      <c r="F107" s="746">
        <v>28876.400000000001</v>
      </c>
      <c r="G107" s="749">
        <v>0</v>
      </c>
      <c r="H107" s="749">
        <v>0</v>
      </c>
      <c r="I107" s="749">
        <v>100</v>
      </c>
      <c r="K107" t="s">
        <v>971</v>
      </c>
      <c r="L107" s="752">
        <v>0</v>
      </c>
      <c r="M107" s="752">
        <v>3000000</v>
      </c>
      <c r="N107" s="752">
        <v>0</v>
      </c>
      <c r="O107" s="752">
        <v>0</v>
      </c>
      <c r="P107" s="752">
        <v>2887640</v>
      </c>
      <c r="Q107" s="752">
        <v>0</v>
      </c>
    </row>
    <row r="108" spans="1:17" ht="52.9" thickBot="1">
      <c r="A108" s="739" t="s">
        <v>971</v>
      </c>
      <c r="B108" s="740"/>
      <c r="C108" s="741"/>
      <c r="D108" s="742" t="s">
        <v>1525</v>
      </c>
      <c r="E108" s="747">
        <v>2123729</v>
      </c>
      <c r="F108" s="747">
        <v>1815494.15</v>
      </c>
      <c r="G108" s="747"/>
      <c r="H108" s="747"/>
      <c r="I108" s="747"/>
      <c r="K108" t="s">
        <v>971</v>
      </c>
      <c r="L108" s="752">
        <v>0</v>
      </c>
      <c r="M108" s="752">
        <v>0</v>
      </c>
      <c r="N108" s="752">
        <v>0</v>
      </c>
      <c r="O108" s="752">
        <v>0</v>
      </c>
      <c r="P108" s="752">
        <v>0</v>
      </c>
      <c r="Q108" s="752">
        <v>0</v>
      </c>
    </row>
    <row r="109" spans="1:17" ht="57">
      <c r="A109" s="735" t="s">
        <v>1209</v>
      </c>
      <c r="B109" s="736" t="s">
        <v>1526</v>
      </c>
      <c r="C109" s="737" t="s">
        <v>1527</v>
      </c>
      <c r="D109" s="738" t="s">
        <v>1528</v>
      </c>
      <c r="E109" s="745">
        <v>713377</v>
      </c>
      <c r="F109" s="746">
        <v>581643.87</v>
      </c>
      <c r="G109" s="749">
        <v>0</v>
      </c>
      <c r="H109" s="749">
        <v>1</v>
      </c>
      <c r="I109" s="749">
        <v>0</v>
      </c>
      <c r="K109" t="s">
        <v>1209</v>
      </c>
      <c r="L109" s="752">
        <v>0</v>
      </c>
      <c r="M109" s="752">
        <v>0</v>
      </c>
      <c r="N109" s="752">
        <v>713377</v>
      </c>
      <c r="O109" s="752">
        <v>0</v>
      </c>
      <c r="P109" s="752">
        <v>0</v>
      </c>
      <c r="Q109" s="752">
        <v>581643.87</v>
      </c>
    </row>
    <row r="110" spans="1:17" ht="57">
      <c r="A110" s="735" t="s">
        <v>1209</v>
      </c>
      <c r="B110" s="736" t="s">
        <v>1529</v>
      </c>
      <c r="C110" s="737" t="s">
        <v>1530</v>
      </c>
      <c r="D110" s="738" t="s">
        <v>1531</v>
      </c>
      <c r="E110" s="745">
        <v>334297</v>
      </c>
      <c r="F110" s="746">
        <v>290584.01</v>
      </c>
      <c r="G110" s="749">
        <v>0</v>
      </c>
      <c r="H110" s="749">
        <v>1</v>
      </c>
      <c r="I110" s="749">
        <v>0</v>
      </c>
      <c r="K110" t="s">
        <v>1209</v>
      </c>
      <c r="L110" s="752">
        <v>0</v>
      </c>
      <c r="M110" s="752">
        <v>0</v>
      </c>
      <c r="N110" s="752">
        <v>334297</v>
      </c>
      <c r="O110" s="752">
        <v>0</v>
      </c>
      <c r="P110" s="752">
        <v>0</v>
      </c>
      <c r="Q110" s="752">
        <v>290584.01</v>
      </c>
    </row>
    <row r="111" spans="1:17" ht="42.75">
      <c r="A111" s="735" t="s">
        <v>1209</v>
      </c>
      <c r="B111" s="736" t="s">
        <v>1532</v>
      </c>
      <c r="C111" s="737" t="s">
        <v>1533</v>
      </c>
      <c r="D111" s="738" t="s">
        <v>1534</v>
      </c>
      <c r="E111" s="745">
        <v>90000</v>
      </c>
      <c r="F111" s="746">
        <v>117134.23</v>
      </c>
      <c r="G111" s="749">
        <v>0.1</v>
      </c>
      <c r="H111" s="749">
        <v>0</v>
      </c>
      <c r="I111" s="749">
        <v>0.9</v>
      </c>
      <c r="K111" t="s">
        <v>1209</v>
      </c>
      <c r="L111" s="752">
        <v>9000</v>
      </c>
      <c r="M111" s="752">
        <v>81000</v>
      </c>
      <c r="N111" s="752">
        <v>0</v>
      </c>
      <c r="O111" s="752">
        <v>11713.423000000001</v>
      </c>
      <c r="P111" s="752">
        <v>105420.807</v>
      </c>
      <c r="Q111" s="752">
        <v>0</v>
      </c>
    </row>
    <row r="112" spans="1:17" ht="57">
      <c r="A112" s="735" t="s">
        <v>1209</v>
      </c>
      <c r="B112" s="736" t="s">
        <v>1535</v>
      </c>
      <c r="C112" s="737" t="s">
        <v>1536</v>
      </c>
      <c r="D112" s="738" t="s">
        <v>1537</v>
      </c>
      <c r="E112" s="745">
        <v>3097162.96</v>
      </c>
      <c r="F112" s="746">
        <v>3000767.49</v>
      </c>
      <c r="G112" s="749">
        <v>1</v>
      </c>
      <c r="H112" s="749">
        <v>0</v>
      </c>
      <c r="I112" s="749">
        <v>0</v>
      </c>
      <c r="K112" t="s">
        <v>1209</v>
      </c>
      <c r="L112" s="752">
        <v>3097162.96</v>
      </c>
      <c r="M112" s="752">
        <v>0</v>
      </c>
      <c r="N112" s="752">
        <v>0</v>
      </c>
      <c r="O112" s="752">
        <v>3000767.49</v>
      </c>
      <c r="P112" s="752">
        <v>0</v>
      </c>
      <c r="Q112" s="752">
        <v>0</v>
      </c>
    </row>
    <row r="113" spans="1:17" ht="85.5">
      <c r="A113" s="735" t="s">
        <v>1209</v>
      </c>
      <c r="B113" s="736" t="s">
        <v>1538</v>
      </c>
      <c r="C113" s="737" t="s">
        <v>1539</v>
      </c>
      <c r="D113" s="738" t="s">
        <v>1540</v>
      </c>
      <c r="E113" s="745">
        <v>0</v>
      </c>
      <c r="F113" s="746">
        <v>0</v>
      </c>
      <c r="G113" s="749">
        <v>1</v>
      </c>
      <c r="H113" s="749">
        <v>0</v>
      </c>
      <c r="I113" s="749">
        <v>0</v>
      </c>
      <c r="K113" t="s">
        <v>1209</v>
      </c>
      <c r="L113" s="752">
        <v>0</v>
      </c>
      <c r="M113" s="752">
        <v>0</v>
      </c>
      <c r="N113" s="752">
        <v>0</v>
      </c>
      <c r="O113" s="752">
        <v>0</v>
      </c>
      <c r="P113" s="752">
        <v>0</v>
      </c>
      <c r="Q113" s="752">
        <v>0</v>
      </c>
    </row>
    <row r="114" spans="1:17" ht="71.25">
      <c r="A114" s="735" t="s">
        <v>1209</v>
      </c>
      <c r="B114" s="753" t="s">
        <v>1541</v>
      </c>
      <c r="C114" s="737" t="s">
        <v>1542</v>
      </c>
      <c r="D114" s="738" t="s">
        <v>1543</v>
      </c>
      <c r="E114" s="745">
        <v>0</v>
      </c>
      <c r="F114" s="746">
        <v>0</v>
      </c>
      <c r="G114" s="749">
        <v>0.8</v>
      </c>
      <c r="H114" s="749">
        <v>0</v>
      </c>
      <c r="I114" s="749">
        <v>0.2</v>
      </c>
      <c r="K114" t="s">
        <v>1209</v>
      </c>
      <c r="L114" s="752">
        <v>0</v>
      </c>
      <c r="M114" s="752">
        <v>0</v>
      </c>
      <c r="N114" s="752">
        <v>0</v>
      </c>
      <c r="O114" s="752">
        <v>0</v>
      </c>
      <c r="P114" s="752">
        <v>0</v>
      </c>
      <c r="Q114" s="752">
        <v>0</v>
      </c>
    </row>
    <row r="115" spans="1:17" ht="71.25">
      <c r="A115" s="735" t="s">
        <v>1209</v>
      </c>
      <c r="B115" s="736" t="s">
        <v>1544</v>
      </c>
      <c r="C115" s="737" t="s">
        <v>1545</v>
      </c>
      <c r="D115" s="738" t="s">
        <v>1546</v>
      </c>
      <c r="E115" s="745">
        <v>0</v>
      </c>
      <c r="F115" s="746">
        <v>110.2</v>
      </c>
      <c r="G115" s="749">
        <v>1</v>
      </c>
      <c r="H115" s="749">
        <v>0</v>
      </c>
      <c r="I115" s="749">
        <v>0</v>
      </c>
      <c r="K115" t="s">
        <v>1209</v>
      </c>
      <c r="L115" s="752">
        <v>0</v>
      </c>
      <c r="M115" s="752">
        <v>0</v>
      </c>
      <c r="N115" s="752">
        <v>0</v>
      </c>
      <c r="O115" s="752">
        <v>110.2</v>
      </c>
      <c r="P115" s="752">
        <v>0</v>
      </c>
      <c r="Q115" s="752">
        <v>0</v>
      </c>
    </row>
    <row r="116" spans="1:17" ht="85.5">
      <c r="A116" s="735" t="s">
        <v>1209</v>
      </c>
      <c r="B116" s="736" t="s">
        <v>1547</v>
      </c>
      <c r="C116" s="737" t="s">
        <v>1548</v>
      </c>
      <c r="D116" s="738" t="s">
        <v>1549</v>
      </c>
      <c r="E116" s="745">
        <v>298059</v>
      </c>
      <c r="F116" s="746">
        <v>385495.95</v>
      </c>
      <c r="G116" s="749">
        <v>0.4546</v>
      </c>
      <c r="H116" s="749">
        <v>0</v>
      </c>
      <c r="I116" s="749">
        <v>0.5454</v>
      </c>
      <c r="K116" t="s">
        <v>1209</v>
      </c>
      <c r="L116" s="752">
        <v>135497.6214</v>
      </c>
      <c r="M116" s="752">
        <v>162561.3786</v>
      </c>
      <c r="N116" s="752">
        <v>0</v>
      </c>
      <c r="O116" s="752">
        <v>175246.45887</v>
      </c>
      <c r="P116" s="752">
        <v>210249.49113000001</v>
      </c>
      <c r="Q116" s="752">
        <v>0</v>
      </c>
    </row>
    <row r="117" spans="1:17" ht="71.25">
      <c r="A117" s="735" t="s">
        <v>1209</v>
      </c>
      <c r="B117" s="736" t="s">
        <v>1550</v>
      </c>
      <c r="C117" s="737" t="s">
        <v>1551</v>
      </c>
      <c r="D117" s="738" t="s">
        <v>1552</v>
      </c>
      <c r="E117" s="745">
        <v>421501.63</v>
      </c>
      <c r="F117" s="746">
        <v>257455.92</v>
      </c>
      <c r="G117" s="749">
        <v>0.81899999999999995</v>
      </c>
      <c r="H117" s="749">
        <v>0</v>
      </c>
      <c r="I117" s="749">
        <v>0.18099999999999999</v>
      </c>
      <c r="K117" t="s">
        <v>1209</v>
      </c>
      <c r="L117" s="752">
        <v>345209.83496999997</v>
      </c>
      <c r="M117" s="752">
        <v>76291.795029999994</v>
      </c>
      <c r="N117" s="752">
        <v>0</v>
      </c>
      <c r="O117" s="752">
        <v>210856.39848</v>
      </c>
      <c r="P117" s="752">
        <v>46599.521520000002</v>
      </c>
      <c r="Q117" s="752">
        <v>0</v>
      </c>
    </row>
    <row r="118" spans="1:17" ht="71.25">
      <c r="A118" s="735" t="s">
        <v>1209</v>
      </c>
      <c r="B118" s="736" t="s">
        <v>1553</v>
      </c>
      <c r="C118" s="737" t="s">
        <v>1554</v>
      </c>
      <c r="D118" s="738" t="s">
        <v>1555</v>
      </c>
      <c r="E118" s="745">
        <v>333649.34000000003</v>
      </c>
      <c r="F118" s="746">
        <v>331843.78000000003</v>
      </c>
      <c r="G118" s="749">
        <v>0.26279999999999998</v>
      </c>
      <c r="H118" s="749">
        <v>0.2457</v>
      </c>
      <c r="I118" s="749">
        <v>0.49149999999999999</v>
      </c>
      <c r="K118" t="s">
        <v>1209</v>
      </c>
      <c r="L118" s="752">
        <v>87683.046552</v>
      </c>
      <c r="M118" s="752">
        <v>163988.65061000001</v>
      </c>
      <c r="N118" s="752">
        <v>81977.642838</v>
      </c>
      <c r="O118" s="752">
        <v>87208.545383999997</v>
      </c>
      <c r="P118" s="752">
        <v>163101.21787000002</v>
      </c>
      <c r="Q118" s="752">
        <v>81534.016746000008</v>
      </c>
    </row>
    <row r="119" spans="1:17" ht="71.25">
      <c r="A119" s="735" t="s">
        <v>1209</v>
      </c>
      <c r="B119" s="736" t="s">
        <v>1556</v>
      </c>
      <c r="C119" s="737" t="s">
        <v>1557</v>
      </c>
      <c r="D119" s="738" t="s">
        <v>1558</v>
      </c>
      <c r="E119" s="745">
        <v>1138829.0900000001</v>
      </c>
      <c r="F119" s="746">
        <v>1139248.4099999999</v>
      </c>
      <c r="G119" s="749">
        <v>0.26279999999999998</v>
      </c>
      <c r="H119" s="749">
        <v>0.2457</v>
      </c>
      <c r="I119" s="749">
        <v>0.49149999999999999</v>
      </c>
      <c r="K119" t="s">
        <v>1209</v>
      </c>
      <c r="L119" s="752">
        <v>299284.28485200001</v>
      </c>
      <c r="M119" s="752">
        <v>559734.49773499998</v>
      </c>
      <c r="N119" s="752">
        <v>279810.30741300003</v>
      </c>
      <c r="O119" s="752">
        <v>299394.48214799998</v>
      </c>
      <c r="P119" s="752">
        <v>559940.59351499996</v>
      </c>
      <c r="Q119" s="752">
        <v>279913.33433699998</v>
      </c>
    </row>
    <row r="120" spans="1:17" ht="71.25">
      <c r="A120" s="735" t="s">
        <v>1209</v>
      </c>
      <c r="B120" s="736" t="s">
        <v>1559</v>
      </c>
      <c r="C120" s="737" t="s">
        <v>1560</v>
      </c>
      <c r="D120" s="738" t="s">
        <v>1561</v>
      </c>
      <c r="E120" s="745">
        <v>1509685.38</v>
      </c>
      <c r="F120" s="746">
        <v>1510629.51</v>
      </c>
      <c r="G120" s="749">
        <v>0.26279999999999998</v>
      </c>
      <c r="H120" s="749">
        <v>0</v>
      </c>
      <c r="I120" s="749">
        <v>0.73719999999999997</v>
      </c>
      <c r="K120" t="s">
        <v>1209</v>
      </c>
      <c r="L120" s="752">
        <v>396745.31786399992</v>
      </c>
      <c r="M120" s="752">
        <v>1112940.0621359998</v>
      </c>
      <c r="N120" s="752">
        <v>0</v>
      </c>
      <c r="O120" s="752">
        <v>396993.43522799999</v>
      </c>
      <c r="P120" s="752">
        <v>1113636.0747719998</v>
      </c>
      <c r="Q120" s="752">
        <v>0</v>
      </c>
    </row>
    <row r="121" spans="1:17" ht="71.25">
      <c r="A121" s="735" t="s">
        <v>1209</v>
      </c>
      <c r="B121" s="736" t="s">
        <v>1562</v>
      </c>
      <c r="C121" s="737" t="s">
        <v>1563</v>
      </c>
      <c r="D121" s="738" t="s">
        <v>1564</v>
      </c>
      <c r="E121" s="745">
        <v>68422</v>
      </c>
      <c r="F121" s="746">
        <v>69503.850000000006</v>
      </c>
      <c r="G121" s="749">
        <v>0.26490000000000002</v>
      </c>
      <c r="H121" s="749">
        <v>0</v>
      </c>
      <c r="I121" s="749">
        <v>0.73509999999999998</v>
      </c>
      <c r="K121" t="s">
        <v>1209</v>
      </c>
      <c r="L121" s="752">
        <v>18124.987800000003</v>
      </c>
      <c r="M121" s="752">
        <v>50297.012199999997</v>
      </c>
      <c r="N121" s="752">
        <v>0</v>
      </c>
      <c r="O121" s="752">
        <v>18411.569865000005</v>
      </c>
      <c r="P121" s="752">
        <v>51092.280135000001</v>
      </c>
      <c r="Q121" s="752">
        <v>0</v>
      </c>
    </row>
    <row r="122" spans="1:17" ht="85.5">
      <c r="A122" s="735" t="s">
        <v>1209</v>
      </c>
      <c r="B122" s="736" t="s">
        <v>1565</v>
      </c>
      <c r="C122" s="737" t="s">
        <v>1566</v>
      </c>
      <c r="D122" s="738" t="s">
        <v>1567</v>
      </c>
      <c r="E122" s="745">
        <v>13400</v>
      </c>
      <c r="F122" s="746">
        <v>0</v>
      </c>
      <c r="G122" s="749">
        <v>0.26279999999999998</v>
      </c>
      <c r="H122" s="749">
        <v>0</v>
      </c>
      <c r="I122" s="749">
        <v>0.73719999999999997</v>
      </c>
      <c r="K122" t="s">
        <v>1209</v>
      </c>
      <c r="L122" s="752">
        <v>3521.5199999999995</v>
      </c>
      <c r="M122" s="752">
        <v>9878.48</v>
      </c>
      <c r="N122" s="752">
        <v>0</v>
      </c>
      <c r="O122" s="752">
        <v>0</v>
      </c>
      <c r="P122" s="752">
        <v>0</v>
      </c>
      <c r="Q122" s="752">
        <v>0</v>
      </c>
    </row>
    <row r="123" spans="1:17" ht="42.75">
      <c r="A123" s="735" t="s">
        <v>1209</v>
      </c>
      <c r="B123" s="736" t="s">
        <v>1568</v>
      </c>
      <c r="C123" s="737" t="s">
        <v>1569</v>
      </c>
      <c r="D123" s="738" t="s">
        <v>1570</v>
      </c>
      <c r="E123" s="745">
        <v>854363</v>
      </c>
      <c r="F123" s="746">
        <v>380773.78</v>
      </c>
      <c r="G123" s="749">
        <v>1</v>
      </c>
      <c r="H123" s="749">
        <v>0</v>
      </c>
      <c r="I123" s="749">
        <v>0</v>
      </c>
      <c r="K123" t="s">
        <v>1209</v>
      </c>
      <c r="L123" s="752">
        <v>854363</v>
      </c>
      <c r="M123" s="752">
        <v>0</v>
      </c>
      <c r="N123" s="752">
        <v>0</v>
      </c>
      <c r="O123" s="752">
        <v>380773.78</v>
      </c>
      <c r="P123" s="752">
        <v>0</v>
      </c>
      <c r="Q123" s="752">
        <v>0</v>
      </c>
    </row>
    <row r="124" spans="1:17" ht="57">
      <c r="A124" s="735" t="s">
        <v>1209</v>
      </c>
      <c r="B124" s="736" t="s">
        <v>1571</v>
      </c>
      <c r="C124" s="737" t="s">
        <v>1572</v>
      </c>
      <c r="D124" s="738" t="s">
        <v>1573</v>
      </c>
      <c r="E124" s="745">
        <v>79120</v>
      </c>
      <c r="F124" s="746">
        <v>54444.27</v>
      </c>
      <c r="G124" s="749">
        <v>0.35399999999999998</v>
      </c>
      <c r="H124" s="749">
        <v>0</v>
      </c>
      <c r="I124" s="749">
        <v>0.64600000000000002</v>
      </c>
      <c r="K124" t="s">
        <v>1209</v>
      </c>
      <c r="L124" s="752">
        <v>28008.48</v>
      </c>
      <c r="M124" s="752">
        <v>51111.520000000004</v>
      </c>
      <c r="N124" s="752">
        <v>0</v>
      </c>
      <c r="O124" s="752">
        <v>19273.271579999997</v>
      </c>
      <c r="P124" s="752">
        <v>35170.998419999996</v>
      </c>
      <c r="Q124" s="752">
        <v>0</v>
      </c>
    </row>
    <row r="125" spans="1:17" ht="71.25">
      <c r="A125" s="735" t="s">
        <v>1209</v>
      </c>
      <c r="B125" s="736" t="s">
        <v>1574</v>
      </c>
      <c r="C125" s="737" t="s">
        <v>1575</v>
      </c>
      <c r="D125" s="738" t="s">
        <v>1576</v>
      </c>
      <c r="E125" s="745">
        <v>56400</v>
      </c>
      <c r="F125" s="746">
        <v>14509</v>
      </c>
      <c r="G125" s="749">
        <v>0.26700000000000002</v>
      </c>
      <c r="H125" s="749">
        <v>0</v>
      </c>
      <c r="I125" s="749">
        <v>0.73299999999999998</v>
      </c>
      <c r="K125" t="s">
        <v>1209</v>
      </c>
      <c r="L125" s="752">
        <v>15058.800000000001</v>
      </c>
      <c r="M125" s="752">
        <v>41341.199999999997</v>
      </c>
      <c r="N125" s="752">
        <v>0</v>
      </c>
      <c r="O125" s="752">
        <v>3873.9030000000002</v>
      </c>
      <c r="P125" s="752">
        <v>10635.097</v>
      </c>
      <c r="Q125" s="752">
        <v>0</v>
      </c>
    </row>
    <row r="126" spans="1:17" ht="57">
      <c r="A126" s="735" t="s">
        <v>1209</v>
      </c>
      <c r="B126" s="736" t="s">
        <v>1577</v>
      </c>
      <c r="C126" s="737" t="s">
        <v>1578</v>
      </c>
      <c r="D126" s="738" t="s">
        <v>1579</v>
      </c>
      <c r="E126" s="745">
        <v>50880</v>
      </c>
      <c r="F126" s="746">
        <v>59463.48</v>
      </c>
      <c r="G126" s="749">
        <v>0.26700000000000002</v>
      </c>
      <c r="H126" s="749">
        <v>0</v>
      </c>
      <c r="I126" s="749">
        <v>0.73299999999999998</v>
      </c>
      <c r="K126" t="s">
        <v>1209</v>
      </c>
      <c r="L126" s="752">
        <v>13584.960000000001</v>
      </c>
      <c r="M126" s="752">
        <v>37295.040000000001</v>
      </c>
      <c r="N126" s="752">
        <v>0</v>
      </c>
      <c r="O126" s="752">
        <v>15876.749160000001</v>
      </c>
      <c r="P126" s="752">
        <v>43586.730840000004</v>
      </c>
      <c r="Q126" s="752">
        <v>0</v>
      </c>
    </row>
    <row r="127" spans="1:17" ht="57">
      <c r="A127" s="735" t="s">
        <v>1209</v>
      </c>
      <c r="B127" s="736" t="s">
        <v>1580</v>
      </c>
      <c r="C127" s="737" t="s">
        <v>1581</v>
      </c>
      <c r="D127" s="738" t="s">
        <v>1582</v>
      </c>
      <c r="E127" s="745">
        <v>157000</v>
      </c>
      <c r="F127" s="746">
        <v>25500</v>
      </c>
      <c r="G127" s="749">
        <v>0.35699999999999998</v>
      </c>
      <c r="H127" s="749">
        <v>0</v>
      </c>
      <c r="I127" s="749">
        <v>0.64300000000000002</v>
      </c>
      <c r="K127" t="s">
        <v>1209</v>
      </c>
      <c r="L127" s="752">
        <v>56049</v>
      </c>
      <c r="M127" s="752">
        <v>100951</v>
      </c>
      <c r="N127" s="752">
        <v>0</v>
      </c>
      <c r="O127" s="752">
        <v>9103.5</v>
      </c>
      <c r="P127" s="752">
        <v>16396.5</v>
      </c>
      <c r="Q127" s="752">
        <v>0</v>
      </c>
    </row>
    <row r="128" spans="1:17" ht="71.25">
      <c r="A128" s="735" t="s">
        <v>1209</v>
      </c>
      <c r="B128" s="736" t="s">
        <v>1583</v>
      </c>
      <c r="C128" s="737" t="s">
        <v>1584</v>
      </c>
      <c r="D128" s="738" t="s">
        <v>1585</v>
      </c>
      <c r="E128" s="745">
        <v>50000</v>
      </c>
      <c r="F128" s="746">
        <v>1476</v>
      </c>
      <c r="G128" s="749">
        <v>0.36899999999999999</v>
      </c>
      <c r="H128" s="749">
        <v>0</v>
      </c>
      <c r="I128" s="749">
        <v>0.63100000000000001</v>
      </c>
      <c r="K128" t="s">
        <v>1209</v>
      </c>
      <c r="L128" s="752">
        <v>18450</v>
      </c>
      <c r="M128" s="752">
        <v>31550</v>
      </c>
      <c r="N128" s="752">
        <v>0</v>
      </c>
      <c r="O128" s="752">
        <v>544.64400000000001</v>
      </c>
      <c r="P128" s="752">
        <v>931.35599999999999</v>
      </c>
      <c r="Q128" s="752">
        <v>0</v>
      </c>
    </row>
    <row r="129" spans="1:17" ht="42.75">
      <c r="A129" s="735" t="s">
        <v>1209</v>
      </c>
      <c r="B129" s="736" t="s">
        <v>1586</v>
      </c>
      <c r="C129" s="737" t="s">
        <v>1587</v>
      </c>
      <c r="D129" s="738" t="s">
        <v>1588</v>
      </c>
      <c r="E129" s="745">
        <v>120000</v>
      </c>
      <c r="F129" s="746">
        <v>0</v>
      </c>
      <c r="G129" s="749">
        <v>0.36899999999999999</v>
      </c>
      <c r="H129" s="749">
        <v>0</v>
      </c>
      <c r="I129" s="749">
        <v>0.63100000000000001</v>
      </c>
      <c r="K129" t="s">
        <v>1209</v>
      </c>
      <c r="L129" s="752">
        <v>44280</v>
      </c>
      <c r="M129" s="752">
        <v>75720</v>
      </c>
      <c r="N129" s="752">
        <v>0</v>
      </c>
      <c r="O129" s="752">
        <v>0</v>
      </c>
      <c r="P129" s="752">
        <v>0</v>
      </c>
      <c r="Q129" s="752">
        <v>0</v>
      </c>
    </row>
    <row r="130" spans="1:17" ht="57">
      <c r="A130" s="735" t="s">
        <v>1209</v>
      </c>
      <c r="B130" s="736" t="s">
        <v>1538</v>
      </c>
      <c r="C130" s="737" t="s">
        <v>1589</v>
      </c>
      <c r="D130" s="738" t="s">
        <v>1590</v>
      </c>
      <c r="E130" s="745">
        <v>150000</v>
      </c>
      <c r="F130" s="746">
        <v>0</v>
      </c>
      <c r="G130" s="749">
        <v>0</v>
      </c>
      <c r="H130" s="749">
        <v>0</v>
      </c>
      <c r="I130" s="749">
        <v>0</v>
      </c>
      <c r="K130" t="s">
        <v>1209</v>
      </c>
      <c r="L130" s="752">
        <v>0</v>
      </c>
      <c r="M130" s="752">
        <v>0</v>
      </c>
      <c r="N130" s="752">
        <v>0</v>
      </c>
      <c r="O130" s="752">
        <v>0</v>
      </c>
      <c r="P130" s="752">
        <v>0</v>
      </c>
      <c r="Q130" s="752">
        <v>0</v>
      </c>
    </row>
    <row r="131" spans="1:17" ht="71.25">
      <c r="A131" s="735" t="s">
        <v>1209</v>
      </c>
      <c r="B131" s="736" t="s">
        <v>1591</v>
      </c>
      <c r="C131" s="737" t="s">
        <v>1592</v>
      </c>
      <c r="D131" s="738" t="s">
        <v>1593</v>
      </c>
      <c r="E131" s="745">
        <v>0</v>
      </c>
      <c r="F131" s="746">
        <v>0</v>
      </c>
      <c r="G131" s="749">
        <v>0</v>
      </c>
      <c r="H131" s="749">
        <v>0</v>
      </c>
      <c r="I131" s="749">
        <v>0</v>
      </c>
      <c r="K131" t="s">
        <v>1209</v>
      </c>
      <c r="L131" s="752">
        <v>0</v>
      </c>
      <c r="M131" s="752">
        <v>0</v>
      </c>
      <c r="N131" s="752">
        <v>0</v>
      </c>
      <c r="O131" s="752">
        <v>0</v>
      </c>
      <c r="P131" s="752">
        <v>0</v>
      </c>
      <c r="Q131" s="752">
        <v>0</v>
      </c>
    </row>
    <row r="132" spans="1:17" ht="57">
      <c r="A132" s="735" t="s">
        <v>1209</v>
      </c>
      <c r="B132" s="736" t="s">
        <v>1594</v>
      </c>
      <c r="C132" s="737" t="s">
        <v>1595</v>
      </c>
      <c r="D132" s="738" t="s">
        <v>1596</v>
      </c>
      <c r="E132" s="745">
        <v>0</v>
      </c>
      <c r="F132" s="746">
        <v>0</v>
      </c>
      <c r="G132" s="749">
        <v>0</v>
      </c>
      <c r="H132" s="749">
        <v>1</v>
      </c>
      <c r="I132" s="749">
        <v>0</v>
      </c>
      <c r="K132" t="s">
        <v>1209</v>
      </c>
      <c r="L132" s="752">
        <v>0</v>
      </c>
      <c r="M132" s="752">
        <v>0</v>
      </c>
      <c r="N132" s="752">
        <v>0</v>
      </c>
      <c r="O132" s="752">
        <v>0</v>
      </c>
      <c r="P132" s="752">
        <v>0</v>
      </c>
      <c r="Q132" s="752">
        <v>0</v>
      </c>
    </row>
    <row r="133" spans="1:17" ht="39.75" thickBot="1">
      <c r="A133" s="739" t="s">
        <v>1209</v>
      </c>
      <c r="B133" s="740"/>
      <c r="C133" s="741"/>
      <c r="D133" s="742" t="s">
        <v>1597</v>
      </c>
      <c r="E133" s="747">
        <v>9536146.3999999985</v>
      </c>
      <c r="F133" s="747">
        <v>8220583.75</v>
      </c>
      <c r="G133" s="747"/>
      <c r="H133" s="747"/>
      <c r="I133" s="747"/>
      <c r="K133" t="s">
        <v>1209</v>
      </c>
      <c r="L133" s="752">
        <v>0</v>
      </c>
      <c r="M133" s="752">
        <v>0</v>
      </c>
      <c r="N133" s="752">
        <v>0</v>
      </c>
      <c r="O133" s="752">
        <v>0</v>
      </c>
      <c r="P133" s="752">
        <v>0</v>
      </c>
      <c r="Q133" s="752">
        <v>0</v>
      </c>
    </row>
    <row r="134" spans="1:17" ht="71.25">
      <c r="A134" s="735" t="s">
        <v>1598</v>
      </c>
      <c r="B134" s="736" t="s">
        <v>1599</v>
      </c>
      <c r="C134" s="737" t="s">
        <v>1600</v>
      </c>
      <c r="D134" s="738" t="s">
        <v>1601</v>
      </c>
      <c r="E134" s="745">
        <v>11000</v>
      </c>
      <c r="F134" s="746">
        <v>42236.7</v>
      </c>
      <c r="G134" s="749">
        <v>0.25</v>
      </c>
      <c r="H134" s="749">
        <v>0.43</v>
      </c>
      <c r="I134" s="749">
        <v>0.32</v>
      </c>
      <c r="K134" t="s">
        <v>1598</v>
      </c>
      <c r="L134" s="752">
        <v>2750</v>
      </c>
      <c r="M134" s="752">
        <v>3520</v>
      </c>
      <c r="N134" s="752">
        <v>4730</v>
      </c>
      <c r="O134" s="752">
        <v>10559.174999999999</v>
      </c>
      <c r="P134" s="752">
        <v>13515.743999999999</v>
      </c>
      <c r="Q134" s="752">
        <v>18161.780999999999</v>
      </c>
    </row>
    <row r="135" spans="1:17" ht="71.25">
      <c r="A135" s="735" t="s">
        <v>1598</v>
      </c>
      <c r="B135" s="736" t="s">
        <v>1602</v>
      </c>
      <c r="C135" s="737" t="s">
        <v>1603</v>
      </c>
      <c r="D135" s="738" t="s">
        <v>1604</v>
      </c>
      <c r="E135" s="745">
        <v>20000</v>
      </c>
      <c r="F135" s="746">
        <v>20743.07</v>
      </c>
      <c r="G135" s="749">
        <v>0.25</v>
      </c>
      <c r="H135" s="749">
        <v>0.75</v>
      </c>
      <c r="I135" s="749">
        <v>0</v>
      </c>
      <c r="K135" t="s">
        <v>1598</v>
      </c>
      <c r="L135" s="752">
        <v>5000</v>
      </c>
      <c r="M135" s="752">
        <v>0</v>
      </c>
      <c r="N135" s="752">
        <v>15000</v>
      </c>
      <c r="O135" s="752">
        <v>5185.7674999999999</v>
      </c>
      <c r="P135" s="752">
        <v>0</v>
      </c>
      <c r="Q135" s="752">
        <v>15557.3025</v>
      </c>
    </row>
    <row r="136" spans="1:17" ht="71.25">
      <c r="A136" s="735" t="s">
        <v>1598</v>
      </c>
      <c r="B136" s="736" t="s">
        <v>1605</v>
      </c>
      <c r="C136" s="737" t="s">
        <v>1606</v>
      </c>
      <c r="D136" s="738" t="s">
        <v>1607</v>
      </c>
      <c r="E136" s="745">
        <v>1206448</v>
      </c>
      <c r="F136" s="746">
        <v>794654.59</v>
      </c>
      <c r="G136" s="749">
        <v>0.2</v>
      </c>
      <c r="H136" s="749">
        <v>0.65</v>
      </c>
      <c r="I136" s="749">
        <v>0.15</v>
      </c>
      <c r="K136" t="s">
        <v>1598</v>
      </c>
      <c r="L136" s="752">
        <v>241289.60000000001</v>
      </c>
      <c r="M136" s="752">
        <v>180967.19999999998</v>
      </c>
      <c r="N136" s="752">
        <v>784191.20000000007</v>
      </c>
      <c r="O136" s="752">
        <v>158930.91800000001</v>
      </c>
      <c r="P136" s="752">
        <v>119198.18849999999</v>
      </c>
      <c r="Q136" s="752">
        <v>516525.48349999997</v>
      </c>
    </row>
    <row r="137" spans="1:17" ht="57">
      <c r="A137" s="735" t="s">
        <v>1598</v>
      </c>
      <c r="B137" s="736" t="s">
        <v>1608</v>
      </c>
      <c r="C137" s="737" t="s">
        <v>1609</v>
      </c>
      <c r="D137" s="738" t="s">
        <v>1610</v>
      </c>
      <c r="E137" s="745">
        <v>793966</v>
      </c>
      <c r="F137" s="746">
        <v>767098.88</v>
      </c>
      <c r="G137" s="749">
        <v>0.2</v>
      </c>
      <c r="H137" s="749">
        <v>0.65</v>
      </c>
      <c r="I137" s="749">
        <v>0.15</v>
      </c>
      <c r="K137" t="s">
        <v>1598</v>
      </c>
      <c r="L137" s="752">
        <v>158793.20000000001</v>
      </c>
      <c r="M137" s="752">
        <v>119094.9</v>
      </c>
      <c r="N137" s="752">
        <v>516077.9</v>
      </c>
      <c r="O137" s="752">
        <v>153419.77600000001</v>
      </c>
      <c r="P137" s="752">
        <v>115064.83199999999</v>
      </c>
      <c r="Q137" s="752">
        <v>498614.272</v>
      </c>
    </row>
    <row r="138" spans="1:17" ht="71.25">
      <c r="A138" s="735" t="s">
        <v>1598</v>
      </c>
      <c r="B138" s="736" t="s">
        <v>1611</v>
      </c>
      <c r="C138" s="737" t="s">
        <v>1612</v>
      </c>
      <c r="D138" s="738" t="s">
        <v>1613</v>
      </c>
      <c r="E138" s="745">
        <v>728345</v>
      </c>
      <c r="F138" s="746">
        <v>663786.80000000005</v>
      </c>
      <c r="G138" s="749">
        <v>0.1</v>
      </c>
      <c r="H138" s="749">
        <v>0.7</v>
      </c>
      <c r="I138" s="749">
        <v>0.2</v>
      </c>
      <c r="K138" t="s">
        <v>1598</v>
      </c>
      <c r="L138" s="752">
        <v>72834.5</v>
      </c>
      <c r="M138" s="752">
        <v>145669</v>
      </c>
      <c r="N138" s="752">
        <v>509841.49999999994</v>
      </c>
      <c r="O138" s="752">
        <v>66378.680000000008</v>
      </c>
      <c r="P138" s="752">
        <v>132757.36000000002</v>
      </c>
      <c r="Q138" s="752">
        <v>464650.76</v>
      </c>
    </row>
    <row r="139" spans="1:17" ht="57">
      <c r="A139" s="735" t="s">
        <v>1598</v>
      </c>
      <c r="B139" s="736" t="s">
        <v>1614</v>
      </c>
      <c r="C139" s="737" t="s">
        <v>1615</v>
      </c>
      <c r="D139" s="738" t="s">
        <v>1616</v>
      </c>
      <c r="E139" s="745">
        <v>619731</v>
      </c>
      <c r="F139" s="746">
        <v>768396.89</v>
      </c>
      <c r="G139" s="749">
        <v>0.1</v>
      </c>
      <c r="H139" s="749">
        <v>0.7</v>
      </c>
      <c r="I139" s="749">
        <v>0.2</v>
      </c>
      <c r="K139" t="s">
        <v>1598</v>
      </c>
      <c r="L139" s="752">
        <v>61973.100000000006</v>
      </c>
      <c r="M139" s="752">
        <v>123946.20000000001</v>
      </c>
      <c r="N139" s="752">
        <v>433811.69999999995</v>
      </c>
      <c r="O139" s="752">
        <v>76839.688999999998</v>
      </c>
      <c r="P139" s="752">
        <v>153679.378</v>
      </c>
      <c r="Q139" s="752">
        <v>537877.82299999997</v>
      </c>
    </row>
    <row r="140" spans="1:17" ht="57">
      <c r="A140" s="735" t="s">
        <v>1598</v>
      </c>
      <c r="B140" s="736" t="s">
        <v>1617</v>
      </c>
      <c r="C140" s="737" t="s">
        <v>1618</v>
      </c>
      <c r="D140" s="738" t="s">
        <v>1619</v>
      </c>
      <c r="E140" s="745">
        <v>1392167</v>
      </c>
      <c r="F140" s="746">
        <v>1279494.7</v>
      </c>
      <c r="G140" s="749">
        <v>0.15</v>
      </c>
      <c r="H140" s="749">
        <v>0.52500000000000002</v>
      </c>
      <c r="I140" s="749">
        <v>0.32500000000000001</v>
      </c>
      <c r="K140" t="s">
        <v>1598</v>
      </c>
      <c r="L140" s="752">
        <v>208825.05</v>
      </c>
      <c r="M140" s="752">
        <v>452454.27500000002</v>
      </c>
      <c r="N140" s="752">
        <v>730887.67500000005</v>
      </c>
      <c r="O140" s="752">
        <v>191924.20499999999</v>
      </c>
      <c r="P140" s="752">
        <v>415835.77750000003</v>
      </c>
      <c r="Q140" s="752">
        <v>671734.71750000003</v>
      </c>
    </row>
    <row r="141" spans="1:17" ht="57">
      <c r="A141" s="735" t="s">
        <v>1598</v>
      </c>
      <c r="B141" s="736" t="s">
        <v>1620</v>
      </c>
      <c r="C141" s="737" t="s">
        <v>1621</v>
      </c>
      <c r="D141" s="738" t="s">
        <v>1622</v>
      </c>
      <c r="E141" s="745">
        <v>951611</v>
      </c>
      <c r="F141" s="746">
        <v>1014324.08</v>
      </c>
      <c r="G141" s="749">
        <v>0.15</v>
      </c>
      <c r="H141" s="749">
        <v>0.52500000000000002</v>
      </c>
      <c r="I141" s="749">
        <v>0.32500000000000001</v>
      </c>
      <c r="K141" t="s">
        <v>1598</v>
      </c>
      <c r="L141" s="752">
        <v>142741.65</v>
      </c>
      <c r="M141" s="752">
        <v>309273.57500000001</v>
      </c>
      <c r="N141" s="752">
        <v>499595.77500000002</v>
      </c>
      <c r="O141" s="752">
        <v>152148.61199999999</v>
      </c>
      <c r="P141" s="752">
        <v>329655.326</v>
      </c>
      <c r="Q141" s="752">
        <v>532520.14199999999</v>
      </c>
    </row>
    <row r="142" spans="1:17" ht="71.25">
      <c r="A142" s="735" t="s">
        <v>1598</v>
      </c>
      <c r="B142" s="736" t="s">
        <v>1623</v>
      </c>
      <c r="C142" s="737" t="s">
        <v>1624</v>
      </c>
      <c r="D142" s="738" t="s">
        <v>1625</v>
      </c>
      <c r="E142" s="745">
        <v>0</v>
      </c>
      <c r="F142" s="746">
        <v>0</v>
      </c>
      <c r="G142" s="749">
        <v>0.25</v>
      </c>
      <c r="H142" s="749">
        <v>0.66</v>
      </c>
      <c r="I142" s="749">
        <v>0.09</v>
      </c>
      <c r="K142" t="s">
        <v>1598</v>
      </c>
      <c r="L142" s="752">
        <v>0</v>
      </c>
      <c r="M142" s="752">
        <v>0</v>
      </c>
      <c r="N142" s="752">
        <v>0</v>
      </c>
      <c r="O142" s="752">
        <v>0</v>
      </c>
      <c r="P142" s="752">
        <v>0</v>
      </c>
      <c r="Q142" s="752">
        <v>0</v>
      </c>
    </row>
    <row r="143" spans="1:17" ht="57">
      <c r="A143" s="735" t="s">
        <v>1598</v>
      </c>
      <c r="B143" s="736" t="s">
        <v>1626</v>
      </c>
      <c r="C143" s="737" t="s">
        <v>1627</v>
      </c>
      <c r="D143" s="738" t="s">
        <v>1628</v>
      </c>
      <c r="E143" s="745">
        <v>300914</v>
      </c>
      <c r="F143" s="746">
        <v>357658.1</v>
      </c>
      <c r="G143" s="749">
        <v>0.25</v>
      </c>
      <c r="H143" s="749">
        <v>0.43</v>
      </c>
      <c r="I143" s="749">
        <v>0.32</v>
      </c>
      <c r="K143" t="s">
        <v>1598</v>
      </c>
      <c r="L143" s="752">
        <v>75228.5</v>
      </c>
      <c r="M143" s="752">
        <v>96292.479999999996</v>
      </c>
      <c r="N143" s="752">
        <v>129393.02</v>
      </c>
      <c r="O143" s="752">
        <v>89414.524999999994</v>
      </c>
      <c r="P143" s="752">
        <v>114450.59199999999</v>
      </c>
      <c r="Q143" s="752">
        <v>153792.98299999998</v>
      </c>
    </row>
    <row r="144" spans="1:17" ht="71.25">
      <c r="A144" s="735" t="s">
        <v>1598</v>
      </c>
      <c r="B144" s="736" t="s">
        <v>1629</v>
      </c>
      <c r="C144" s="737" t="s">
        <v>1630</v>
      </c>
      <c r="D144" s="738" t="s">
        <v>1631</v>
      </c>
      <c r="E144" s="745">
        <v>72061</v>
      </c>
      <c r="F144" s="746">
        <v>48054.31</v>
      </c>
      <c r="G144" s="749">
        <v>0.25</v>
      </c>
      <c r="H144" s="749">
        <v>0.66</v>
      </c>
      <c r="I144" s="749">
        <v>0.09</v>
      </c>
      <c r="K144" t="s">
        <v>1598</v>
      </c>
      <c r="L144" s="752">
        <v>18015.25</v>
      </c>
      <c r="M144" s="752">
        <v>6485.49</v>
      </c>
      <c r="N144" s="752">
        <v>47560.26</v>
      </c>
      <c r="O144" s="752">
        <v>12013.577499999999</v>
      </c>
      <c r="P144" s="752">
        <v>4324.8878999999997</v>
      </c>
      <c r="Q144" s="752">
        <v>31715.8446</v>
      </c>
    </row>
    <row r="145" spans="1:17" ht="57">
      <c r="A145" s="735" t="s">
        <v>1598</v>
      </c>
      <c r="B145" s="736" t="s">
        <v>1632</v>
      </c>
      <c r="C145" s="737" t="s">
        <v>1633</v>
      </c>
      <c r="D145" s="738" t="s">
        <v>1634</v>
      </c>
      <c r="E145" s="745">
        <v>243524</v>
      </c>
      <c r="F145" s="746">
        <v>175777.82</v>
      </c>
      <c r="G145" s="749">
        <v>0.2</v>
      </c>
      <c r="H145" s="749">
        <v>0.8</v>
      </c>
      <c r="I145" s="749">
        <v>0</v>
      </c>
      <c r="K145" t="s">
        <v>1598</v>
      </c>
      <c r="L145" s="752">
        <v>48704.800000000003</v>
      </c>
      <c r="M145" s="752">
        <v>0</v>
      </c>
      <c r="N145" s="752">
        <v>194819.20000000001</v>
      </c>
      <c r="O145" s="752">
        <v>35155.564000000006</v>
      </c>
      <c r="P145" s="752">
        <v>0</v>
      </c>
      <c r="Q145" s="752">
        <v>140622.25600000002</v>
      </c>
    </row>
    <row r="146" spans="1:17" ht="42.75">
      <c r="A146" s="735" t="s">
        <v>1598</v>
      </c>
      <c r="B146" s="736" t="s">
        <v>1635</v>
      </c>
      <c r="C146" s="737" t="s">
        <v>1636</v>
      </c>
      <c r="D146" s="738" t="s">
        <v>1637</v>
      </c>
      <c r="E146" s="745">
        <v>386110</v>
      </c>
      <c r="F146" s="746">
        <v>137082.34</v>
      </c>
      <c r="G146" s="749">
        <v>0.25</v>
      </c>
      <c r="H146" s="749">
        <v>0.43</v>
      </c>
      <c r="I146" s="749">
        <v>0.32</v>
      </c>
      <c r="K146" t="s">
        <v>1598</v>
      </c>
      <c r="L146" s="752">
        <v>96527.5</v>
      </c>
      <c r="M146" s="752">
        <v>123555.2</v>
      </c>
      <c r="N146" s="752">
        <v>166027.29999999999</v>
      </c>
      <c r="O146" s="752">
        <v>34270.584999999999</v>
      </c>
      <c r="P146" s="752">
        <v>43866.3488</v>
      </c>
      <c r="Q146" s="752">
        <v>58945.406199999998</v>
      </c>
    </row>
    <row r="147" spans="1:17" ht="85.5">
      <c r="A147" s="735" t="s">
        <v>1598</v>
      </c>
      <c r="B147" s="736" t="s">
        <v>1638</v>
      </c>
      <c r="C147" s="737" t="s">
        <v>1639</v>
      </c>
      <c r="D147" s="738" t="s">
        <v>1640</v>
      </c>
      <c r="E147" s="745">
        <v>279503</v>
      </c>
      <c r="F147" s="746">
        <v>175105.04</v>
      </c>
      <c r="G147" s="749">
        <v>0.25</v>
      </c>
      <c r="H147" s="749">
        <v>0.75</v>
      </c>
      <c r="I147" s="749">
        <v>0</v>
      </c>
      <c r="K147" t="s">
        <v>1598</v>
      </c>
      <c r="L147" s="752">
        <v>69875.75</v>
      </c>
      <c r="M147" s="752">
        <v>0</v>
      </c>
      <c r="N147" s="752">
        <v>209627.25</v>
      </c>
      <c r="O147" s="752">
        <v>43776.26</v>
      </c>
      <c r="P147" s="752">
        <v>0</v>
      </c>
      <c r="Q147" s="752">
        <v>131328.78</v>
      </c>
    </row>
    <row r="148" spans="1:17" ht="85.5">
      <c r="A148" s="735" t="s">
        <v>1598</v>
      </c>
      <c r="B148" s="736" t="s">
        <v>1641</v>
      </c>
      <c r="C148" s="737" t="s">
        <v>1642</v>
      </c>
      <c r="D148" s="738" t="s">
        <v>1643</v>
      </c>
      <c r="E148" s="745">
        <v>72130</v>
      </c>
      <c r="F148" s="746">
        <v>127888.24</v>
      </c>
      <c r="G148" s="749">
        <v>0.25</v>
      </c>
      <c r="H148" s="749">
        <v>0.75</v>
      </c>
      <c r="I148" s="749">
        <v>0</v>
      </c>
      <c r="K148" t="s">
        <v>1598</v>
      </c>
      <c r="L148" s="752">
        <v>18032.5</v>
      </c>
      <c r="M148" s="752">
        <v>0</v>
      </c>
      <c r="N148" s="752">
        <v>54097.5</v>
      </c>
      <c r="O148" s="752">
        <v>31972.06</v>
      </c>
      <c r="P148" s="752">
        <v>0</v>
      </c>
      <c r="Q148" s="752">
        <v>95916.180000000008</v>
      </c>
    </row>
    <row r="149" spans="1:17" ht="57">
      <c r="A149" s="735" t="s">
        <v>1598</v>
      </c>
      <c r="B149" s="736" t="s">
        <v>1644</v>
      </c>
      <c r="C149" s="737" t="s">
        <v>1645</v>
      </c>
      <c r="D149" s="738" t="s">
        <v>1646</v>
      </c>
      <c r="E149" s="745">
        <v>137083</v>
      </c>
      <c r="F149" s="746">
        <v>92789.05</v>
      </c>
      <c r="G149" s="749">
        <v>0.25</v>
      </c>
      <c r="H149" s="749">
        <v>0.75</v>
      </c>
      <c r="I149" s="749">
        <v>0</v>
      </c>
      <c r="K149" t="s">
        <v>1598</v>
      </c>
      <c r="L149" s="752">
        <v>34270.75</v>
      </c>
      <c r="M149" s="752">
        <v>0</v>
      </c>
      <c r="N149" s="752">
        <v>102812.25</v>
      </c>
      <c r="O149" s="752">
        <v>23197.262500000001</v>
      </c>
      <c r="P149" s="752">
        <v>0</v>
      </c>
      <c r="Q149" s="752">
        <v>69591.787500000006</v>
      </c>
    </row>
    <row r="150" spans="1:17" ht="85.5">
      <c r="A150" s="735" t="s">
        <v>1598</v>
      </c>
      <c r="B150" s="736" t="s">
        <v>1647</v>
      </c>
      <c r="C150" s="737" t="s">
        <v>1648</v>
      </c>
      <c r="D150" s="738" t="s">
        <v>1649</v>
      </c>
      <c r="E150" s="745">
        <v>90162</v>
      </c>
      <c r="F150" s="746">
        <v>39074.44</v>
      </c>
      <c r="G150" s="749">
        <v>0.25</v>
      </c>
      <c r="H150" s="749">
        <v>0.75</v>
      </c>
      <c r="I150" s="749">
        <v>0</v>
      </c>
      <c r="K150" t="s">
        <v>1598</v>
      </c>
      <c r="L150" s="752">
        <v>22540.5</v>
      </c>
      <c r="M150" s="752">
        <v>0</v>
      </c>
      <c r="N150" s="752">
        <v>67621.5</v>
      </c>
      <c r="O150" s="752">
        <v>9768.61</v>
      </c>
      <c r="P150" s="752">
        <v>0</v>
      </c>
      <c r="Q150" s="752">
        <v>29305.83</v>
      </c>
    </row>
    <row r="151" spans="1:17" ht="71.25">
      <c r="A151" s="735" t="s">
        <v>1598</v>
      </c>
      <c r="B151" s="736" t="s">
        <v>1650</v>
      </c>
      <c r="C151" s="737" t="s">
        <v>1651</v>
      </c>
      <c r="D151" s="738" t="s">
        <v>1652</v>
      </c>
      <c r="E151" s="745">
        <v>30000</v>
      </c>
      <c r="F151" s="746">
        <v>13552.09</v>
      </c>
      <c r="G151" s="749">
        <v>0.15</v>
      </c>
      <c r="H151" s="749">
        <v>0.52500000000000002</v>
      </c>
      <c r="I151" s="749">
        <v>0.32500000000000001</v>
      </c>
      <c r="K151" t="s">
        <v>1598</v>
      </c>
      <c r="L151" s="752">
        <v>4500</v>
      </c>
      <c r="M151" s="752">
        <v>9750</v>
      </c>
      <c r="N151" s="752">
        <v>15750</v>
      </c>
      <c r="O151" s="752">
        <v>2032.8135</v>
      </c>
      <c r="P151" s="752">
        <v>4404.4292500000001</v>
      </c>
      <c r="Q151" s="752">
        <v>7114.8472500000007</v>
      </c>
    </row>
    <row r="152" spans="1:17" ht="57">
      <c r="A152" s="735" t="s">
        <v>1598</v>
      </c>
      <c r="B152" s="736" t="s">
        <v>1653</v>
      </c>
      <c r="C152" s="737" t="s">
        <v>1654</v>
      </c>
      <c r="D152" s="738" t="s">
        <v>1655</v>
      </c>
      <c r="E152" s="745">
        <v>200000</v>
      </c>
      <c r="F152" s="746">
        <v>194827.27</v>
      </c>
      <c r="G152" s="749">
        <v>0.1</v>
      </c>
      <c r="H152" s="749">
        <v>0.4</v>
      </c>
      <c r="I152" s="749">
        <v>0.5</v>
      </c>
      <c r="K152" t="s">
        <v>1598</v>
      </c>
      <c r="L152" s="752">
        <v>20000</v>
      </c>
      <c r="M152" s="752">
        <v>100000</v>
      </c>
      <c r="N152" s="752">
        <v>80000</v>
      </c>
      <c r="O152" s="752">
        <v>19482.726999999999</v>
      </c>
      <c r="P152" s="752">
        <v>97413.634999999995</v>
      </c>
      <c r="Q152" s="752">
        <v>77930.907999999996</v>
      </c>
    </row>
    <row r="153" spans="1:17" ht="71.25">
      <c r="A153" s="735" t="s">
        <v>1598</v>
      </c>
      <c r="B153" s="736" t="s">
        <v>1656</v>
      </c>
      <c r="C153" s="737" t="s">
        <v>1657</v>
      </c>
      <c r="D153" s="738" t="s">
        <v>1658</v>
      </c>
      <c r="E153" s="745">
        <v>419895.33</v>
      </c>
      <c r="F153" s="746">
        <v>216746.32</v>
      </c>
      <c r="G153" s="749">
        <v>0.3</v>
      </c>
      <c r="H153" s="749">
        <v>0.61</v>
      </c>
      <c r="I153" s="749">
        <v>0.09</v>
      </c>
      <c r="K153" t="s">
        <v>1598</v>
      </c>
      <c r="L153" s="752">
        <v>125968.599</v>
      </c>
      <c r="M153" s="752">
        <v>37790.579700000002</v>
      </c>
      <c r="N153" s="752">
        <v>256136.1513</v>
      </c>
      <c r="O153" s="752">
        <v>65023.896000000001</v>
      </c>
      <c r="P153" s="752">
        <v>19507.168799999999</v>
      </c>
      <c r="Q153" s="752">
        <v>132215.25520000001</v>
      </c>
    </row>
    <row r="154" spans="1:17" ht="85.5">
      <c r="A154" s="735" t="s">
        <v>1598</v>
      </c>
      <c r="B154" s="736" t="s">
        <v>1659</v>
      </c>
      <c r="C154" s="737" t="s">
        <v>1660</v>
      </c>
      <c r="D154" s="738" t="s">
        <v>1661</v>
      </c>
      <c r="E154" s="745">
        <v>110000</v>
      </c>
      <c r="F154" s="746">
        <v>0</v>
      </c>
      <c r="G154" s="749">
        <v>0.2</v>
      </c>
      <c r="H154" s="749">
        <v>0.65</v>
      </c>
      <c r="I154" s="749">
        <v>0.15</v>
      </c>
      <c r="K154" t="s">
        <v>1598</v>
      </c>
      <c r="L154" s="752">
        <v>22000</v>
      </c>
      <c r="M154" s="752">
        <v>16500</v>
      </c>
      <c r="N154" s="752">
        <v>71500</v>
      </c>
      <c r="O154" s="752">
        <v>0</v>
      </c>
      <c r="P154" s="752">
        <v>0</v>
      </c>
      <c r="Q154" s="752">
        <v>0</v>
      </c>
    </row>
    <row r="155" spans="1:17" ht="71.25">
      <c r="A155" s="735" t="s">
        <v>1598</v>
      </c>
      <c r="B155" s="736" t="s">
        <v>1662</v>
      </c>
      <c r="C155" s="737" t="s">
        <v>1663</v>
      </c>
      <c r="D155" s="738" t="s">
        <v>1664</v>
      </c>
      <c r="E155" s="745">
        <v>79999.98</v>
      </c>
      <c r="F155" s="746">
        <v>84317.23</v>
      </c>
      <c r="G155" s="749">
        <v>0.15</v>
      </c>
      <c r="H155" s="749">
        <v>0.52500000000000002</v>
      </c>
      <c r="I155" s="749">
        <v>0.32500000000000001</v>
      </c>
      <c r="K155" t="s">
        <v>1598</v>
      </c>
      <c r="L155" s="752">
        <v>11999.996999999999</v>
      </c>
      <c r="M155" s="752">
        <v>25999.9935</v>
      </c>
      <c r="N155" s="752">
        <v>41999.989499999996</v>
      </c>
      <c r="O155" s="752">
        <v>12647.584499999999</v>
      </c>
      <c r="P155" s="752">
        <v>27403.099750000001</v>
      </c>
      <c r="Q155" s="752">
        <v>44266.545749999997</v>
      </c>
    </row>
    <row r="156" spans="1:17" ht="71.25">
      <c r="A156" s="735" t="s">
        <v>1598</v>
      </c>
      <c r="B156" s="736" t="s">
        <v>1665</v>
      </c>
      <c r="C156" s="737" t="s">
        <v>1666</v>
      </c>
      <c r="D156" s="738" t="s">
        <v>1667</v>
      </c>
      <c r="E156" s="745">
        <v>0</v>
      </c>
      <c r="F156" s="746">
        <v>0</v>
      </c>
      <c r="G156" s="749">
        <v>0.15</v>
      </c>
      <c r="H156" s="749">
        <v>0.52500000000000002</v>
      </c>
      <c r="I156" s="749">
        <v>0.32500000000000001</v>
      </c>
      <c r="K156" t="s">
        <v>1598</v>
      </c>
      <c r="L156" s="752">
        <v>0</v>
      </c>
      <c r="M156" s="752">
        <v>0</v>
      </c>
      <c r="N156" s="752">
        <v>0</v>
      </c>
      <c r="O156" s="752">
        <v>0</v>
      </c>
      <c r="P156" s="752">
        <v>0</v>
      </c>
      <c r="Q156" s="752">
        <v>0</v>
      </c>
    </row>
    <row r="157" spans="1:17" ht="57">
      <c r="A157" s="735" t="s">
        <v>1598</v>
      </c>
      <c r="B157" s="736" t="s">
        <v>1668</v>
      </c>
      <c r="C157" s="737" t="s">
        <v>1669</v>
      </c>
      <c r="D157" s="738" t="s">
        <v>1670</v>
      </c>
      <c r="E157" s="745">
        <v>0</v>
      </c>
      <c r="F157" s="746">
        <v>-310.77999999999997</v>
      </c>
      <c r="G157" s="749">
        <v>0.26</v>
      </c>
      <c r="H157" s="749">
        <v>0</v>
      </c>
      <c r="I157" s="749">
        <v>0.74</v>
      </c>
      <c r="K157" t="s">
        <v>1598</v>
      </c>
      <c r="L157" s="752">
        <v>0</v>
      </c>
      <c r="M157" s="752">
        <v>0</v>
      </c>
      <c r="N157" s="752">
        <v>0</v>
      </c>
      <c r="O157" s="752">
        <v>-80.802799999999991</v>
      </c>
      <c r="P157" s="752">
        <v>-229.97719999999998</v>
      </c>
      <c r="Q157" s="752">
        <v>0</v>
      </c>
    </row>
    <row r="158" spans="1:17" ht="57">
      <c r="A158" s="735" t="s">
        <v>1598</v>
      </c>
      <c r="B158" s="736" t="s">
        <v>1671</v>
      </c>
      <c r="C158" s="737" t="s">
        <v>1672</v>
      </c>
      <c r="D158" s="738" t="s">
        <v>1673</v>
      </c>
      <c r="E158" s="745">
        <v>347896.21</v>
      </c>
      <c r="F158" s="746">
        <v>230880.61</v>
      </c>
      <c r="G158" s="749">
        <v>0.8</v>
      </c>
      <c r="H158" s="749">
        <v>0</v>
      </c>
      <c r="I158" s="749">
        <v>0.2</v>
      </c>
      <c r="K158" t="s">
        <v>1598</v>
      </c>
      <c r="L158" s="752">
        <v>278316.96800000005</v>
      </c>
      <c r="M158" s="752">
        <v>69579.242000000013</v>
      </c>
      <c r="N158" s="752">
        <v>0</v>
      </c>
      <c r="O158" s="752">
        <v>184704.48800000001</v>
      </c>
      <c r="P158" s="752">
        <v>46176.122000000003</v>
      </c>
      <c r="Q158" s="752">
        <v>0</v>
      </c>
    </row>
    <row r="159" spans="1:17" ht="42.75">
      <c r="A159" s="735" t="s">
        <v>1598</v>
      </c>
      <c r="B159" s="736" t="s">
        <v>1674</v>
      </c>
      <c r="C159" s="737" t="s">
        <v>1675</v>
      </c>
      <c r="D159" s="738" t="s">
        <v>1676</v>
      </c>
      <c r="E159" s="745">
        <v>1751608.73</v>
      </c>
      <c r="F159" s="746">
        <v>1631513.18</v>
      </c>
      <c r="G159" s="749">
        <v>0.3</v>
      </c>
      <c r="H159" s="749">
        <v>0.61</v>
      </c>
      <c r="I159" s="749">
        <v>0.09</v>
      </c>
      <c r="K159" t="s">
        <v>1598</v>
      </c>
      <c r="L159" s="752">
        <v>525482.61899999995</v>
      </c>
      <c r="M159" s="752">
        <v>157644.78569999998</v>
      </c>
      <c r="N159" s="752">
        <v>1068481.3252999999</v>
      </c>
      <c r="O159" s="752">
        <v>489453.95399999997</v>
      </c>
      <c r="P159" s="752">
        <v>146836.1862</v>
      </c>
      <c r="Q159" s="752">
        <v>995223.03979999991</v>
      </c>
    </row>
    <row r="160" spans="1:17" ht="71.25">
      <c r="A160" s="735" t="s">
        <v>1598</v>
      </c>
      <c r="B160" s="736" t="s">
        <v>1677</v>
      </c>
      <c r="C160" s="737" t="s">
        <v>1678</v>
      </c>
      <c r="D160" s="738" t="s">
        <v>1679</v>
      </c>
      <c r="E160" s="745">
        <v>200000</v>
      </c>
      <c r="F160" s="746">
        <v>108948.95</v>
      </c>
      <c r="G160" s="749">
        <v>0.15</v>
      </c>
      <c r="H160" s="749">
        <v>0.52500000000000002</v>
      </c>
      <c r="I160" s="749">
        <v>0.32500000000000001</v>
      </c>
      <c r="K160" t="s">
        <v>1598</v>
      </c>
      <c r="L160" s="752">
        <v>30000</v>
      </c>
      <c r="M160" s="752">
        <v>65000</v>
      </c>
      <c r="N160" s="752">
        <v>105000</v>
      </c>
      <c r="O160" s="752">
        <v>16342.342499999999</v>
      </c>
      <c r="P160" s="752">
        <v>35408.408750000002</v>
      </c>
      <c r="Q160" s="752">
        <v>57198.198750000003</v>
      </c>
    </row>
    <row r="161" spans="1:17" ht="71.25">
      <c r="A161" s="735" t="s">
        <v>1598</v>
      </c>
      <c r="B161" s="736" t="s">
        <v>1680</v>
      </c>
      <c r="C161" s="737" t="s">
        <v>1681</v>
      </c>
      <c r="D161" s="738" t="s">
        <v>1682</v>
      </c>
      <c r="E161" s="745">
        <v>200000</v>
      </c>
      <c r="F161" s="746">
        <v>560</v>
      </c>
      <c r="G161" s="749">
        <v>0.15</v>
      </c>
      <c r="H161" s="749">
        <v>0.55000000000000004</v>
      </c>
      <c r="I161" s="749">
        <v>0.3</v>
      </c>
      <c r="K161" t="s">
        <v>1598</v>
      </c>
      <c r="L161" s="752">
        <v>30000</v>
      </c>
      <c r="M161" s="752">
        <v>60000</v>
      </c>
      <c r="N161" s="752">
        <v>110000.00000000001</v>
      </c>
      <c r="O161" s="752">
        <v>84</v>
      </c>
      <c r="P161" s="752">
        <v>168</v>
      </c>
      <c r="Q161" s="752">
        <v>308</v>
      </c>
    </row>
    <row r="162" spans="1:17" ht="71.25">
      <c r="A162" s="735" t="s">
        <v>1598</v>
      </c>
      <c r="B162" s="736" t="s">
        <v>1683</v>
      </c>
      <c r="C162" s="737" t="s">
        <v>1684</v>
      </c>
      <c r="D162" s="738" t="s">
        <v>1685</v>
      </c>
      <c r="E162" s="745">
        <v>1500000</v>
      </c>
      <c r="F162" s="746">
        <v>544730.37</v>
      </c>
      <c r="G162" s="749">
        <v>0.3</v>
      </c>
      <c r="H162" s="749">
        <v>0</v>
      </c>
      <c r="I162" s="749">
        <v>0.7</v>
      </c>
      <c r="K162" t="s">
        <v>1598</v>
      </c>
      <c r="L162" s="752">
        <v>450000</v>
      </c>
      <c r="M162" s="752">
        <v>1050000</v>
      </c>
      <c r="N162" s="752">
        <v>0</v>
      </c>
      <c r="O162" s="752">
        <v>163419.111</v>
      </c>
      <c r="P162" s="752">
        <v>381311.25899999996</v>
      </c>
      <c r="Q162" s="752">
        <v>0</v>
      </c>
    </row>
    <row r="163" spans="1:17" ht="71.25">
      <c r="A163" s="735" t="s">
        <v>1598</v>
      </c>
      <c r="B163" s="736" t="s">
        <v>1686</v>
      </c>
      <c r="C163" s="737" t="s">
        <v>1687</v>
      </c>
      <c r="D163" s="738" t="s">
        <v>1688</v>
      </c>
      <c r="E163" s="745">
        <v>4792258.93</v>
      </c>
      <c r="F163" s="746">
        <v>3346568.57</v>
      </c>
      <c r="G163" s="749">
        <v>0.3</v>
      </c>
      <c r="H163" s="749">
        <v>0.61</v>
      </c>
      <c r="I163" s="749">
        <v>0.09</v>
      </c>
      <c r="K163" t="s">
        <v>1598</v>
      </c>
      <c r="L163" s="752">
        <v>1437677.6789999998</v>
      </c>
      <c r="M163" s="752">
        <v>431303.30369999993</v>
      </c>
      <c r="N163" s="752">
        <v>2923277.9472999997</v>
      </c>
      <c r="O163" s="752">
        <v>1003970.5709999999</v>
      </c>
      <c r="P163" s="752">
        <v>301191.17129999999</v>
      </c>
      <c r="Q163" s="752">
        <v>2041406.8276999998</v>
      </c>
    </row>
    <row r="164" spans="1:17" ht="85.5">
      <c r="A164" s="735" t="s">
        <v>1598</v>
      </c>
      <c r="B164" s="736" t="s">
        <v>1689</v>
      </c>
      <c r="C164" s="737" t="s">
        <v>1690</v>
      </c>
      <c r="D164" s="738" t="s">
        <v>1691</v>
      </c>
      <c r="E164" s="745">
        <v>22083</v>
      </c>
      <c r="F164" s="746">
        <v>0</v>
      </c>
      <c r="G164" s="749">
        <v>0.15</v>
      </c>
      <c r="H164" s="749">
        <v>0.35</v>
      </c>
      <c r="I164" s="749">
        <v>0.5</v>
      </c>
      <c r="K164" t="s">
        <v>1598</v>
      </c>
      <c r="L164" s="752">
        <v>3312.45</v>
      </c>
      <c r="M164" s="752">
        <v>11041.5</v>
      </c>
      <c r="N164" s="752">
        <v>7729.0499999999993</v>
      </c>
      <c r="O164" s="752">
        <v>0</v>
      </c>
      <c r="P164" s="752">
        <v>0</v>
      </c>
      <c r="Q164" s="752">
        <v>0</v>
      </c>
    </row>
    <row r="165" spans="1:17" ht="71.25">
      <c r="A165" s="735" t="s">
        <v>1598</v>
      </c>
      <c r="B165" s="736" t="s">
        <v>1692</v>
      </c>
      <c r="C165" s="737" t="s">
        <v>1693</v>
      </c>
      <c r="D165" s="738" t="s">
        <v>1694</v>
      </c>
      <c r="E165" s="745">
        <v>25000</v>
      </c>
      <c r="F165" s="746">
        <v>0</v>
      </c>
      <c r="G165" s="749">
        <v>0.15</v>
      </c>
      <c r="H165" s="749">
        <v>0.35</v>
      </c>
      <c r="I165" s="749">
        <v>0.5</v>
      </c>
      <c r="K165" t="s">
        <v>1598</v>
      </c>
      <c r="L165" s="752">
        <v>3750</v>
      </c>
      <c r="M165" s="752">
        <v>12500</v>
      </c>
      <c r="N165" s="752">
        <v>8750</v>
      </c>
      <c r="O165" s="752">
        <v>0</v>
      </c>
      <c r="P165" s="752">
        <v>0</v>
      </c>
      <c r="Q165" s="752">
        <v>0</v>
      </c>
    </row>
    <row r="166" spans="1:17" ht="71.25">
      <c r="A166" s="735" t="s">
        <v>1598</v>
      </c>
      <c r="B166" s="736" t="s">
        <v>1695</v>
      </c>
      <c r="C166" s="737" t="s">
        <v>1696</v>
      </c>
      <c r="D166" s="738" t="s">
        <v>1697</v>
      </c>
      <c r="E166" s="745">
        <v>0</v>
      </c>
      <c r="F166" s="746">
        <v>0</v>
      </c>
      <c r="G166" s="749">
        <v>0.25</v>
      </c>
      <c r="H166" s="749">
        <v>0.42499999999999999</v>
      </c>
      <c r="I166" s="749">
        <v>0.32500000000000001</v>
      </c>
      <c r="K166" t="s">
        <v>1598</v>
      </c>
      <c r="L166" s="752">
        <v>0</v>
      </c>
      <c r="M166" s="752">
        <v>0</v>
      </c>
      <c r="N166" s="752">
        <v>0</v>
      </c>
      <c r="O166" s="752">
        <v>0</v>
      </c>
      <c r="P166" s="752">
        <v>0</v>
      </c>
      <c r="Q166" s="752">
        <v>0</v>
      </c>
    </row>
    <row r="167" spans="1:17" ht="57">
      <c r="A167" s="735" t="s">
        <v>1598</v>
      </c>
      <c r="B167" s="736" t="s">
        <v>1698</v>
      </c>
      <c r="C167" s="737" t="s">
        <v>1699</v>
      </c>
      <c r="D167" s="738" t="s">
        <v>1700</v>
      </c>
      <c r="E167" s="745">
        <v>0</v>
      </c>
      <c r="F167" s="746">
        <v>0</v>
      </c>
      <c r="G167" s="749">
        <v>0.15</v>
      </c>
      <c r="H167" s="749">
        <v>0.35</v>
      </c>
      <c r="I167" s="749">
        <v>0.5</v>
      </c>
      <c r="K167" t="s">
        <v>1598</v>
      </c>
      <c r="L167" s="752">
        <v>0</v>
      </c>
      <c r="M167" s="752">
        <v>0</v>
      </c>
      <c r="N167" s="752">
        <v>0</v>
      </c>
      <c r="O167" s="752">
        <v>0</v>
      </c>
      <c r="P167" s="752">
        <v>0</v>
      </c>
      <c r="Q167" s="752">
        <v>0</v>
      </c>
    </row>
    <row r="168" spans="1:17" ht="71.25">
      <c r="A168" s="735" t="s">
        <v>1598</v>
      </c>
      <c r="B168" s="736" t="s">
        <v>1701</v>
      </c>
      <c r="C168" s="737" t="s">
        <v>1702</v>
      </c>
      <c r="D168" s="738" t="s">
        <v>1703</v>
      </c>
      <c r="E168" s="745">
        <v>0</v>
      </c>
      <c r="F168" s="746">
        <v>0</v>
      </c>
      <c r="G168" s="749">
        <v>0.55000000000000004</v>
      </c>
      <c r="H168" s="749">
        <v>0</v>
      </c>
      <c r="I168" s="749">
        <v>0.45</v>
      </c>
      <c r="K168" t="s">
        <v>1598</v>
      </c>
      <c r="L168" s="752">
        <v>0</v>
      </c>
      <c r="M168" s="752">
        <v>0</v>
      </c>
      <c r="N168" s="752">
        <v>0</v>
      </c>
      <c r="O168" s="752">
        <v>0</v>
      </c>
      <c r="P168" s="752">
        <v>0</v>
      </c>
      <c r="Q168" s="752">
        <v>0</v>
      </c>
    </row>
    <row r="169" spans="1:17" ht="57">
      <c r="A169" s="735" t="s">
        <v>1598</v>
      </c>
      <c r="B169" s="736" t="s">
        <v>1704</v>
      </c>
      <c r="C169" s="737" t="s">
        <v>1705</v>
      </c>
      <c r="D169" s="738" t="s">
        <v>1706</v>
      </c>
      <c r="E169" s="745">
        <v>300000</v>
      </c>
      <c r="F169" s="746">
        <v>0</v>
      </c>
      <c r="G169" s="749">
        <v>0.15</v>
      </c>
      <c r="H169" s="749">
        <v>0.05</v>
      </c>
      <c r="I169" s="749">
        <v>0.8</v>
      </c>
      <c r="K169" t="s">
        <v>1598</v>
      </c>
      <c r="L169" s="752">
        <v>45000</v>
      </c>
      <c r="M169" s="752">
        <v>240000</v>
      </c>
      <c r="N169" s="752">
        <v>15000</v>
      </c>
      <c r="O169" s="752">
        <v>0</v>
      </c>
      <c r="P169" s="752">
        <v>0</v>
      </c>
      <c r="Q169" s="752">
        <v>0</v>
      </c>
    </row>
    <row r="170" spans="1:17" ht="57">
      <c r="A170" s="735" t="s">
        <v>1598</v>
      </c>
      <c r="B170" s="736" t="s">
        <v>1707</v>
      </c>
      <c r="C170" s="737" t="s">
        <v>1708</v>
      </c>
      <c r="D170" s="738" t="s">
        <v>1709</v>
      </c>
      <c r="E170" s="745">
        <v>1011547.52</v>
      </c>
      <c r="F170" s="746">
        <v>533856.75</v>
      </c>
      <c r="G170" s="749">
        <v>0.25</v>
      </c>
      <c r="H170" s="749">
        <v>0.42499999999999999</v>
      </c>
      <c r="I170" s="749">
        <v>0.32500000000000001</v>
      </c>
      <c r="K170" t="s">
        <v>1598</v>
      </c>
      <c r="L170" s="752">
        <v>252886.88</v>
      </c>
      <c r="M170" s="752">
        <v>328752.94400000002</v>
      </c>
      <c r="N170" s="752">
        <v>429907.696</v>
      </c>
      <c r="O170" s="752">
        <v>133464.1875</v>
      </c>
      <c r="P170" s="752">
        <v>173503.44375000001</v>
      </c>
      <c r="Q170" s="752">
        <v>226889.11874999999</v>
      </c>
    </row>
    <row r="171" spans="1:17" ht="85.5">
      <c r="A171" s="735" t="s">
        <v>1598</v>
      </c>
      <c r="B171" s="736" t="s">
        <v>1710</v>
      </c>
      <c r="C171" s="737" t="s">
        <v>1711</v>
      </c>
      <c r="D171" s="738" t="s">
        <v>1712</v>
      </c>
      <c r="E171" s="745">
        <v>0</v>
      </c>
      <c r="F171" s="746">
        <v>0</v>
      </c>
      <c r="G171" s="749">
        <v>0.25</v>
      </c>
      <c r="H171" s="749">
        <v>0.66</v>
      </c>
      <c r="I171" s="749">
        <v>0.09</v>
      </c>
      <c r="K171" t="s">
        <v>1598</v>
      </c>
      <c r="L171" s="752">
        <v>0</v>
      </c>
      <c r="M171" s="752">
        <v>0</v>
      </c>
      <c r="N171" s="752">
        <v>0</v>
      </c>
      <c r="O171" s="752">
        <v>0</v>
      </c>
      <c r="P171" s="752">
        <v>0</v>
      </c>
      <c r="Q171" s="752">
        <v>0</v>
      </c>
    </row>
    <row r="172" spans="1:17" ht="71.25">
      <c r="A172" s="735" t="s">
        <v>1598</v>
      </c>
      <c r="B172" s="736" t="s">
        <v>1713</v>
      </c>
      <c r="C172" s="737" t="s">
        <v>1714</v>
      </c>
      <c r="D172" s="738" t="s">
        <v>1715</v>
      </c>
      <c r="E172" s="745">
        <v>152140</v>
      </c>
      <c r="F172" s="746">
        <v>10087.6</v>
      </c>
      <c r="G172" s="749">
        <v>0.25</v>
      </c>
      <c r="H172" s="749">
        <v>0.75</v>
      </c>
      <c r="I172" s="749">
        <v>0</v>
      </c>
      <c r="K172" t="s">
        <v>1598</v>
      </c>
      <c r="L172" s="752">
        <v>38035</v>
      </c>
      <c r="M172" s="752">
        <v>0</v>
      </c>
      <c r="N172" s="752">
        <v>114105</v>
      </c>
      <c r="O172" s="752">
        <v>2521.9</v>
      </c>
      <c r="P172" s="752">
        <v>0</v>
      </c>
      <c r="Q172" s="752">
        <v>7565.7000000000007</v>
      </c>
    </row>
    <row r="173" spans="1:17" ht="71.25">
      <c r="A173" s="735" t="s">
        <v>1598</v>
      </c>
      <c r="B173" s="736" t="s">
        <v>1716</v>
      </c>
      <c r="C173" s="737" t="s">
        <v>1717</v>
      </c>
      <c r="D173" s="738" t="s">
        <v>1718</v>
      </c>
      <c r="E173" s="745">
        <v>40000</v>
      </c>
      <c r="F173" s="746">
        <v>19256.02</v>
      </c>
      <c r="G173" s="749">
        <v>0.8</v>
      </c>
      <c r="H173" s="749">
        <v>0</v>
      </c>
      <c r="I173" s="749">
        <v>0.2</v>
      </c>
      <c r="K173" t="s">
        <v>1598</v>
      </c>
      <c r="L173" s="752">
        <v>32000</v>
      </c>
      <c r="M173" s="752">
        <v>8000</v>
      </c>
      <c r="N173" s="752">
        <v>0</v>
      </c>
      <c r="O173" s="752">
        <v>15404.816000000001</v>
      </c>
      <c r="P173" s="752">
        <v>3851.2040000000002</v>
      </c>
      <c r="Q173" s="752">
        <v>0</v>
      </c>
    </row>
    <row r="174" spans="1:17" ht="71.25">
      <c r="A174" s="735" t="s">
        <v>1598</v>
      </c>
      <c r="B174" s="736" t="s">
        <v>1719</v>
      </c>
      <c r="C174" s="737" t="s">
        <v>1720</v>
      </c>
      <c r="D174" s="738" t="s">
        <v>1721</v>
      </c>
      <c r="E174" s="745">
        <v>0</v>
      </c>
      <c r="F174" s="746">
        <v>-301.74</v>
      </c>
      <c r="G174" s="749">
        <v>0.3</v>
      </c>
      <c r="H174" s="749">
        <v>0.5</v>
      </c>
      <c r="I174" s="749">
        <v>0.2</v>
      </c>
      <c r="K174" t="s">
        <v>1598</v>
      </c>
      <c r="L174" s="752">
        <v>0</v>
      </c>
      <c r="M174" s="752">
        <v>0</v>
      </c>
      <c r="N174" s="752">
        <v>0</v>
      </c>
      <c r="O174" s="752">
        <v>-90.522000000000006</v>
      </c>
      <c r="P174" s="752">
        <v>-60.348000000000006</v>
      </c>
      <c r="Q174" s="752">
        <v>-150.87</v>
      </c>
    </row>
    <row r="175" spans="1:17" ht="57">
      <c r="A175" s="735" t="s">
        <v>1598</v>
      </c>
      <c r="B175" s="736" t="s">
        <v>1722</v>
      </c>
      <c r="C175" s="737" t="s">
        <v>1723</v>
      </c>
      <c r="D175" s="738" t="s">
        <v>1724</v>
      </c>
      <c r="E175" s="745">
        <v>2000000</v>
      </c>
      <c r="F175" s="746">
        <v>637520.12</v>
      </c>
      <c r="G175" s="749">
        <v>0.3</v>
      </c>
      <c r="H175" s="749">
        <v>0.5</v>
      </c>
      <c r="I175" s="749">
        <v>0.2</v>
      </c>
      <c r="K175" t="s">
        <v>1598</v>
      </c>
      <c r="L175" s="752">
        <v>600000</v>
      </c>
      <c r="M175" s="752">
        <v>400000</v>
      </c>
      <c r="N175" s="752">
        <v>1000000</v>
      </c>
      <c r="O175" s="752">
        <v>191256.03599999999</v>
      </c>
      <c r="P175" s="752">
        <v>127504.024</v>
      </c>
      <c r="Q175" s="752">
        <v>318760.06</v>
      </c>
    </row>
    <row r="176" spans="1:17" ht="71.25">
      <c r="A176" s="735" t="s">
        <v>1598</v>
      </c>
      <c r="B176" s="736" t="s">
        <v>1725</v>
      </c>
      <c r="C176" s="737" t="s">
        <v>1726</v>
      </c>
      <c r="D176" s="738" t="s">
        <v>1727</v>
      </c>
      <c r="E176" s="745">
        <v>30506103.789999999</v>
      </c>
      <c r="F176" s="746">
        <v>26424669.940000001</v>
      </c>
      <c r="G176" s="749">
        <v>0.8</v>
      </c>
      <c r="H176" s="749">
        <v>0</v>
      </c>
      <c r="I176" s="749">
        <v>0.2</v>
      </c>
      <c r="K176" t="s">
        <v>1598</v>
      </c>
      <c r="L176" s="752">
        <v>24404883.032000002</v>
      </c>
      <c r="M176" s="752">
        <v>6101220.7580000004</v>
      </c>
      <c r="N176" s="752">
        <v>0</v>
      </c>
      <c r="O176" s="752">
        <v>21139735.952000003</v>
      </c>
      <c r="P176" s="752">
        <v>5284933.9880000008</v>
      </c>
      <c r="Q176" s="752">
        <v>0</v>
      </c>
    </row>
    <row r="177" spans="1:17" ht="57">
      <c r="A177" s="735" t="s">
        <v>1598</v>
      </c>
      <c r="B177" s="736" t="s">
        <v>1728</v>
      </c>
      <c r="C177" s="737" t="s">
        <v>1729</v>
      </c>
      <c r="D177" s="738" t="s">
        <v>1730</v>
      </c>
      <c r="E177" s="745">
        <v>35207484.530000001</v>
      </c>
      <c r="F177" s="746">
        <v>32594049.059999999</v>
      </c>
      <c r="G177" s="749">
        <v>0.25</v>
      </c>
      <c r="H177" s="749">
        <v>0.42499999999999999</v>
      </c>
      <c r="I177" s="749">
        <v>0.32500000000000001</v>
      </c>
      <c r="K177" t="s">
        <v>1598</v>
      </c>
      <c r="L177" s="752">
        <v>8801871.1325000003</v>
      </c>
      <c r="M177" s="752">
        <v>11442432.472250002</v>
      </c>
      <c r="N177" s="752">
        <v>14963180.925249999</v>
      </c>
      <c r="O177" s="752">
        <v>8148512.2649999997</v>
      </c>
      <c r="P177" s="752">
        <v>10593065.944499999</v>
      </c>
      <c r="Q177" s="752">
        <v>13852470.850499999</v>
      </c>
    </row>
    <row r="178" spans="1:17" ht="57">
      <c r="A178" s="735" t="s">
        <v>1598</v>
      </c>
      <c r="B178" s="736" t="s">
        <v>1731</v>
      </c>
      <c r="C178" s="737" t="s">
        <v>1732</v>
      </c>
      <c r="D178" s="738" t="s">
        <v>1733</v>
      </c>
      <c r="E178" s="745">
        <v>708503.39</v>
      </c>
      <c r="F178" s="746">
        <v>635248.6</v>
      </c>
      <c r="G178" s="749">
        <v>0.3</v>
      </c>
      <c r="H178" s="749">
        <v>0.61</v>
      </c>
      <c r="I178" s="749">
        <v>0.09</v>
      </c>
      <c r="K178" t="s">
        <v>1598</v>
      </c>
      <c r="L178" s="752">
        <v>212551.01699999999</v>
      </c>
      <c r="M178" s="752">
        <v>63765.305099999998</v>
      </c>
      <c r="N178" s="752">
        <v>432187.06790000002</v>
      </c>
      <c r="O178" s="752">
        <v>190574.58</v>
      </c>
      <c r="P178" s="752">
        <v>57172.373999999996</v>
      </c>
      <c r="Q178" s="752">
        <v>387501.64599999995</v>
      </c>
    </row>
    <row r="179" spans="1:17" ht="42.75">
      <c r="A179" s="735" t="s">
        <v>1598</v>
      </c>
      <c r="B179" s="736" t="s">
        <v>1734</v>
      </c>
      <c r="C179" s="737" t="s">
        <v>1735</v>
      </c>
      <c r="D179" s="738" t="s">
        <v>1736</v>
      </c>
      <c r="E179" s="745">
        <v>0</v>
      </c>
      <c r="F179" s="746">
        <v>0</v>
      </c>
      <c r="G179" s="749">
        <v>0.3</v>
      </c>
      <c r="H179" s="749">
        <v>0.61</v>
      </c>
      <c r="I179" s="749">
        <v>0.09</v>
      </c>
      <c r="K179" t="s">
        <v>1598</v>
      </c>
      <c r="L179" s="752">
        <v>0</v>
      </c>
      <c r="M179" s="752">
        <v>0</v>
      </c>
      <c r="N179" s="752">
        <v>0</v>
      </c>
      <c r="O179" s="752">
        <v>0</v>
      </c>
      <c r="P179" s="752">
        <v>0</v>
      </c>
      <c r="Q179" s="752">
        <v>0</v>
      </c>
    </row>
    <row r="180" spans="1:17" ht="85.5">
      <c r="A180" s="735" t="s">
        <v>1598</v>
      </c>
      <c r="B180" s="736"/>
      <c r="C180" s="737" t="s">
        <v>1737</v>
      </c>
      <c r="D180" s="738" t="s">
        <v>1738</v>
      </c>
      <c r="E180" s="745">
        <v>0</v>
      </c>
      <c r="F180" s="746">
        <v>0</v>
      </c>
      <c r="G180" s="749">
        <v>0.3</v>
      </c>
      <c r="H180" s="749">
        <v>0.61</v>
      </c>
      <c r="I180" s="749">
        <v>0.09</v>
      </c>
      <c r="K180" t="s">
        <v>1598</v>
      </c>
      <c r="L180" s="752">
        <v>0</v>
      </c>
      <c r="M180" s="752">
        <v>0</v>
      </c>
      <c r="N180" s="752">
        <v>0</v>
      </c>
      <c r="O180" s="752">
        <v>0</v>
      </c>
      <c r="P180" s="752">
        <v>0</v>
      </c>
      <c r="Q180" s="752">
        <v>0</v>
      </c>
    </row>
    <row r="181" spans="1:17" ht="71.25">
      <c r="A181" s="735" t="s">
        <v>1598</v>
      </c>
      <c r="B181" s="736"/>
      <c r="C181" s="737" t="s">
        <v>1739</v>
      </c>
      <c r="D181" s="738" t="s">
        <v>1740</v>
      </c>
      <c r="E181" s="745">
        <v>20000</v>
      </c>
      <c r="F181" s="746">
        <v>18401.919999999998</v>
      </c>
      <c r="G181" s="749">
        <v>0.15</v>
      </c>
      <c r="H181" s="749">
        <v>0.52500000000000002</v>
      </c>
      <c r="I181" s="749">
        <v>0.32500000000000001</v>
      </c>
      <c r="K181" t="s">
        <v>1598</v>
      </c>
      <c r="L181" s="752">
        <v>3000</v>
      </c>
      <c r="M181" s="752">
        <v>6500</v>
      </c>
      <c r="N181" s="752">
        <v>10500</v>
      </c>
      <c r="O181" s="752">
        <v>2760.2879999999996</v>
      </c>
      <c r="P181" s="752">
        <v>5980.6239999999998</v>
      </c>
      <c r="Q181" s="752">
        <v>9661.0079999999998</v>
      </c>
    </row>
    <row r="182" spans="1:17" ht="57">
      <c r="A182" s="735" t="s">
        <v>1598</v>
      </c>
      <c r="B182" s="736"/>
      <c r="C182" s="737" t="s">
        <v>1741</v>
      </c>
      <c r="D182" s="738" t="s">
        <v>1742</v>
      </c>
      <c r="E182" s="745">
        <v>1753245.29</v>
      </c>
      <c r="F182" s="746">
        <v>1784844.16</v>
      </c>
      <c r="G182" s="749">
        <v>0.25</v>
      </c>
      <c r="H182" s="749">
        <v>0.66</v>
      </c>
      <c r="I182" s="749">
        <v>0.09</v>
      </c>
      <c r="K182" t="s">
        <v>1598</v>
      </c>
      <c r="L182" s="752">
        <v>438311.32250000001</v>
      </c>
      <c r="M182" s="752">
        <v>157792.07610000001</v>
      </c>
      <c r="N182" s="752">
        <v>1157141.8914000001</v>
      </c>
      <c r="O182" s="752">
        <v>446211.04</v>
      </c>
      <c r="P182" s="752">
        <v>160635.97439999998</v>
      </c>
      <c r="Q182" s="752">
        <v>1177997.1455999999</v>
      </c>
    </row>
    <row r="183" spans="1:17" ht="42.75">
      <c r="A183" s="735" t="s">
        <v>1598</v>
      </c>
      <c r="B183" s="736"/>
      <c r="C183" s="737" t="s">
        <v>1743</v>
      </c>
      <c r="D183" s="738" t="s">
        <v>1744</v>
      </c>
      <c r="E183" s="745">
        <v>0</v>
      </c>
      <c r="F183" s="746">
        <v>0</v>
      </c>
      <c r="G183" s="749">
        <v>0.25</v>
      </c>
      <c r="H183" s="749">
        <v>0.66</v>
      </c>
      <c r="I183" s="749">
        <v>0.09</v>
      </c>
      <c r="K183" t="s">
        <v>1598</v>
      </c>
      <c r="L183" s="752">
        <v>0</v>
      </c>
      <c r="M183" s="752">
        <v>0</v>
      </c>
      <c r="N183" s="752">
        <v>0</v>
      </c>
      <c r="O183" s="752">
        <v>0</v>
      </c>
      <c r="P183" s="752">
        <v>0</v>
      </c>
      <c r="Q183" s="752">
        <v>0</v>
      </c>
    </row>
    <row r="184" spans="1:17" ht="71.25">
      <c r="A184" s="735" t="s">
        <v>1598</v>
      </c>
      <c r="B184" s="736" t="s">
        <v>1745</v>
      </c>
      <c r="C184" s="737" t="s">
        <v>1746</v>
      </c>
      <c r="D184" s="738" t="s">
        <v>1747</v>
      </c>
      <c r="E184" s="745">
        <v>189262</v>
      </c>
      <c r="F184" s="746">
        <v>189262</v>
      </c>
      <c r="G184" s="749">
        <v>0.3</v>
      </c>
      <c r="H184" s="749">
        <v>0.61</v>
      </c>
      <c r="I184" s="749">
        <v>0.09</v>
      </c>
      <c r="K184" t="s">
        <v>1598</v>
      </c>
      <c r="L184" s="752">
        <v>56778.6</v>
      </c>
      <c r="M184" s="752">
        <v>17033.579999999998</v>
      </c>
      <c r="N184" s="752">
        <v>115449.81999999999</v>
      </c>
      <c r="O184" s="752">
        <v>56778.6</v>
      </c>
      <c r="P184" s="752">
        <v>17033.579999999998</v>
      </c>
      <c r="Q184" s="752">
        <v>115449.81999999999</v>
      </c>
    </row>
    <row r="185" spans="1:17" ht="57">
      <c r="A185" s="735" t="s">
        <v>1598</v>
      </c>
      <c r="B185" s="736" t="s">
        <v>1748</v>
      </c>
      <c r="C185" s="737" t="s">
        <v>1749</v>
      </c>
      <c r="D185" s="738" t="s">
        <v>1750</v>
      </c>
      <c r="E185" s="745">
        <v>58800</v>
      </c>
      <c r="F185" s="746">
        <v>0</v>
      </c>
      <c r="G185" s="749">
        <v>0.36</v>
      </c>
      <c r="H185" s="749">
        <v>0.64</v>
      </c>
      <c r="I185" s="749">
        <v>0</v>
      </c>
      <c r="K185" t="s">
        <v>1598</v>
      </c>
      <c r="L185" s="752">
        <v>21168</v>
      </c>
      <c r="M185" s="752">
        <v>0</v>
      </c>
      <c r="N185" s="752">
        <v>37632</v>
      </c>
      <c r="O185" s="752">
        <v>0</v>
      </c>
      <c r="P185" s="752">
        <v>0</v>
      </c>
      <c r="Q185" s="752">
        <v>0</v>
      </c>
    </row>
    <row r="186" spans="1:17" ht="71.25">
      <c r="A186" s="735" t="s">
        <v>1598</v>
      </c>
      <c r="B186" s="736" t="s">
        <v>1751</v>
      </c>
      <c r="C186" s="737" t="s">
        <v>1752</v>
      </c>
      <c r="D186" s="738" t="s">
        <v>1753</v>
      </c>
      <c r="E186" s="745">
        <v>0</v>
      </c>
      <c r="F186" s="746">
        <v>0</v>
      </c>
      <c r="G186" s="749">
        <v>0.34</v>
      </c>
      <c r="H186" s="749">
        <v>0.66</v>
      </c>
      <c r="I186" s="749">
        <v>0</v>
      </c>
      <c r="K186" t="s">
        <v>1598</v>
      </c>
      <c r="L186" s="752">
        <v>0</v>
      </c>
      <c r="M186" s="752">
        <v>0</v>
      </c>
      <c r="N186" s="752">
        <v>0</v>
      </c>
      <c r="O186" s="752">
        <v>0</v>
      </c>
      <c r="P186" s="752">
        <v>0</v>
      </c>
      <c r="Q186" s="752">
        <v>0</v>
      </c>
    </row>
    <row r="187" spans="1:17" ht="57">
      <c r="A187" s="735" t="s">
        <v>1598</v>
      </c>
      <c r="B187" s="736" t="s">
        <v>1754</v>
      </c>
      <c r="C187" s="737" t="s">
        <v>1755</v>
      </c>
      <c r="D187" s="738" t="s">
        <v>1756</v>
      </c>
      <c r="E187" s="745">
        <v>70000</v>
      </c>
      <c r="F187" s="746">
        <v>8408.2199999999993</v>
      </c>
      <c r="G187" s="749">
        <v>0</v>
      </c>
      <c r="H187" s="749">
        <v>1</v>
      </c>
      <c r="I187" s="749">
        <v>0</v>
      </c>
      <c r="K187" t="s">
        <v>1598</v>
      </c>
      <c r="L187" s="752">
        <v>0</v>
      </c>
      <c r="M187" s="752">
        <v>0</v>
      </c>
      <c r="N187" s="752">
        <v>70000</v>
      </c>
      <c r="O187" s="752">
        <v>0</v>
      </c>
      <c r="P187" s="752">
        <v>0</v>
      </c>
      <c r="Q187" s="752">
        <v>8408.2199999999993</v>
      </c>
    </row>
    <row r="188" spans="1:17" ht="42.75">
      <c r="A188" s="735" t="s">
        <v>1598</v>
      </c>
      <c r="B188" s="736" t="s">
        <v>1757</v>
      </c>
      <c r="C188" s="737" t="s">
        <v>1758</v>
      </c>
      <c r="D188" s="738" t="s">
        <v>1759</v>
      </c>
      <c r="E188" s="745">
        <v>420000</v>
      </c>
      <c r="F188" s="746">
        <v>54381.5</v>
      </c>
      <c r="G188" s="749">
        <v>0</v>
      </c>
      <c r="H188" s="749">
        <v>1</v>
      </c>
      <c r="I188" s="749">
        <v>0</v>
      </c>
      <c r="K188" t="s">
        <v>1598</v>
      </c>
      <c r="L188" s="752">
        <v>0</v>
      </c>
      <c r="M188" s="752">
        <v>0</v>
      </c>
      <c r="N188" s="752">
        <v>420000</v>
      </c>
      <c r="O188" s="752">
        <v>0</v>
      </c>
      <c r="P188" s="752">
        <v>0</v>
      </c>
      <c r="Q188" s="752">
        <v>54381.5</v>
      </c>
    </row>
    <row r="189" spans="1:17" ht="71.25">
      <c r="A189" s="735" t="s">
        <v>1598</v>
      </c>
      <c r="B189" s="736" t="s">
        <v>1760</v>
      </c>
      <c r="C189" s="737" t="s">
        <v>1761</v>
      </c>
      <c r="D189" s="738" t="s">
        <v>1762</v>
      </c>
      <c r="E189" s="745">
        <v>34313</v>
      </c>
      <c r="F189" s="746">
        <v>0</v>
      </c>
      <c r="G189" s="749">
        <v>0.39</v>
      </c>
      <c r="H189" s="749">
        <v>0.61</v>
      </c>
      <c r="I189" s="749">
        <v>0</v>
      </c>
      <c r="K189" t="s">
        <v>1598</v>
      </c>
      <c r="L189" s="752">
        <v>13382.07</v>
      </c>
      <c r="M189" s="752">
        <v>0</v>
      </c>
      <c r="N189" s="752">
        <v>20930.93</v>
      </c>
      <c r="O189" s="752">
        <v>0</v>
      </c>
      <c r="P189" s="752">
        <v>0</v>
      </c>
      <c r="Q189" s="752">
        <v>0</v>
      </c>
    </row>
    <row r="190" spans="1:17" ht="57">
      <c r="A190" s="735" t="s">
        <v>1598</v>
      </c>
      <c r="B190" s="736" t="s">
        <v>1763</v>
      </c>
      <c r="C190" s="737" t="s">
        <v>1764</v>
      </c>
      <c r="D190" s="738" t="s">
        <v>1765</v>
      </c>
      <c r="E190" s="745">
        <v>50000</v>
      </c>
      <c r="F190" s="746">
        <v>0</v>
      </c>
      <c r="G190" s="749">
        <v>0.36</v>
      </c>
      <c r="H190" s="749">
        <v>0.64</v>
      </c>
      <c r="I190" s="749">
        <v>0</v>
      </c>
      <c r="K190" t="s">
        <v>1598</v>
      </c>
      <c r="L190" s="752">
        <v>18000</v>
      </c>
      <c r="M190" s="752">
        <v>0</v>
      </c>
      <c r="N190" s="752">
        <v>32000</v>
      </c>
      <c r="O190" s="752">
        <v>0</v>
      </c>
      <c r="P190" s="752">
        <v>0</v>
      </c>
      <c r="Q190" s="752">
        <v>0</v>
      </c>
    </row>
    <row r="191" spans="1:17" ht="57">
      <c r="A191" s="735" t="s">
        <v>1598</v>
      </c>
      <c r="B191" s="736" t="s">
        <v>1766</v>
      </c>
      <c r="C191" s="737" t="s">
        <v>1767</v>
      </c>
      <c r="D191" s="738" t="s">
        <v>1768</v>
      </c>
      <c r="E191" s="745">
        <v>0</v>
      </c>
      <c r="F191" s="746">
        <v>0</v>
      </c>
      <c r="G191" s="749">
        <v>0.36</v>
      </c>
      <c r="H191" s="749">
        <v>0.64</v>
      </c>
      <c r="I191" s="749">
        <v>0</v>
      </c>
      <c r="K191" t="s">
        <v>1598</v>
      </c>
      <c r="L191" s="752">
        <v>0</v>
      </c>
      <c r="M191" s="752">
        <v>0</v>
      </c>
      <c r="N191" s="752">
        <v>0</v>
      </c>
      <c r="O191" s="752">
        <v>0</v>
      </c>
      <c r="P191" s="752">
        <v>0</v>
      </c>
      <c r="Q191" s="752">
        <v>0</v>
      </c>
    </row>
    <row r="192" spans="1:17" ht="71.25">
      <c r="A192" s="735" t="s">
        <v>1598</v>
      </c>
      <c r="B192" s="736" t="s">
        <v>1769</v>
      </c>
      <c r="C192" s="737" t="s">
        <v>1770</v>
      </c>
      <c r="D192" s="738" t="s">
        <v>1771</v>
      </c>
      <c r="E192" s="745">
        <v>30000</v>
      </c>
      <c r="F192" s="746">
        <v>0</v>
      </c>
      <c r="G192" s="749">
        <v>0</v>
      </c>
      <c r="H192" s="749">
        <v>1</v>
      </c>
      <c r="I192" s="749">
        <v>0</v>
      </c>
      <c r="K192" t="s">
        <v>1598</v>
      </c>
      <c r="L192" s="752">
        <v>0</v>
      </c>
      <c r="M192" s="752">
        <v>0</v>
      </c>
      <c r="N192" s="752">
        <v>30000</v>
      </c>
      <c r="O192" s="752">
        <v>0</v>
      </c>
      <c r="P192" s="752">
        <v>0</v>
      </c>
      <c r="Q192" s="752">
        <v>0</v>
      </c>
    </row>
    <row r="193" spans="1:17" ht="71.25">
      <c r="A193" s="735" t="s">
        <v>1598</v>
      </c>
      <c r="B193" s="736" t="s">
        <v>1772</v>
      </c>
      <c r="C193" s="737" t="s">
        <v>1773</v>
      </c>
      <c r="D193" s="738" t="s">
        <v>1774</v>
      </c>
      <c r="E193" s="745">
        <v>32000</v>
      </c>
      <c r="F193" s="746">
        <v>11360</v>
      </c>
      <c r="G193" s="749">
        <v>0.36</v>
      </c>
      <c r="H193" s="749">
        <v>0.64</v>
      </c>
      <c r="I193" s="749">
        <v>0</v>
      </c>
      <c r="K193" t="s">
        <v>1598</v>
      </c>
      <c r="L193" s="752">
        <v>11520</v>
      </c>
      <c r="M193" s="752">
        <v>0</v>
      </c>
      <c r="N193" s="752">
        <v>20480</v>
      </c>
      <c r="O193" s="752">
        <v>4089.6</v>
      </c>
      <c r="P193" s="752">
        <v>0</v>
      </c>
      <c r="Q193" s="752">
        <v>7270.4000000000005</v>
      </c>
    </row>
    <row r="194" spans="1:17" ht="57">
      <c r="A194" s="735" t="s">
        <v>1598</v>
      </c>
      <c r="B194" s="736" t="s">
        <v>1775</v>
      </c>
      <c r="C194" s="737" t="s">
        <v>1776</v>
      </c>
      <c r="D194" s="738" t="s">
        <v>1777</v>
      </c>
      <c r="E194" s="745">
        <v>0</v>
      </c>
      <c r="F194" s="746">
        <v>0</v>
      </c>
      <c r="G194" s="749">
        <v>0.36</v>
      </c>
      <c r="H194" s="749">
        <v>0.64</v>
      </c>
      <c r="I194" s="749">
        <v>0</v>
      </c>
      <c r="K194" t="s">
        <v>1598</v>
      </c>
      <c r="L194" s="752">
        <v>0</v>
      </c>
      <c r="M194" s="752">
        <v>0</v>
      </c>
      <c r="N194" s="752">
        <v>0</v>
      </c>
      <c r="O194" s="752">
        <v>0</v>
      </c>
      <c r="P194" s="752">
        <v>0</v>
      </c>
      <c r="Q194" s="752">
        <v>0</v>
      </c>
    </row>
    <row r="195" spans="1:17" ht="57">
      <c r="A195" s="735" t="s">
        <v>1598</v>
      </c>
      <c r="B195" s="736" t="s">
        <v>1778</v>
      </c>
      <c r="C195" s="737" t="s">
        <v>1779</v>
      </c>
      <c r="D195" s="738" t="s">
        <v>1780</v>
      </c>
      <c r="E195" s="745">
        <v>0</v>
      </c>
      <c r="F195" s="746">
        <v>0</v>
      </c>
      <c r="G195" s="749">
        <v>0.47</v>
      </c>
      <c r="H195" s="749">
        <v>0.2</v>
      </c>
      <c r="I195" s="749">
        <v>0.33</v>
      </c>
      <c r="K195" t="s">
        <v>1598</v>
      </c>
      <c r="L195" s="752">
        <v>0</v>
      </c>
      <c r="M195" s="752">
        <v>0</v>
      </c>
      <c r="N195" s="752">
        <v>0</v>
      </c>
      <c r="O195" s="752">
        <v>0</v>
      </c>
      <c r="P195" s="752">
        <v>0</v>
      </c>
      <c r="Q195" s="752">
        <v>0</v>
      </c>
    </row>
    <row r="196" spans="1:17" ht="85.5">
      <c r="A196" s="735" t="s">
        <v>1598</v>
      </c>
      <c r="B196" s="736" t="s">
        <v>1781</v>
      </c>
      <c r="C196" s="737" t="s">
        <v>1782</v>
      </c>
      <c r="D196" s="738" t="s">
        <v>1783</v>
      </c>
      <c r="E196" s="745">
        <v>10000</v>
      </c>
      <c r="F196" s="746">
        <v>3108.38</v>
      </c>
      <c r="G196" s="749">
        <v>0.36</v>
      </c>
      <c r="H196" s="749">
        <v>0.64</v>
      </c>
      <c r="I196" s="749">
        <v>0</v>
      </c>
      <c r="K196" t="s">
        <v>1598</v>
      </c>
      <c r="L196" s="752">
        <v>3600</v>
      </c>
      <c r="M196" s="752">
        <v>0</v>
      </c>
      <c r="N196" s="752">
        <v>6400</v>
      </c>
      <c r="O196" s="752">
        <v>1119.0168000000001</v>
      </c>
      <c r="P196" s="752">
        <v>0</v>
      </c>
      <c r="Q196" s="752">
        <v>1989.3632</v>
      </c>
    </row>
    <row r="197" spans="1:17" ht="71.25">
      <c r="A197" s="735" t="s">
        <v>1598</v>
      </c>
      <c r="B197" s="736" t="s">
        <v>1784</v>
      </c>
      <c r="C197" s="737" t="s">
        <v>1785</v>
      </c>
      <c r="D197" s="738" t="s">
        <v>1786</v>
      </c>
      <c r="E197" s="745">
        <v>0</v>
      </c>
      <c r="F197" s="746">
        <v>0</v>
      </c>
      <c r="G197" s="749">
        <v>0.36</v>
      </c>
      <c r="H197" s="749">
        <v>0.64</v>
      </c>
      <c r="I197" s="749">
        <v>0</v>
      </c>
      <c r="K197" t="s">
        <v>1598</v>
      </c>
      <c r="L197" s="752">
        <v>0</v>
      </c>
      <c r="M197" s="752">
        <v>0</v>
      </c>
      <c r="N197" s="752">
        <v>0</v>
      </c>
      <c r="O197" s="752">
        <v>0</v>
      </c>
      <c r="P197" s="752">
        <v>0</v>
      </c>
      <c r="Q197" s="752">
        <v>0</v>
      </c>
    </row>
    <row r="198" spans="1:17" ht="57">
      <c r="A198" s="735" t="s">
        <v>1598</v>
      </c>
      <c r="B198" s="736" t="s">
        <v>1787</v>
      </c>
      <c r="C198" s="737" t="s">
        <v>1788</v>
      </c>
      <c r="D198" s="738" t="s">
        <v>1789</v>
      </c>
      <c r="E198" s="745">
        <v>70000</v>
      </c>
      <c r="F198" s="746">
        <v>0</v>
      </c>
      <c r="G198" s="749">
        <v>0.38</v>
      </c>
      <c r="H198" s="749">
        <v>0.62</v>
      </c>
      <c r="I198" s="749">
        <v>0</v>
      </c>
      <c r="K198" t="s">
        <v>1598</v>
      </c>
      <c r="L198" s="752">
        <v>26600</v>
      </c>
      <c r="M198" s="752">
        <v>0</v>
      </c>
      <c r="N198" s="752">
        <v>43400</v>
      </c>
      <c r="O198" s="752">
        <v>0</v>
      </c>
      <c r="P198" s="752">
        <v>0</v>
      </c>
      <c r="Q198" s="752">
        <v>0</v>
      </c>
    </row>
    <row r="199" spans="1:17" ht="71.25">
      <c r="A199" s="735" t="s">
        <v>1598</v>
      </c>
      <c r="B199" s="736" t="s">
        <v>1790</v>
      </c>
      <c r="C199" s="737" t="s">
        <v>1791</v>
      </c>
      <c r="D199" s="738" t="s">
        <v>1792</v>
      </c>
      <c r="E199" s="745">
        <v>0</v>
      </c>
      <c r="F199" s="746">
        <v>0</v>
      </c>
      <c r="G199" s="749">
        <v>0.36</v>
      </c>
      <c r="H199" s="749">
        <v>0.64</v>
      </c>
      <c r="I199" s="749">
        <v>0</v>
      </c>
      <c r="K199" t="s">
        <v>1598</v>
      </c>
      <c r="L199" s="752">
        <v>0</v>
      </c>
      <c r="M199" s="752">
        <v>0</v>
      </c>
      <c r="N199" s="752">
        <v>0</v>
      </c>
      <c r="O199" s="752">
        <v>0</v>
      </c>
      <c r="P199" s="752">
        <v>0</v>
      </c>
      <c r="Q199" s="752">
        <v>0</v>
      </c>
    </row>
    <row r="200" spans="1:17" ht="71.25">
      <c r="A200" s="735" t="s">
        <v>1598</v>
      </c>
      <c r="B200" s="736" t="s">
        <v>1793</v>
      </c>
      <c r="C200" s="737" t="s">
        <v>1794</v>
      </c>
      <c r="D200" s="738" t="s">
        <v>1795</v>
      </c>
      <c r="E200" s="745">
        <v>0</v>
      </c>
      <c r="F200" s="746">
        <v>0</v>
      </c>
      <c r="G200" s="749">
        <v>0.36</v>
      </c>
      <c r="H200" s="749">
        <v>0.64</v>
      </c>
      <c r="I200" s="749">
        <v>0</v>
      </c>
      <c r="K200" t="s">
        <v>1598</v>
      </c>
      <c r="L200" s="752">
        <v>0</v>
      </c>
      <c r="M200" s="752">
        <v>0</v>
      </c>
      <c r="N200" s="752">
        <v>0</v>
      </c>
      <c r="O200" s="752">
        <v>0</v>
      </c>
      <c r="P200" s="752">
        <v>0</v>
      </c>
      <c r="Q200" s="752">
        <v>0</v>
      </c>
    </row>
    <row r="201" spans="1:17" ht="71.25">
      <c r="A201" s="735" t="s">
        <v>1598</v>
      </c>
      <c r="B201" s="736" t="s">
        <v>1796</v>
      </c>
      <c r="C201" s="737" t="s">
        <v>1797</v>
      </c>
      <c r="D201" s="738" t="s">
        <v>1798</v>
      </c>
      <c r="E201" s="745">
        <v>0</v>
      </c>
      <c r="F201" s="746">
        <v>0</v>
      </c>
      <c r="G201" s="749">
        <v>0.36</v>
      </c>
      <c r="H201" s="749">
        <v>0.64</v>
      </c>
      <c r="I201" s="749">
        <v>0</v>
      </c>
      <c r="K201" t="s">
        <v>1598</v>
      </c>
      <c r="L201" s="752">
        <v>0</v>
      </c>
      <c r="M201" s="752">
        <v>0</v>
      </c>
      <c r="N201" s="752">
        <v>0</v>
      </c>
      <c r="O201" s="752">
        <v>0</v>
      </c>
      <c r="P201" s="752">
        <v>0</v>
      </c>
      <c r="Q201" s="752">
        <v>0</v>
      </c>
    </row>
    <row r="202" spans="1:17" ht="57">
      <c r="A202" s="735" t="s">
        <v>1598</v>
      </c>
      <c r="B202" s="736" t="s">
        <v>1799</v>
      </c>
      <c r="C202" s="737" t="s">
        <v>1800</v>
      </c>
      <c r="D202" s="738" t="s">
        <v>1801</v>
      </c>
      <c r="E202" s="745">
        <v>110000</v>
      </c>
      <c r="F202" s="746">
        <v>68634.7</v>
      </c>
      <c r="G202" s="749">
        <v>0.42</v>
      </c>
      <c r="H202" s="749">
        <v>0.2</v>
      </c>
      <c r="I202" s="749">
        <v>0.38</v>
      </c>
      <c r="K202" t="s">
        <v>1598</v>
      </c>
      <c r="L202" s="752">
        <v>46200</v>
      </c>
      <c r="M202" s="752">
        <v>41800</v>
      </c>
      <c r="N202" s="752">
        <v>22000</v>
      </c>
      <c r="O202" s="752">
        <v>28826.573999999997</v>
      </c>
      <c r="P202" s="752">
        <v>26081.185999999998</v>
      </c>
      <c r="Q202" s="752">
        <v>13726.94</v>
      </c>
    </row>
    <row r="203" spans="1:17" ht="57">
      <c r="A203" s="735" t="s">
        <v>1598</v>
      </c>
      <c r="B203" s="736" t="s">
        <v>1802</v>
      </c>
      <c r="C203" s="737" t="s">
        <v>1803</v>
      </c>
      <c r="D203" s="738" t="s">
        <v>1804</v>
      </c>
      <c r="E203" s="745">
        <v>85000</v>
      </c>
      <c r="F203" s="746">
        <v>8128</v>
      </c>
      <c r="G203" s="749">
        <v>0.42</v>
      </c>
      <c r="H203" s="749">
        <v>0.57999999999999996</v>
      </c>
      <c r="I203" s="749">
        <v>0</v>
      </c>
      <c r="K203" t="s">
        <v>1598</v>
      </c>
      <c r="L203" s="752">
        <v>35700</v>
      </c>
      <c r="M203" s="752">
        <v>0</v>
      </c>
      <c r="N203" s="752">
        <v>49300</v>
      </c>
      <c r="O203" s="752">
        <v>3413.7599999999998</v>
      </c>
      <c r="P203" s="752">
        <v>0</v>
      </c>
      <c r="Q203" s="752">
        <v>4714.24</v>
      </c>
    </row>
    <row r="204" spans="1:17" ht="57">
      <c r="A204" s="735" t="s">
        <v>1598</v>
      </c>
      <c r="B204" s="736" t="s">
        <v>1805</v>
      </c>
      <c r="C204" s="737" t="s">
        <v>1806</v>
      </c>
      <c r="D204" s="738" t="s">
        <v>1807</v>
      </c>
      <c r="E204" s="745">
        <v>0</v>
      </c>
      <c r="F204" s="746">
        <v>0</v>
      </c>
      <c r="G204" s="749">
        <v>0.36</v>
      </c>
      <c r="H204" s="749">
        <v>0.64</v>
      </c>
      <c r="I204" s="749">
        <v>0</v>
      </c>
      <c r="K204" t="s">
        <v>1598</v>
      </c>
      <c r="L204" s="752">
        <v>0</v>
      </c>
      <c r="M204" s="752">
        <v>0</v>
      </c>
      <c r="N204" s="752">
        <v>0</v>
      </c>
      <c r="O204" s="752">
        <v>0</v>
      </c>
      <c r="P204" s="752">
        <v>0</v>
      </c>
      <c r="Q204" s="752">
        <v>0</v>
      </c>
    </row>
    <row r="205" spans="1:17" ht="71.25">
      <c r="A205" s="735" t="s">
        <v>1598</v>
      </c>
      <c r="B205" s="736" t="s">
        <v>1808</v>
      </c>
      <c r="C205" s="737" t="s">
        <v>1809</v>
      </c>
      <c r="D205" s="738" t="s">
        <v>1810</v>
      </c>
      <c r="E205" s="745">
        <v>58000</v>
      </c>
      <c r="F205" s="746">
        <v>20006.689999999999</v>
      </c>
      <c r="G205" s="749">
        <v>0.36</v>
      </c>
      <c r="H205" s="749">
        <v>0.64</v>
      </c>
      <c r="I205" s="749">
        <v>0</v>
      </c>
      <c r="K205" t="s">
        <v>1598</v>
      </c>
      <c r="L205" s="752">
        <v>20880</v>
      </c>
      <c r="M205" s="752">
        <v>0</v>
      </c>
      <c r="N205" s="752">
        <v>37120</v>
      </c>
      <c r="O205" s="752">
        <v>7202.4083999999993</v>
      </c>
      <c r="P205" s="752">
        <v>0</v>
      </c>
      <c r="Q205" s="752">
        <v>12804.2816</v>
      </c>
    </row>
    <row r="206" spans="1:17" ht="42.75">
      <c r="A206" s="735" t="s">
        <v>1598</v>
      </c>
      <c r="B206" s="736"/>
      <c r="C206" s="737" t="s">
        <v>1811</v>
      </c>
      <c r="D206" s="738" t="s">
        <v>1812</v>
      </c>
      <c r="E206" s="745">
        <v>0</v>
      </c>
      <c r="F206" s="746">
        <v>0</v>
      </c>
      <c r="G206" s="749">
        <v>0</v>
      </c>
      <c r="H206" s="749">
        <v>0.61</v>
      </c>
      <c r="I206" s="749">
        <v>0</v>
      </c>
      <c r="K206" t="s">
        <v>1598</v>
      </c>
      <c r="L206" s="752">
        <v>0</v>
      </c>
      <c r="M206" s="752">
        <v>0</v>
      </c>
      <c r="N206" s="752">
        <v>0</v>
      </c>
      <c r="O206" s="752">
        <v>0</v>
      </c>
      <c r="P206" s="752">
        <v>0</v>
      </c>
      <c r="Q206" s="752">
        <v>0</v>
      </c>
    </row>
    <row r="207" spans="1:17" ht="57">
      <c r="A207" s="735" t="s">
        <v>1598</v>
      </c>
      <c r="B207" s="736"/>
      <c r="C207" s="737" t="s">
        <v>1813</v>
      </c>
      <c r="D207" s="738" t="s">
        <v>1814</v>
      </c>
      <c r="E207" s="745">
        <v>906732.18</v>
      </c>
      <c r="F207" s="746">
        <v>906731.87</v>
      </c>
      <c r="G207" s="749">
        <v>0.3</v>
      </c>
      <c r="H207" s="749">
        <v>0.61</v>
      </c>
      <c r="I207" s="749">
        <v>0.09</v>
      </c>
      <c r="K207" t="s">
        <v>1598</v>
      </c>
      <c r="L207" s="752">
        <v>272019.65399999998</v>
      </c>
      <c r="M207" s="752">
        <v>81605.896200000003</v>
      </c>
      <c r="N207" s="752">
        <v>553106.6298</v>
      </c>
      <c r="O207" s="752">
        <v>272019.56099999999</v>
      </c>
      <c r="P207" s="752">
        <v>81605.868300000002</v>
      </c>
      <c r="Q207" s="752">
        <v>553106.44070000004</v>
      </c>
    </row>
    <row r="208" spans="1:17" ht="57">
      <c r="A208" s="735" t="s">
        <v>1598</v>
      </c>
      <c r="B208" s="736"/>
      <c r="C208" s="737" t="s">
        <v>1815</v>
      </c>
      <c r="D208" s="738" t="s">
        <v>1816</v>
      </c>
      <c r="E208" s="745">
        <v>181346.24</v>
      </c>
      <c r="F208" s="746">
        <v>181346</v>
      </c>
      <c r="G208" s="749">
        <v>0.3</v>
      </c>
      <c r="H208" s="749">
        <v>0.61</v>
      </c>
      <c r="I208" s="749">
        <v>0.09</v>
      </c>
      <c r="K208" t="s">
        <v>1598</v>
      </c>
      <c r="L208" s="752">
        <v>54403.871999999996</v>
      </c>
      <c r="M208" s="752">
        <v>16321.161599999999</v>
      </c>
      <c r="N208" s="752">
        <v>110621.2064</v>
      </c>
      <c r="O208" s="752">
        <v>54403.799999999996</v>
      </c>
      <c r="P208" s="752">
        <v>16321.14</v>
      </c>
      <c r="Q208" s="752">
        <v>110621.06</v>
      </c>
    </row>
    <row r="209" spans="1:17" ht="85.5">
      <c r="A209" s="735" t="s">
        <v>1598</v>
      </c>
      <c r="B209" s="736" t="s">
        <v>1817</v>
      </c>
      <c r="C209" s="737" t="s">
        <v>1818</v>
      </c>
      <c r="D209" s="738" t="s">
        <v>1819</v>
      </c>
      <c r="E209" s="745">
        <v>318240</v>
      </c>
      <c r="F209" s="746">
        <v>131896</v>
      </c>
      <c r="G209" s="749">
        <v>0.42</v>
      </c>
      <c r="H209" s="749">
        <v>0.2</v>
      </c>
      <c r="I209" s="749">
        <v>0.38</v>
      </c>
      <c r="K209" t="s">
        <v>1598</v>
      </c>
      <c r="L209" s="752">
        <v>133660.79999999999</v>
      </c>
      <c r="M209" s="752">
        <v>120931.2</v>
      </c>
      <c r="N209" s="752">
        <v>63648</v>
      </c>
      <c r="O209" s="752">
        <v>55396.32</v>
      </c>
      <c r="P209" s="752">
        <v>50120.480000000003</v>
      </c>
      <c r="Q209" s="752">
        <v>26379.200000000001</v>
      </c>
    </row>
    <row r="210" spans="1:17" ht="85.5">
      <c r="A210" s="735" t="s">
        <v>1598</v>
      </c>
      <c r="B210" s="736" t="s">
        <v>1820</v>
      </c>
      <c r="C210" s="737" t="s">
        <v>1821</v>
      </c>
      <c r="D210" s="738" t="s">
        <v>1822</v>
      </c>
      <c r="E210" s="745">
        <v>150000</v>
      </c>
      <c r="F210" s="746">
        <v>27261.25</v>
      </c>
      <c r="G210" s="749">
        <v>0.43</v>
      </c>
      <c r="H210" s="749">
        <v>0.1</v>
      </c>
      <c r="I210" s="749">
        <v>0.47</v>
      </c>
      <c r="K210" t="s">
        <v>1598</v>
      </c>
      <c r="L210" s="752">
        <v>64500</v>
      </c>
      <c r="M210" s="752">
        <v>70500</v>
      </c>
      <c r="N210" s="752">
        <v>15000</v>
      </c>
      <c r="O210" s="752">
        <v>11722.3375</v>
      </c>
      <c r="P210" s="752">
        <v>12812.787499999999</v>
      </c>
      <c r="Q210" s="752">
        <v>2726.125</v>
      </c>
    </row>
    <row r="211" spans="1:17" ht="57">
      <c r="A211" s="735" t="s">
        <v>1598</v>
      </c>
      <c r="B211" s="736"/>
      <c r="C211" s="737" t="s">
        <v>1823</v>
      </c>
      <c r="D211" s="738" t="s">
        <v>1824</v>
      </c>
      <c r="E211" s="745">
        <v>114000</v>
      </c>
      <c r="F211" s="746">
        <v>42648.32</v>
      </c>
      <c r="G211" s="749">
        <v>0</v>
      </c>
      <c r="H211" s="749">
        <v>1</v>
      </c>
      <c r="I211" s="749">
        <v>0</v>
      </c>
      <c r="K211" t="s">
        <v>1598</v>
      </c>
      <c r="L211" s="752">
        <v>0</v>
      </c>
      <c r="M211" s="752">
        <v>0</v>
      </c>
      <c r="N211" s="752">
        <v>114000</v>
      </c>
      <c r="O211" s="752">
        <v>0</v>
      </c>
      <c r="P211" s="752">
        <v>0</v>
      </c>
      <c r="Q211" s="752">
        <v>42648.32</v>
      </c>
    </row>
    <row r="212" spans="1:17" ht="57">
      <c r="A212" s="735" t="s">
        <v>1598</v>
      </c>
      <c r="B212" s="736"/>
      <c r="C212" s="737" t="s">
        <v>1825</v>
      </c>
      <c r="D212" s="738" t="s">
        <v>1826</v>
      </c>
      <c r="E212" s="745">
        <v>620000</v>
      </c>
      <c r="F212" s="746">
        <v>620085.01</v>
      </c>
      <c r="G212" s="749">
        <v>0</v>
      </c>
      <c r="H212" s="749">
        <v>0</v>
      </c>
      <c r="I212" s="749">
        <v>1</v>
      </c>
      <c r="K212" t="s">
        <v>1598</v>
      </c>
      <c r="L212" s="752">
        <v>0</v>
      </c>
      <c r="M212" s="752">
        <v>620000</v>
      </c>
      <c r="N212" s="752">
        <v>0</v>
      </c>
      <c r="O212" s="752">
        <v>0</v>
      </c>
      <c r="P212" s="752">
        <v>620085.01</v>
      </c>
      <c r="Q212" s="752">
        <v>0</v>
      </c>
    </row>
    <row r="213" spans="1:17" ht="85.5">
      <c r="A213" s="735" t="s">
        <v>1598</v>
      </c>
      <c r="B213" s="736"/>
      <c r="C213" s="737" t="s">
        <v>1827</v>
      </c>
      <c r="D213" s="738" t="s">
        <v>1828</v>
      </c>
      <c r="E213" s="745">
        <v>80000</v>
      </c>
      <c r="F213" s="746">
        <v>0</v>
      </c>
      <c r="G213" s="749">
        <v>0</v>
      </c>
      <c r="H213" s="749">
        <v>0</v>
      </c>
      <c r="I213" s="749">
        <v>1</v>
      </c>
      <c r="K213" t="s">
        <v>1598</v>
      </c>
      <c r="L213" s="752">
        <v>0</v>
      </c>
      <c r="M213" s="752">
        <v>80000</v>
      </c>
      <c r="N213" s="752">
        <v>0</v>
      </c>
      <c r="O213" s="752">
        <v>0</v>
      </c>
      <c r="P213" s="752">
        <v>0</v>
      </c>
      <c r="Q213" s="752">
        <v>0</v>
      </c>
    </row>
    <row r="214" spans="1:17" ht="57">
      <c r="A214" s="735" t="s">
        <v>1598</v>
      </c>
      <c r="B214" s="736"/>
      <c r="C214" s="737" t="s">
        <v>1829</v>
      </c>
      <c r="D214" s="738" t="s">
        <v>1830</v>
      </c>
      <c r="E214" s="745">
        <v>100000</v>
      </c>
      <c r="F214" s="746">
        <v>10000</v>
      </c>
      <c r="G214" s="749">
        <v>0.3</v>
      </c>
      <c r="H214" s="749">
        <v>0</v>
      </c>
      <c r="I214" s="749">
        <v>0.7</v>
      </c>
      <c r="K214" t="s">
        <v>1598</v>
      </c>
      <c r="L214" s="752">
        <v>30000</v>
      </c>
      <c r="M214" s="752">
        <v>70000</v>
      </c>
      <c r="N214" s="752">
        <v>0</v>
      </c>
      <c r="O214" s="752">
        <v>3000</v>
      </c>
      <c r="P214" s="752">
        <v>7000</v>
      </c>
      <c r="Q214" s="752">
        <v>0</v>
      </c>
    </row>
    <row r="215" spans="1:17" ht="71.25">
      <c r="A215" s="735" t="s">
        <v>1598</v>
      </c>
      <c r="B215" s="736" t="s">
        <v>1831</v>
      </c>
      <c r="C215" s="737" t="s">
        <v>1832</v>
      </c>
      <c r="D215" s="738" t="s">
        <v>1833</v>
      </c>
      <c r="E215" s="745">
        <v>50000</v>
      </c>
      <c r="F215" s="746">
        <v>0</v>
      </c>
      <c r="G215" s="749">
        <v>0</v>
      </c>
      <c r="H215" s="749">
        <v>0</v>
      </c>
      <c r="I215" s="749">
        <v>1</v>
      </c>
      <c r="K215" t="s">
        <v>1598</v>
      </c>
      <c r="L215" s="752">
        <v>0</v>
      </c>
      <c r="M215" s="752">
        <v>50000</v>
      </c>
      <c r="N215" s="752">
        <v>0</v>
      </c>
      <c r="O215" s="752">
        <v>0</v>
      </c>
      <c r="P215" s="752">
        <v>0</v>
      </c>
      <c r="Q215" s="752">
        <v>0</v>
      </c>
    </row>
    <row r="216" spans="1:17" ht="85.5">
      <c r="A216" s="735" t="s">
        <v>1598</v>
      </c>
      <c r="B216" s="736" t="s">
        <v>1834</v>
      </c>
      <c r="C216" s="737" t="s">
        <v>1835</v>
      </c>
      <c r="D216" s="738" t="s">
        <v>1836</v>
      </c>
      <c r="E216" s="745">
        <v>20000</v>
      </c>
      <c r="F216" s="746">
        <v>0</v>
      </c>
      <c r="G216" s="749">
        <v>0</v>
      </c>
      <c r="H216" s="749">
        <v>1</v>
      </c>
      <c r="I216" s="749">
        <v>0</v>
      </c>
      <c r="K216" t="s">
        <v>1598</v>
      </c>
      <c r="L216" s="752">
        <v>0</v>
      </c>
      <c r="M216" s="752">
        <v>0</v>
      </c>
      <c r="N216" s="752">
        <v>20000</v>
      </c>
      <c r="O216" s="752">
        <v>0</v>
      </c>
      <c r="P216" s="752">
        <v>0</v>
      </c>
      <c r="Q216" s="752">
        <v>0</v>
      </c>
    </row>
    <row r="217" spans="1:17" ht="57">
      <c r="A217" s="735" t="s">
        <v>1598</v>
      </c>
      <c r="B217" s="736" t="s">
        <v>1837</v>
      </c>
      <c r="C217" s="737" t="s">
        <v>1838</v>
      </c>
      <c r="D217" s="738" t="s">
        <v>1839</v>
      </c>
      <c r="E217" s="745">
        <v>17833</v>
      </c>
      <c r="F217" s="746">
        <v>10161.14</v>
      </c>
      <c r="G217" s="749">
        <v>0.2</v>
      </c>
      <c r="H217" s="749">
        <v>0.4</v>
      </c>
      <c r="I217" s="749">
        <v>0.4</v>
      </c>
      <c r="K217" t="s">
        <v>1598</v>
      </c>
      <c r="L217" s="752">
        <v>3566.6000000000004</v>
      </c>
      <c r="M217" s="752">
        <v>7133.2000000000007</v>
      </c>
      <c r="N217" s="752">
        <v>7133.2000000000007</v>
      </c>
      <c r="O217" s="752">
        <v>2032.2280000000001</v>
      </c>
      <c r="P217" s="752">
        <v>4064.4560000000001</v>
      </c>
      <c r="Q217" s="752">
        <v>4064.4560000000001</v>
      </c>
    </row>
    <row r="218" spans="1:17" ht="71.25">
      <c r="A218" s="735" t="s">
        <v>1598</v>
      </c>
      <c r="B218" s="736" t="s">
        <v>1840</v>
      </c>
      <c r="C218" s="737" t="s">
        <v>1841</v>
      </c>
      <c r="D218" s="738" t="s">
        <v>1842</v>
      </c>
      <c r="E218" s="745">
        <v>0</v>
      </c>
      <c r="F218" s="746">
        <v>0</v>
      </c>
      <c r="G218" s="749">
        <v>0</v>
      </c>
      <c r="H218" s="749">
        <v>0</v>
      </c>
      <c r="I218" s="749">
        <v>1</v>
      </c>
      <c r="K218" t="s">
        <v>1598</v>
      </c>
      <c r="L218" s="752">
        <v>0</v>
      </c>
      <c r="M218" s="752">
        <v>0</v>
      </c>
      <c r="N218" s="752">
        <v>0</v>
      </c>
      <c r="O218" s="752">
        <v>0</v>
      </c>
      <c r="P218" s="752">
        <v>0</v>
      </c>
      <c r="Q218" s="752">
        <v>0</v>
      </c>
    </row>
    <row r="219" spans="1:17" ht="71.25">
      <c r="A219" s="735" t="s">
        <v>1598</v>
      </c>
      <c r="B219" s="736" t="s">
        <v>1843</v>
      </c>
      <c r="C219" s="737" t="s">
        <v>1844</v>
      </c>
      <c r="D219" s="738" t="s">
        <v>1845</v>
      </c>
      <c r="E219" s="745">
        <v>0</v>
      </c>
      <c r="F219" s="746">
        <v>0</v>
      </c>
      <c r="G219" s="749">
        <v>0</v>
      </c>
      <c r="H219" s="749">
        <v>0</v>
      </c>
      <c r="I219" s="749">
        <v>1</v>
      </c>
      <c r="K219" t="s">
        <v>1598</v>
      </c>
      <c r="L219" s="752">
        <v>0</v>
      </c>
      <c r="M219" s="752">
        <v>0</v>
      </c>
      <c r="N219" s="752">
        <v>0</v>
      </c>
      <c r="O219" s="752">
        <v>0</v>
      </c>
      <c r="P219" s="752">
        <v>0</v>
      </c>
      <c r="Q219" s="752">
        <v>0</v>
      </c>
    </row>
    <row r="220" spans="1:17" ht="71.25">
      <c r="A220" s="735" t="s">
        <v>1598</v>
      </c>
      <c r="B220" s="736" t="s">
        <v>1846</v>
      </c>
      <c r="C220" s="737" t="s">
        <v>1847</v>
      </c>
      <c r="D220" s="738" t="s">
        <v>1848</v>
      </c>
      <c r="E220" s="745">
        <v>75000</v>
      </c>
      <c r="F220" s="746">
        <v>5858.15</v>
      </c>
      <c r="G220" s="749">
        <v>0</v>
      </c>
      <c r="H220" s="749">
        <v>0</v>
      </c>
      <c r="I220" s="749">
        <v>1</v>
      </c>
      <c r="K220" t="s">
        <v>1598</v>
      </c>
      <c r="L220" s="752">
        <v>0</v>
      </c>
      <c r="M220" s="752">
        <v>75000</v>
      </c>
      <c r="N220" s="752">
        <v>0</v>
      </c>
      <c r="O220" s="752">
        <v>0</v>
      </c>
      <c r="P220" s="752">
        <v>5858.15</v>
      </c>
      <c r="Q220" s="752">
        <v>0</v>
      </c>
    </row>
    <row r="221" spans="1:17" ht="71.25">
      <c r="A221" s="735" t="s">
        <v>1598</v>
      </c>
      <c r="B221" s="736" t="s">
        <v>1849</v>
      </c>
      <c r="C221" s="737" t="s">
        <v>1850</v>
      </c>
      <c r="D221" s="738" t="s">
        <v>1851</v>
      </c>
      <c r="E221" s="745">
        <v>75000</v>
      </c>
      <c r="F221" s="746">
        <v>6072.89</v>
      </c>
      <c r="G221" s="749">
        <v>0</v>
      </c>
      <c r="H221" s="749">
        <v>0</v>
      </c>
      <c r="I221" s="749">
        <v>1</v>
      </c>
      <c r="K221" t="s">
        <v>1598</v>
      </c>
      <c r="L221" s="752">
        <v>0</v>
      </c>
      <c r="M221" s="752">
        <v>75000</v>
      </c>
      <c r="N221" s="752">
        <v>0</v>
      </c>
      <c r="O221" s="752">
        <v>0</v>
      </c>
      <c r="P221" s="752">
        <v>6072.89</v>
      </c>
      <c r="Q221" s="752">
        <v>0</v>
      </c>
    </row>
    <row r="222" spans="1:17" ht="57">
      <c r="A222" s="735" t="s">
        <v>1598</v>
      </c>
      <c r="B222" s="736" t="s">
        <v>1852</v>
      </c>
      <c r="C222" s="737" t="s">
        <v>1853</v>
      </c>
      <c r="D222" s="738" t="s">
        <v>1854</v>
      </c>
      <c r="E222" s="745">
        <v>0</v>
      </c>
      <c r="F222" s="746">
        <v>0</v>
      </c>
      <c r="G222" s="749">
        <v>0.36</v>
      </c>
      <c r="H222" s="749">
        <v>0</v>
      </c>
      <c r="I222" s="749">
        <v>0.64</v>
      </c>
      <c r="K222" t="s">
        <v>1598</v>
      </c>
      <c r="L222" s="752">
        <v>0</v>
      </c>
      <c r="M222" s="752">
        <v>0</v>
      </c>
      <c r="N222" s="752">
        <v>0</v>
      </c>
      <c r="O222" s="752">
        <v>0</v>
      </c>
      <c r="P222" s="752">
        <v>0</v>
      </c>
      <c r="Q222" s="752">
        <v>0</v>
      </c>
    </row>
    <row r="223" spans="1:17" ht="71.25">
      <c r="A223" s="735" t="s">
        <v>1598</v>
      </c>
      <c r="B223" s="736" t="s">
        <v>1855</v>
      </c>
      <c r="C223" s="737" t="s">
        <v>1856</v>
      </c>
      <c r="D223" s="738" t="s">
        <v>1857</v>
      </c>
      <c r="E223" s="745">
        <v>0</v>
      </c>
      <c r="F223" s="746">
        <v>0</v>
      </c>
      <c r="G223" s="749">
        <v>0.36</v>
      </c>
      <c r="H223" s="749">
        <v>0</v>
      </c>
      <c r="I223" s="749">
        <v>0.64</v>
      </c>
      <c r="K223" t="s">
        <v>1598</v>
      </c>
      <c r="L223" s="752">
        <v>0</v>
      </c>
      <c r="M223" s="752">
        <v>0</v>
      </c>
      <c r="N223" s="752">
        <v>0</v>
      </c>
      <c r="O223" s="752">
        <v>0</v>
      </c>
      <c r="P223" s="752">
        <v>0</v>
      </c>
      <c r="Q223" s="752">
        <v>0</v>
      </c>
    </row>
    <row r="224" spans="1:17" ht="85.5">
      <c r="A224" s="735" t="s">
        <v>1598</v>
      </c>
      <c r="B224" s="736" t="s">
        <v>1858</v>
      </c>
      <c r="C224" s="737" t="s">
        <v>1859</v>
      </c>
      <c r="D224" s="738" t="s">
        <v>1860</v>
      </c>
      <c r="E224" s="745">
        <v>0</v>
      </c>
      <c r="F224" s="746">
        <v>0</v>
      </c>
      <c r="G224" s="749">
        <v>0</v>
      </c>
      <c r="H224" s="749">
        <v>0</v>
      </c>
      <c r="I224" s="749">
        <v>0</v>
      </c>
      <c r="K224" t="s">
        <v>1598</v>
      </c>
      <c r="L224" s="752">
        <v>0</v>
      </c>
      <c r="M224" s="752">
        <v>0</v>
      </c>
      <c r="N224" s="752">
        <v>0</v>
      </c>
      <c r="O224" s="752">
        <v>0</v>
      </c>
      <c r="P224" s="752">
        <v>0</v>
      </c>
      <c r="Q224" s="752">
        <v>0</v>
      </c>
    </row>
    <row r="225" spans="1:17" ht="71.25">
      <c r="A225" s="735" t="s">
        <v>1598</v>
      </c>
      <c r="B225" s="736" t="s">
        <v>1861</v>
      </c>
      <c r="C225" s="737" t="s">
        <v>1862</v>
      </c>
      <c r="D225" s="738" t="s">
        <v>1863</v>
      </c>
      <c r="E225" s="745">
        <v>0</v>
      </c>
      <c r="F225" s="746">
        <v>0</v>
      </c>
      <c r="G225" s="749">
        <v>0</v>
      </c>
      <c r="H225" s="749">
        <v>0</v>
      </c>
      <c r="I225" s="749">
        <v>0</v>
      </c>
      <c r="K225" t="s">
        <v>1598</v>
      </c>
      <c r="L225" s="752">
        <v>0</v>
      </c>
      <c r="M225" s="752">
        <v>0</v>
      </c>
      <c r="N225" s="752">
        <v>0</v>
      </c>
      <c r="O225" s="752">
        <v>0</v>
      </c>
      <c r="P225" s="752">
        <v>0</v>
      </c>
      <c r="Q225" s="752">
        <v>0</v>
      </c>
    </row>
    <row r="226" spans="1:17" ht="71.25">
      <c r="A226" s="735" t="s">
        <v>1598</v>
      </c>
      <c r="B226" s="736" t="s">
        <v>1864</v>
      </c>
      <c r="C226" s="737" t="s">
        <v>1865</v>
      </c>
      <c r="D226" s="738" t="s">
        <v>1866</v>
      </c>
      <c r="E226" s="745">
        <v>0</v>
      </c>
      <c r="F226" s="746">
        <v>0</v>
      </c>
      <c r="G226" s="749">
        <v>0</v>
      </c>
      <c r="H226" s="749">
        <v>0</v>
      </c>
      <c r="I226" s="749">
        <v>0</v>
      </c>
      <c r="K226" t="s">
        <v>1598</v>
      </c>
      <c r="L226" s="752">
        <v>0</v>
      </c>
      <c r="M226" s="752">
        <v>0</v>
      </c>
      <c r="N226" s="752">
        <v>0</v>
      </c>
      <c r="O226" s="752">
        <v>0</v>
      </c>
      <c r="P226" s="752">
        <v>0</v>
      </c>
      <c r="Q226" s="752">
        <v>0</v>
      </c>
    </row>
    <row r="227" spans="1:17" ht="71.25">
      <c r="A227" s="735" t="s">
        <v>1598</v>
      </c>
      <c r="B227" s="736" t="s">
        <v>1867</v>
      </c>
      <c r="C227" s="737" t="s">
        <v>1868</v>
      </c>
      <c r="D227" s="738" t="s">
        <v>1869</v>
      </c>
      <c r="E227" s="745">
        <v>0</v>
      </c>
      <c r="F227" s="746">
        <v>0</v>
      </c>
      <c r="G227" s="749">
        <v>0</v>
      </c>
      <c r="H227" s="749">
        <v>0</v>
      </c>
      <c r="I227" s="749">
        <v>0</v>
      </c>
      <c r="K227" t="s">
        <v>1598</v>
      </c>
      <c r="L227" s="752">
        <v>0</v>
      </c>
      <c r="M227" s="752">
        <v>0</v>
      </c>
      <c r="N227" s="752">
        <v>0</v>
      </c>
      <c r="O227" s="752">
        <v>0</v>
      </c>
      <c r="P227" s="752">
        <v>0</v>
      </c>
      <c r="Q227" s="752">
        <v>0</v>
      </c>
    </row>
    <row r="228" spans="1:17" ht="26.65" thickBot="1">
      <c r="A228" s="739" t="s">
        <v>1598</v>
      </c>
      <c r="B228" s="740"/>
      <c r="C228" s="741"/>
      <c r="D228" s="742" t="s">
        <v>1870</v>
      </c>
      <c r="E228" s="747">
        <v>92608048.120000005</v>
      </c>
      <c r="F228" s="747">
        <v>77839481.409999996</v>
      </c>
      <c r="G228" s="747"/>
      <c r="H228" s="747"/>
      <c r="I228" s="747"/>
      <c r="K228" t="s">
        <v>1598</v>
      </c>
      <c r="L228" s="752">
        <v>0</v>
      </c>
      <c r="M228" s="752">
        <v>0</v>
      </c>
      <c r="N228" s="752">
        <v>0</v>
      </c>
      <c r="O228" s="752">
        <v>0</v>
      </c>
      <c r="P228" s="752">
        <v>0</v>
      </c>
      <c r="Q228" s="752">
        <v>0</v>
      </c>
    </row>
    <row r="229" spans="1:17" ht="57">
      <c r="A229" s="735" t="s">
        <v>1871</v>
      </c>
      <c r="B229" s="736" t="s">
        <v>1872</v>
      </c>
      <c r="C229" s="737" t="s">
        <v>1873</v>
      </c>
      <c r="D229" s="738" t="s">
        <v>1874</v>
      </c>
      <c r="E229" s="745">
        <v>226750.16</v>
      </c>
      <c r="F229" s="746">
        <v>202079.64</v>
      </c>
      <c r="G229" s="749">
        <v>0</v>
      </c>
      <c r="H229" s="749">
        <v>1</v>
      </c>
      <c r="I229" s="749">
        <v>0</v>
      </c>
      <c r="K229" t="s">
        <v>1871</v>
      </c>
      <c r="L229" s="752">
        <v>0</v>
      </c>
      <c r="M229" s="752">
        <v>0</v>
      </c>
      <c r="N229" s="752">
        <v>226750.16</v>
      </c>
      <c r="O229" s="752">
        <v>0</v>
      </c>
      <c r="P229" s="752">
        <v>0</v>
      </c>
      <c r="Q229" s="752">
        <v>202079.64</v>
      </c>
    </row>
    <row r="230" spans="1:17" ht="71.25">
      <c r="A230" s="735" t="s">
        <v>1871</v>
      </c>
      <c r="B230" s="736" t="s">
        <v>1875</v>
      </c>
      <c r="C230" s="737" t="s">
        <v>1876</v>
      </c>
      <c r="D230" s="738" t="s">
        <v>1877</v>
      </c>
      <c r="E230" s="745">
        <v>0</v>
      </c>
      <c r="F230" s="746">
        <v>0</v>
      </c>
      <c r="G230" s="749">
        <v>0</v>
      </c>
      <c r="H230" s="749">
        <v>1</v>
      </c>
      <c r="I230" s="749">
        <v>0</v>
      </c>
      <c r="K230" t="s">
        <v>1871</v>
      </c>
      <c r="L230" s="752">
        <v>0</v>
      </c>
      <c r="M230" s="752">
        <v>0</v>
      </c>
      <c r="N230" s="752">
        <v>0</v>
      </c>
      <c r="O230" s="752">
        <v>0</v>
      </c>
      <c r="P230" s="752">
        <v>0</v>
      </c>
      <c r="Q230" s="752">
        <v>0</v>
      </c>
    </row>
    <row r="231" spans="1:17" ht="71.25">
      <c r="A231" s="735" t="s">
        <v>1871</v>
      </c>
      <c r="B231" s="736" t="s">
        <v>1878</v>
      </c>
      <c r="C231" s="737" t="s">
        <v>1879</v>
      </c>
      <c r="D231" s="738" t="s">
        <v>1880</v>
      </c>
      <c r="E231" s="745">
        <v>10676</v>
      </c>
      <c r="F231" s="746">
        <v>5580</v>
      </c>
      <c r="G231" s="749">
        <v>0</v>
      </c>
      <c r="H231" s="749">
        <v>1</v>
      </c>
      <c r="I231" s="749">
        <v>0</v>
      </c>
      <c r="K231" t="s">
        <v>1871</v>
      </c>
      <c r="L231" s="752">
        <v>0</v>
      </c>
      <c r="M231" s="752">
        <v>0</v>
      </c>
      <c r="N231" s="752">
        <v>10676</v>
      </c>
      <c r="O231" s="752">
        <v>0</v>
      </c>
      <c r="P231" s="752">
        <v>0</v>
      </c>
      <c r="Q231" s="752">
        <v>5580</v>
      </c>
    </row>
    <row r="232" spans="1:17" ht="42.75">
      <c r="A232" s="735" t="s">
        <v>1871</v>
      </c>
      <c r="B232" s="736" t="s">
        <v>1881</v>
      </c>
      <c r="C232" s="737" t="s">
        <v>1882</v>
      </c>
      <c r="D232" s="738" t="s">
        <v>1883</v>
      </c>
      <c r="E232" s="745">
        <v>5758</v>
      </c>
      <c r="F232" s="746">
        <v>13197.68</v>
      </c>
      <c r="G232" s="749">
        <v>0</v>
      </c>
      <c r="H232" s="749">
        <v>0.5</v>
      </c>
      <c r="I232" s="749">
        <v>0.5</v>
      </c>
      <c r="K232" t="s">
        <v>1871</v>
      </c>
      <c r="L232" s="752">
        <v>0</v>
      </c>
      <c r="M232" s="752">
        <v>2879</v>
      </c>
      <c r="N232" s="752">
        <v>2879</v>
      </c>
      <c r="O232" s="752">
        <v>0</v>
      </c>
      <c r="P232" s="752">
        <v>6598.84</v>
      </c>
      <c r="Q232" s="752">
        <v>6598.84</v>
      </c>
    </row>
    <row r="233" spans="1:17" ht="57">
      <c r="A233" s="735" t="s">
        <v>1871</v>
      </c>
      <c r="B233" s="736" t="s">
        <v>1884</v>
      </c>
      <c r="C233" s="737" t="s">
        <v>1885</v>
      </c>
      <c r="D233" s="738" t="s">
        <v>1886</v>
      </c>
      <c r="E233" s="745">
        <v>7654</v>
      </c>
      <c r="F233" s="746">
        <v>0</v>
      </c>
      <c r="G233" s="749">
        <v>0</v>
      </c>
      <c r="H233" s="749">
        <v>0.5</v>
      </c>
      <c r="I233" s="749">
        <v>0.5</v>
      </c>
      <c r="K233" t="s">
        <v>1871</v>
      </c>
      <c r="L233" s="752">
        <v>0</v>
      </c>
      <c r="M233" s="752">
        <v>3827</v>
      </c>
      <c r="N233" s="752">
        <v>3827</v>
      </c>
      <c r="O233" s="752">
        <v>0</v>
      </c>
      <c r="P233" s="752">
        <v>0</v>
      </c>
      <c r="Q233" s="752">
        <v>0</v>
      </c>
    </row>
    <row r="234" spans="1:17" ht="57">
      <c r="A234" s="735" t="s">
        <v>1871</v>
      </c>
      <c r="B234" s="736" t="s">
        <v>1887</v>
      </c>
      <c r="C234" s="737" t="s">
        <v>1888</v>
      </c>
      <c r="D234" s="738" t="s">
        <v>1889</v>
      </c>
      <c r="E234" s="745">
        <v>405526.4</v>
      </c>
      <c r="F234" s="746">
        <v>3890</v>
      </c>
      <c r="G234" s="749">
        <v>0</v>
      </c>
      <c r="H234" s="749">
        <v>1</v>
      </c>
      <c r="I234" s="749">
        <v>0</v>
      </c>
      <c r="K234" t="s">
        <v>1871</v>
      </c>
      <c r="L234" s="752">
        <v>0</v>
      </c>
      <c r="M234" s="752">
        <v>0</v>
      </c>
      <c r="N234" s="752">
        <v>405526.4</v>
      </c>
      <c r="O234" s="752">
        <v>0</v>
      </c>
      <c r="P234" s="752">
        <v>0</v>
      </c>
      <c r="Q234" s="752">
        <v>3890</v>
      </c>
    </row>
    <row r="235" spans="1:17" ht="57">
      <c r="A235" s="735" t="s">
        <v>1871</v>
      </c>
      <c r="B235" s="736" t="s">
        <v>1890</v>
      </c>
      <c r="C235" s="737" t="s">
        <v>1891</v>
      </c>
      <c r="D235" s="738" t="s">
        <v>1892</v>
      </c>
      <c r="E235" s="745">
        <v>0</v>
      </c>
      <c r="F235" s="746">
        <v>0</v>
      </c>
      <c r="G235" s="749">
        <v>0.37419999999999998</v>
      </c>
      <c r="H235" s="749">
        <v>0</v>
      </c>
      <c r="I235" s="749">
        <v>0.62580000000000002</v>
      </c>
      <c r="K235" t="s">
        <v>1871</v>
      </c>
      <c r="L235" s="752">
        <v>0</v>
      </c>
      <c r="M235" s="752">
        <v>0</v>
      </c>
      <c r="N235" s="752">
        <v>0</v>
      </c>
      <c r="O235" s="752">
        <v>0</v>
      </c>
      <c r="P235" s="752">
        <v>0</v>
      </c>
      <c r="Q235" s="752">
        <v>0</v>
      </c>
    </row>
    <row r="236" spans="1:17" ht="57">
      <c r="A236" s="735" t="s">
        <v>1871</v>
      </c>
      <c r="B236" s="736" t="s">
        <v>1893</v>
      </c>
      <c r="C236" s="737" t="s">
        <v>1894</v>
      </c>
      <c r="D236" s="738" t="s">
        <v>1895</v>
      </c>
      <c r="E236" s="745">
        <v>380000</v>
      </c>
      <c r="F236" s="746">
        <v>38595</v>
      </c>
      <c r="G236" s="749">
        <v>0.35249999999999998</v>
      </c>
      <c r="H236" s="749">
        <v>0</v>
      </c>
      <c r="I236" s="749">
        <v>0.64749999999999996</v>
      </c>
      <c r="K236" t="s">
        <v>1871</v>
      </c>
      <c r="L236" s="752">
        <v>133950</v>
      </c>
      <c r="M236" s="752">
        <v>246050</v>
      </c>
      <c r="N236" s="752">
        <v>0</v>
      </c>
      <c r="O236" s="752">
        <v>13604.737499999999</v>
      </c>
      <c r="P236" s="752">
        <v>24990.262499999997</v>
      </c>
      <c r="Q236" s="752">
        <v>0</v>
      </c>
    </row>
    <row r="237" spans="1:17" ht="57">
      <c r="A237" s="735" t="s">
        <v>1871</v>
      </c>
      <c r="B237" s="736" t="s">
        <v>1896</v>
      </c>
      <c r="C237" s="737" t="s">
        <v>1897</v>
      </c>
      <c r="D237" s="738" t="s">
        <v>1898</v>
      </c>
      <c r="E237" s="745">
        <v>0</v>
      </c>
      <c r="F237" s="746">
        <v>0</v>
      </c>
      <c r="G237" s="749">
        <v>0</v>
      </c>
      <c r="H237" s="749">
        <v>1</v>
      </c>
      <c r="I237" s="749">
        <v>0</v>
      </c>
      <c r="K237" t="s">
        <v>1871</v>
      </c>
      <c r="L237" s="752">
        <v>0</v>
      </c>
      <c r="M237" s="752">
        <v>0</v>
      </c>
      <c r="N237" s="752">
        <v>0</v>
      </c>
      <c r="O237" s="752">
        <v>0</v>
      </c>
      <c r="P237" s="752">
        <v>0</v>
      </c>
      <c r="Q237" s="752">
        <v>0</v>
      </c>
    </row>
    <row r="238" spans="1:17" ht="52.9" thickBot="1">
      <c r="A238" s="739" t="s">
        <v>1871</v>
      </c>
      <c r="B238" s="740"/>
      <c r="C238" s="741"/>
      <c r="D238" s="742" t="s">
        <v>1899</v>
      </c>
      <c r="E238" s="747">
        <v>1036364.56</v>
      </c>
      <c r="F238" s="747">
        <v>263342.32</v>
      </c>
      <c r="G238" s="747"/>
      <c r="H238" s="747"/>
      <c r="I238" s="747"/>
      <c r="K238" t="s">
        <v>1871</v>
      </c>
      <c r="L238" s="752">
        <v>0</v>
      </c>
      <c r="M238" s="752">
        <v>0</v>
      </c>
      <c r="N238" s="752">
        <v>0</v>
      </c>
      <c r="O238" s="752">
        <v>0</v>
      </c>
      <c r="P238" s="752">
        <v>0</v>
      </c>
      <c r="Q238" s="752">
        <v>0</v>
      </c>
    </row>
    <row r="239" spans="1:17" ht="71.25">
      <c r="A239" s="735" t="s">
        <v>1210</v>
      </c>
      <c r="B239" s="736" t="s">
        <v>1900</v>
      </c>
      <c r="C239" s="737" t="s">
        <v>1901</v>
      </c>
      <c r="D239" s="738" t="s">
        <v>1902</v>
      </c>
      <c r="E239" s="745">
        <v>1310416</v>
      </c>
      <c r="F239" s="746">
        <v>1759098.35</v>
      </c>
      <c r="G239" s="749">
        <v>0</v>
      </c>
      <c r="H239" s="749">
        <v>1</v>
      </c>
      <c r="I239" s="749">
        <v>0</v>
      </c>
      <c r="K239" t="s">
        <v>1210</v>
      </c>
      <c r="L239" s="752">
        <v>0</v>
      </c>
      <c r="M239" s="752">
        <v>0</v>
      </c>
      <c r="N239" s="752">
        <v>1310416</v>
      </c>
      <c r="O239" s="752">
        <v>0</v>
      </c>
      <c r="P239" s="752">
        <v>0</v>
      </c>
      <c r="Q239" s="752">
        <v>1759098.35</v>
      </c>
    </row>
    <row r="240" spans="1:17" ht="57">
      <c r="A240" s="735" t="s">
        <v>1210</v>
      </c>
      <c r="B240" s="736" t="s">
        <v>1903</v>
      </c>
      <c r="C240" s="737" t="s">
        <v>1904</v>
      </c>
      <c r="D240" s="738" t="s">
        <v>1905</v>
      </c>
      <c r="E240" s="745">
        <v>747128</v>
      </c>
      <c r="F240" s="746">
        <v>642527.06999999995</v>
      </c>
      <c r="G240" s="749">
        <v>0</v>
      </c>
      <c r="H240" s="749">
        <v>1</v>
      </c>
      <c r="I240" s="749">
        <v>0</v>
      </c>
      <c r="K240" t="s">
        <v>1210</v>
      </c>
      <c r="L240" s="752">
        <v>0</v>
      </c>
      <c r="M240" s="752">
        <v>0</v>
      </c>
      <c r="N240" s="752">
        <v>747128</v>
      </c>
      <c r="O240" s="752">
        <v>0</v>
      </c>
      <c r="P240" s="752">
        <v>0</v>
      </c>
      <c r="Q240" s="752">
        <v>642527.06999999995</v>
      </c>
    </row>
    <row r="241" spans="1:17" ht="71.25">
      <c r="A241" s="735" t="s">
        <v>1210</v>
      </c>
      <c r="B241" s="736" t="s">
        <v>1906</v>
      </c>
      <c r="C241" s="737" t="s">
        <v>1907</v>
      </c>
      <c r="D241" s="738" t="s">
        <v>1908</v>
      </c>
      <c r="E241" s="745">
        <v>216486</v>
      </c>
      <c r="F241" s="746">
        <v>149438.87</v>
      </c>
      <c r="G241" s="749">
        <v>0</v>
      </c>
      <c r="H241" s="749">
        <v>1</v>
      </c>
      <c r="I241" s="749">
        <v>0</v>
      </c>
      <c r="K241" t="s">
        <v>1210</v>
      </c>
      <c r="L241" s="752">
        <v>0</v>
      </c>
      <c r="M241" s="752">
        <v>0</v>
      </c>
      <c r="N241" s="752">
        <v>216486</v>
      </c>
      <c r="O241" s="752">
        <v>0</v>
      </c>
      <c r="P241" s="752">
        <v>0</v>
      </c>
      <c r="Q241" s="752">
        <v>149438.87</v>
      </c>
    </row>
    <row r="242" spans="1:17" ht="57">
      <c r="A242" s="735" t="s">
        <v>1210</v>
      </c>
      <c r="B242" s="736" t="s">
        <v>1909</v>
      </c>
      <c r="C242" s="737" t="s">
        <v>1910</v>
      </c>
      <c r="D242" s="738" t="s">
        <v>1911</v>
      </c>
      <c r="E242" s="745">
        <v>70809</v>
      </c>
      <c r="F242" s="746">
        <v>100134.24</v>
      </c>
      <c r="G242" s="749">
        <v>0</v>
      </c>
      <c r="H242" s="749">
        <v>1</v>
      </c>
      <c r="I242" s="749">
        <v>0</v>
      </c>
      <c r="K242" t="s">
        <v>1210</v>
      </c>
      <c r="L242" s="752">
        <v>0</v>
      </c>
      <c r="M242" s="752">
        <v>0</v>
      </c>
      <c r="N242" s="752">
        <v>70809</v>
      </c>
      <c r="O242" s="752">
        <v>0</v>
      </c>
      <c r="P242" s="752">
        <v>0</v>
      </c>
      <c r="Q242" s="752">
        <v>100134.24</v>
      </c>
    </row>
    <row r="243" spans="1:17" ht="71.25">
      <c r="A243" s="735" t="s">
        <v>1210</v>
      </c>
      <c r="B243" s="736" t="s">
        <v>1912</v>
      </c>
      <c r="C243" s="737" t="s">
        <v>1913</v>
      </c>
      <c r="D243" s="738" t="s">
        <v>1914</v>
      </c>
      <c r="E243" s="745">
        <v>736348</v>
      </c>
      <c r="F243" s="746">
        <v>256353.18</v>
      </c>
      <c r="G243" s="749">
        <v>0</v>
      </c>
      <c r="H243" s="749">
        <v>1</v>
      </c>
      <c r="I243" s="749">
        <v>0</v>
      </c>
      <c r="K243" t="s">
        <v>1210</v>
      </c>
      <c r="L243" s="752">
        <v>0</v>
      </c>
      <c r="M243" s="752">
        <v>0</v>
      </c>
      <c r="N243" s="752">
        <v>736348</v>
      </c>
      <c r="O243" s="752">
        <v>0</v>
      </c>
      <c r="P243" s="752">
        <v>0</v>
      </c>
      <c r="Q243" s="752">
        <v>256353.18</v>
      </c>
    </row>
    <row r="244" spans="1:17" ht="71.25">
      <c r="A244" s="735" t="s">
        <v>1210</v>
      </c>
      <c r="B244" s="736" t="s">
        <v>1915</v>
      </c>
      <c r="C244" s="737" t="s">
        <v>1916</v>
      </c>
      <c r="D244" s="738" t="s">
        <v>1917</v>
      </c>
      <c r="E244" s="745">
        <v>27874</v>
      </c>
      <c r="F244" s="746">
        <v>26043.89</v>
      </c>
      <c r="G244" s="749">
        <v>0</v>
      </c>
      <c r="H244" s="749">
        <v>1</v>
      </c>
      <c r="I244" s="749">
        <v>0</v>
      </c>
      <c r="K244" t="s">
        <v>1210</v>
      </c>
      <c r="L244" s="752">
        <v>0</v>
      </c>
      <c r="M244" s="752">
        <v>0</v>
      </c>
      <c r="N244" s="752">
        <v>27874</v>
      </c>
      <c r="O244" s="752">
        <v>0</v>
      </c>
      <c r="P244" s="752">
        <v>0</v>
      </c>
      <c r="Q244" s="752">
        <v>26043.89</v>
      </c>
    </row>
    <row r="245" spans="1:17" ht="57">
      <c r="A245" s="735" t="s">
        <v>1210</v>
      </c>
      <c r="B245" s="736" t="s">
        <v>1918</v>
      </c>
      <c r="C245" s="737" t="s">
        <v>1919</v>
      </c>
      <c r="D245" s="738" t="s">
        <v>1920</v>
      </c>
      <c r="E245" s="745">
        <v>14039</v>
      </c>
      <c r="F245" s="746">
        <v>0</v>
      </c>
      <c r="G245" s="749">
        <v>0</v>
      </c>
      <c r="H245" s="749">
        <v>1</v>
      </c>
      <c r="I245" s="749">
        <v>0</v>
      </c>
      <c r="K245" t="s">
        <v>1210</v>
      </c>
      <c r="L245" s="752">
        <v>0</v>
      </c>
      <c r="M245" s="752">
        <v>0</v>
      </c>
      <c r="N245" s="752">
        <v>14039</v>
      </c>
      <c r="O245" s="752">
        <v>0</v>
      </c>
      <c r="P245" s="752">
        <v>0</v>
      </c>
      <c r="Q245" s="752">
        <v>0</v>
      </c>
    </row>
    <row r="246" spans="1:17" ht="57">
      <c r="A246" s="735" t="s">
        <v>1210</v>
      </c>
      <c r="B246" s="736" t="s">
        <v>1921</v>
      </c>
      <c r="C246" s="737" t="s">
        <v>1922</v>
      </c>
      <c r="D246" s="738" t="s">
        <v>1923</v>
      </c>
      <c r="E246" s="745">
        <v>11000000</v>
      </c>
      <c r="F246" s="746">
        <v>10999933.880000001</v>
      </c>
      <c r="G246" s="749">
        <v>0.35320000000000001</v>
      </c>
      <c r="H246" s="749">
        <v>0</v>
      </c>
      <c r="I246" s="749">
        <v>0.64680000000000004</v>
      </c>
      <c r="K246" t="s">
        <v>1210</v>
      </c>
      <c r="L246" s="752">
        <v>3885200</v>
      </c>
      <c r="M246" s="752">
        <v>7114800</v>
      </c>
      <c r="N246" s="752">
        <v>0</v>
      </c>
      <c r="O246" s="752">
        <v>3885176.6464160006</v>
      </c>
      <c r="P246" s="752">
        <v>7114757.2335840007</v>
      </c>
      <c r="Q246" s="752">
        <v>0</v>
      </c>
    </row>
    <row r="247" spans="1:17" ht="57">
      <c r="A247" s="735" t="s">
        <v>1210</v>
      </c>
      <c r="B247" s="736" t="s">
        <v>1924</v>
      </c>
      <c r="C247" s="737" t="s">
        <v>1925</v>
      </c>
      <c r="D247" s="738" t="s">
        <v>1926</v>
      </c>
      <c r="E247" s="745">
        <v>200000</v>
      </c>
      <c r="F247" s="746">
        <v>226500.16</v>
      </c>
      <c r="G247" s="749">
        <v>0.1</v>
      </c>
      <c r="H247" s="749">
        <v>0</v>
      </c>
      <c r="I247" s="749">
        <v>0.9</v>
      </c>
      <c r="K247" t="s">
        <v>1210</v>
      </c>
      <c r="L247" s="752">
        <v>20000</v>
      </c>
      <c r="M247" s="752">
        <v>180000</v>
      </c>
      <c r="N247" s="752">
        <v>0</v>
      </c>
      <c r="O247" s="752">
        <v>22650.016000000003</v>
      </c>
      <c r="P247" s="752">
        <v>203850.144</v>
      </c>
      <c r="Q247" s="752">
        <v>0</v>
      </c>
    </row>
    <row r="248" spans="1:17" ht="71.25">
      <c r="A248" s="735" t="s">
        <v>1210</v>
      </c>
      <c r="B248" s="736" t="s">
        <v>1927</v>
      </c>
      <c r="C248" s="737" t="s">
        <v>1928</v>
      </c>
      <c r="D248" s="738" t="s">
        <v>1929</v>
      </c>
      <c r="E248" s="745">
        <v>0</v>
      </c>
      <c r="F248" s="746">
        <v>0</v>
      </c>
      <c r="G248" s="749">
        <v>0.2858</v>
      </c>
      <c r="H248" s="749">
        <v>0.35709999999999997</v>
      </c>
      <c r="I248" s="749">
        <v>0.35709999999999997</v>
      </c>
      <c r="K248" t="s">
        <v>1210</v>
      </c>
      <c r="L248" s="752">
        <v>0</v>
      </c>
      <c r="M248" s="752">
        <v>0</v>
      </c>
      <c r="N248" s="752">
        <v>0</v>
      </c>
      <c r="O248" s="752">
        <v>0</v>
      </c>
      <c r="P248" s="752">
        <v>0</v>
      </c>
      <c r="Q248" s="752">
        <v>0</v>
      </c>
    </row>
    <row r="249" spans="1:17" ht="71.25">
      <c r="A249" s="735" t="s">
        <v>1210</v>
      </c>
      <c r="B249" s="736" t="s">
        <v>1930</v>
      </c>
      <c r="C249" s="737" t="s">
        <v>1931</v>
      </c>
      <c r="D249" s="738" t="s">
        <v>1932</v>
      </c>
      <c r="E249" s="745">
        <v>2967990</v>
      </c>
      <c r="F249" s="746">
        <v>2910451.45</v>
      </c>
      <c r="G249" s="749">
        <v>0.46089999999999998</v>
      </c>
      <c r="H249" s="749">
        <v>0</v>
      </c>
      <c r="I249" s="749">
        <v>0.53910000000000002</v>
      </c>
      <c r="K249" t="s">
        <v>1210</v>
      </c>
      <c r="L249" s="752">
        <v>1367946.591</v>
      </c>
      <c r="M249" s="752">
        <v>1600043.409</v>
      </c>
      <c r="N249" s="752">
        <v>0</v>
      </c>
      <c r="O249" s="752">
        <v>1341427.0733050001</v>
      </c>
      <c r="P249" s="752">
        <v>1569024.3766950001</v>
      </c>
      <c r="Q249" s="752">
        <v>0</v>
      </c>
    </row>
    <row r="250" spans="1:17" ht="57">
      <c r="A250" s="735" t="s">
        <v>1210</v>
      </c>
      <c r="B250" s="736" t="s">
        <v>1933</v>
      </c>
      <c r="C250" s="737" t="s">
        <v>1934</v>
      </c>
      <c r="D250" s="738" t="s">
        <v>1935</v>
      </c>
      <c r="E250" s="745">
        <v>1518454.61</v>
      </c>
      <c r="F250" s="746">
        <v>1443523.99</v>
      </c>
      <c r="G250" s="749">
        <v>0</v>
      </c>
      <c r="H250" s="749">
        <v>1</v>
      </c>
      <c r="I250" s="749">
        <v>0</v>
      </c>
      <c r="K250" t="s">
        <v>1210</v>
      </c>
      <c r="L250" s="752">
        <v>0</v>
      </c>
      <c r="M250" s="752">
        <v>0</v>
      </c>
      <c r="N250" s="752">
        <v>1518454.61</v>
      </c>
      <c r="O250" s="752">
        <v>0</v>
      </c>
      <c r="P250" s="752">
        <v>0</v>
      </c>
      <c r="Q250" s="752">
        <v>1443523.99</v>
      </c>
    </row>
    <row r="251" spans="1:17" ht="71.25">
      <c r="A251" s="735" t="s">
        <v>1210</v>
      </c>
      <c r="B251" s="753" t="s">
        <v>1936</v>
      </c>
      <c r="C251" s="737" t="s">
        <v>1937</v>
      </c>
      <c r="D251" s="738" t="s">
        <v>1938</v>
      </c>
      <c r="E251" s="745">
        <v>0</v>
      </c>
      <c r="F251" s="746">
        <v>0</v>
      </c>
      <c r="G251" s="749">
        <v>0.8</v>
      </c>
      <c r="H251" s="749">
        <v>0</v>
      </c>
      <c r="I251" s="749">
        <v>0.2</v>
      </c>
      <c r="K251" t="s">
        <v>1210</v>
      </c>
      <c r="L251" s="752">
        <v>0</v>
      </c>
      <c r="M251" s="752">
        <v>0</v>
      </c>
      <c r="N251" s="752">
        <v>0</v>
      </c>
      <c r="O251" s="752">
        <v>0</v>
      </c>
      <c r="P251" s="752">
        <v>0</v>
      </c>
      <c r="Q251" s="752">
        <v>0</v>
      </c>
    </row>
    <row r="252" spans="1:17" ht="57">
      <c r="A252" s="735" t="s">
        <v>1210</v>
      </c>
      <c r="B252" s="736" t="s">
        <v>1939</v>
      </c>
      <c r="C252" s="737" t="s">
        <v>1940</v>
      </c>
      <c r="D252" s="738" t="s">
        <v>1941</v>
      </c>
      <c r="E252" s="745">
        <v>542054.93999999994</v>
      </c>
      <c r="F252" s="746">
        <v>410753.83</v>
      </c>
      <c r="G252" s="749">
        <v>0.24</v>
      </c>
      <c r="H252" s="749">
        <v>0</v>
      </c>
      <c r="I252" s="749">
        <v>0.76</v>
      </c>
      <c r="K252" t="s">
        <v>1210</v>
      </c>
      <c r="L252" s="752">
        <v>130093.18559999998</v>
      </c>
      <c r="M252" s="752">
        <v>411961.75439999998</v>
      </c>
      <c r="N252" s="752">
        <v>0</v>
      </c>
      <c r="O252" s="752">
        <v>98580.919200000004</v>
      </c>
      <c r="P252" s="752">
        <v>312172.91080000001</v>
      </c>
      <c r="Q252" s="752">
        <v>0</v>
      </c>
    </row>
    <row r="253" spans="1:17" ht="57">
      <c r="A253" s="735" t="s">
        <v>1210</v>
      </c>
      <c r="B253" s="736" t="s">
        <v>1942</v>
      </c>
      <c r="C253" s="737" t="s">
        <v>1943</v>
      </c>
      <c r="D253" s="738" t="s">
        <v>1944</v>
      </c>
      <c r="E253" s="745">
        <v>2606795</v>
      </c>
      <c r="F253" s="746">
        <v>2969791.16</v>
      </c>
      <c r="G253" s="749">
        <v>0.22320000000000001</v>
      </c>
      <c r="H253" s="749">
        <v>0</v>
      </c>
      <c r="I253" s="749">
        <v>0.77680000000000005</v>
      </c>
      <c r="K253" t="s">
        <v>1210</v>
      </c>
      <c r="L253" s="752">
        <v>581836.64399999997</v>
      </c>
      <c r="M253" s="752">
        <v>2024958.3560000001</v>
      </c>
      <c r="N253" s="752">
        <v>0</v>
      </c>
      <c r="O253" s="752">
        <v>662857.38691200002</v>
      </c>
      <c r="P253" s="752">
        <v>2306933.7730880002</v>
      </c>
      <c r="Q253" s="752">
        <v>0</v>
      </c>
    </row>
    <row r="254" spans="1:17" ht="57">
      <c r="A254" s="735" t="s">
        <v>1210</v>
      </c>
      <c r="B254" s="736" t="s">
        <v>1945</v>
      </c>
      <c r="C254" s="737" t="s">
        <v>1946</v>
      </c>
      <c r="D254" s="738" t="s">
        <v>1947</v>
      </c>
      <c r="E254" s="745">
        <v>8872</v>
      </c>
      <c r="F254" s="746">
        <v>1076.8</v>
      </c>
      <c r="G254" s="749">
        <v>8.9399999999999993E-2</v>
      </c>
      <c r="H254" s="749">
        <v>0</v>
      </c>
      <c r="I254" s="749">
        <v>0.91059999999999997</v>
      </c>
      <c r="K254" t="s">
        <v>1210</v>
      </c>
      <c r="L254" s="752">
        <v>793.15679999999998</v>
      </c>
      <c r="M254" s="752">
        <v>8078.8431999999993</v>
      </c>
      <c r="N254" s="752">
        <v>0</v>
      </c>
      <c r="O254" s="752">
        <v>96.265919999999994</v>
      </c>
      <c r="P254" s="752">
        <v>980.5340799999999</v>
      </c>
      <c r="Q254" s="752">
        <v>0</v>
      </c>
    </row>
    <row r="255" spans="1:17" ht="71.25">
      <c r="A255" s="735" t="s">
        <v>1210</v>
      </c>
      <c r="B255" s="736" t="s">
        <v>1948</v>
      </c>
      <c r="C255" s="737" t="s">
        <v>1949</v>
      </c>
      <c r="D255" s="738" t="s">
        <v>1950</v>
      </c>
      <c r="E255" s="745">
        <v>0</v>
      </c>
      <c r="F255" s="746">
        <v>0</v>
      </c>
      <c r="G255" s="749">
        <v>0.2175</v>
      </c>
      <c r="H255" s="749">
        <v>0</v>
      </c>
      <c r="I255" s="749">
        <v>0.78249999999999997</v>
      </c>
      <c r="K255" t="s">
        <v>1210</v>
      </c>
      <c r="L255" s="752">
        <v>0</v>
      </c>
      <c r="M255" s="752">
        <v>0</v>
      </c>
      <c r="N255" s="752">
        <v>0</v>
      </c>
      <c r="O255" s="752">
        <v>0</v>
      </c>
      <c r="P255" s="752">
        <v>0</v>
      </c>
      <c r="Q255" s="752">
        <v>0</v>
      </c>
    </row>
    <row r="256" spans="1:17" ht="57">
      <c r="A256" s="735" t="s">
        <v>1210</v>
      </c>
      <c r="B256" s="736" t="s">
        <v>1951</v>
      </c>
      <c r="C256" s="737" t="s">
        <v>1952</v>
      </c>
      <c r="D256" s="738" t="s">
        <v>1953</v>
      </c>
      <c r="E256" s="745">
        <v>5000</v>
      </c>
      <c r="F256" s="746">
        <v>2380</v>
      </c>
      <c r="G256" s="749">
        <v>0.21479999999999999</v>
      </c>
      <c r="H256" s="749">
        <v>0</v>
      </c>
      <c r="I256" s="749">
        <v>0.78520000000000001</v>
      </c>
      <c r="K256" t="s">
        <v>1210</v>
      </c>
      <c r="L256" s="752">
        <v>1074</v>
      </c>
      <c r="M256" s="752">
        <v>3926</v>
      </c>
      <c r="N256" s="752">
        <v>0</v>
      </c>
      <c r="O256" s="752">
        <v>511.22399999999999</v>
      </c>
      <c r="P256" s="752">
        <v>1868.7760000000001</v>
      </c>
      <c r="Q256" s="752">
        <v>0</v>
      </c>
    </row>
    <row r="257" spans="1:17" ht="71.25">
      <c r="A257" s="735" t="s">
        <v>1210</v>
      </c>
      <c r="B257" s="736" t="s">
        <v>1954</v>
      </c>
      <c r="C257" s="737" t="s">
        <v>1955</v>
      </c>
      <c r="D257" s="738" t="s">
        <v>1956</v>
      </c>
      <c r="E257" s="745">
        <v>53682.45</v>
      </c>
      <c r="F257" s="746">
        <v>22005.66</v>
      </c>
      <c r="G257" s="749">
        <v>0.1055</v>
      </c>
      <c r="H257" s="749">
        <v>0</v>
      </c>
      <c r="I257" s="749">
        <v>0.89449999999999996</v>
      </c>
      <c r="K257" t="s">
        <v>1210</v>
      </c>
      <c r="L257" s="752">
        <v>5663.4984749999994</v>
      </c>
      <c r="M257" s="752">
        <v>48018.951524999997</v>
      </c>
      <c r="N257" s="752">
        <v>0</v>
      </c>
      <c r="O257" s="752">
        <v>2321.5971300000001</v>
      </c>
      <c r="P257" s="752">
        <v>19684.062869999998</v>
      </c>
      <c r="Q257" s="752">
        <v>0</v>
      </c>
    </row>
    <row r="258" spans="1:17" ht="71.25">
      <c r="A258" s="735" t="s">
        <v>1210</v>
      </c>
      <c r="B258" s="736" t="s">
        <v>1957</v>
      </c>
      <c r="C258" s="737" t="s">
        <v>1958</v>
      </c>
      <c r="D258" s="738" t="s">
        <v>1959</v>
      </c>
      <c r="E258" s="745">
        <v>935000</v>
      </c>
      <c r="F258" s="746">
        <v>592714.55000000005</v>
      </c>
      <c r="G258" s="749">
        <v>0.50409999999999999</v>
      </c>
      <c r="H258" s="749">
        <v>0</v>
      </c>
      <c r="I258" s="749">
        <v>0.49590000000000001</v>
      </c>
      <c r="K258" t="s">
        <v>1210</v>
      </c>
      <c r="L258" s="752">
        <v>471333.5</v>
      </c>
      <c r="M258" s="752">
        <v>463666.5</v>
      </c>
      <c r="N258" s="752">
        <v>0</v>
      </c>
      <c r="O258" s="752">
        <v>298787.40465500002</v>
      </c>
      <c r="P258" s="752">
        <v>293927.14534500003</v>
      </c>
      <c r="Q258" s="752">
        <v>0</v>
      </c>
    </row>
    <row r="259" spans="1:17" ht="85.5">
      <c r="A259" s="735" t="s">
        <v>1210</v>
      </c>
      <c r="B259" s="736" t="s">
        <v>1960</v>
      </c>
      <c r="C259" s="737" t="s">
        <v>1961</v>
      </c>
      <c r="D259" s="738" t="s">
        <v>1962</v>
      </c>
      <c r="E259" s="745">
        <v>749881.09</v>
      </c>
      <c r="F259" s="746">
        <v>749825.58</v>
      </c>
      <c r="G259" s="749">
        <v>0.26919999999999999</v>
      </c>
      <c r="H259" s="749">
        <v>0.73080000000000001</v>
      </c>
      <c r="I259" s="749">
        <v>0</v>
      </c>
      <c r="K259" t="s">
        <v>1210</v>
      </c>
      <c r="L259" s="752">
        <v>201867.989428</v>
      </c>
      <c r="M259" s="752">
        <v>0</v>
      </c>
      <c r="N259" s="752">
        <v>548013.10057200002</v>
      </c>
      <c r="O259" s="752">
        <v>201853.04613599999</v>
      </c>
      <c r="P259" s="752">
        <v>0</v>
      </c>
      <c r="Q259" s="752">
        <v>547972.533864</v>
      </c>
    </row>
    <row r="260" spans="1:17" ht="85.5">
      <c r="A260" s="735" t="s">
        <v>1210</v>
      </c>
      <c r="B260" s="736" t="s">
        <v>1963</v>
      </c>
      <c r="C260" s="737" t="s">
        <v>1964</v>
      </c>
      <c r="D260" s="738" t="s">
        <v>1965</v>
      </c>
      <c r="E260" s="745">
        <v>5000</v>
      </c>
      <c r="F260" s="746">
        <v>2715</v>
      </c>
      <c r="G260" s="749">
        <v>0.2044</v>
      </c>
      <c r="H260" s="749">
        <v>0</v>
      </c>
      <c r="I260" s="749">
        <v>0.79559999999999997</v>
      </c>
      <c r="K260" t="s">
        <v>1210</v>
      </c>
      <c r="L260" s="752">
        <v>1022</v>
      </c>
      <c r="M260" s="752">
        <v>3978</v>
      </c>
      <c r="N260" s="752">
        <v>0</v>
      </c>
      <c r="O260" s="752">
        <v>554.94600000000003</v>
      </c>
      <c r="P260" s="752">
        <v>2160.0540000000001</v>
      </c>
      <c r="Q260" s="752">
        <v>0</v>
      </c>
    </row>
    <row r="261" spans="1:17" ht="57">
      <c r="A261" s="735" t="s">
        <v>1210</v>
      </c>
      <c r="B261" s="736" t="s">
        <v>1966</v>
      </c>
      <c r="C261" s="737" t="s">
        <v>1967</v>
      </c>
      <c r="D261" s="738" t="s">
        <v>1968</v>
      </c>
      <c r="E261" s="745">
        <v>827500.19</v>
      </c>
      <c r="F261" s="746">
        <v>850921.21</v>
      </c>
      <c r="G261" s="749">
        <v>0.26090000000000002</v>
      </c>
      <c r="H261" s="749">
        <v>0</v>
      </c>
      <c r="I261" s="749">
        <v>0.73909999999999998</v>
      </c>
      <c r="K261" t="s">
        <v>1210</v>
      </c>
      <c r="L261" s="752">
        <v>215894.79957100001</v>
      </c>
      <c r="M261" s="752">
        <v>611605.3904289999</v>
      </c>
      <c r="N261" s="752">
        <v>0</v>
      </c>
      <c r="O261" s="752">
        <v>222005.343689</v>
      </c>
      <c r="P261" s="752">
        <v>628915.86631099996</v>
      </c>
      <c r="Q261" s="752">
        <v>0</v>
      </c>
    </row>
    <row r="262" spans="1:17" ht="57">
      <c r="A262" s="735" t="s">
        <v>1210</v>
      </c>
      <c r="B262" s="736" t="s">
        <v>1969</v>
      </c>
      <c r="C262" s="737" t="s">
        <v>1970</v>
      </c>
      <c r="D262" s="738" t="s">
        <v>1971</v>
      </c>
      <c r="E262" s="745">
        <v>0</v>
      </c>
      <c r="F262" s="746">
        <v>0</v>
      </c>
      <c r="G262" s="749">
        <v>5.2900000000000003E-2</v>
      </c>
      <c r="H262" s="749">
        <v>0</v>
      </c>
      <c r="I262" s="749">
        <v>0.94710000000000005</v>
      </c>
      <c r="K262" t="s">
        <v>1210</v>
      </c>
      <c r="L262" s="752">
        <v>0</v>
      </c>
      <c r="M262" s="752">
        <v>0</v>
      </c>
      <c r="N262" s="752">
        <v>0</v>
      </c>
      <c r="O262" s="752">
        <v>0</v>
      </c>
      <c r="P262" s="752">
        <v>0</v>
      </c>
      <c r="Q262" s="752">
        <v>0</v>
      </c>
    </row>
    <row r="263" spans="1:17" ht="57">
      <c r="A263" s="735" t="s">
        <v>1210</v>
      </c>
      <c r="B263" s="736" t="s">
        <v>1972</v>
      </c>
      <c r="C263" s="737" t="s">
        <v>1973</v>
      </c>
      <c r="D263" s="738" t="s">
        <v>1974</v>
      </c>
      <c r="E263" s="745">
        <v>0</v>
      </c>
      <c r="F263" s="746">
        <v>0</v>
      </c>
      <c r="G263" s="749">
        <v>0.27</v>
      </c>
      <c r="H263" s="749">
        <v>0</v>
      </c>
      <c r="I263" s="749">
        <v>0.73</v>
      </c>
      <c r="K263" t="s">
        <v>1210</v>
      </c>
      <c r="L263" s="752">
        <v>0</v>
      </c>
      <c r="M263" s="752">
        <v>0</v>
      </c>
      <c r="N263" s="752">
        <v>0</v>
      </c>
      <c r="O263" s="752">
        <v>0</v>
      </c>
      <c r="P263" s="752">
        <v>0</v>
      </c>
      <c r="Q263" s="752">
        <v>0</v>
      </c>
    </row>
    <row r="264" spans="1:17" ht="71.25">
      <c r="A264" s="735" t="s">
        <v>1210</v>
      </c>
      <c r="B264" s="736" t="s">
        <v>1975</v>
      </c>
      <c r="C264" s="737" t="s">
        <v>1976</v>
      </c>
      <c r="D264" s="738" t="s">
        <v>1977</v>
      </c>
      <c r="E264" s="745">
        <v>891049.05</v>
      </c>
      <c r="F264" s="746">
        <v>651788.12</v>
      </c>
      <c r="G264" s="749">
        <v>0.80900000000000005</v>
      </c>
      <c r="H264" s="749">
        <v>0</v>
      </c>
      <c r="I264" s="749">
        <v>0.191</v>
      </c>
      <c r="K264" t="s">
        <v>1210</v>
      </c>
      <c r="L264" s="752">
        <v>720858.68145000003</v>
      </c>
      <c r="M264" s="752">
        <v>170190.36855000001</v>
      </c>
      <c r="N264" s="752">
        <v>0</v>
      </c>
      <c r="O264" s="752">
        <v>527296.58908000006</v>
      </c>
      <c r="P264" s="752">
        <v>124491.53092</v>
      </c>
      <c r="Q264" s="752">
        <v>0</v>
      </c>
    </row>
    <row r="265" spans="1:17" ht="71.25">
      <c r="A265" s="735" t="s">
        <v>1210</v>
      </c>
      <c r="B265" s="736" t="s">
        <v>1978</v>
      </c>
      <c r="C265" s="737" t="s">
        <v>1979</v>
      </c>
      <c r="D265" s="738" t="s">
        <v>1980</v>
      </c>
      <c r="E265" s="745">
        <v>3054215</v>
      </c>
      <c r="F265" s="746">
        <v>1895711.33</v>
      </c>
      <c r="G265" s="749">
        <v>0.41470000000000001</v>
      </c>
      <c r="H265" s="749">
        <v>0</v>
      </c>
      <c r="I265" s="749">
        <v>0.58530000000000004</v>
      </c>
      <c r="K265" t="s">
        <v>1210</v>
      </c>
      <c r="L265" s="752">
        <v>1266582.9605</v>
      </c>
      <c r="M265" s="752">
        <v>1787632.0395000002</v>
      </c>
      <c r="N265" s="752">
        <v>0</v>
      </c>
      <c r="O265" s="752">
        <v>786151.48855100002</v>
      </c>
      <c r="P265" s="752">
        <v>1109559.8414490002</v>
      </c>
      <c r="Q265" s="752">
        <v>0</v>
      </c>
    </row>
    <row r="266" spans="1:17" ht="71.25">
      <c r="A266" s="735" t="s">
        <v>1210</v>
      </c>
      <c r="B266" s="736" t="s">
        <v>1981</v>
      </c>
      <c r="C266" s="737" t="s">
        <v>1982</v>
      </c>
      <c r="D266" s="738" t="s">
        <v>1983</v>
      </c>
      <c r="E266" s="745">
        <v>0</v>
      </c>
      <c r="F266" s="746">
        <v>0</v>
      </c>
      <c r="G266" s="749">
        <v>0.41449999999999998</v>
      </c>
      <c r="H266" s="749">
        <v>0</v>
      </c>
      <c r="I266" s="749">
        <v>0.58550000000000002</v>
      </c>
      <c r="K266" t="s">
        <v>1210</v>
      </c>
      <c r="L266" s="752">
        <v>0</v>
      </c>
      <c r="M266" s="752">
        <v>0</v>
      </c>
      <c r="N266" s="752">
        <v>0</v>
      </c>
      <c r="O266" s="752">
        <v>0</v>
      </c>
      <c r="P266" s="752">
        <v>0</v>
      </c>
      <c r="Q266" s="752">
        <v>0</v>
      </c>
    </row>
    <row r="267" spans="1:17" ht="57">
      <c r="A267" s="735" t="s">
        <v>1210</v>
      </c>
      <c r="B267" s="736" t="s">
        <v>1984</v>
      </c>
      <c r="C267" s="737" t="s">
        <v>1985</v>
      </c>
      <c r="D267" s="738" t="s">
        <v>1986</v>
      </c>
      <c r="E267" s="745">
        <v>4782</v>
      </c>
      <c r="F267" s="746">
        <v>0</v>
      </c>
      <c r="G267" s="749">
        <v>0.2039</v>
      </c>
      <c r="H267" s="749">
        <v>0</v>
      </c>
      <c r="I267" s="749">
        <v>0.79610000000000003</v>
      </c>
      <c r="K267" t="s">
        <v>1210</v>
      </c>
      <c r="L267" s="752">
        <v>975.0498</v>
      </c>
      <c r="M267" s="752">
        <v>3806.9502000000002</v>
      </c>
      <c r="N267" s="752">
        <v>0</v>
      </c>
      <c r="O267" s="752">
        <v>0</v>
      </c>
      <c r="P267" s="752">
        <v>0</v>
      </c>
      <c r="Q267" s="752">
        <v>0</v>
      </c>
    </row>
    <row r="268" spans="1:17" ht="85.5">
      <c r="A268" s="735" t="s">
        <v>1210</v>
      </c>
      <c r="B268" s="736" t="s">
        <v>1987</v>
      </c>
      <c r="C268" s="737" t="s">
        <v>1988</v>
      </c>
      <c r="D268" s="738" t="s">
        <v>1989</v>
      </c>
      <c r="E268" s="745">
        <v>299999.96999999997</v>
      </c>
      <c r="F268" s="746">
        <v>282047.77</v>
      </c>
      <c r="G268" s="749">
        <v>0.46089999999999998</v>
      </c>
      <c r="H268" s="749">
        <v>0.53910000000000002</v>
      </c>
      <c r="I268" s="749">
        <v>0</v>
      </c>
      <c r="K268" t="s">
        <v>1210</v>
      </c>
      <c r="L268" s="752">
        <v>138269.98617299998</v>
      </c>
      <c r="M268" s="752">
        <v>0</v>
      </c>
      <c r="N268" s="752">
        <v>161729.98382699999</v>
      </c>
      <c r="O268" s="752">
        <v>129995.817193</v>
      </c>
      <c r="P268" s="752">
        <v>0</v>
      </c>
      <c r="Q268" s="752">
        <v>152051.95280700002</v>
      </c>
    </row>
    <row r="269" spans="1:17" ht="71.25">
      <c r="A269" s="735" t="s">
        <v>1210</v>
      </c>
      <c r="B269" s="736" t="s">
        <v>1990</v>
      </c>
      <c r="C269" s="737" t="s">
        <v>1991</v>
      </c>
      <c r="D269" s="738" t="s">
        <v>1992</v>
      </c>
      <c r="E269" s="745">
        <v>0</v>
      </c>
      <c r="F269" s="746">
        <v>0</v>
      </c>
      <c r="G269" s="749">
        <v>1</v>
      </c>
      <c r="H269" s="749">
        <v>0</v>
      </c>
      <c r="I269" s="749">
        <v>0</v>
      </c>
      <c r="K269" t="s">
        <v>1210</v>
      </c>
      <c r="L269" s="752">
        <v>0</v>
      </c>
      <c r="M269" s="752">
        <v>0</v>
      </c>
      <c r="N269" s="752">
        <v>0</v>
      </c>
      <c r="O269" s="752">
        <v>0</v>
      </c>
      <c r="P269" s="752">
        <v>0</v>
      </c>
      <c r="Q269" s="752">
        <v>0</v>
      </c>
    </row>
    <row r="270" spans="1:17" ht="71.25">
      <c r="A270" s="735" t="s">
        <v>1210</v>
      </c>
      <c r="B270" s="736" t="s">
        <v>1993</v>
      </c>
      <c r="C270" s="737" t="s">
        <v>1994</v>
      </c>
      <c r="D270" s="738" t="s">
        <v>1995</v>
      </c>
      <c r="E270" s="745">
        <v>50000</v>
      </c>
      <c r="F270" s="746">
        <v>0</v>
      </c>
      <c r="G270" s="749">
        <v>1</v>
      </c>
      <c r="H270" s="749">
        <v>0</v>
      </c>
      <c r="I270" s="749">
        <v>0</v>
      </c>
      <c r="K270" t="s">
        <v>1210</v>
      </c>
      <c r="L270" s="752">
        <v>50000</v>
      </c>
      <c r="M270" s="752">
        <v>0</v>
      </c>
      <c r="N270" s="752">
        <v>0</v>
      </c>
      <c r="O270" s="752">
        <v>0</v>
      </c>
      <c r="P270" s="752">
        <v>0</v>
      </c>
      <c r="Q270" s="752">
        <v>0</v>
      </c>
    </row>
    <row r="271" spans="1:17" ht="71.25">
      <c r="A271" s="735" t="s">
        <v>1210</v>
      </c>
      <c r="B271" s="736" t="s">
        <v>1996</v>
      </c>
      <c r="C271" s="737" t="s">
        <v>1997</v>
      </c>
      <c r="D271" s="738" t="s">
        <v>1998</v>
      </c>
      <c r="E271" s="745">
        <v>9999.7800000000007</v>
      </c>
      <c r="F271" s="746">
        <v>10297.299999999999</v>
      </c>
      <c r="G271" s="749">
        <v>1</v>
      </c>
      <c r="H271" s="749">
        <v>0</v>
      </c>
      <c r="I271" s="749">
        <v>0</v>
      </c>
      <c r="K271" t="s">
        <v>1210</v>
      </c>
      <c r="L271" s="752">
        <v>9999.7800000000007</v>
      </c>
      <c r="M271" s="752">
        <v>0</v>
      </c>
      <c r="N271" s="752">
        <v>0</v>
      </c>
      <c r="O271" s="752">
        <v>10297.299999999999</v>
      </c>
      <c r="P271" s="752">
        <v>0</v>
      </c>
      <c r="Q271" s="752">
        <v>0</v>
      </c>
    </row>
    <row r="272" spans="1:17" ht="85.5">
      <c r="A272" s="735" t="s">
        <v>1210</v>
      </c>
      <c r="B272" s="736" t="s">
        <v>1999</v>
      </c>
      <c r="C272" s="737" t="s">
        <v>2000</v>
      </c>
      <c r="D272" s="738" t="s">
        <v>2001</v>
      </c>
      <c r="E272" s="745">
        <v>434459.67</v>
      </c>
      <c r="F272" s="746">
        <v>211946.37</v>
      </c>
      <c r="G272" s="749">
        <v>0.2</v>
      </c>
      <c r="H272" s="749">
        <v>0.5</v>
      </c>
      <c r="I272" s="749">
        <v>0.3</v>
      </c>
      <c r="K272" t="s">
        <v>1210</v>
      </c>
      <c r="L272" s="752">
        <v>86891.934000000008</v>
      </c>
      <c r="M272" s="752">
        <v>130337.90099999998</v>
      </c>
      <c r="N272" s="752">
        <v>217229.83499999999</v>
      </c>
      <c r="O272" s="752">
        <v>42389.274000000005</v>
      </c>
      <c r="P272" s="752">
        <v>63583.910999999993</v>
      </c>
      <c r="Q272" s="752">
        <v>105973.185</v>
      </c>
    </row>
    <row r="273" spans="1:17" ht="57">
      <c r="A273" s="735" t="s">
        <v>1210</v>
      </c>
      <c r="B273" s="736" t="s">
        <v>2002</v>
      </c>
      <c r="C273" s="737" t="s">
        <v>2003</v>
      </c>
      <c r="D273" s="738" t="s">
        <v>2004</v>
      </c>
      <c r="E273" s="745">
        <v>40000</v>
      </c>
      <c r="F273" s="746">
        <v>27665</v>
      </c>
      <c r="G273" s="749">
        <v>0.2</v>
      </c>
      <c r="H273" s="749">
        <v>0.5</v>
      </c>
      <c r="I273" s="749">
        <v>0.3</v>
      </c>
      <c r="K273" t="s">
        <v>1210</v>
      </c>
      <c r="L273" s="752">
        <v>8000</v>
      </c>
      <c r="M273" s="752">
        <v>12000</v>
      </c>
      <c r="N273" s="752">
        <v>20000</v>
      </c>
      <c r="O273" s="752">
        <v>5533</v>
      </c>
      <c r="P273" s="752">
        <v>8299.5</v>
      </c>
      <c r="Q273" s="752">
        <v>13832.5</v>
      </c>
    </row>
    <row r="274" spans="1:17" ht="57">
      <c r="A274" s="735" t="s">
        <v>1210</v>
      </c>
      <c r="B274" s="736" t="s">
        <v>2005</v>
      </c>
      <c r="C274" s="737" t="s">
        <v>2006</v>
      </c>
      <c r="D274" s="738" t="s">
        <v>2007</v>
      </c>
      <c r="E274" s="745">
        <v>475323.92</v>
      </c>
      <c r="F274" s="746">
        <v>394941.03</v>
      </c>
      <c r="G274" s="749">
        <v>0.35320000000000001</v>
      </c>
      <c r="H274" s="749">
        <v>0</v>
      </c>
      <c r="I274" s="749">
        <v>0.64680000000000004</v>
      </c>
      <c r="K274" t="s">
        <v>1210</v>
      </c>
      <c r="L274" s="752">
        <v>167884.40854400001</v>
      </c>
      <c r="M274" s="752">
        <v>307439.51145600004</v>
      </c>
      <c r="N274" s="752">
        <v>0</v>
      </c>
      <c r="O274" s="752">
        <v>139493.17179600001</v>
      </c>
      <c r="P274" s="752">
        <v>255447.85820400005</v>
      </c>
      <c r="Q274" s="752">
        <v>0</v>
      </c>
    </row>
    <row r="275" spans="1:17" ht="71.25">
      <c r="A275" s="735" t="s">
        <v>1210</v>
      </c>
      <c r="B275" s="736" t="s">
        <v>2008</v>
      </c>
      <c r="C275" s="737" t="s">
        <v>2009</v>
      </c>
      <c r="D275" s="738" t="s">
        <v>2010</v>
      </c>
      <c r="E275" s="745">
        <v>25000</v>
      </c>
      <c r="F275" s="746">
        <v>0</v>
      </c>
      <c r="G275" s="749">
        <v>0</v>
      </c>
      <c r="H275" s="749">
        <v>1</v>
      </c>
      <c r="I275" s="749">
        <v>0</v>
      </c>
      <c r="K275" t="s">
        <v>1210</v>
      </c>
      <c r="L275" s="752">
        <v>0</v>
      </c>
      <c r="M275" s="752">
        <v>0</v>
      </c>
      <c r="N275" s="752">
        <v>25000</v>
      </c>
      <c r="O275" s="752">
        <v>0</v>
      </c>
      <c r="P275" s="752">
        <v>0</v>
      </c>
      <c r="Q275" s="752">
        <v>0</v>
      </c>
    </row>
    <row r="276" spans="1:17" ht="71.25">
      <c r="A276" s="735" t="s">
        <v>1210</v>
      </c>
      <c r="B276" s="736" t="s">
        <v>2011</v>
      </c>
      <c r="C276" s="737" t="s">
        <v>2012</v>
      </c>
      <c r="D276" s="738" t="s">
        <v>2013</v>
      </c>
      <c r="E276" s="745">
        <v>0</v>
      </c>
      <c r="F276" s="746">
        <v>0</v>
      </c>
      <c r="G276" s="749">
        <v>0.45500000000000002</v>
      </c>
      <c r="H276" s="749">
        <v>0</v>
      </c>
      <c r="I276" s="749">
        <v>0.54500000000000004</v>
      </c>
      <c r="K276" t="s">
        <v>1210</v>
      </c>
      <c r="L276" s="752">
        <v>0</v>
      </c>
      <c r="M276" s="752">
        <v>0</v>
      </c>
      <c r="N276" s="752">
        <v>0</v>
      </c>
      <c r="O276" s="752">
        <v>0</v>
      </c>
      <c r="P276" s="752">
        <v>0</v>
      </c>
      <c r="Q276" s="752">
        <v>0</v>
      </c>
    </row>
    <row r="277" spans="1:17" ht="71.25">
      <c r="A277" s="735" t="s">
        <v>1210</v>
      </c>
      <c r="B277" s="736" t="s">
        <v>2014</v>
      </c>
      <c r="C277" s="737" t="s">
        <v>2015</v>
      </c>
      <c r="D277" s="738" t="s">
        <v>2016</v>
      </c>
      <c r="E277" s="745">
        <v>16176</v>
      </c>
      <c r="F277" s="746">
        <v>0</v>
      </c>
      <c r="G277" s="749">
        <v>0</v>
      </c>
      <c r="H277" s="749">
        <v>1</v>
      </c>
      <c r="I277" s="749">
        <v>0</v>
      </c>
      <c r="K277" t="s">
        <v>1210</v>
      </c>
      <c r="L277" s="752">
        <v>0</v>
      </c>
      <c r="M277" s="752">
        <v>0</v>
      </c>
      <c r="N277" s="752">
        <v>16176</v>
      </c>
      <c r="O277" s="752">
        <v>0</v>
      </c>
      <c r="P277" s="752">
        <v>0</v>
      </c>
      <c r="Q277" s="752">
        <v>0</v>
      </c>
    </row>
    <row r="278" spans="1:17" ht="71.25">
      <c r="A278" s="735" t="s">
        <v>1210</v>
      </c>
      <c r="B278" s="736" t="s">
        <v>2017</v>
      </c>
      <c r="C278" s="737" t="s">
        <v>2018</v>
      </c>
      <c r="D278" s="738" t="s">
        <v>2019</v>
      </c>
      <c r="E278" s="745">
        <v>100875.6</v>
      </c>
      <c r="F278" s="746">
        <v>19578.830000000002</v>
      </c>
      <c r="G278" s="749">
        <v>1.4E-2</v>
      </c>
      <c r="H278" s="749">
        <v>0</v>
      </c>
      <c r="I278" s="749">
        <v>0.98599999999999999</v>
      </c>
      <c r="K278" t="s">
        <v>1210</v>
      </c>
      <c r="L278" s="752">
        <v>1412.2584000000002</v>
      </c>
      <c r="M278" s="752">
        <v>99463.3416</v>
      </c>
      <c r="N278" s="752">
        <v>0</v>
      </c>
      <c r="O278" s="752">
        <v>274.10362000000003</v>
      </c>
      <c r="P278" s="752">
        <v>19304.72638</v>
      </c>
      <c r="Q278" s="752">
        <v>0</v>
      </c>
    </row>
    <row r="279" spans="1:17" ht="57">
      <c r="A279" s="735" t="s">
        <v>1210</v>
      </c>
      <c r="B279" s="736" t="s">
        <v>2020</v>
      </c>
      <c r="C279" s="737" t="s">
        <v>2021</v>
      </c>
      <c r="D279" s="738" t="s">
        <v>2022</v>
      </c>
      <c r="E279" s="745">
        <v>5700</v>
      </c>
      <c r="F279" s="746">
        <v>1520</v>
      </c>
      <c r="G279" s="749">
        <v>7.0000000000000001E-3</v>
      </c>
      <c r="H279" s="749">
        <v>0</v>
      </c>
      <c r="I279" s="749">
        <v>0.99299999999999999</v>
      </c>
      <c r="K279" t="s">
        <v>1210</v>
      </c>
      <c r="L279" s="752">
        <v>39.9</v>
      </c>
      <c r="M279" s="752">
        <v>5660.1</v>
      </c>
      <c r="N279" s="752">
        <v>0</v>
      </c>
      <c r="O279" s="752">
        <v>10.64</v>
      </c>
      <c r="P279" s="752">
        <v>1509.36</v>
      </c>
      <c r="Q279" s="752">
        <v>0</v>
      </c>
    </row>
    <row r="280" spans="1:17" ht="42.75">
      <c r="A280" s="735" t="s">
        <v>1210</v>
      </c>
      <c r="B280" s="736" t="s">
        <v>2023</v>
      </c>
      <c r="C280" s="737" t="s">
        <v>2024</v>
      </c>
      <c r="D280" s="738" t="s">
        <v>2025</v>
      </c>
      <c r="E280" s="745">
        <v>2250</v>
      </c>
      <c r="F280" s="746">
        <v>600</v>
      </c>
      <c r="G280" s="749">
        <v>0.126</v>
      </c>
      <c r="H280" s="749">
        <v>0</v>
      </c>
      <c r="I280" s="749">
        <v>0.874</v>
      </c>
      <c r="K280" t="s">
        <v>1210</v>
      </c>
      <c r="L280" s="752">
        <v>283.5</v>
      </c>
      <c r="M280" s="752">
        <v>1966.5</v>
      </c>
      <c r="N280" s="752">
        <v>0</v>
      </c>
      <c r="O280" s="752">
        <v>75.599999999999994</v>
      </c>
      <c r="P280" s="752">
        <v>524.4</v>
      </c>
      <c r="Q280" s="752">
        <v>0</v>
      </c>
    </row>
    <row r="281" spans="1:17" ht="85.5">
      <c r="A281" s="735" t="s">
        <v>1210</v>
      </c>
      <c r="B281" s="736" t="s">
        <v>2026</v>
      </c>
      <c r="C281" s="737" t="s">
        <v>2027</v>
      </c>
      <c r="D281" s="738" t="s">
        <v>2028</v>
      </c>
      <c r="E281" s="745">
        <v>38056.69</v>
      </c>
      <c r="F281" s="746">
        <v>0</v>
      </c>
      <c r="G281" s="749">
        <v>1.4E-2</v>
      </c>
      <c r="H281" s="749">
        <v>0</v>
      </c>
      <c r="I281" s="749">
        <v>0.98599999999999999</v>
      </c>
      <c r="K281" t="s">
        <v>1210</v>
      </c>
      <c r="L281" s="752">
        <v>532.79366000000005</v>
      </c>
      <c r="M281" s="752">
        <v>37523.896339999999</v>
      </c>
      <c r="N281" s="752">
        <v>0</v>
      </c>
      <c r="O281" s="752">
        <v>0</v>
      </c>
      <c r="P281" s="752">
        <v>0</v>
      </c>
      <c r="Q281" s="752">
        <v>0</v>
      </c>
    </row>
    <row r="282" spans="1:17" ht="42.75">
      <c r="A282" s="735" t="s">
        <v>1210</v>
      </c>
      <c r="B282" s="736" t="s">
        <v>2029</v>
      </c>
      <c r="C282" s="737" t="s">
        <v>2030</v>
      </c>
      <c r="D282" s="738" t="s">
        <v>2031</v>
      </c>
      <c r="E282" s="745">
        <v>299.99</v>
      </c>
      <c r="F282" s="746">
        <v>80</v>
      </c>
      <c r="G282" s="749">
        <v>0.33500000000000002</v>
      </c>
      <c r="H282" s="749">
        <v>0</v>
      </c>
      <c r="I282" s="749">
        <v>0.66500000000000004</v>
      </c>
      <c r="K282" t="s">
        <v>1210</v>
      </c>
      <c r="L282" s="752">
        <v>100.49665</v>
      </c>
      <c r="M282" s="752">
        <v>199.49335000000002</v>
      </c>
      <c r="N282" s="752">
        <v>0</v>
      </c>
      <c r="O282" s="752">
        <v>26.8</v>
      </c>
      <c r="P282" s="752">
        <v>53.2</v>
      </c>
      <c r="Q282" s="752">
        <v>0</v>
      </c>
    </row>
    <row r="283" spans="1:17" ht="57">
      <c r="A283" s="735" t="s">
        <v>1210</v>
      </c>
      <c r="B283" s="736" t="s">
        <v>2032</v>
      </c>
      <c r="C283" s="737" t="s">
        <v>2033</v>
      </c>
      <c r="D283" s="738" t="s">
        <v>2034</v>
      </c>
      <c r="E283" s="745">
        <v>38100</v>
      </c>
      <c r="F283" s="746">
        <v>11236.78</v>
      </c>
      <c r="G283" s="749">
        <v>0.16800000000000001</v>
      </c>
      <c r="H283" s="749">
        <v>0</v>
      </c>
      <c r="I283" s="749">
        <v>0.83199999999999996</v>
      </c>
      <c r="K283" t="s">
        <v>1210</v>
      </c>
      <c r="L283" s="752">
        <v>6400.8</v>
      </c>
      <c r="M283" s="752">
        <v>31699.199999999997</v>
      </c>
      <c r="N283" s="752">
        <v>0</v>
      </c>
      <c r="O283" s="752">
        <v>1887.7790400000001</v>
      </c>
      <c r="P283" s="752">
        <v>9349.0009599999994</v>
      </c>
      <c r="Q283" s="752">
        <v>0</v>
      </c>
    </row>
    <row r="284" spans="1:17" ht="71.25">
      <c r="A284" s="735" t="s">
        <v>1210</v>
      </c>
      <c r="B284" s="736" t="s">
        <v>2035</v>
      </c>
      <c r="C284" s="737" t="s">
        <v>2036</v>
      </c>
      <c r="D284" s="738" t="s">
        <v>2037</v>
      </c>
      <c r="E284" s="745">
        <v>0</v>
      </c>
      <c r="F284" s="746">
        <v>0</v>
      </c>
      <c r="G284" s="749">
        <v>0.46</v>
      </c>
      <c r="H284" s="749">
        <v>0</v>
      </c>
      <c r="I284" s="749">
        <v>0.54</v>
      </c>
      <c r="K284" t="s">
        <v>1210</v>
      </c>
      <c r="L284" s="752">
        <v>0</v>
      </c>
      <c r="M284" s="752">
        <v>0</v>
      </c>
      <c r="N284" s="752">
        <v>0</v>
      </c>
      <c r="O284" s="752">
        <v>0</v>
      </c>
      <c r="P284" s="752">
        <v>0</v>
      </c>
      <c r="Q284" s="752">
        <v>0</v>
      </c>
    </row>
    <row r="285" spans="1:17" ht="57">
      <c r="A285" s="735" t="s">
        <v>1210</v>
      </c>
      <c r="B285" s="736" t="s">
        <v>2038</v>
      </c>
      <c r="C285" s="737" t="s">
        <v>2039</v>
      </c>
      <c r="D285" s="738" t="s">
        <v>2040</v>
      </c>
      <c r="E285" s="745">
        <v>1200000</v>
      </c>
      <c r="F285" s="746">
        <v>13878.57</v>
      </c>
      <c r="G285" s="749">
        <v>1</v>
      </c>
      <c r="H285" s="749">
        <v>0</v>
      </c>
      <c r="I285" s="749">
        <v>0</v>
      </c>
      <c r="K285" t="s">
        <v>1210</v>
      </c>
      <c r="L285" s="752">
        <v>1200000</v>
      </c>
      <c r="M285" s="752">
        <v>0</v>
      </c>
      <c r="N285" s="752">
        <v>0</v>
      </c>
      <c r="O285" s="752">
        <v>13878.57</v>
      </c>
      <c r="P285" s="752">
        <v>0</v>
      </c>
      <c r="Q285" s="752">
        <v>0</v>
      </c>
    </row>
    <row r="286" spans="1:17" ht="71.25">
      <c r="A286" s="735" t="s">
        <v>1210</v>
      </c>
      <c r="B286" s="736" t="s">
        <v>2041</v>
      </c>
      <c r="C286" s="737" t="s">
        <v>2042</v>
      </c>
      <c r="D286" s="738" t="s">
        <v>2043</v>
      </c>
      <c r="E286" s="745">
        <v>57260</v>
      </c>
      <c r="F286" s="746">
        <v>30796.5</v>
      </c>
      <c r="G286" s="749">
        <v>0.35399999999999998</v>
      </c>
      <c r="H286" s="749">
        <v>0</v>
      </c>
      <c r="I286" s="749">
        <v>0.64600000000000002</v>
      </c>
      <c r="K286" t="s">
        <v>1210</v>
      </c>
      <c r="L286" s="752">
        <v>20270.039999999997</v>
      </c>
      <c r="M286" s="752">
        <v>36989.96</v>
      </c>
      <c r="N286" s="752">
        <v>0</v>
      </c>
      <c r="O286" s="752">
        <v>10901.960999999999</v>
      </c>
      <c r="P286" s="752">
        <v>19894.539000000001</v>
      </c>
      <c r="Q286" s="752">
        <v>0</v>
      </c>
    </row>
    <row r="287" spans="1:17" ht="42.75">
      <c r="A287" s="735" t="s">
        <v>1210</v>
      </c>
      <c r="B287" s="736" t="s">
        <v>2044</v>
      </c>
      <c r="C287" s="737" t="s">
        <v>2045</v>
      </c>
      <c r="D287" s="738" t="s">
        <v>2046</v>
      </c>
      <c r="E287" s="745">
        <v>20850</v>
      </c>
      <c r="F287" s="746">
        <v>6636.5</v>
      </c>
      <c r="G287" s="749">
        <v>0.23899999999999999</v>
      </c>
      <c r="H287" s="749">
        <v>0</v>
      </c>
      <c r="I287" s="749">
        <v>0.76100000000000001</v>
      </c>
      <c r="K287" t="s">
        <v>1210</v>
      </c>
      <c r="L287" s="752">
        <v>4983.1499999999996</v>
      </c>
      <c r="M287" s="752">
        <v>15866.85</v>
      </c>
      <c r="N287" s="752">
        <v>0</v>
      </c>
      <c r="O287" s="752">
        <v>1586.1234999999999</v>
      </c>
      <c r="P287" s="752">
        <v>5050.3765000000003</v>
      </c>
      <c r="Q287" s="752">
        <v>0</v>
      </c>
    </row>
    <row r="288" spans="1:17" ht="71.25">
      <c r="A288" s="735" t="s">
        <v>1210</v>
      </c>
      <c r="B288" s="736" t="s">
        <v>2047</v>
      </c>
      <c r="C288" s="737" t="s">
        <v>2048</v>
      </c>
      <c r="D288" s="738" t="s">
        <v>2049</v>
      </c>
      <c r="E288" s="745">
        <v>31812.080000000002</v>
      </c>
      <c r="F288" s="746">
        <v>0</v>
      </c>
      <c r="G288" s="749">
        <v>7.0999999999999994E-2</v>
      </c>
      <c r="H288" s="749">
        <v>0</v>
      </c>
      <c r="I288" s="749">
        <v>0.92900000000000005</v>
      </c>
      <c r="K288" t="s">
        <v>1210</v>
      </c>
      <c r="L288" s="752">
        <v>2258.6576799999998</v>
      </c>
      <c r="M288" s="752">
        <v>29553.422320000001</v>
      </c>
      <c r="N288" s="752">
        <v>0</v>
      </c>
      <c r="O288" s="752">
        <v>0</v>
      </c>
      <c r="P288" s="752">
        <v>0</v>
      </c>
      <c r="Q288" s="752">
        <v>0</v>
      </c>
    </row>
    <row r="289" spans="1:17" ht="57">
      <c r="A289" s="735" t="s">
        <v>1210</v>
      </c>
      <c r="B289" s="736" t="s">
        <v>2050</v>
      </c>
      <c r="C289" s="737" t="s">
        <v>2051</v>
      </c>
      <c r="D289" s="738" t="s">
        <v>2052</v>
      </c>
      <c r="E289" s="745">
        <v>4649.9799999999996</v>
      </c>
      <c r="F289" s="746">
        <v>1240</v>
      </c>
      <c r="G289" s="749">
        <v>3.9E-2</v>
      </c>
      <c r="H289" s="749">
        <v>0</v>
      </c>
      <c r="I289" s="749">
        <v>0.96099999999999997</v>
      </c>
      <c r="K289" t="s">
        <v>1210</v>
      </c>
      <c r="L289" s="752">
        <v>181.34921999999997</v>
      </c>
      <c r="M289" s="752">
        <v>4468.6307799999995</v>
      </c>
      <c r="N289" s="752">
        <v>0</v>
      </c>
      <c r="O289" s="752">
        <v>48.36</v>
      </c>
      <c r="P289" s="752">
        <v>1191.6399999999999</v>
      </c>
      <c r="Q289" s="752">
        <v>0</v>
      </c>
    </row>
    <row r="290" spans="1:17" ht="57">
      <c r="A290" s="735" t="s">
        <v>1210</v>
      </c>
      <c r="B290" s="736" t="s">
        <v>2053</v>
      </c>
      <c r="C290" s="737" t="s">
        <v>2054</v>
      </c>
      <c r="D290" s="738" t="s">
        <v>2055</v>
      </c>
      <c r="E290" s="745">
        <v>200000</v>
      </c>
      <c r="F290" s="746">
        <v>68719.199999999997</v>
      </c>
      <c r="G290" s="749">
        <v>0.2</v>
      </c>
      <c r="H290" s="749">
        <v>0</v>
      </c>
      <c r="I290" s="749">
        <v>0.8</v>
      </c>
      <c r="K290" t="s">
        <v>1210</v>
      </c>
      <c r="L290" s="752">
        <v>40000</v>
      </c>
      <c r="M290" s="752">
        <v>160000</v>
      </c>
      <c r="N290" s="752">
        <v>0</v>
      </c>
      <c r="O290" s="752">
        <v>13743.84</v>
      </c>
      <c r="P290" s="752">
        <v>54975.360000000001</v>
      </c>
      <c r="Q290" s="752">
        <v>0</v>
      </c>
    </row>
    <row r="291" spans="1:17" ht="42.75">
      <c r="A291" s="735" t="s">
        <v>1210</v>
      </c>
      <c r="B291" s="736" t="s">
        <v>2056</v>
      </c>
      <c r="C291" s="737" t="s">
        <v>2057</v>
      </c>
      <c r="D291" s="738" t="s">
        <v>2058</v>
      </c>
      <c r="E291" s="745">
        <v>0</v>
      </c>
      <c r="F291" s="746">
        <v>0</v>
      </c>
      <c r="G291" s="749">
        <v>0.2</v>
      </c>
      <c r="H291" s="749">
        <v>0</v>
      </c>
      <c r="I291" s="749">
        <v>0.8</v>
      </c>
      <c r="K291" t="s">
        <v>1210</v>
      </c>
      <c r="L291" s="752">
        <v>0</v>
      </c>
      <c r="M291" s="752">
        <v>0</v>
      </c>
      <c r="N291" s="752">
        <v>0</v>
      </c>
      <c r="O291" s="752">
        <v>0</v>
      </c>
      <c r="P291" s="752">
        <v>0</v>
      </c>
      <c r="Q291" s="752">
        <v>0</v>
      </c>
    </row>
    <row r="292" spans="1:17" ht="42.75">
      <c r="A292" s="735" t="s">
        <v>1210</v>
      </c>
      <c r="B292" s="736" t="s">
        <v>2059</v>
      </c>
      <c r="C292" s="737" t="s">
        <v>2060</v>
      </c>
      <c r="D292" s="738" t="s">
        <v>2061</v>
      </c>
      <c r="E292" s="745">
        <v>300</v>
      </c>
      <c r="F292" s="746">
        <v>80</v>
      </c>
      <c r="G292" s="749">
        <v>0.29599999999999999</v>
      </c>
      <c r="H292" s="749">
        <v>0</v>
      </c>
      <c r="I292" s="749">
        <v>0.70399999999999996</v>
      </c>
      <c r="K292" t="s">
        <v>1210</v>
      </c>
      <c r="L292" s="752">
        <v>88.8</v>
      </c>
      <c r="M292" s="752">
        <v>211.2</v>
      </c>
      <c r="N292" s="752">
        <v>0</v>
      </c>
      <c r="O292" s="752">
        <v>23.68</v>
      </c>
      <c r="P292" s="752">
        <v>56.319999999999993</v>
      </c>
      <c r="Q292" s="752">
        <v>0</v>
      </c>
    </row>
    <row r="293" spans="1:17" ht="71.25">
      <c r="A293" s="735" t="s">
        <v>1210</v>
      </c>
      <c r="B293" s="736" t="s">
        <v>2062</v>
      </c>
      <c r="C293" s="737" t="s">
        <v>2063</v>
      </c>
      <c r="D293" s="738" t="s">
        <v>2064</v>
      </c>
      <c r="E293" s="745">
        <v>3630</v>
      </c>
      <c r="F293" s="746">
        <v>0</v>
      </c>
      <c r="G293" s="749">
        <v>0.38900000000000001</v>
      </c>
      <c r="H293" s="749">
        <v>0</v>
      </c>
      <c r="I293" s="749">
        <v>0.61099999999999999</v>
      </c>
      <c r="K293" t="s">
        <v>1210</v>
      </c>
      <c r="L293" s="752">
        <v>1412.07</v>
      </c>
      <c r="M293" s="752">
        <v>2217.9299999999998</v>
      </c>
      <c r="N293" s="752">
        <v>0</v>
      </c>
      <c r="O293" s="752">
        <v>0</v>
      </c>
      <c r="P293" s="752">
        <v>0</v>
      </c>
      <c r="Q293" s="752">
        <v>0</v>
      </c>
    </row>
    <row r="294" spans="1:17" ht="71.25">
      <c r="A294" s="735" t="s">
        <v>1210</v>
      </c>
      <c r="B294" s="736" t="s">
        <v>2065</v>
      </c>
      <c r="C294" s="737" t="s">
        <v>2066</v>
      </c>
      <c r="D294" s="738" t="s">
        <v>2067</v>
      </c>
      <c r="E294" s="745">
        <v>14942.88</v>
      </c>
      <c r="F294" s="746">
        <v>0</v>
      </c>
      <c r="G294" s="749">
        <v>0.20899999999999999</v>
      </c>
      <c r="H294" s="749">
        <v>0</v>
      </c>
      <c r="I294" s="749">
        <v>0.79100000000000004</v>
      </c>
      <c r="K294" t="s">
        <v>1210</v>
      </c>
      <c r="L294" s="752">
        <v>3123.0619199999996</v>
      </c>
      <c r="M294" s="752">
        <v>11819.818079999999</v>
      </c>
      <c r="N294" s="752">
        <v>0</v>
      </c>
      <c r="O294" s="752">
        <v>0</v>
      </c>
      <c r="P294" s="752">
        <v>0</v>
      </c>
      <c r="Q294" s="752">
        <v>0</v>
      </c>
    </row>
    <row r="295" spans="1:17" ht="42.75">
      <c r="A295" s="735" t="s">
        <v>1210</v>
      </c>
      <c r="B295" s="736" t="s">
        <v>2068</v>
      </c>
      <c r="C295" s="737" t="s">
        <v>2069</v>
      </c>
      <c r="D295" s="738" t="s">
        <v>2070</v>
      </c>
      <c r="E295" s="745">
        <v>2250</v>
      </c>
      <c r="F295" s="746">
        <v>600</v>
      </c>
      <c r="G295" s="749">
        <v>0.27100000000000002</v>
      </c>
      <c r="H295" s="749">
        <v>0</v>
      </c>
      <c r="I295" s="749">
        <v>0.72899999999999998</v>
      </c>
      <c r="K295" t="s">
        <v>1210</v>
      </c>
      <c r="L295" s="752">
        <v>609.75</v>
      </c>
      <c r="M295" s="752">
        <v>1640.25</v>
      </c>
      <c r="N295" s="752">
        <v>0</v>
      </c>
      <c r="O295" s="752">
        <v>162.60000000000002</v>
      </c>
      <c r="P295" s="752">
        <v>437.4</v>
      </c>
      <c r="Q295" s="752">
        <v>0</v>
      </c>
    </row>
    <row r="296" spans="1:17" ht="57">
      <c r="A296" s="735" t="s">
        <v>1210</v>
      </c>
      <c r="B296" s="736" t="s">
        <v>2071</v>
      </c>
      <c r="C296" s="737" t="s">
        <v>2072</v>
      </c>
      <c r="D296" s="738" t="s">
        <v>2073</v>
      </c>
      <c r="E296" s="745">
        <v>0</v>
      </c>
      <c r="F296" s="746">
        <v>0</v>
      </c>
      <c r="G296" s="749">
        <v>0.44900000000000001</v>
      </c>
      <c r="H296" s="749">
        <v>0</v>
      </c>
      <c r="I296" s="749">
        <v>0.55100000000000005</v>
      </c>
      <c r="K296" t="s">
        <v>1210</v>
      </c>
      <c r="L296" s="752">
        <v>0</v>
      </c>
      <c r="M296" s="752">
        <v>0</v>
      </c>
      <c r="N296" s="752">
        <v>0</v>
      </c>
      <c r="O296" s="752">
        <v>0</v>
      </c>
      <c r="P296" s="752">
        <v>0</v>
      </c>
      <c r="Q296" s="752">
        <v>0</v>
      </c>
    </row>
    <row r="297" spans="1:17" ht="71.25">
      <c r="A297" s="735" t="s">
        <v>1210</v>
      </c>
      <c r="B297" s="736" t="s">
        <v>2074</v>
      </c>
      <c r="C297" s="737" t="s">
        <v>2075</v>
      </c>
      <c r="D297" s="738" t="s">
        <v>2076</v>
      </c>
      <c r="E297" s="745">
        <v>19224.990000000002</v>
      </c>
      <c r="F297" s="746">
        <v>1920</v>
      </c>
      <c r="G297" s="749">
        <v>0.26600000000000001</v>
      </c>
      <c r="H297" s="749">
        <v>0</v>
      </c>
      <c r="I297" s="749">
        <v>0.73399999999999999</v>
      </c>
      <c r="K297" t="s">
        <v>1210</v>
      </c>
      <c r="L297" s="752">
        <v>5113.8473400000003</v>
      </c>
      <c r="M297" s="752">
        <v>14111.142660000001</v>
      </c>
      <c r="N297" s="752">
        <v>0</v>
      </c>
      <c r="O297" s="752">
        <v>510.72</v>
      </c>
      <c r="P297" s="752">
        <v>1409.28</v>
      </c>
      <c r="Q297" s="752">
        <v>0</v>
      </c>
    </row>
    <row r="298" spans="1:17" ht="57">
      <c r="A298" s="735" t="s">
        <v>1210</v>
      </c>
      <c r="B298" s="736" t="s">
        <v>2077</v>
      </c>
      <c r="C298" s="737" t="s">
        <v>2078</v>
      </c>
      <c r="D298" s="738" t="s">
        <v>2079</v>
      </c>
      <c r="E298" s="745">
        <v>72694.8</v>
      </c>
      <c r="F298" s="746">
        <v>29196.01</v>
      </c>
      <c r="G298" s="749">
        <v>0.26600000000000001</v>
      </c>
      <c r="H298" s="749">
        <v>0</v>
      </c>
      <c r="I298" s="749">
        <v>0.73399999999999999</v>
      </c>
      <c r="K298" t="s">
        <v>1210</v>
      </c>
      <c r="L298" s="752">
        <v>19336.816800000001</v>
      </c>
      <c r="M298" s="752">
        <v>53357.983200000002</v>
      </c>
      <c r="N298" s="752">
        <v>0</v>
      </c>
      <c r="O298" s="752">
        <v>7766.1386599999996</v>
      </c>
      <c r="P298" s="752">
        <v>21429.871339999998</v>
      </c>
      <c r="Q298" s="752">
        <v>0</v>
      </c>
    </row>
    <row r="299" spans="1:17" ht="71.25">
      <c r="A299" s="735" t="s">
        <v>1210</v>
      </c>
      <c r="B299" s="736" t="s">
        <v>2080</v>
      </c>
      <c r="C299" s="737" t="s">
        <v>2081</v>
      </c>
      <c r="D299" s="738" t="s">
        <v>2082</v>
      </c>
      <c r="E299" s="745">
        <v>100000</v>
      </c>
      <c r="F299" s="746">
        <v>128305.89</v>
      </c>
      <c r="G299" s="749">
        <v>0.35599999999999998</v>
      </c>
      <c r="H299" s="749">
        <v>0.59399999999999997</v>
      </c>
      <c r="I299" s="749">
        <v>0.05</v>
      </c>
      <c r="K299" t="s">
        <v>1210</v>
      </c>
      <c r="L299" s="752">
        <v>35600</v>
      </c>
      <c r="M299" s="752">
        <v>5000</v>
      </c>
      <c r="N299" s="752">
        <v>59400</v>
      </c>
      <c r="O299" s="752">
        <v>45676.896840000001</v>
      </c>
      <c r="P299" s="752">
        <v>6415.2945</v>
      </c>
      <c r="Q299" s="752">
        <v>76213.698659999995</v>
      </c>
    </row>
    <row r="300" spans="1:17" ht="57">
      <c r="A300" s="735" t="s">
        <v>1210</v>
      </c>
      <c r="B300" s="736" t="s">
        <v>2083</v>
      </c>
      <c r="C300" s="737" t="s">
        <v>2084</v>
      </c>
      <c r="D300" s="738" t="s">
        <v>2085</v>
      </c>
      <c r="E300" s="745">
        <v>100000</v>
      </c>
      <c r="F300" s="746">
        <v>99848.18</v>
      </c>
      <c r="G300" s="749">
        <v>0</v>
      </c>
      <c r="H300" s="749">
        <v>0</v>
      </c>
      <c r="I300" s="749">
        <v>1</v>
      </c>
      <c r="K300" t="s">
        <v>1210</v>
      </c>
      <c r="L300" s="752">
        <v>0</v>
      </c>
      <c r="M300" s="752">
        <v>100000</v>
      </c>
      <c r="N300" s="752">
        <v>0</v>
      </c>
      <c r="O300" s="752">
        <v>0</v>
      </c>
      <c r="P300" s="752">
        <v>99848.18</v>
      </c>
      <c r="Q300" s="752">
        <v>0</v>
      </c>
    </row>
    <row r="301" spans="1:17" ht="85.5">
      <c r="A301" s="735" t="s">
        <v>1210</v>
      </c>
      <c r="B301" s="736" t="s">
        <v>2086</v>
      </c>
      <c r="C301" s="737" t="s">
        <v>2087</v>
      </c>
      <c r="D301" s="738" t="s">
        <v>2088</v>
      </c>
      <c r="E301" s="745">
        <v>75000</v>
      </c>
      <c r="F301" s="746">
        <v>0</v>
      </c>
      <c r="G301" s="749">
        <v>0.35699999999999998</v>
      </c>
      <c r="H301" s="749">
        <v>0.44800000000000001</v>
      </c>
      <c r="I301" s="749">
        <v>0.19500000000000001</v>
      </c>
      <c r="K301" t="s">
        <v>1210</v>
      </c>
      <c r="L301" s="752">
        <v>26775</v>
      </c>
      <c r="M301" s="752">
        <v>14625</v>
      </c>
      <c r="N301" s="752">
        <v>33600</v>
      </c>
      <c r="O301" s="752">
        <v>0</v>
      </c>
      <c r="P301" s="752">
        <v>0</v>
      </c>
      <c r="Q301" s="752">
        <v>0</v>
      </c>
    </row>
    <row r="302" spans="1:17" ht="71.25">
      <c r="A302" s="735" t="s">
        <v>1210</v>
      </c>
      <c r="B302" s="736" t="s">
        <v>2089</v>
      </c>
      <c r="C302" s="737" t="s">
        <v>2090</v>
      </c>
      <c r="D302" s="738" t="s">
        <v>2091</v>
      </c>
      <c r="E302" s="745">
        <v>0</v>
      </c>
      <c r="F302" s="746">
        <v>0</v>
      </c>
      <c r="G302" s="749">
        <v>0.372</v>
      </c>
      <c r="H302" s="749">
        <v>0</v>
      </c>
      <c r="I302" s="749">
        <v>0.628</v>
      </c>
      <c r="K302" t="s">
        <v>1210</v>
      </c>
      <c r="L302" s="752">
        <v>0</v>
      </c>
      <c r="M302" s="752">
        <v>0</v>
      </c>
      <c r="N302" s="752">
        <v>0</v>
      </c>
      <c r="O302" s="752">
        <v>0</v>
      </c>
      <c r="P302" s="752">
        <v>0</v>
      </c>
      <c r="Q302" s="752">
        <v>0</v>
      </c>
    </row>
    <row r="303" spans="1:17" ht="71.25">
      <c r="A303" s="735" t="s">
        <v>1210</v>
      </c>
      <c r="B303" s="736" t="s">
        <v>2092</v>
      </c>
      <c r="C303" s="737" t="s">
        <v>2093</v>
      </c>
      <c r="D303" s="738" t="s">
        <v>2094</v>
      </c>
      <c r="E303" s="745">
        <v>0</v>
      </c>
      <c r="F303" s="746">
        <v>0</v>
      </c>
      <c r="G303" s="749">
        <v>0.35699999999999998</v>
      </c>
      <c r="H303" s="749">
        <v>0</v>
      </c>
      <c r="I303" s="749">
        <v>0.64300000000000002</v>
      </c>
      <c r="K303" t="s">
        <v>1210</v>
      </c>
      <c r="L303" s="752">
        <v>0</v>
      </c>
      <c r="M303" s="752">
        <v>0</v>
      </c>
      <c r="N303" s="752">
        <v>0</v>
      </c>
      <c r="O303" s="752">
        <v>0</v>
      </c>
      <c r="P303" s="752">
        <v>0</v>
      </c>
      <c r="Q303" s="752">
        <v>0</v>
      </c>
    </row>
    <row r="304" spans="1:17" ht="71.25">
      <c r="A304" s="735" t="s">
        <v>1210</v>
      </c>
      <c r="B304" s="736" t="s">
        <v>2095</v>
      </c>
      <c r="C304" s="737" t="s">
        <v>2096</v>
      </c>
      <c r="D304" s="738" t="s">
        <v>2097</v>
      </c>
      <c r="E304" s="745">
        <v>0</v>
      </c>
      <c r="F304" s="746">
        <v>0</v>
      </c>
      <c r="G304" s="749">
        <v>0.36899999999999999</v>
      </c>
      <c r="H304" s="749">
        <v>0</v>
      </c>
      <c r="I304" s="749">
        <v>0.63100000000000001</v>
      </c>
      <c r="K304" t="s">
        <v>1210</v>
      </c>
      <c r="L304" s="752">
        <v>0</v>
      </c>
      <c r="M304" s="752">
        <v>0</v>
      </c>
      <c r="N304" s="752">
        <v>0</v>
      </c>
      <c r="O304" s="752">
        <v>0</v>
      </c>
      <c r="P304" s="752">
        <v>0</v>
      </c>
      <c r="Q304" s="752">
        <v>0</v>
      </c>
    </row>
    <row r="305" spans="1:17" ht="39.75" thickBot="1">
      <c r="A305" s="739" t="s">
        <v>1210</v>
      </c>
      <c r="B305" s="740"/>
      <c r="C305" s="741"/>
      <c r="D305" s="742" t="s">
        <v>2098</v>
      </c>
      <c r="E305" s="747">
        <v>31932232.680000003</v>
      </c>
      <c r="F305" s="747">
        <v>28004822.250000004</v>
      </c>
      <c r="G305" s="747"/>
      <c r="H305" s="747"/>
      <c r="I305" s="747"/>
      <c r="K305" t="s">
        <v>1210</v>
      </c>
      <c r="L305" s="752">
        <v>0</v>
      </c>
      <c r="M305" s="752">
        <v>0</v>
      </c>
      <c r="N305" s="752">
        <v>0</v>
      </c>
      <c r="O305" s="752">
        <v>0</v>
      </c>
      <c r="P305" s="752">
        <v>0</v>
      </c>
      <c r="Q305" s="752">
        <v>0</v>
      </c>
    </row>
    <row r="306" spans="1:17" ht="42.75">
      <c r="A306" s="735" t="s">
        <v>1016</v>
      </c>
      <c r="B306" s="736" t="s">
        <v>2099</v>
      </c>
      <c r="C306" s="737" t="s">
        <v>2100</v>
      </c>
      <c r="D306" s="738" t="s">
        <v>2101</v>
      </c>
      <c r="E306" s="745">
        <v>100000</v>
      </c>
      <c r="F306" s="746">
        <v>140</v>
      </c>
      <c r="G306" s="749">
        <v>0.40460000000000002</v>
      </c>
      <c r="H306" s="749">
        <v>0.29770000000000002</v>
      </c>
      <c r="I306" s="749">
        <v>0.29770000000000002</v>
      </c>
      <c r="K306" t="s">
        <v>1016</v>
      </c>
      <c r="L306" s="752">
        <v>40460</v>
      </c>
      <c r="M306" s="752">
        <v>29770.000000000004</v>
      </c>
      <c r="N306" s="752">
        <v>29770.000000000004</v>
      </c>
      <c r="O306" s="752">
        <v>56.644000000000005</v>
      </c>
      <c r="P306" s="752">
        <v>41.678000000000004</v>
      </c>
      <c r="Q306" s="752">
        <v>41.678000000000004</v>
      </c>
    </row>
    <row r="307" spans="1:17" ht="71.25">
      <c r="A307" s="735" t="s">
        <v>1016</v>
      </c>
      <c r="B307" s="736" t="s">
        <v>2102</v>
      </c>
      <c r="C307" s="737" t="s">
        <v>2103</v>
      </c>
      <c r="D307" s="738" t="s">
        <v>2104</v>
      </c>
      <c r="E307" s="745">
        <v>498630.35</v>
      </c>
      <c r="F307" s="746">
        <v>452483.71</v>
      </c>
      <c r="G307" s="749">
        <v>0</v>
      </c>
      <c r="H307" s="749">
        <v>1</v>
      </c>
      <c r="I307" s="749">
        <v>0</v>
      </c>
      <c r="K307" t="s">
        <v>1016</v>
      </c>
      <c r="L307" s="752">
        <v>0</v>
      </c>
      <c r="M307" s="752">
        <v>0</v>
      </c>
      <c r="N307" s="752">
        <v>498630.35</v>
      </c>
      <c r="O307" s="752">
        <v>0</v>
      </c>
      <c r="P307" s="752">
        <v>0</v>
      </c>
      <c r="Q307" s="752">
        <v>452483.71</v>
      </c>
    </row>
    <row r="308" spans="1:17" ht="57">
      <c r="A308" s="735" t="s">
        <v>1016</v>
      </c>
      <c r="B308" s="736" t="s">
        <v>2105</v>
      </c>
      <c r="C308" s="737" t="s">
        <v>2106</v>
      </c>
      <c r="D308" s="738" t="s">
        <v>2107</v>
      </c>
      <c r="E308" s="745">
        <v>321438.39</v>
      </c>
      <c r="F308" s="746">
        <v>261774.05</v>
      </c>
      <c r="G308" s="749">
        <v>0</v>
      </c>
      <c r="H308" s="749">
        <v>1</v>
      </c>
      <c r="I308" s="749">
        <v>0</v>
      </c>
      <c r="K308" t="s">
        <v>1016</v>
      </c>
      <c r="L308" s="752">
        <v>0</v>
      </c>
      <c r="M308" s="752">
        <v>0</v>
      </c>
      <c r="N308" s="752">
        <v>321438.39</v>
      </c>
      <c r="O308" s="752">
        <v>0</v>
      </c>
      <c r="P308" s="752">
        <v>0</v>
      </c>
      <c r="Q308" s="752">
        <v>261774.05</v>
      </c>
    </row>
    <row r="309" spans="1:17" ht="71.25">
      <c r="A309" s="735" t="s">
        <v>1016</v>
      </c>
      <c r="B309" s="736" t="s">
        <v>2108</v>
      </c>
      <c r="C309" s="737" t="s">
        <v>2109</v>
      </c>
      <c r="D309" s="738" t="s">
        <v>2110</v>
      </c>
      <c r="E309" s="745">
        <v>91748.85</v>
      </c>
      <c r="F309" s="746">
        <v>7362.01</v>
      </c>
      <c r="G309" s="749">
        <v>0</v>
      </c>
      <c r="H309" s="749">
        <v>1</v>
      </c>
      <c r="I309" s="749">
        <v>0</v>
      </c>
      <c r="K309" t="s">
        <v>1016</v>
      </c>
      <c r="L309" s="752">
        <v>0</v>
      </c>
      <c r="M309" s="752">
        <v>0</v>
      </c>
      <c r="N309" s="752">
        <v>91748.85</v>
      </c>
      <c r="O309" s="752">
        <v>0</v>
      </c>
      <c r="P309" s="752">
        <v>0</v>
      </c>
      <c r="Q309" s="752">
        <v>7362.01</v>
      </c>
    </row>
    <row r="310" spans="1:17" ht="57">
      <c r="A310" s="735" t="s">
        <v>1016</v>
      </c>
      <c r="B310" s="736" t="s">
        <v>2111</v>
      </c>
      <c r="C310" s="737" t="s">
        <v>2112</v>
      </c>
      <c r="D310" s="738" t="s">
        <v>2113</v>
      </c>
      <c r="E310" s="745">
        <v>16779.169999999998</v>
      </c>
      <c r="F310" s="746">
        <v>0</v>
      </c>
      <c r="G310" s="749">
        <v>0</v>
      </c>
      <c r="H310" s="749">
        <v>1</v>
      </c>
      <c r="I310" s="749">
        <v>0</v>
      </c>
      <c r="K310" t="s">
        <v>1016</v>
      </c>
      <c r="L310" s="752">
        <v>0</v>
      </c>
      <c r="M310" s="752">
        <v>0</v>
      </c>
      <c r="N310" s="752">
        <v>16779.169999999998</v>
      </c>
      <c r="O310" s="752">
        <v>0</v>
      </c>
      <c r="P310" s="752">
        <v>0</v>
      </c>
      <c r="Q310" s="752">
        <v>0</v>
      </c>
    </row>
    <row r="311" spans="1:17" ht="57">
      <c r="A311" s="735" t="s">
        <v>1016</v>
      </c>
      <c r="B311" s="736" t="s">
        <v>2114</v>
      </c>
      <c r="C311" s="737" t="s">
        <v>2115</v>
      </c>
      <c r="D311" s="738" t="s">
        <v>2116</v>
      </c>
      <c r="E311" s="745">
        <v>18546.25</v>
      </c>
      <c r="F311" s="746">
        <v>0</v>
      </c>
      <c r="G311" s="749">
        <v>0</v>
      </c>
      <c r="H311" s="749">
        <v>1</v>
      </c>
      <c r="I311" s="749">
        <v>0</v>
      </c>
      <c r="K311" t="s">
        <v>1016</v>
      </c>
      <c r="L311" s="752">
        <v>0</v>
      </c>
      <c r="M311" s="752">
        <v>0</v>
      </c>
      <c r="N311" s="752">
        <v>18546.25</v>
      </c>
      <c r="O311" s="752">
        <v>0</v>
      </c>
      <c r="P311" s="752">
        <v>0</v>
      </c>
      <c r="Q311" s="752">
        <v>0</v>
      </c>
    </row>
    <row r="312" spans="1:17" ht="57">
      <c r="A312" s="735" t="s">
        <v>1016</v>
      </c>
      <c r="B312" s="736" t="s">
        <v>2117</v>
      </c>
      <c r="C312" s="737" t="s">
        <v>2118</v>
      </c>
      <c r="D312" s="738" t="s">
        <v>2119</v>
      </c>
      <c r="E312" s="745">
        <v>21969.71</v>
      </c>
      <c r="F312" s="746">
        <v>22706.92</v>
      </c>
      <c r="G312" s="749">
        <v>0</v>
      </c>
      <c r="H312" s="749">
        <v>1</v>
      </c>
      <c r="I312" s="749">
        <v>0</v>
      </c>
      <c r="K312" t="s">
        <v>1016</v>
      </c>
      <c r="L312" s="752">
        <v>0</v>
      </c>
      <c r="M312" s="752">
        <v>0</v>
      </c>
      <c r="N312" s="752">
        <v>21969.71</v>
      </c>
      <c r="O312" s="752">
        <v>0</v>
      </c>
      <c r="P312" s="752">
        <v>0</v>
      </c>
      <c r="Q312" s="752">
        <v>22706.92</v>
      </c>
    </row>
    <row r="313" spans="1:17" ht="71.25">
      <c r="A313" s="735" t="s">
        <v>1016</v>
      </c>
      <c r="B313" s="736" t="s">
        <v>2120</v>
      </c>
      <c r="C313" s="737" t="s">
        <v>2121</v>
      </c>
      <c r="D313" s="738" t="s">
        <v>2122</v>
      </c>
      <c r="E313" s="745">
        <v>36449.57</v>
      </c>
      <c r="F313" s="746">
        <v>27465</v>
      </c>
      <c r="G313" s="749">
        <v>0</v>
      </c>
      <c r="H313" s="749">
        <v>1</v>
      </c>
      <c r="I313" s="749">
        <v>0</v>
      </c>
      <c r="K313" t="s">
        <v>1016</v>
      </c>
      <c r="L313" s="752">
        <v>0</v>
      </c>
      <c r="M313" s="752">
        <v>0</v>
      </c>
      <c r="N313" s="752">
        <v>36449.57</v>
      </c>
      <c r="O313" s="752">
        <v>0</v>
      </c>
      <c r="P313" s="752">
        <v>0</v>
      </c>
      <c r="Q313" s="752">
        <v>27465</v>
      </c>
    </row>
    <row r="314" spans="1:17" ht="57">
      <c r="A314" s="735" t="s">
        <v>1016</v>
      </c>
      <c r="B314" s="736" t="s">
        <v>2123</v>
      </c>
      <c r="C314" s="737" t="s">
        <v>2124</v>
      </c>
      <c r="D314" s="738" t="s">
        <v>2125</v>
      </c>
      <c r="E314" s="745">
        <v>546114.4</v>
      </c>
      <c r="F314" s="746">
        <v>252981.28</v>
      </c>
      <c r="G314" s="749">
        <v>0</v>
      </c>
      <c r="H314" s="749">
        <v>1</v>
      </c>
      <c r="I314" s="749">
        <v>0</v>
      </c>
      <c r="K314" t="s">
        <v>1016</v>
      </c>
      <c r="L314" s="752">
        <v>0</v>
      </c>
      <c r="M314" s="752">
        <v>0</v>
      </c>
      <c r="N314" s="752">
        <v>546114.4</v>
      </c>
      <c r="O314" s="752">
        <v>0</v>
      </c>
      <c r="P314" s="752">
        <v>0</v>
      </c>
      <c r="Q314" s="752">
        <v>252981.28</v>
      </c>
    </row>
    <row r="315" spans="1:17" ht="42.75">
      <c r="A315" s="735" t="s">
        <v>1016</v>
      </c>
      <c r="B315" s="736" t="s">
        <v>2126</v>
      </c>
      <c r="C315" s="737" t="s">
        <v>2127</v>
      </c>
      <c r="D315" s="738" t="s">
        <v>2128</v>
      </c>
      <c r="E315" s="745">
        <v>149990</v>
      </c>
      <c r="F315" s="746">
        <v>140968.93</v>
      </c>
      <c r="G315" s="749">
        <v>0.1</v>
      </c>
      <c r="H315" s="749">
        <v>0</v>
      </c>
      <c r="I315" s="749">
        <v>0.9</v>
      </c>
      <c r="K315" t="s">
        <v>1016</v>
      </c>
      <c r="L315" s="752">
        <v>14999</v>
      </c>
      <c r="M315" s="752">
        <v>134991</v>
      </c>
      <c r="N315" s="752">
        <v>0</v>
      </c>
      <c r="O315" s="752">
        <v>14096.893</v>
      </c>
      <c r="P315" s="752">
        <v>126872.037</v>
      </c>
      <c r="Q315" s="752">
        <v>0</v>
      </c>
    </row>
    <row r="316" spans="1:17" ht="57">
      <c r="A316" s="735" t="s">
        <v>1016</v>
      </c>
      <c r="B316" s="736" t="s">
        <v>2129</v>
      </c>
      <c r="C316" s="737" t="s">
        <v>2130</v>
      </c>
      <c r="D316" s="738" t="s">
        <v>2131</v>
      </c>
      <c r="E316" s="745">
        <v>9118433.6099999994</v>
      </c>
      <c r="F316" s="746">
        <v>7889282.2699999996</v>
      </c>
      <c r="G316" s="749">
        <v>0.25900000000000001</v>
      </c>
      <c r="H316" s="749">
        <v>0</v>
      </c>
      <c r="I316" s="749">
        <v>0.74099999999999999</v>
      </c>
      <c r="K316" t="s">
        <v>1016</v>
      </c>
      <c r="L316" s="752">
        <v>2361674.3049900001</v>
      </c>
      <c r="M316" s="752">
        <v>6756759.3050099993</v>
      </c>
      <c r="N316" s="752">
        <v>0</v>
      </c>
      <c r="O316" s="752">
        <v>2043324.1079299999</v>
      </c>
      <c r="P316" s="752">
        <v>5845958.1620699996</v>
      </c>
      <c r="Q316" s="752">
        <v>0</v>
      </c>
    </row>
    <row r="317" spans="1:17" ht="71.25">
      <c r="A317" s="735" t="s">
        <v>1016</v>
      </c>
      <c r="B317" s="736" t="s">
        <v>2132</v>
      </c>
      <c r="C317" s="737" t="s">
        <v>2133</v>
      </c>
      <c r="D317" s="738" t="s">
        <v>2134</v>
      </c>
      <c r="E317" s="745">
        <v>1357907.95</v>
      </c>
      <c r="F317" s="746">
        <v>604076.30000000005</v>
      </c>
      <c r="G317" s="749">
        <v>0.24</v>
      </c>
      <c r="H317" s="749">
        <v>0</v>
      </c>
      <c r="I317" s="749">
        <v>0.76</v>
      </c>
      <c r="K317" t="s">
        <v>1016</v>
      </c>
      <c r="L317" s="752">
        <v>325897.908</v>
      </c>
      <c r="M317" s="752">
        <v>1032010.042</v>
      </c>
      <c r="N317" s="752">
        <v>0</v>
      </c>
      <c r="O317" s="752">
        <v>144978.31200000001</v>
      </c>
      <c r="P317" s="752">
        <v>459097.98800000001</v>
      </c>
      <c r="Q317" s="752">
        <v>0</v>
      </c>
    </row>
    <row r="318" spans="1:17" ht="71.25">
      <c r="A318" s="735" t="s">
        <v>1016</v>
      </c>
      <c r="B318" s="736" t="s">
        <v>2135</v>
      </c>
      <c r="C318" s="737" t="s">
        <v>2136</v>
      </c>
      <c r="D318" s="738" t="s">
        <v>2137</v>
      </c>
      <c r="E318" s="745">
        <v>282031</v>
      </c>
      <c r="F318" s="746">
        <v>341059.14</v>
      </c>
      <c r="G318" s="749">
        <v>0.49919999999999998</v>
      </c>
      <c r="H318" s="749">
        <v>0</v>
      </c>
      <c r="I318" s="749">
        <v>0.50080000000000002</v>
      </c>
      <c r="K318" t="s">
        <v>1016</v>
      </c>
      <c r="L318" s="752">
        <v>140789.87519999998</v>
      </c>
      <c r="M318" s="752">
        <v>141241.12480000002</v>
      </c>
      <c r="N318" s="752">
        <v>0</v>
      </c>
      <c r="O318" s="752">
        <v>170256.72268800001</v>
      </c>
      <c r="P318" s="752">
        <v>170802.41731200001</v>
      </c>
      <c r="Q318" s="752">
        <v>0</v>
      </c>
    </row>
    <row r="319" spans="1:17" ht="42.75">
      <c r="A319" s="735" t="s">
        <v>1016</v>
      </c>
      <c r="B319" s="736" t="s">
        <v>2138</v>
      </c>
      <c r="C319" s="737" t="s">
        <v>2139</v>
      </c>
      <c r="D319" s="738" t="s">
        <v>2140</v>
      </c>
      <c r="E319" s="745">
        <v>1311652.6399999999</v>
      </c>
      <c r="F319" s="746">
        <v>286986.81</v>
      </c>
      <c r="G319" s="749">
        <v>0.46100000000000002</v>
      </c>
      <c r="H319" s="749">
        <v>0</v>
      </c>
      <c r="I319" s="749">
        <v>0.53900000000000003</v>
      </c>
      <c r="K319" t="s">
        <v>1016</v>
      </c>
      <c r="L319" s="752">
        <v>604671.86703999992</v>
      </c>
      <c r="M319" s="752">
        <v>706980.77295999997</v>
      </c>
      <c r="N319" s="752">
        <v>0</v>
      </c>
      <c r="O319" s="752">
        <v>132300.91941</v>
      </c>
      <c r="P319" s="752">
        <v>154685.89059</v>
      </c>
      <c r="Q319" s="752">
        <v>0</v>
      </c>
    </row>
    <row r="320" spans="1:17" ht="71.25">
      <c r="A320" s="735" t="s">
        <v>1016</v>
      </c>
      <c r="B320" s="736" t="s">
        <v>2141</v>
      </c>
      <c r="C320" s="737" t="s">
        <v>2142</v>
      </c>
      <c r="D320" s="738" t="s">
        <v>2143</v>
      </c>
      <c r="E320" s="745">
        <v>9000</v>
      </c>
      <c r="F320" s="746">
        <v>0</v>
      </c>
      <c r="G320" s="749">
        <v>0.50419999999999998</v>
      </c>
      <c r="H320" s="749">
        <v>0</v>
      </c>
      <c r="I320" s="749">
        <v>0.49580000000000002</v>
      </c>
      <c r="K320" t="s">
        <v>1016</v>
      </c>
      <c r="L320" s="752">
        <v>4537.8</v>
      </c>
      <c r="M320" s="752">
        <v>4462.2</v>
      </c>
      <c r="N320" s="752">
        <v>0</v>
      </c>
      <c r="O320" s="752">
        <v>0</v>
      </c>
      <c r="P320" s="752">
        <v>0</v>
      </c>
      <c r="Q320" s="752">
        <v>0</v>
      </c>
    </row>
    <row r="321" spans="1:17" ht="57">
      <c r="A321" s="735" t="s">
        <v>1016</v>
      </c>
      <c r="B321" s="736" t="s">
        <v>2144</v>
      </c>
      <c r="C321" s="737" t="s">
        <v>2145</v>
      </c>
      <c r="D321" s="738" t="s">
        <v>2146</v>
      </c>
      <c r="E321" s="745">
        <v>675317.29</v>
      </c>
      <c r="F321" s="746">
        <v>639677.79</v>
      </c>
      <c r="G321" s="749">
        <v>0.25900000000000001</v>
      </c>
      <c r="H321" s="749">
        <v>0</v>
      </c>
      <c r="I321" s="749">
        <v>0.74099999999999999</v>
      </c>
      <c r="K321" t="s">
        <v>1016</v>
      </c>
      <c r="L321" s="752">
        <v>174907.17811000001</v>
      </c>
      <c r="M321" s="752">
        <v>500410.11189</v>
      </c>
      <c r="N321" s="752">
        <v>0</v>
      </c>
      <c r="O321" s="752">
        <v>165676.54761000001</v>
      </c>
      <c r="P321" s="752">
        <v>474001.24239000003</v>
      </c>
      <c r="Q321" s="752">
        <v>0</v>
      </c>
    </row>
    <row r="322" spans="1:17" ht="42.75">
      <c r="A322" s="735" t="s">
        <v>1016</v>
      </c>
      <c r="B322" s="736" t="s">
        <v>2147</v>
      </c>
      <c r="C322" s="737" t="s">
        <v>2148</v>
      </c>
      <c r="D322" s="738" t="s">
        <v>2149</v>
      </c>
      <c r="E322" s="745">
        <v>1669111.99</v>
      </c>
      <c r="F322" s="746">
        <v>309738.57</v>
      </c>
      <c r="G322" s="749">
        <v>1</v>
      </c>
      <c r="H322" s="749">
        <v>0</v>
      </c>
      <c r="I322" s="749">
        <v>0</v>
      </c>
      <c r="K322" t="s">
        <v>1016</v>
      </c>
      <c r="L322" s="752">
        <v>1669111.99</v>
      </c>
      <c r="M322" s="752">
        <v>0</v>
      </c>
      <c r="N322" s="752">
        <v>0</v>
      </c>
      <c r="O322" s="752">
        <v>309738.57</v>
      </c>
      <c r="P322" s="752">
        <v>0</v>
      </c>
      <c r="Q322" s="752">
        <v>0</v>
      </c>
    </row>
    <row r="323" spans="1:17" ht="57">
      <c r="A323" s="735" t="s">
        <v>1016</v>
      </c>
      <c r="B323" s="736" t="s">
        <v>2150</v>
      </c>
      <c r="C323" s="737" t="s">
        <v>2151</v>
      </c>
      <c r="D323" s="738" t="s">
        <v>2152</v>
      </c>
      <c r="E323" s="745">
        <v>0</v>
      </c>
      <c r="F323" s="746">
        <v>0</v>
      </c>
      <c r="G323" s="749">
        <v>0</v>
      </c>
      <c r="H323" s="749">
        <v>0</v>
      </c>
      <c r="I323" s="749">
        <v>1</v>
      </c>
      <c r="K323" t="s">
        <v>1016</v>
      </c>
      <c r="L323" s="752">
        <v>0</v>
      </c>
      <c r="M323" s="752">
        <v>0</v>
      </c>
      <c r="N323" s="752">
        <v>0</v>
      </c>
      <c r="O323" s="752">
        <v>0</v>
      </c>
      <c r="P323" s="752">
        <v>0</v>
      </c>
      <c r="Q323" s="752">
        <v>0</v>
      </c>
    </row>
    <row r="324" spans="1:17" ht="85.5">
      <c r="A324" s="735" t="s">
        <v>1016</v>
      </c>
      <c r="B324" s="736" t="s">
        <v>2153</v>
      </c>
      <c r="C324" s="737" t="s">
        <v>2154</v>
      </c>
      <c r="D324" s="738" t="s">
        <v>2155</v>
      </c>
      <c r="E324" s="745">
        <v>800000</v>
      </c>
      <c r="F324" s="746">
        <v>67874.59</v>
      </c>
      <c r="G324" s="749">
        <v>0.33660000000000001</v>
      </c>
      <c r="H324" s="749">
        <v>0</v>
      </c>
      <c r="I324" s="749">
        <v>0.66339999999999999</v>
      </c>
      <c r="K324" t="s">
        <v>1016</v>
      </c>
      <c r="L324" s="752">
        <v>269280</v>
      </c>
      <c r="M324" s="752">
        <v>530720</v>
      </c>
      <c r="N324" s="752">
        <v>0</v>
      </c>
      <c r="O324" s="752">
        <v>22846.586994000001</v>
      </c>
      <c r="P324" s="752">
        <v>45028.003005999999</v>
      </c>
      <c r="Q324" s="752">
        <v>0</v>
      </c>
    </row>
    <row r="325" spans="1:17" ht="71.25">
      <c r="A325" s="735" t="s">
        <v>1016</v>
      </c>
      <c r="B325" s="736" t="s">
        <v>2156</v>
      </c>
      <c r="C325" s="737" t="s">
        <v>2157</v>
      </c>
      <c r="D325" s="738" t="s">
        <v>2158</v>
      </c>
      <c r="E325" s="745">
        <v>850000</v>
      </c>
      <c r="F325" s="746">
        <v>207714.12</v>
      </c>
      <c r="G325" s="749">
        <v>0.2757</v>
      </c>
      <c r="H325" s="749">
        <v>0.36220000000000002</v>
      </c>
      <c r="I325" s="749">
        <v>0.36209999999999998</v>
      </c>
      <c r="K325" t="s">
        <v>1016</v>
      </c>
      <c r="L325" s="752">
        <v>234345</v>
      </c>
      <c r="M325" s="752">
        <v>307785</v>
      </c>
      <c r="N325" s="752">
        <v>307870</v>
      </c>
      <c r="O325" s="752">
        <v>57266.782884</v>
      </c>
      <c r="P325" s="752">
        <v>75213.282851999989</v>
      </c>
      <c r="Q325" s="752">
        <v>75234.054264000006</v>
      </c>
    </row>
    <row r="326" spans="1:17" ht="57">
      <c r="A326" s="735" t="s">
        <v>1016</v>
      </c>
      <c r="B326" s="736" t="s">
        <v>2159</v>
      </c>
      <c r="C326" s="737" t="s">
        <v>2160</v>
      </c>
      <c r="D326" s="738" t="s">
        <v>2161</v>
      </c>
      <c r="E326" s="745">
        <v>40000</v>
      </c>
      <c r="F326" s="746">
        <v>7840</v>
      </c>
      <c r="G326" s="749">
        <v>0.32469999999999999</v>
      </c>
      <c r="H326" s="749">
        <v>0</v>
      </c>
      <c r="I326" s="749">
        <v>0.67530000000000001</v>
      </c>
      <c r="K326" t="s">
        <v>1016</v>
      </c>
      <c r="L326" s="752">
        <v>12988</v>
      </c>
      <c r="M326" s="752">
        <v>27012</v>
      </c>
      <c r="N326" s="752">
        <v>0</v>
      </c>
      <c r="O326" s="752">
        <v>2545.6480000000001</v>
      </c>
      <c r="P326" s="752">
        <v>5294.3519999999999</v>
      </c>
      <c r="Q326" s="752">
        <v>0</v>
      </c>
    </row>
    <row r="327" spans="1:17" ht="57">
      <c r="A327" s="735" t="s">
        <v>1016</v>
      </c>
      <c r="B327" s="736" t="s">
        <v>2162</v>
      </c>
      <c r="C327" s="737" t="s">
        <v>2163</v>
      </c>
      <c r="D327" s="738" t="s">
        <v>2164</v>
      </c>
      <c r="E327" s="745">
        <v>63822.59</v>
      </c>
      <c r="F327" s="746">
        <v>41436.11</v>
      </c>
      <c r="G327" s="749">
        <v>0.25900000000000001</v>
      </c>
      <c r="H327" s="749">
        <v>0</v>
      </c>
      <c r="I327" s="749">
        <v>0.74099999999999999</v>
      </c>
      <c r="K327" t="s">
        <v>1016</v>
      </c>
      <c r="L327" s="752">
        <v>16530.050810000001</v>
      </c>
      <c r="M327" s="752">
        <v>47292.539189999996</v>
      </c>
      <c r="N327" s="752">
        <v>0</v>
      </c>
      <c r="O327" s="752">
        <v>10731.95249</v>
      </c>
      <c r="P327" s="752">
        <v>30704.157510000001</v>
      </c>
      <c r="Q327" s="752">
        <v>0</v>
      </c>
    </row>
    <row r="328" spans="1:17" ht="71.25">
      <c r="A328" s="735" t="s">
        <v>1016</v>
      </c>
      <c r="B328" s="736" t="s">
        <v>2165</v>
      </c>
      <c r="C328" s="737" t="s">
        <v>2166</v>
      </c>
      <c r="D328" s="738" t="s">
        <v>2167</v>
      </c>
      <c r="E328" s="745">
        <v>0</v>
      </c>
      <c r="F328" s="746">
        <v>14067.76</v>
      </c>
      <c r="G328" s="749">
        <v>0.1976</v>
      </c>
      <c r="H328" s="749">
        <v>0</v>
      </c>
      <c r="I328" s="749">
        <v>0.8024</v>
      </c>
      <c r="K328" t="s">
        <v>1016</v>
      </c>
      <c r="L328" s="752">
        <v>0</v>
      </c>
      <c r="M328" s="752">
        <v>0</v>
      </c>
      <c r="N328" s="752">
        <v>0</v>
      </c>
      <c r="O328" s="752">
        <v>2779.7893760000002</v>
      </c>
      <c r="P328" s="752">
        <v>11287.970624</v>
      </c>
      <c r="Q328" s="752">
        <v>0</v>
      </c>
    </row>
    <row r="329" spans="1:17" ht="71.25">
      <c r="A329" s="735" t="s">
        <v>1016</v>
      </c>
      <c r="B329" s="736" t="s">
        <v>2168</v>
      </c>
      <c r="C329" s="737" t="s">
        <v>2169</v>
      </c>
      <c r="D329" s="738" t="s">
        <v>2170</v>
      </c>
      <c r="E329" s="745">
        <v>250000</v>
      </c>
      <c r="F329" s="746">
        <v>85983.96</v>
      </c>
      <c r="G329" s="749">
        <v>0.22239999999999999</v>
      </c>
      <c r="H329" s="749">
        <v>0.38879999999999998</v>
      </c>
      <c r="I329" s="749">
        <v>0.38879999999999998</v>
      </c>
      <c r="K329" t="s">
        <v>1016</v>
      </c>
      <c r="L329" s="752">
        <v>55600</v>
      </c>
      <c r="M329" s="752">
        <v>97200</v>
      </c>
      <c r="N329" s="752">
        <v>97200</v>
      </c>
      <c r="O329" s="752">
        <v>19122.832704</v>
      </c>
      <c r="P329" s="752">
        <v>33430.563648000003</v>
      </c>
      <c r="Q329" s="752">
        <v>33430.563648000003</v>
      </c>
    </row>
    <row r="330" spans="1:17" ht="57">
      <c r="A330" s="735" t="s">
        <v>1016</v>
      </c>
      <c r="B330" s="736" t="s">
        <v>2171</v>
      </c>
      <c r="C330" s="737" t="s">
        <v>2172</v>
      </c>
      <c r="D330" s="738" t="s">
        <v>2173</v>
      </c>
      <c r="E330" s="745">
        <v>40000</v>
      </c>
      <c r="F330" s="746">
        <v>19946.14</v>
      </c>
      <c r="G330" s="749">
        <v>0.32490000000000002</v>
      </c>
      <c r="H330" s="749">
        <v>0</v>
      </c>
      <c r="I330" s="749">
        <v>0.67510000000000003</v>
      </c>
      <c r="K330" t="s">
        <v>1016</v>
      </c>
      <c r="L330" s="752">
        <v>12996</v>
      </c>
      <c r="M330" s="752">
        <v>27004</v>
      </c>
      <c r="N330" s="752">
        <v>0</v>
      </c>
      <c r="O330" s="752">
        <v>6480.5008859999998</v>
      </c>
      <c r="P330" s="752">
        <v>13465.639114</v>
      </c>
      <c r="Q330" s="752">
        <v>0</v>
      </c>
    </row>
    <row r="331" spans="1:17" ht="71.25">
      <c r="A331" s="735" t="s">
        <v>1016</v>
      </c>
      <c r="B331" s="736" t="s">
        <v>2174</v>
      </c>
      <c r="C331" s="737" t="s">
        <v>2175</v>
      </c>
      <c r="D331" s="738" t="s">
        <v>2176</v>
      </c>
      <c r="E331" s="745">
        <v>180285.95</v>
      </c>
      <c r="F331" s="746">
        <v>31831.53</v>
      </c>
      <c r="G331" s="749">
        <v>1</v>
      </c>
      <c r="H331" s="749">
        <v>0</v>
      </c>
      <c r="I331" s="749">
        <v>0</v>
      </c>
      <c r="K331" t="s">
        <v>1016</v>
      </c>
      <c r="L331" s="752">
        <v>180285.95</v>
      </c>
      <c r="M331" s="752">
        <v>0</v>
      </c>
      <c r="N331" s="752">
        <v>0</v>
      </c>
      <c r="O331" s="752">
        <v>31831.53</v>
      </c>
      <c r="P331" s="752">
        <v>0</v>
      </c>
      <c r="Q331" s="752">
        <v>0</v>
      </c>
    </row>
    <row r="332" spans="1:17" ht="57">
      <c r="A332" s="735" t="s">
        <v>1016</v>
      </c>
      <c r="B332" s="736" t="s">
        <v>2177</v>
      </c>
      <c r="C332" s="737" t="s">
        <v>2178</v>
      </c>
      <c r="D332" s="738" t="s">
        <v>2179</v>
      </c>
      <c r="E332" s="745">
        <v>43653.05</v>
      </c>
      <c r="F332" s="746">
        <v>43653.42</v>
      </c>
      <c r="G332" s="749">
        <v>0.4168</v>
      </c>
      <c r="H332" s="749">
        <v>0</v>
      </c>
      <c r="I332" s="749">
        <v>0.58320000000000005</v>
      </c>
      <c r="K332" t="s">
        <v>1016</v>
      </c>
      <c r="L332" s="752">
        <v>18194.591240000002</v>
      </c>
      <c r="M332" s="752">
        <v>25458.458760000005</v>
      </c>
      <c r="N332" s="752">
        <v>0</v>
      </c>
      <c r="O332" s="752">
        <v>18194.745456000001</v>
      </c>
      <c r="P332" s="752">
        <v>25458.674544000001</v>
      </c>
      <c r="Q332" s="752">
        <v>0</v>
      </c>
    </row>
    <row r="333" spans="1:17" ht="71.25">
      <c r="A333" s="735" t="s">
        <v>1016</v>
      </c>
      <c r="B333" s="736" t="s">
        <v>2180</v>
      </c>
      <c r="C333" s="737" t="s">
        <v>2181</v>
      </c>
      <c r="D333" s="738" t="s">
        <v>2182</v>
      </c>
      <c r="E333" s="745">
        <v>808257.56</v>
      </c>
      <c r="F333" s="746">
        <v>471258.77</v>
      </c>
      <c r="G333" s="749">
        <v>0.44869999999999999</v>
      </c>
      <c r="H333" s="749">
        <v>0.27560000000000001</v>
      </c>
      <c r="I333" s="749">
        <v>0.2757</v>
      </c>
      <c r="K333" t="s">
        <v>1016</v>
      </c>
      <c r="L333" s="752">
        <v>362665.16717199999</v>
      </c>
      <c r="M333" s="752">
        <v>222836.60929200001</v>
      </c>
      <c r="N333" s="752">
        <v>222755.78353600003</v>
      </c>
      <c r="O333" s="752">
        <v>211453.81009899999</v>
      </c>
      <c r="P333" s="752">
        <v>129926.042889</v>
      </c>
      <c r="Q333" s="752">
        <v>129878.91701200001</v>
      </c>
    </row>
    <row r="334" spans="1:17" ht="71.25">
      <c r="A334" s="735" t="s">
        <v>1016</v>
      </c>
      <c r="B334" s="736" t="s">
        <v>2183</v>
      </c>
      <c r="C334" s="737" t="s">
        <v>2184</v>
      </c>
      <c r="D334" s="738" t="s">
        <v>2185</v>
      </c>
      <c r="E334" s="745">
        <v>1435291.8</v>
      </c>
      <c r="F334" s="746">
        <v>825749.74</v>
      </c>
      <c r="G334" s="749">
        <v>0.81899999999999995</v>
      </c>
      <c r="H334" s="749">
        <v>0</v>
      </c>
      <c r="I334" s="749">
        <v>0.18099999999999999</v>
      </c>
      <c r="K334" t="s">
        <v>1016</v>
      </c>
      <c r="L334" s="752">
        <v>1175503.9842000001</v>
      </c>
      <c r="M334" s="752">
        <v>259787.81580000001</v>
      </c>
      <c r="N334" s="752">
        <v>0</v>
      </c>
      <c r="O334" s="752">
        <v>676289.03706</v>
      </c>
      <c r="P334" s="752">
        <v>149460.70293999999</v>
      </c>
      <c r="Q334" s="752">
        <v>0</v>
      </c>
    </row>
    <row r="335" spans="1:17" ht="42.75">
      <c r="A335" s="735" t="s">
        <v>1016</v>
      </c>
      <c r="B335" s="736" t="s">
        <v>2186</v>
      </c>
      <c r="C335" s="737" t="s">
        <v>2187</v>
      </c>
      <c r="D335" s="738" t="s">
        <v>2188</v>
      </c>
      <c r="E335" s="745">
        <v>550000</v>
      </c>
      <c r="F335" s="746">
        <v>601223.14</v>
      </c>
      <c r="G335" s="749">
        <v>1</v>
      </c>
      <c r="H335" s="749">
        <v>0</v>
      </c>
      <c r="I335" s="749">
        <v>0</v>
      </c>
      <c r="K335" t="s">
        <v>1016</v>
      </c>
      <c r="L335" s="752">
        <v>550000</v>
      </c>
      <c r="M335" s="752">
        <v>0</v>
      </c>
      <c r="N335" s="752">
        <v>0</v>
      </c>
      <c r="O335" s="752">
        <v>601223.14</v>
      </c>
      <c r="P335" s="752">
        <v>0</v>
      </c>
      <c r="Q335" s="752">
        <v>0</v>
      </c>
    </row>
    <row r="336" spans="1:17" ht="71.25">
      <c r="A336" s="735" t="s">
        <v>1016</v>
      </c>
      <c r="B336" s="736" t="s">
        <v>2189</v>
      </c>
      <c r="C336" s="737" t="s">
        <v>2190</v>
      </c>
      <c r="D336" s="738" t="s">
        <v>2191</v>
      </c>
      <c r="E336" s="745">
        <v>83568</v>
      </c>
      <c r="F336" s="746">
        <v>280</v>
      </c>
      <c r="G336" s="749">
        <v>1</v>
      </c>
      <c r="H336" s="749">
        <v>0</v>
      </c>
      <c r="I336" s="749">
        <v>0</v>
      </c>
      <c r="K336" t="s">
        <v>1016</v>
      </c>
      <c r="L336" s="752">
        <v>83568</v>
      </c>
      <c r="M336" s="752">
        <v>0</v>
      </c>
      <c r="N336" s="752">
        <v>0</v>
      </c>
      <c r="O336" s="752">
        <v>280</v>
      </c>
      <c r="P336" s="752">
        <v>0</v>
      </c>
      <c r="Q336" s="752">
        <v>0</v>
      </c>
    </row>
    <row r="337" spans="1:17" ht="57">
      <c r="A337" s="735" t="s">
        <v>1016</v>
      </c>
      <c r="B337" s="736" t="s">
        <v>2192</v>
      </c>
      <c r="C337" s="737" t="s">
        <v>2193</v>
      </c>
      <c r="D337" s="738" t="s">
        <v>2194</v>
      </c>
      <c r="E337" s="745">
        <v>809317.96</v>
      </c>
      <c r="F337" s="746">
        <v>129173.5</v>
      </c>
      <c r="G337" s="749">
        <v>0.34229999999999999</v>
      </c>
      <c r="H337" s="749">
        <v>0.32890000000000003</v>
      </c>
      <c r="I337" s="749">
        <v>0.32879999999999998</v>
      </c>
      <c r="K337" t="s">
        <v>1016</v>
      </c>
      <c r="L337" s="752">
        <v>277029.53770799999</v>
      </c>
      <c r="M337" s="752">
        <v>266103.74524799996</v>
      </c>
      <c r="N337" s="752">
        <v>266184.67704400001</v>
      </c>
      <c r="O337" s="752">
        <v>44216.089050000002</v>
      </c>
      <c r="P337" s="752">
        <v>42472.246800000001</v>
      </c>
      <c r="Q337" s="752">
        <v>42485.164150000004</v>
      </c>
    </row>
    <row r="338" spans="1:17" ht="71.25">
      <c r="A338" s="735" t="s">
        <v>1016</v>
      </c>
      <c r="B338" s="736" t="s">
        <v>2195</v>
      </c>
      <c r="C338" s="737" t="s">
        <v>2196</v>
      </c>
      <c r="D338" s="738" t="s">
        <v>2197</v>
      </c>
      <c r="E338" s="745">
        <v>5406477.5999999996</v>
      </c>
      <c r="F338" s="746">
        <v>4553702.08</v>
      </c>
      <c r="G338" s="749">
        <v>0.34429999999999999</v>
      </c>
      <c r="H338" s="749">
        <v>0.32790000000000002</v>
      </c>
      <c r="I338" s="749">
        <v>0.32779999999999998</v>
      </c>
      <c r="K338" t="s">
        <v>1016</v>
      </c>
      <c r="L338" s="752">
        <v>1861450.2376799998</v>
      </c>
      <c r="M338" s="752">
        <v>1772243.3572799999</v>
      </c>
      <c r="N338" s="752">
        <v>1772784.00504</v>
      </c>
      <c r="O338" s="752">
        <v>1567839.6261440001</v>
      </c>
      <c r="P338" s="752">
        <v>1492703.541824</v>
      </c>
      <c r="Q338" s="752">
        <v>1493158.912032</v>
      </c>
    </row>
    <row r="339" spans="1:17" ht="57">
      <c r="A339" s="735" t="s">
        <v>1016</v>
      </c>
      <c r="B339" s="736" t="s">
        <v>2198</v>
      </c>
      <c r="C339" s="737" t="s">
        <v>2199</v>
      </c>
      <c r="D339" s="738" t="s">
        <v>2200</v>
      </c>
      <c r="E339" s="745">
        <v>3360</v>
      </c>
      <c r="F339" s="746">
        <v>3360</v>
      </c>
      <c r="G339" s="749">
        <v>0.24210000000000001</v>
      </c>
      <c r="H339" s="749">
        <v>0</v>
      </c>
      <c r="I339" s="749">
        <v>0.75790000000000002</v>
      </c>
      <c r="K339" t="s">
        <v>1016</v>
      </c>
      <c r="L339" s="752">
        <v>813.45600000000002</v>
      </c>
      <c r="M339" s="752">
        <v>2546.5439999999999</v>
      </c>
      <c r="N339" s="752">
        <v>0</v>
      </c>
      <c r="O339" s="752">
        <v>813.45600000000002</v>
      </c>
      <c r="P339" s="752">
        <v>2546.5439999999999</v>
      </c>
      <c r="Q339" s="752">
        <v>0</v>
      </c>
    </row>
    <row r="340" spans="1:17" ht="57">
      <c r="A340" s="735" t="s">
        <v>1016</v>
      </c>
      <c r="B340" s="736" t="s">
        <v>2201</v>
      </c>
      <c r="C340" s="737" t="s">
        <v>2202</v>
      </c>
      <c r="D340" s="738" t="s">
        <v>2203</v>
      </c>
      <c r="E340" s="745">
        <v>0</v>
      </c>
      <c r="F340" s="746">
        <v>0</v>
      </c>
      <c r="G340" s="749">
        <v>0.27350000000000002</v>
      </c>
      <c r="H340" s="749">
        <v>0</v>
      </c>
      <c r="I340" s="749">
        <v>0.72650000000000003</v>
      </c>
      <c r="K340" t="s">
        <v>1016</v>
      </c>
      <c r="L340" s="752">
        <v>0</v>
      </c>
      <c r="M340" s="752">
        <v>0</v>
      </c>
      <c r="N340" s="752">
        <v>0</v>
      </c>
      <c r="O340" s="752">
        <v>0</v>
      </c>
      <c r="P340" s="752">
        <v>0</v>
      </c>
      <c r="Q340" s="752">
        <v>0</v>
      </c>
    </row>
    <row r="341" spans="1:17" ht="71.25">
      <c r="A341" s="735" t="s">
        <v>1016</v>
      </c>
      <c r="B341" s="736" t="s">
        <v>2204</v>
      </c>
      <c r="C341" s="737" t="s">
        <v>2205</v>
      </c>
      <c r="D341" s="738" t="s">
        <v>2206</v>
      </c>
      <c r="E341" s="745">
        <v>3920</v>
      </c>
      <c r="F341" s="746">
        <v>3978.77</v>
      </c>
      <c r="G341" s="749">
        <v>0.19040000000000001</v>
      </c>
      <c r="H341" s="749">
        <v>0</v>
      </c>
      <c r="I341" s="749">
        <v>0.80959999999999999</v>
      </c>
      <c r="K341" t="s">
        <v>1016</v>
      </c>
      <c r="L341" s="752">
        <v>746.36800000000005</v>
      </c>
      <c r="M341" s="752">
        <v>3173.6320000000001</v>
      </c>
      <c r="N341" s="752">
        <v>0</v>
      </c>
      <c r="O341" s="752">
        <v>757.55780800000002</v>
      </c>
      <c r="P341" s="752">
        <v>3221.212192</v>
      </c>
      <c r="Q341" s="752">
        <v>0</v>
      </c>
    </row>
    <row r="342" spans="1:17" ht="57">
      <c r="A342" s="735" t="s">
        <v>1016</v>
      </c>
      <c r="B342" s="736" t="s">
        <v>2207</v>
      </c>
      <c r="C342" s="737" t="s">
        <v>2208</v>
      </c>
      <c r="D342" s="738" t="s">
        <v>2209</v>
      </c>
      <c r="E342" s="745">
        <v>0</v>
      </c>
      <c r="F342" s="746">
        <v>0</v>
      </c>
      <c r="G342" s="749">
        <v>0.14460000000000001</v>
      </c>
      <c r="H342" s="749">
        <v>0</v>
      </c>
      <c r="I342" s="749">
        <v>0.85540000000000005</v>
      </c>
      <c r="K342" t="s">
        <v>1016</v>
      </c>
      <c r="L342" s="752">
        <v>0</v>
      </c>
      <c r="M342" s="752">
        <v>0</v>
      </c>
      <c r="N342" s="752">
        <v>0</v>
      </c>
      <c r="O342" s="752">
        <v>0</v>
      </c>
      <c r="P342" s="752">
        <v>0</v>
      </c>
      <c r="Q342" s="752">
        <v>0</v>
      </c>
    </row>
    <row r="343" spans="1:17" ht="57">
      <c r="A343" s="735" t="s">
        <v>1016</v>
      </c>
      <c r="B343" s="736" t="s">
        <v>2210</v>
      </c>
      <c r="C343" s="737" t="s">
        <v>2211</v>
      </c>
      <c r="D343" s="738" t="s">
        <v>2212</v>
      </c>
      <c r="E343" s="745">
        <v>6010.2</v>
      </c>
      <c r="F343" s="746">
        <v>6969.67</v>
      </c>
      <c r="G343" s="749">
        <v>0.33179999999999998</v>
      </c>
      <c r="H343" s="749">
        <v>0</v>
      </c>
      <c r="I343" s="749">
        <v>0.66820000000000002</v>
      </c>
      <c r="K343" t="s">
        <v>1016</v>
      </c>
      <c r="L343" s="752">
        <v>1994.1843599999997</v>
      </c>
      <c r="M343" s="752">
        <v>4016.0156400000001</v>
      </c>
      <c r="N343" s="752">
        <v>0</v>
      </c>
      <c r="O343" s="752">
        <v>2312.5365059999999</v>
      </c>
      <c r="P343" s="752">
        <v>4657.1334940000006</v>
      </c>
      <c r="Q343" s="752">
        <v>0</v>
      </c>
    </row>
    <row r="344" spans="1:17" ht="57">
      <c r="A344" s="735" t="s">
        <v>1016</v>
      </c>
      <c r="B344" s="736" t="s">
        <v>2213</v>
      </c>
      <c r="C344" s="737" t="s">
        <v>2214</v>
      </c>
      <c r="D344" s="738" t="s">
        <v>2215</v>
      </c>
      <c r="E344" s="745">
        <v>73019.210000000006</v>
      </c>
      <c r="F344" s="746">
        <v>68376.02</v>
      </c>
      <c r="G344" s="749">
        <v>0.2757</v>
      </c>
      <c r="H344" s="749">
        <v>0</v>
      </c>
      <c r="I344" s="749">
        <v>0.72430000000000005</v>
      </c>
      <c r="K344" t="s">
        <v>1016</v>
      </c>
      <c r="L344" s="752">
        <v>20131.396197000002</v>
      </c>
      <c r="M344" s="752">
        <v>52887.813803000012</v>
      </c>
      <c r="N344" s="752">
        <v>0</v>
      </c>
      <c r="O344" s="752">
        <v>18851.268714000002</v>
      </c>
      <c r="P344" s="752">
        <v>49524.751286000006</v>
      </c>
      <c r="Q344" s="752">
        <v>0</v>
      </c>
    </row>
    <row r="345" spans="1:17" ht="57">
      <c r="A345" s="735" t="s">
        <v>1016</v>
      </c>
      <c r="B345" s="736" t="s">
        <v>2216</v>
      </c>
      <c r="C345" s="737" t="s">
        <v>2217</v>
      </c>
      <c r="D345" s="738" t="s">
        <v>2218</v>
      </c>
      <c r="E345" s="745">
        <v>11639.95</v>
      </c>
      <c r="F345" s="746">
        <v>2452.2800000000002</v>
      </c>
      <c r="G345" s="749">
        <v>0.19040000000000001</v>
      </c>
      <c r="H345" s="749">
        <v>0</v>
      </c>
      <c r="I345" s="749">
        <v>0.80959999999999999</v>
      </c>
      <c r="K345" t="s">
        <v>1016</v>
      </c>
      <c r="L345" s="752">
        <v>2216.2464800000002</v>
      </c>
      <c r="M345" s="752">
        <v>9423.7035200000009</v>
      </c>
      <c r="N345" s="752">
        <v>0</v>
      </c>
      <c r="O345" s="752">
        <v>466.91411200000005</v>
      </c>
      <c r="P345" s="752">
        <v>1985.365888</v>
      </c>
      <c r="Q345" s="752">
        <v>0</v>
      </c>
    </row>
    <row r="346" spans="1:17" ht="57">
      <c r="A346" s="735" t="s">
        <v>1016</v>
      </c>
      <c r="B346" s="736" t="s">
        <v>2219</v>
      </c>
      <c r="C346" s="737" t="s">
        <v>2220</v>
      </c>
      <c r="D346" s="738" t="s">
        <v>2221</v>
      </c>
      <c r="E346" s="745">
        <v>8080.16</v>
      </c>
      <c r="F346" s="746">
        <v>7378.65</v>
      </c>
      <c r="G346" s="749">
        <v>6.1499999999999999E-2</v>
      </c>
      <c r="H346" s="749">
        <v>0</v>
      </c>
      <c r="I346" s="749">
        <v>0.9385</v>
      </c>
      <c r="K346" t="s">
        <v>1016</v>
      </c>
      <c r="L346" s="752">
        <v>496.92983999999996</v>
      </c>
      <c r="M346" s="752">
        <v>7583.2301600000001</v>
      </c>
      <c r="N346" s="752">
        <v>0</v>
      </c>
      <c r="O346" s="752">
        <v>453.78697499999998</v>
      </c>
      <c r="P346" s="752">
        <v>6924.8630249999997</v>
      </c>
      <c r="Q346" s="752">
        <v>0</v>
      </c>
    </row>
    <row r="347" spans="1:17" ht="57">
      <c r="A347" s="735" t="s">
        <v>1016</v>
      </c>
      <c r="B347" s="736" t="s">
        <v>2222</v>
      </c>
      <c r="C347" s="737" t="s">
        <v>2223</v>
      </c>
      <c r="D347" s="738" t="s">
        <v>2224</v>
      </c>
      <c r="E347" s="745">
        <v>2800</v>
      </c>
      <c r="F347" s="746">
        <v>2800</v>
      </c>
      <c r="G347" s="749">
        <v>0.2757</v>
      </c>
      <c r="H347" s="749">
        <v>0</v>
      </c>
      <c r="I347" s="749">
        <v>0.72430000000000005</v>
      </c>
      <c r="K347" t="s">
        <v>1016</v>
      </c>
      <c r="L347" s="752">
        <v>771.96</v>
      </c>
      <c r="M347" s="752">
        <v>2028.0400000000002</v>
      </c>
      <c r="N347" s="752">
        <v>0</v>
      </c>
      <c r="O347" s="752">
        <v>771.96</v>
      </c>
      <c r="P347" s="752">
        <v>2028.0400000000002</v>
      </c>
      <c r="Q347" s="752">
        <v>0</v>
      </c>
    </row>
    <row r="348" spans="1:17" ht="57">
      <c r="A348" s="735" t="s">
        <v>1016</v>
      </c>
      <c r="B348" s="736" t="s">
        <v>2225</v>
      </c>
      <c r="C348" s="737" t="s">
        <v>2226</v>
      </c>
      <c r="D348" s="738" t="s">
        <v>2227</v>
      </c>
      <c r="E348" s="745">
        <v>69790</v>
      </c>
      <c r="F348" s="746">
        <v>30068.97</v>
      </c>
      <c r="G348" s="749">
        <v>0.15620000000000001</v>
      </c>
      <c r="H348" s="749">
        <v>0</v>
      </c>
      <c r="I348" s="749">
        <v>0.84379999999999999</v>
      </c>
      <c r="K348" t="s">
        <v>1016</v>
      </c>
      <c r="L348" s="752">
        <v>10901.198</v>
      </c>
      <c r="M348" s="752">
        <v>58888.801999999996</v>
      </c>
      <c r="N348" s="752">
        <v>0</v>
      </c>
      <c r="O348" s="752">
        <v>4696.7731140000005</v>
      </c>
      <c r="P348" s="752">
        <v>25372.196886000002</v>
      </c>
      <c r="Q348" s="752">
        <v>0</v>
      </c>
    </row>
    <row r="349" spans="1:17" ht="57">
      <c r="A349" s="735" t="s">
        <v>1016</v>
      </c>
      <c r="B349" s="736" t="s">
        <v>2228</v>
      </c>
      <c r="C349" s="737" t="s">
        <v>2229</v>
      </c>
      <c r="D349" s="738" t="s">
        <v>2230</v>
      </c>
      <c r="E349" s="745">
        <v>49280</v>
      </c>
      <c r="F349" s="746">
        <v>21919.14</v>
      </c>
      <c r="G349" s="749">
        <v>0.1976</v>
      </c>
      <c r="H349" s="749">
        <v>0</v>
      </c>
      <c r="I349" s="749">
        <v>0.8024</v>
      </c>
      <c r="K349" t="s">
        <v>1016</v>
      </c>
      <c r="L349" s="752">
        <v>9737.7279999999992</v>
      </c>
      <c r="M349" s="752">
        <v>39542.271999999997</v>
      </c>
      <c r="N349" s="752">
        <v>0</v>
      </c>
      <c r="O349" s="752">
        <v>4331.2220639999996</v>
      </c>
      <c r="P349" s="752">
        <v>17587.917935999998</v>
      </c>
      <c r="Q349" s="752">
        <v>0</v>
      </c>
    </row>
    <row r="350" spans="1:17" ht="42.75">
      <c r="A350" s="735" t="s">
        <v>1016</v>
      </c>
      <c r="B350" s="736" t="s">
        <v>2231</v>
      </c>
      <c r="C350" s="737" t="s">
        <v>2232</v>
      </c>
      <c r="D350" s="738" t="s">
        <v>2233</v>
      </c>
      <c r="E350" s="745">
        <v>448880</v>
      </c>
      <c r="F350" s="746">
        <v>76863.259999999995</v>
      </c>
      <c r="G350" s="749">
        <v>0</v>
      </c>
      <c r="H350" s="749">
        <v>0</v>
      </c>
      <c r="I350" s="749">
        <v>1</v>
      </c>
      <c r="K350" t="s">
        <v>1016</v>
      </c>
      <c r="L350" s="752">
        <v>0</v>
      </c>
      <c r="M350" s="752">
        <v>448880</v>
      </c>
      <c r="N350" s="752">
        <v>0</v>
      </c>
      <c r="O350" s="752">
        <v>0</v>
      </c>
      <c r="P350" s="752">
        <v>76863.259999999995</v>
      </c>
      <c r="Q350" s="752">
        <v>0</v>
      </c>
    </row>
    <row r="351" spans="1:17" ht="85.5">
      <c r="A351" s="735" t="s">
        <v>1016</v>
      </c>
      <c r="B351" s="736" t="s">
        <v>2234</v>
      </c>
      <c r="C351" s="737" t="s">
        <v>2235</v>
      </c>
      <c r="D351" s="738" t="s">
        <v>2236</v>
      </c>
      <c r="E351" s="745">
        <v>546445.92000000004</v>
      </c>
      <c r="F351" s="746">
        <v>472455.73</v>
      </c>
      <c r="G351" s="749">
        <v>0.35599999999999998</v>
      </c>
      <c r="H351" s="749">
        <v>0.2</v>
      </c>
      <c r="I351" s="749">
        <v>0.44400000000000001</v>
      </c>
      <c r="K351" t="s">
        <v>1016</v>
      </c>
      <c r="L351" s="752">
        <v>194534.74752</v>
      </c>
      <c r="M351" s="752">
        <v>242621.98848000003</v>
      </c>
      <c r="N351" s="752">
        <v>109289.18400000001</v>
      </c>
      <c r="O351" s="752">
        <v>168194.23987999998</v>
      </c>
      <c r="P351" s="752">
        <v>209770.34411999999</v>
      </c>
      <c r="Q351" s="752">
        <v>94491.146000000008</v>
      </c>
    </row>
    <row r="352" spans="1:17" ht="57">
      <c r="A352" s="735" t="s">
        <v>1016</v>
      </c>
      <c r="B352" s="736" t="s">
        <v>2237</v>
      </c>
      <c r="C352" s="737" t="s">
        <v>2238</v>
      </c>
      <c r="D352" s="738" t="s">
        <v>2239</v>
      </c>
      <c r="E352" s="745">
        <v>0</v>
      </c>
      <c r="F352" s="746">
        <v>0</v>
      </c>
      <c r="G352" s="749">
        <v>0</v>
      </c>
      <c r="H352" s="749">
        <v>0</v>
      </c>
      <c r="I352" s="749">
        <v>1</v>
      </c>
      <c r="K352" t="s">
        <v>1016</v>
      </c>
      <c r="L352" s="752">
        <v>0</v>
      </c>
      <c r="M352" s="752">
        <v>0</v>
      </c>
      <c r="N352" s="752">
        <v>0</v>
      </c>
      <c r="O352" s="752">
        <v>0</v>
      </c>
      <c r="P352" s="752">
        <v>0</v>
      </c>
      <c r="Q352" s="752">
        <v>0</v>
      </c>
    </row>
    <row r="353" spans="1:17" ht="42.75">
      <c r="A353" s="735" t="s">
        <v>1016</v>
      </c>
      <c r="B353" s="736" t="s">
        <v>2240</v>
      </c>
      <c r="C353" s="737" t="s">
        <v>2241</v>
      </c>
      <c r="D353" s="738" t="s">
        <v>2242</v>
      </c>
      <c r="E353" s="745">
        <v>125000</v>
      </c>
      <c r="F353" s="746">
        <v>2164.17</v>
      </c>
      <c r="G353" s="749">
        <v>0</v>
      </c>
      <c r="H353" s="749">
        <v>1</v>
      </c>
      <c r="I353" s="749">
        <v>0</v>
      </c>
      <c r="K353" t="s">
        <v>1016</v>
      </c>
      <c r="L353" s="752">
        <v>0</v>
      </c>
      <c r="M353" s="752">
        <v>0</v>
      </c>
      <c r="N353" s="752">
        <v>125000</v>
      </c>
      <c r="O353" s="752">
        <v>0</v>
      </c>
      <c r="P353" s="752">
        <v>0</v>
      </c>
      <c r="Q353" s="752">
        <v>2164.17</v>
      </c>
    </row>
    <row r="354" spans="1:17" ht="57">
      <c r="A354" s="735" t="s">
        <v>1016</v>
      </c>
      <c r="B354" s="736" t="s">
        <v>2243</v>
      </c>
      <c r="C354" s="737" t="s">
        <v>2244</v>
      </c>
      <c r="D354" s="738" t="s">
        <v>2245</v>
      </c>
      <c r="E354" s="745">
        <v>1050</v>
      </c>
      <c r="F354" s="746">
        <v>280</v>
      </c>
      <c r="G354" s="749">
        <v>0.111</v>
      </c>
      <c r="H354" s="749">
        <v>0</v>
      </c>
      <c r="I354" s="749">
        <v>0.88900000000000001</v>
      </c>
      <c r="K354" t="s">
        <v>1016</v>
      </c>
      <c r="L354" s="752">
        <v>116.55</v>
      </c>
      <c r="M354" s="752">
        <v>933.45</v>
      </c>
      <c r="N354" s="752">
        <v>0</v>
      </c>
      <c r="O354" s="752">
        <v>31.080000000000002</v>
      </c>
      <c r="P354" s="752">
        <v>248.92000000000002</v>
      </c>
      <c r="Q354" s="752">
        <v>0</v>
      </c>
    </row>
    <row r="355" spans="1:17" ht="57">
      <c r="A355" s="735" t="s">
        <v>1016</v>
      </c>
      <c r="B355" s="736" t="s">
        <v>2246</v>
      </c>
      <c r="C355" s="737" t="s">
        <v>2247</v>
      </c>
      <c r="D355" s="738" t="s">
        <v>2248</v>
      </c>
      <c r="E355" s="745">
        <v>50000</v>
      </c>
      <c r="F355" s="746">
        <v>28282.34</v>
      </c>
      <c r="G355" s="749">
        <v>0.5</v>
      </c>
      <c r="H355" s="749">
        <v>0</v>
      </c>
      <c r="I355" s="749">
        <v>0.5</v>
      </c>
      <c r="K355" t="s">
        <v>1016</v>
      </c>
      <c r="L355" s="752">
        <v>25000</v>
      </c>
      <c r="M355" s="752">
        <v>25000</v>
      </c>
      <c r="N355" s="752">
        <v>0</v>
      </c>
      <c r="O355" s="752">
        <v>14141.17</v>
      </c>
      <c r="P355" s="752">
        <v>14141.17</v>
      </c>
      <c r="Q355" s="752">
        <v>0</v>
      </c>
    </row>
    <row r="356" spans="1:17" ht="57">
      <c r="A356" s="735" t="s">
        <v>1016</v>
      </c>
      <c r="B356" s="736" t="s">
        <v>2249</v>
      </c>
      <c r="C356" s="737" t="s">
        <v>2250</v>
      </c>
      <c r="D356" s="738" t="s">
        <v>2251</v>
      </c>
      <c r="E356" s="745">
        <v>170000</v>
      </c>
      <c r="F356" s="746">
        <v>106117.73</v>
      </c>
      <c r="G356" s="749">
        <v>0.38700000000000001</v>
      </c>
      <c r="H356" s="749">
        <v>0.05</v>
      </c>
      <c r="I356" s="749">
        <v>0.56299999999999994</v>
      </c>
      <c r="K356" t="s">
        <v>1016</v>
      </c>
      <c r="L356" s="752">
        <v>65790</v>
      </c>
      <c r="M356" s="752">
        <v>95709.999999999985</v>
      </c>
      <c r="N356" s="752">
        <v>8500</v>
      </c>
      <c r="O356" s="752">
        <v>41067.56151</v>
      </c>
      <c r="P356" s="752">
        <v>59744.281989999989</v>
      </c>
      <c r="Q356" s="752">
        <v>5305.8865000000005</v>
      </c>
    </row>
    <row r="357" spans="1:17" ht="57">
      <c r="A357" s="735" t="s">
        <v>1016</v>
      </c>
      <c r="B357" s="736" t="s">
        <v>2252</v>
      </c>
      <c r="C357" s="737" t="s">
        <v>2253</v>
      </c>
      <c r="D357" s="738" t="s">
        <v>2254</v>
      </c>
      <c r="E357" s="745">
        <v>1290</v>
      </c>
      <c r="F357" s="746">
        <v>4332.5200000000004</v>
      </c>
      <c r="G357" s="749">
        <v>0.57399999999999995</v>
      </c>
      <c r="H357" s="749">
        <v>0</v>
      </c>
      <c r="I357" s="749">
        <v>0.42599999999999999</v>
      </c>
      <c r="K357" t="s">
        <v>1016</v>
      </c>
      <c r="L357" s="752">
        <v>740.45999999999992</v>
      </c>
      <c r="M357" s="752">
        <v>549.54</v>
      </c>
      <c r="N357" s="752">
        <v>0</v>
      </c>
      <c r="O357" s="752">
        <v>2486.8664800000001</v>
      </c>
      <c r="P357" s="752">
        <v>1845.6535200000001</v>
      </c>
      <c r="Q357" s="752">
        <v>0</v>
      </c>
    </row>
    <row r="358" spans="1:17" ht="71.25">
      <c r="A358" s="735" t="s">
        <v>1016</v>
      </c>
      <c r="B358" s="736" t="s">
        <v>2255</v>
      </c>
      <c r="C358" s="737" t="s">
        <v>2256</v>
      </c>
      <c r="D358" s="738" t="s">
        <v>2257</v>
      </c>
      <c r="E358" s="745">
        <v>0</v>
      </c>
      <c r="F358" s="746">
        <v>0</v>
      </c>
      <c r="G358" s="749">
        <v>0.45500000000000002</v>
      </c>
      <c r="H358" s="749">
        <v>0</v>
      </c>
      <c r="I358" s="749">
        <v>0.54500000000000004</v>
      </c>
      <c r="K358" t="s">
        <v>1016</v>
      </c>
      <c r="L358" s="752">
        <v>0</v>
      </c>
      <c r="M358" s="752">
        <v>0</v>
      </c>
      <c r="N358" s="752">
        <v>0</v>
      </c>
      <c r="O358" s="752">
        <v>0</v>
      </c>
      <c r="P358" s="752">
        <v>0</v>
      </c>
      <c r="Q358" s="752">
        <v>0</v>
      </c>
    </row>
    <row r="359" spans="1:17" ht="71.25">
      <c r="A359" s="735" t="s">
        <v>1016</v>
      </c>
      <c r="B359" s="736" t="s">
        <v>2258</v>
      </c>
      <c r="C359" s="737" t="s">
        <v>2259</v>
      </c>
      <c r="D359" s="738" t="s">
        <v>2260</v>
      </c>
      <c r="E359" s="745">
        <v>80000</v>
      </c>
      <c r="F359" s="746">
        <v>43753.19</v>
      </c>
      <c r="G359" s="749">
        <v>9.7000000000000003E-2</v>
      </c>
      <c r="H359" s="749">
        <v>0</v>
      </c>
      <c r="I359" s="749">
        <v>0.90300000000000002</v>
      </c>
      <c r="K359" t="s">
        <v>1016</v>
      </c>
      <c r="L359" s="752">
        <v>7760</v>
      </c>
      <c r="M359" s="752">
        <v>72240</v>
      </c>
      <c r="N359" s="752">
        <v>0</v>
      </c>
      <c r="O359" s="752">
        <v>4244.0594300000002</v>
      </c>
      <c r="P359" s="752">
        <v>39509.130570000001</v>
      </c>
      <c r="Q359" s="752">
        <v>0</v>
      </c>
    </row>
    <row r="360" spans="1:17" ht="42.75">
      <c r="A360" s="735" t="s">
        <v>1016</v>
      </c>
      <c r="B360" s="736" t="s">
        <v>2261</v>
      </c>
      <c r="C360" s="737" t="s">
        <v>2262</v>
      </c>
      <c r="D360" s="738" t="s">
        <v>2263</v>
      </c>
      <c r="E360" s="745">
        <v>207200</v>
      </c>
      <c r="F360" s="746">
        <v>335</v>
      </c>
      <c r="G360" s="749">
        <v>0.35599999999999998</v>
      </c>
      <c r="H360" s="749">
        <v>0</v>
      </c>
      <c r="I360" s="749">
        <v>0.64400000000000002</v>
      </c>
      <c r="K360" t="s">
        <v>1016</v>
      </c>
      <c r="L360" s="752">
        <v>73763.199999999997</v>
      </c>
      <c r="M360" s="752">
        <v>133436.80000000002</v>
      </c>
      <c r="N360" s="752">
        <v>0</v>
      </c>
      <c r="O360" s="752">
        <v>119.25999999999999</v>
      </c>
      <c r="P360" s="752">
        <v>215.74</v>
      </c>
      <c r="Q360" s="752">
        <v>0</v>
      </c>
    </row>
    <row r="361" spans="1:17" ht="42.75">
      <c r="A361" s="735" t="s">
        <v>1016</v>
      </c>
      <c r="B361" s="736" t="s">
        <v>2264</v>
      </c>
      <c r="C361" s="737" t="s">
        <v>2265</v>
      </c>
      <c r="D361" s="738" t="s">
        <v>2266</v>
      </c>
      <c r="E361" s="745">
        <v>3150</v>
      </c>
      <c r="F361" s="746">
        <v>840</v>
      </c>
      <c r="G361" s="749">
        <v>0.27100000000000002</v>
      </c>
      <c r="H361" s="749">
        <v>0</v>
      </c>
      <c r="I361" s="749">
        <v>0.72899999999999998</v>
      </c>
      <c r="K361" t="s">
        <v>1016</v>
      </c>
      <c r="L361" s="752">
        <v>853.65000000000009</v>
      </c>
      <c r="M361" s="752">
        <v>2296.35</v>
      </c>
      <c r="N361" s="752">
        <v>0</v>
      </c>
      <c r="O361" s="752">
        <v>227.64000000000001</v>
      </c>
      <c r="P361" s="752">
        <v>612.36</v>
      </c>
      <c r="Q361" s="752">
        <v>0</v>
      </c>
    </row>
    <row r="362" spans="1:17" ht="71.25">
      <c r="A362" s="735" t="s">
        <v>1016</v>
      </c>
      <c r="B362" s="736" t="s">
        <v>2267</v>
      </c>
      <c r="C362" s="737" t="s">
        <v>2268</v>
      </c>
      <c r="D362" s="738" t="s">
        <v>2269</v>
      </c>
      <c r="E362" s="745">
        <v>5050</v>
      </c>
      <c r="F362" s="746">
        <v>0</v>
      </c>
      <c r="G362" s="749">
        <v>0.187</v>
      </c>
      <c r="H362" s="749">
        <v>0</v>
      </c>
      <c r="I362" s="749">
        <v>0.81299999999999994</v>
      </c>
      <c r="K362" t="s">
        <v>1016</v>
      </c>
      <c r="L362" s="752">
        <v>944.35</v>
      </c>
      <c r="M362" s="752">
        <v>4105.6499999999996</v>
      </c>
      <c r="N362" s="752">
        <v>0</v>
      </c>
      <c r="O362" s="752">
        <v>0</v>
      </c>
      <c r="P362" s="752">
        <v>0</v>
      </c>
      <c r="Q362" s="752">
        <v>0</v>
      </c>
    </row>
    <row r="363" spans="1:17" ht="42.75">
      <c r="A363" s="735" t="s">
        <v>1016</v>
      </c>
      <c r="B363" s="736" t="s">
        <v>2270</v>
      </c>
      <c r="C363" s="737" t="s">
        <v>2271</v>
      </c>
      <c r="D363" s="738" t="s">
        <v>2272</v>
      </c>
      <c r="E363" s="745">
        <v>750</v>
      </c>
      <c r="F363" s="746">
        <v>200</v>
      </c>
      <c r="G363" s="749">
        <v>0.33500000000000002</v>
      </c>
      <c r="H363" s="749">
        <v>0</v>
      </c>
      <c r="I363" s="749">
        <v>0.66500000000000004</v>
      </c>
      <c r="K363" t="s">
        <v>1016</v>
      </c>
      <c r="L363" s="752">
        <v>251.25000000000003</v>
      </c>
      <c r="M363" s="752">
        <v>498.75</v>
      </c>
      <c r="N363" s="752">
        <v>0</v>
      </c>
      <c r="O363" s="752">
        <v>67</v>
      </c>
      <c r="P363" s="752">
        <v>133</v>
      </c>
      <c r="Q363" s="752">
        <v>0</v>
      </c>
    </row>
    <row r="364" spans="1:17" ht="57">
      <c r="A364" s="735" t="s">
        <v>1016</v>
      </c>
      <c r="B364" s="736" t="s">
        <v>2273</v>
      </c>
      <c r="C364" s="737" t="s">
        <v>2274</v>
      </c>
      <c r="D364" s="738" t="s">
        <v>2275</v>
      </c>
      <c r="E364" s="745">
        <v>33450</v>
      </c>
      <c r="F364" s="746">
        <v>10716.5</v>
      </c>
      <c r="G364" s="749">
        <v>0.16800000000000001</v>
      </c>
      <c r="H364" s="749">
        <v>0</v>
      </c>
      <c r="I364" s="749">
        <v>0.83199999999999996</v>
      </c>
      <c r="K364" t="s">
        <v>1016</v>
      </c>
      <c r="L364" s="752">
        <v>5619.6</v>
      </c>
      <c r="M364" s="752">
        <v>27830.399999999998</v>
      </c>
      <c r="N364" s="752">
        <v>0</v>
      </c>
      <c r="O364" s="752">
        <v>1800.3720000000001</v>
      </c>
      <c r="P364" s="752">
        <v>8916.1279999999988</v>
      </c>
      <c r="Q364" s="752">
        <v>0</v>
      </c>
    </row>
    <row r="365" spans="1:17" ht="71.25">
      <c r="A365" s="735" t="s">
        <v>1016</v>
      </c>
      <c r="B365" s="736" t="s">
        <v>2276</v>
      </c>
      <c r="C365" s="737" t="s">
        <v>2277</v>
      </c>
      <c r="D365" s="738" t="s">
        <v>2278</v>
      </c>
      <c r="E365" s="745">
        <v>1200000</v>
      </c>
      <c r="F365" s="746">
        <v>213000</v>
      </c>
      <c r="G365" s="749">
        <v>0.46</v>
      </c>
      <c r="H365" s="749">
        <v>0</v>
      </c>
      <c r="I365" s="749">
        <v>0.54</v>
      </c>
      <c r="K365" t="s">
        <v>1016</v>
      </c>
      <c r="L365" s="752">
        <v>552000</v>
      </c>
      <c r="M365" s="752">
        <v>648000</v>
      </c>
      <c r="N365" s="752">
        <v>0</v>
      </c>
      <c r="O365" s="752">
        <v>97980</v>
      </c>
      <c r="P365" s="752">
        <v>115020.00000000001</v>
      </c>
      <c r="Q365" s="752">
        <v>0</v>
      </c>
    </row>
    <row r="366" spans="1:17" ht="57">
      <c r="A366" s="735" t="s">
        <v>1016</v>
      </c>
      <c r="B366" s="736" t="s">
        <v>2279</v>
      </c>
      <c r="C366" s="737" t="s">
        <v>2280</v>
      </c>
      <c r="D366" s="738" t="s">
        <v>2281</v>
      </c>
      <c r="E366" s="745">
        <v>5240.03</v>
      </c>
      <c r="F366" s="746">
        <v>6316.57</v>
      </c>
      <c r="G366" s="749">
        <v>0.5</v>
      </c>
      <c r="H366" s="749">
        <v>0</v>
      </c>
      <c r="I366" s="749">
        <v>0.5</v>
      </c>
      <c r="K366" t="s">
        <v>1016</v>
      </c>
      <c r="L366" s="752">
        <v>2620.0149999999999</v>
      </c>
      <c r="M366" s="752">
        <v>2620.0149999999999</v>
      </c>
      <c r="N366" s="752">
        <v>0</v>
      </c>
      <c r="O366" s="752">
        <v>3158.2849999999999</v>
      </c>
      <c r="P366" s="752">
        <v>3158.2849999999999</v>
      </c>
      <c r="Q366" s="752">
        <v>0</v>
      </c>
    </row>
    <row r="367" spans="1:17" ht="42.75">
      <c r="A367" s="735" t="s">
        <v>1016</v>
      </c>
      <c r="B367" s="736" t="s">
        <v>2282</v>
      </c>
      <c r="C367" s="737" t="s">
        <v>2283</v>
      </c>
      <c r="D367" s="738" t="s">
        <v>2284</v>
      </c>
      <c r="E367" s="745">
        <v>23850</v>
      </c>
      <c r="F367" s="746">
        <v>6671.5</v>
      </c>
      <c r="G367" s="749">
        <v>0.23899999999999999</v>
      </c>
      <c r="H367" s="749">
        <v>0</v>
      </c>
      <c r="I367" s="749">
        <v>0.76100000000000001</v>
      </c>
      <c r="K367" t="s">
        <v>1016</v>
      </c>
      <c r="L367" s="752">
        <v>5700.15</v>
      </c>
      <c r="M367" s="752">
        <v>18149.849999999999</v>
      </c>
      <c r="N367" s="752">
        <v>0</v>
      </c>
      <c r="O367" s="752">
        <v>1594.4884999999999</v>
      </c>
      <c r="P367" s="752">
        <v>5077.0114999999996</v>
      </c>
      <c r="Q367" s="752">
        <v>0</v>
      </c>
    </row>
    <row r="368" spans="1:17" ht="71.25">
      <c r="A368" s="735" t="s">
        <v>1016</v>
      </c>
      <c r="B368" s="736" t="s">
        <v>2285</v>
      </c>
      <c r="C368" s="737" t="s">
        <v>2286</v>
      </c>
      <c r="D368" s="738" t="s">
        <v>2287</v>
      </c>
      <c r="E368" s="745">
        <v>380000</v>
      </c>
      <c r="F368" s="746">
        <v>17405.71</v>
      </c>
      <c r="G368" s="749">
        <v>0.46</v>
      </c>
      <c r="H368" s="749">
        <v>0.32100000000000001</v>
      </c>
      <c r="I368" s="749">
        <v>0.219</v>
      </c>
      <c r="K368" t="s">
        <v>1016</v>
      </c>
      <c r="L368" s="752">
        <v>174800</v>
      </c>
      <c r="M368" s="752">
        <v>83220</v>
      </c>
      <c r="N368" s="752">
        <v>121980</v>
      </c>
      <c r="O368" s="752">
        <v>8006.6265999999996</v>
      </c>
      <c r="P368" s="752">
        <v>3811.8504899999998</v>
      </c>
      <c r="Q368" s="752">
        <v>5587.2329099999997</v>
      </c>
    </row>
    <row r="369" spans="1:17" ht="71.25">
      <c r="A369" s="735" t="s">
        <v>1016</v>
      </c>
      <c r="B369" s="736" t="s">
        <v>2288</v>
      </c>
      <c r="C369" s="737" t="s">
        <v>2289</v>
      </c>
      <c r="D369" s="738" t="s">
        <v>2290</v>
      </c>
      <c r="E369" s="745">
        <v>64520</v>
      </c>
      <c r="F369" s="746">
        <v>6920</v>
      </c>
      <c r="G369" s="749">
        <v>0.26600000000000001</v>
      </c>
      <c r="H369" s="749">
        <v>0</v>
      </c>
      <c r="I369" s="749">
        <v>0.73399999999999999</v>
      </c>
      <c r="K369" t="s">
        <v>1016</v>
      </c>
      <c r="L369" s="752">
        <v>17162.32</v>
      </c>
      <c r="M369" s="752">
        <v>47357.68</v>
      </c>
      <c r="N369" s="752">
        <v>0</v>
      </c>
      <c r="O369" s="752">
        <v>1840.72</v>
      </c>
      <c r="P369" s="752">
        <v>5079.28</v>
      </c>
      <c r="Q369" s="752">
        <v>0</v>
      </c>
    </row>
    <row r="370" spans="1:17" ht="71.25">
      <c r="A370" s="735" t="s">
        <v>1016</v>
      </c>
      <c r="B370" s="736" t="s">
        <v>2291</v>
      </c>
      <c r="C370" s="737" t="s">
        <v>2292</v>
      </c>
      <c r="D370" s="738" t="s">
        <v>2293</v>
      </c>
      <c r="E370" s="745">
        <v>2860</v>
      </c>
      <c r="F370" s="746">
        <v>5027.24</v>
      </c>
      <c r="G370" s="749">
        <v>0.28599999999999998</v>
      </c>
      <c r="H370" s="749">
        <v>0</v>
      </c>
      <c r="I370" s="749">
        <v>0.71399999999999997</v>
      </c>
      <c r="K370" t="s">
        <v>1016</v>
      </c>
      <c r="L370" s="752">
        <v>817.95999999999992</v>
      </c>
      <c r="M370" s="752">
        <v>2042.04</v>
      </c>
      <c r="N370" s="752">
        <v>0</v>
      </c>
      <c r="O370" s="752">
        <v>1437.7906399999997</v>
      </c>
      <c r="P370" s="752">
        <v>3589.4493599999996</v>
      </c>
      <c r="Q370" s="752">
        <v>0</v>
      </c>
    </row>
    <row r="371" spans="1:17" ht="57">
      <c r="A371" s="735" t="s">
        <v>1016</v>
      </c>
      <c r="B371" s="736" t="s">
        <v>2294</v>
      </c>
      <c r="C371" s="737" t="s">
        <v>2295</v>
      </c>
      <c r="D371" s="738" t="s">
        <v>2296</v>
      </c>
      <c r="E371" s="745">
        <v>4800</v>
      </c>
      <c r="F371" s="746">
        <v>1280</v>
      </c>
      <c r="G371" s="749">
        <v>3.9E-2</v>
      </c>
      <c r="H371" s="749">
        <v>0</v>
      </c>
      <c r="I371" s="749">
        <v>0.96099999999999997</v>
      </c>
      <c r="K371" t="s">
        <v>1016</v>
      </c>
      <c r="L371" s="752">
        <v>187.2</v>
      </c>
      <c r="M371" s="752">
        <v>4612.8</v>
      </c>
      <c r="N371" s="752">
        <v>0</v>
      </c>
      <c r="O371" s="752">
        <v>49.92</v>
      </c>
      <c r="P371" s="752">
        <v>1230.08</v>
      </c>
      <c r="Q371" s="752">
        <v>0</v>
      </c>
    </row>
    <row r="372" spans="1:17" ht="71.25">
      <c r="A372" s="735" t="s">
        <v>1016</v>
      </c>
      <c r="B372" s="736" t="s">
        <v>2297</v>
      </c>
      <c r="C372" s="737" t="s">
        <v>2298</v>
      </c>
      <c r="D372" s="738" t="s">
        <v>2299</v>
      </c>
      <c r="E372" s="745">
        <v>42930</v>
      </c>
      <c r="F372" s="746">
        <v>0</v>
      </c>
      <c r="G372" s="749">
        <v>0.20899999999999999</v>
      </c>
      <c r="H372" s="749">
        <v>0</v>
      </c>
      <c r="I372" s="749">
        <v>0.79100000000000004</v>
      </c>
      <c r="K372" t="s">
        <v>1016</v>
      </c>
      <c r="L372" s="752">
        <v>8972.369999999999</v>
      </c>
      <c r="M372" s="752">
        <v>33957.630000000005</v>
      </c>
      <c r="N372" s="752">
        <v>0</v>
      </c>
      <c r="O372" s="752">
        <v>0</v>
      </c>
      <c r="P372" s="752">
        <v>0</v>
      </c>
      <c r="Q372" s="752">
        <v>0</v>
      </c>
    </row>
    <row r="373" spans="1:17" ht="71.25">
      <c r="A373" s="735" t="s">
        <v>1016</v>
      </c>
      <c r="B373" s="736" t="s">
        <v>2300</v>
      </c>
      <c r="C373" s="737" t="s">
        <v>2301</v>
      </c>
      <c r="D373" s="738" t="s">
        <v>2302</v>
      </c>
      <c r="E373" s="745">
        <v>0</v>
      </c>
      <c r="F373" s="746">
        <v>0</v>
      </c>
      <c r="G373" s="749">
        <v>0.38900000000000001</v>
      </c>
      <c r="H373" s="749">
        <v>0</v>
      </c>
      <c r="I373" s="749">
        <v>0.61099999999999999</v>
      </c>
      <c r="K373" t="s">
        <v>1016</v>
      </c>
      <c r="L373" s="752">
        <v>0</v>
      </c>
      <c r="M373" s="752">
        <v>0</v>
      </c>
      <c r="N373" s="752">
        <v>0</v>
      </c>
      <c r="O373" s="752">
        <v>0</v>
      </c>
      <c r="P373" s="752">
        <v>0</v>
      </c>
      <c r="Q373" s="752">
        <v>0</v>
      </c>
    </row>
    <row r="374" spans="1:17" ht="57">
      <c r="A374" s="735" t="s">
        <v>1016</v>
      </c>
      <c r="B374" s="736" t="s">
        <v>2303</v>
      </c>
      <c r="C374" s="737" t="s">
        <v>2304</v>
      </c>
      <c r="D374" s="738" t="s">
        <v>2305</v>
      </c>
      <c r="E374" s="745">
        <v>495000</v>
      </c>
      <c r="F374" s="746">
        <v>63677.13</v>
      </c>
      <c r="G374" s="749">
        <v>0.57299999999999995</v>
      </c>
      <c r="H374" s="749">
        <v>0</v>
      </c>
      <c r="I374" s="749">
        <v>0.42699999999999999</v>
      </c>
      <c r="K374" t="s">
        <v>1016</v>
      </c>
      <c r="L374" s="752">
        <v>283635</v>
      </c>
      <c r="M374" s="752">
        <v>211365</v>
      </c>
      <c r="N374" s="752">
        <v>0</v>
      </c>
      <c r="O374" s="752">
        <v>36486.995489999994</v>
      </c>
      <c r="P374" s="752">
        <v>27190.13451</v>
      </c>
      <c r="Q374" s="752">
        <v>0</v>
      </c>
    </row>
    <row r="375" spans="1:17" ht="71.25">
      <c r="A375" s="735" t="s">
        <v>1016</v>
      </c>
      <c r="B375" s="736" t="s">
        <v>2306</v>
      </c>
      <c r="C375" s="737" t="s">
        <v>2307</v>
      </c>
      <c r="D375" s="738" t="s">
        <v>2308</v>
      </c>
      <c r="E375" s="745">
        <v>29070</v>
      </c>
      <c r="F375" s="746">
        <v>1680</v>
      </c>
      <c r="G375" s="749">
        <v>0.35399999999999998</v>
      </c>
      <c r="H375" s="749">
        <v>0</v>
      </c>
      <c r="I375" s="749">
        <v>0.64600000000000002</v>
      </c>
      <c r="K375" t="s">
        <v>1016</v>
      </c>
      <c r="L375" s="752">
        <v>10290.779999999999</v>
      </c>
      <c r="M375" s="752">
        <v>18779.22</v>
      </c>
      <c r="N375" s="752">
        <v>0</v>
      </c>
      <c r="O375" s="752">
        <v>594.71999999999991</v>
      </c>
      <c r="P375" s="752">
        <v>1085.28</v>
      </c>
      <c r="Q375" s="752">
        <v>0</v>
      </c>
    </row>
    <row r="376" spans="1:17" ht="85.5">
      <c r="A376" s="735" t="s">
        <v>1016</v>
      </c>
      <c r="B376" s="736" t="s">
        <v>2309</v>
      </c>
      <c r="C376" s="737" t="s">
        <v>2310</v>
      </c>
      <c r="D376" s="738" t="s">
        <v>2311</v>
      </c>
      <c r="E376" s="745">
        <v>0.14000000000000001</v>
      </c>
      <c r="F376" s="746">
        <v>0</v>
      </c>
      <c r="G376" s="749">
        <v>1.4E-2</v>
      </c>
      <c r="H376" s="749">
        <v>0</v>
      </c>
      <c r="I376" s="749">
        <v>0.98599999999999999</v>
      </c>
      <c r="K376" t="s">
        <v>1016</v>
      </c>
      <c r="L376" s="752">
        <v>1.9600000000000004E-3</v>
      </c>
      <c r="M376" s="752">
        <v>0.13804000000000002</v>
      </c>
      <c r="N376" s="752">
        <v>0</v>
      </c>
      <c r="O376" s="752">
        <v>0</v>
      </c>
      <c r="P376" s="752">
        <v>0</v>
      </c>
      <c r="Q376" s="752">
        <v>0</v>
      </c>
    </row>
    <row r="377" spans="1:17" ht="42.75">
      <c r="A377" s="735" t="s">
        <v>1016</v>
      </c>
      <c r="B377" s="736" t="s">
        <v>2312</v>
      </c>
      <c r="C377" s="737" t="s">
        <v>2313</v>
      </c>
      <c r="D377" s="738" t="s">
        <v>2314</v>
      </c>
      <c r="E377" s="745">
        <v>1650</v>
      </c>
      <c r="F377" s="746">
        <v>440</v>
      </c>
      <c r="G377" s="749">
        <v>0.126</v>
      </c>
      <c r="H377" s="749">
        <v>0</v>
      </c>
      <c r="I377" s="749">
        <v>0.874</v>
      </c>
      <c r="K377" t="s">
        <v>1016</v>
      </c>
      <c r="L377" s="752">
        <v>207.9</v>
      </c>
      <c r="M377" s="752">
        <v>1442.1</v>
      </c>
      <c r="N377" s="752">
        <v>0</v>
      </c>
      <c r="O377" s="752">
        <v>55.44</v>
      </c>
      <c r="P377" s="752">
        <v>384.56</v>
      </c>
      <c r="Q377" s="752">
        <v>0</v>
      </c>
    </row>
    <row r="378" spans="1:17" ht="71.25">
      <c r="A378" s="735" t="s">
        <v>1016</v>
      </c>
      <c r="B378" s="736" t="s">
        <v>2315</v>
      </c>
      <c r="C378" s="737" t="s">
        <v>2316</v>
      </c>
      <c r="D378" s="738" t="s">
        <v>2317</v>
      </c>
      <c r="E378" s="745">
        <v>0</v>
      </c>
      <c r="F378" s="746">
        <v>0</v>
      </c>
      <c r="G378" s="749">
        <v>7.0999999999999994E-2</v>
      </c>
      <c r="H378" s="749">
        <v>0</v>
      </c>
      <c r="I378" s="749">
        <v>0.92900000000000005</v>
      </c>
      <c r="K378" t="s">
        <v>1016</v>
      </c>
      <c r="L378" s="752">
        <v>0</v>
      </c>
      <c r="M378" s="752">
        <v>0</v>
      </c>
      <c r="N378" s="752">
        <v>0</v>
      </c>
      <c r="O378" s="752">
        <v>0</v>
      </c>
      <c r="P378" s="752">
        <v>0</v>
      </c>
      <c r="Q378" s="752">
        <v>0</v>
      </c>
    </row>
    <row r="379" spans="1:17" ht="71.25">
      <c r="A379" s="735" t="s">
        <v>1016</v>
      </c>
      <c r="B379" s="736" t="s">
        <v>2318</v>
      </c>
      <c r="C379" s="737" t="s">
        <v>2319</v>
      </c>
      <c r="D379" s="738" t="s">
        <v>2320</v>
      </c>
      <c r="E379" s="745">
        <v>0</v>
      </c>
      <c r="F379" s="746">
        <v>0</v>
      </c>
      <c r="G379" s="749">
        <v>0.02</v>
      </c>
      <c r="H379" s="749">
        <v>0</v>
      </c>
      <c r="I379" s="749">
        <v>0.98</v>
      </c>
      <c r="K379" t="s">
        <v>1016</v>
      </c>
      <c r="L379" s="752">
        <v>0</v>
      </c>
      <c r="M379" s="752">
        <v>0</v>
      </c>
      <c r="N379" s="752">
        <v>0</v>
      </c>
      <c r="O379" s="752">
        <v>0</v>
      </c>
      <c r="P379" s="752">
        <v>0</v>
      </c>
      <c r="Q379" s="752">
        <v>0</v>
      </c>
    </row>
    <row r="380" spans="1:17" ht="57">
      <c r="A380" s="735" t="s">
        <v>1016</v>
      </c>
      <c r="B380" s="736" t="s">
        <v>2321</v>
      </c>
      <c r="C380" s="737" t="s">
        <v>2322</v>
      </c>
      <c r="D380" s="738" t="s">
        <v>2323</v>
      </c>
      <c r="E380" s="745">
        <v>6900</v>
      </c>
      <c r="F380" s="746">
        <v>1840</v>
      </c>
      <c r="G380" s="749">
        <v>7.0000000000000001E-3</v>
      </c>
      <c r="H380" s="749">
        <v>0</v>
      </c>
      <c r="I380" s="749">
        <v>0.99299999999999999</v>
      </c>
      <c r="K380" t="s">
        <v>1016</v>
      </c>
      <c r="L380" s="752">
        <v>48.300000000000004</v>
      </c>
      <c r="M380" s="752">
        <v>6851.7</v>
      </c>
      <c r="N380" s="752">
        <v>0</v>
      </c>
      <c r="O380" s="752">
        <v>12.88</v>
      </c>
      <c r="P380" s="752">
        <v>1827.12</v>
      </c>
      <c r="Q380" s="752">
        <v>0</v>
      </c>
    </row>
    <row r="381" spans="1:17" ht="57">
      <c r="A381" s="735" t="s">
        <v>1016</v>
      </c>
      <c r="B381" s="736" t="s">
        <v>2324</v>
      </c>
      <c r="C381" s="737" t="s">
        <v>2325</v>
      </c>
      <c r="D381" s="738" t="s">
        <v>2326</v>
      </c>
      <c r="E381" s="745">
        <v>1830.11</v>
      </c>
      <c r="F381" s="746">
        <v>4477.91</v>
      </c>
      <c r="G381" s="749">
        <v>0.25800000000000001</v>
      </c>
      <c r="H381" s="749">
        <v>0</v>
      </c>
      <c r="I381" s="749">
        <v>0.74199999999999999</v>
      </c>
      <c r="K381" t="s">
        <v>1016</v>
      </c>
      <c r="L381" s="752">
        <v>472.16838000000001</v>
      </c>
      <c r="M381" s="752">
        <v>1357.9416199999998</v>
      </c>
      <c r="N381" s="752">
        <v>0</v>
      </c>
      <c r="O381" s="752">
        <v>1155.30078</v>
      </c>
      <c r="P381" s="752">
        <v>3322.6092199999998</v>
      </c>
      <c r="Q381" s="752">
        <v>0</v>
      </c>
    </row>
    <row r="382" spans="1:17" ht="71.25">
      <c r="A382" s="735" t="s">
        <v>1016</v>
      </c>
      <c r="B382" s="736" t="s">
        <v>2327</v>
      </c>
      <c r="C382" s="737" t="s">
        <v>2328</v>
      </c>
      <c r="D382" s="738" t="s">
        <v>2329</v>
      </c>
      <c r="E382" s="745">
        <v>25000</v>
      </c>
      <c r="F382" s="746">
        <v>0</v>
      </c>
      <c r="G382" s="749">
        <v>0</v>
      </c>
      <c r="H382" s="749">
        <v>0</v>
      </c>
      <c r="I382" s="749">
        <v>0</v>
      </c>
      <c r="K382" t="s">
        <v>1016</v>
      </c>
      <c r="L382" s="752">
        <v>0</v>
      </c>
      <c r="M382" s="752">
        <v>0</v>
      </c>
      <c r="N382" s="752">
        <v>0</v>
      </c>
      <c r="O382" s="752">
        <v>0</v>
      </c>
      <c r="P382" s="752">
        <v>0</v>
      </c>
      <c r="Q382" s="752">
        <v>0</v>
      </c>
    </row>
    <row r="383" spans="1:17" ht="71.25">
      <c r="A383" s="735" t="s">
        <v>1016</v>
      </c>
      <c r="B383" s="736" t="s">
        <v>2330</v>
      </c>
      <c r="C383" s="737" t="s">
        <v>2331</v>
      </c>
      <c r="D383" s="738" t="s">
        <v>2332</v>
      </c>
      <c r="E383" s="745">
        <v>0</v>
      </c>
      <c r="F383" s="746">
        <v>0</v>
      </c>
      <c r="G383" s="749">
        <v>0.372</v>
      </c>
      <c r="H383" s="749">
        <v>0</v>
      </c>
      <c r="I383" s="749">
        <v>0.628</v>
      </c>
      <c r="K383" t="s">
        <v>1016</v>
      </c>
      <c r="L383" s="752">
        <v>0</v>
      </c>
      <c r="M383" s="752">
        <v>0</v>
      </c>
      <c r="N383" s="752">
        <v>0</v>
      </c>
      <c r="O383" s="752">
        <v>0</v>
      </c>
      <c r="P383" s="752">
        <v>0</v>
      </c>
      <c r="Q383" s="752">
        <v>0</v>
      </c>
    </row>
    <row r="384" spans="1:17" ht="39.75" thickBot="1">
      <c r="A384" s="739" t="s">
        <v>1016</v>
      </c>
      <c r="B384" s="740"/>
      <c r="C384" s="741"/>
      <c r="D384" s="742" t="s">
        <v>2333</v>
      </c>
      <c r="E384" s="747">
        <v>31769611.400000002</v>
      </c>
      <c r="F384" s="747">
        <v>19560817.640000004</v>
      </c>
      <c r="G384" s="747"/>
      <c r="H384" s="747"/>
      <c r="I384" s="747"/>
      <c r="K384" t="s">
        <v>1016</v>
      </c>
      <c r="L384" s="752">
        <v>0</v>
      </c>
      <c r="M384" s="752">
        <v>0</v>
      </c>
      <c r="N384" s="752">
        <v>0</v>
      </c>
      <c r="O384" s="752">
        <v>0</v>
      </c>
      <c r="P384" s="752">
        <v>0</v>
      </c>
      <c r="Q384" s="752">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B17"/>
  <sheetViews>
    <sheetView workbookViewId="0">
      <selection activeCell="D32" sqref="D32"/>
    </sheetView>
  </sheetViews>
  <sheetFormatPr defaultRowHeight="14.25"/>
  <cols>
    <col min="1" max="1" width="34.42578125" customWidth="1"/>
    <col min="2" max="2" width="45.42578125" customWidth="1"/>
  </cols>
  <sheetData>
    <row r="1" spans="1:2">
      <c r="A1" t="s">
        <v>1218</v>
      </c>
      <c r="B1" t="s">
        <v>2334</v>
      </c>
    </row>
    <row r="2" spans="1:2">
      <c r="A2" t="s">
        <v>2335</v>
      </c>
      <c r="B2" t="s">
        <v>2336</v>
      </c>
    </row>
    <row r="4" spans="1:2">
      <c r="A4" t="s">
        <v>1202</v>
      </c>
      <c r="B4" t="s">
        <v>2337</v>
      </c>
    </row>
    <row r="5" spans="1:2">
      <c r="A5" s="2" t="s">
        <v>1017</v>
      </c>
      <c r="B5" s="620">
        <v>634994.79999999993</v>
      </c>
    </row>
    <row r="6" spans="1:2">
      <c r="A6" s="755" t="s">
        <v>2338</v>
      </c>
      <c r="B6" s="620">
        <v>203354.97999999969</v>
      </c>
    </row>
    <row r="7" spans="1:2">
      <c r="A7" s="755" t="s">
        <v>2339</v>
      </c>
      <c r="B7" s="620">
        <v>245457.69000000018</v>
      </c>
    </row>
    <row r="8" spans="1:2">
      <c r="A8" s="755" t="s">
        <v>2340</v>
      </c>
      <c r="B8" s="620">
        <v>186182.13000000003</v>
      </c>
    </row>
    <row r="9" spans="1:2">
      <c r="A9" s="2" t="s">
        <v>2341</v>
      </c>
      <c r="B9" s="620">
        <v>6670798.7200000007</v>
      </c>
    </row>
    <row r="10" spans="1:2">
      <c r="A10" s="755" t="s">
        <v>2338</v>
      </c>
      <c r="B10" s="620">
        <v>4094112.3000000017</v>
      </c>
    </row>
    <row r="11" spans="1:2">
      <c r="A11" s="755" t="s">
        <v>2339</v>
      </c>
      <c r="B11" s="620">
        <v>1612715.5199999998</v>
      </c>
    </row>
    <row r="12" spans="1:2">
      <c r="A12" s="755" t="s">
        <v>2340</v>
      </c>
      <c r="B12" s="620">
        <v>963970.89999999979</v>
      </c>
    </row>
    <row r="13" spans="1:2">
      <c r="A13" s="2" t="s">
        <v>1016</v>
      </c>
      <c r="B13" s="620">
        <v>4755082.6499999976</v>
      </c>
    </row>
    <row r="14" spans="1:2">
      <c r="A14" s="755" t="s">
        <v>2338</v>
      </c>
      <c r="B14" s="620">
        <v>1420074.9599999988</v>
      </c>
    </row>
    <row r="15" spans="1:2">
      <c r="A15" s="755" t="s">
        <v>2339</v>
      </c>
      <c r="B15" s="620">
        <v>1438352.4899999995</v>
      </c>
    </row>
    <row r="16" spans="1:2">
      <c r="A16" s="755" t="s">
        <v>2340</v>
      </c>
      <c r="B16" s="620">
        <v>1896655.1999999993</v>
      </c>
    </row>
    <row r="17" spans="1:2">
      <c r="A17" s="2" t="s">
        <v>1211</v>
      </c>
      <c r="B17" s="620">
        <v>12060876.169999998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Q9"/>
  <sheetViews>
    <sheetView topLeftCell="E1" workbookViewId="0">
      <selection activeCell="Q6" sqref="Q6"/>
    </sheetView>
  </sheetViews>
  <sheetFormatPr defaultRowHeight="14.25"/>
  <cols>
    <col min="1" max="1" width="22.28515625" bestFit="1" customWidth="1"/>
    <col min="2" max="2" width="58.7109375" bestFit="1" customWidth="1"/>
    <col min="3" max="3" width="4" bestFit="1" customWidth="1"/>
    <col min="4" max="4" width="59.5703125" bestFit="1" customWidth="1"/>
    <col min="5" max="5" width="37.42578125" bestFit="1" customWidth="1"/>
    <col min="8" max="8" width="47.28515625" bestFit="1" customWidth="1"/>
    <col min="10" max="10" width="60.140625" bestFit="1" customWidth="1"/>
  </cols>
  <sheetData>
    <row r="1" spans="1:17">
      <c r="A1" t="s">
        <v>2342</v>
      </c>
      <c r="B1" t="s">
        <v>2343</v>
      </c>
      <c r="C1" t="s">
        <v>292</v>
      </c>
      <c r="D1" t="s">
        <v>2344</v>
      </c>
      <c r="E1" t="s">
        <v>2345</v>
      </c>
      <c r="F1" t="s">
        <v>2346</v>
      </c>
      <c r="G1" t="s">
        <v>2347</v>
      </c>
      <c r="H1" t="s">
        <v>2348</v>
      </c>
      <c r="I1" t="s">
        <v>2349</v>
      </c>
      <c r="J1" t="s">
        <v>2350</v>
      </c>
      <c r="K1" t="s">
        <v>292</v>
      </c>
      <c r="L1" t="s">
        <v>631</v>
      </c>
      <c r="M1" t="s">
        <v>2351</v>
      </c>
      <c r="N1" t="s">
        <v>2352</v>
      </c>
      <c r="O1" t="s">
        <v>2353</v>
      </c>
      <c r="P1" t="s">
        <v>2354</v>
      </c>
      <c r="Q1" t="s">
        <v>2355</v>
      </c>
    </row>
    <row r="2" spans="1:17">
      <c r="A2" t="s">
        <v>2356</v>
      </c>
      <c r="B2" t="s">
        <v>2357</v>
      </c>
      <c r="C2" t="s">
        <v>328</v>
      </c>
      <c r="D2" t="s">
        <v>2357</v>
      </c>
      <c r="E2" t="s">
        <v>2358</v>
      </c>
      <c r="F2" t="s">
        <v>537</v>
      </c>
      <c r="G2" t="s">
        <v>2359</v>
      </c>
      <c r="H2" t="s">
        <v>328</v>
      </c>
      <c r="I2" t="s">
        <v>2360</v>
      </c>
      <c r="J2" t="s">
        <v>2361</v>
      </c>
      <c r="K2" t="s">
        <v>328</v>
      </c>
      <c r="L2" t="s">
        <v>2362</v>
      </c>
      <c r="M2" t="s">
        <v>2363</v>
      </c>
      <c r="N2" t="s">
        <v>2364</v>
      </c>
      <c r="O2" t="s">
        <v>2365</v>
      </c>
      <c r="P2" t="s">
        <v>2366</v>
      </c>
      <c r="Q2">
        <v>2.6</v>
      </c>
    </row>
    <row r="3" spans="1:17">
      <c r="A3" t="s">
        <v>150</v>
      </c>
      <c r="B3" t="s">
        <v>2367</v>
      </c>
      <c r="D3" t="s">
        <v>2367</v>
      </c>
      <c r="E3" t="s">
        <v>2368</v>
      </c>
      <c r="F3" t="s">
        <v>2369</v>
      </c>
      <c r="G3" t="s">
        <v>2370</v>
      </c>
      <c r="I3" t="s">
        <v>2371</v>
      </c>
      <c r="J3" t="s">
        <v>2372</v>
      </c>
      <c r="L3" t="s">
        <v>2373</v>
      </c>
      <c r="M3" t="s">
        <v>2374</v>
      </c>
      <c r="N3" t="s">
        <v>2375</v>
      </c>
      <c r="O3" t="s">
        <v>2376</v>
      </c>
      <c r="P3" t="s">
        <v>2377</v>
      </c>
      <c r="Q3">
        <v>4.5</v>
      </c>
    </row>
    <row r="4" spans="1:17">
      <c r="A4" t="s">
        <v>33</v>
      </c>
      <c r="B4" t="s">
        <v>2378</v>
      </c>
      <c r="D4" t="s">
        <v>2378</v>
      </c>
      <c r="E4" t="s">
        <v>386</v>
      </c>
      <c r="F4" t="s">
        <v>2379</v>
      </c>
      <c r="G4" t="s">
        <v>2380</v>
      </c>
      <c r="I4" t="s">
        <v>2381</v>
      </c>
      <c r="M4" t="s">
        <v>541</v>
      </c>
      <c r="N4" t="s">
        <v>2382</v>
      </c>
      <c r="O4" t="s">
        <v>2383</v>
      </c>
      <c r="P4" t="s">
        <v>2384</v>
      </c>
      <c r="Q4">
        <v>6</v>
      </c>
    </row>
    <row r="5" spans="1:17">
      <c r="A5" t="s">
        <v>34</v>
      </c>
      <c r="B5" t="s">
        <v>2385</v>
      </c>
      <c r="D5" t="s">
        <v>2386</v>
      </c>
      <c r="E5" t="s">
        <v>2387</v>
      </c>
      <c r="F5" t="s">
        <v>2388</v>
      </c>
      <c r="G5" t="s">
        <v>2387</v>
      </c>
      <c r="I5" t="s">
        <v>2389</v>
      </c>
      <c r="N5" t="s">
        <v>2390</v>
      </c>
      <c r="O5" t="s">
        <v>2387</v>
      </c>
      <c r="P5" t="s">
        <v>2391</v>
      </c>
      <c r="Q5">
        <v>8.5</v>
      </c>
    </row>
    <row r="6" spans="1:17">
      <c r="A6" t="s">
        <v>35</v>
      </c>
      <c r="B6" t="s">
        <v>2386</v>
      </c>
      <c r="D6" t="s">
        <v>2392</v>
      </c>
      <c r="I6" t="s">
        <v>2393</v>
      </c>
      <c r="P6" t="s">
        <v>2387</v>
      </c>
      <c r="Q6" t="s">
        <v>2394</v>
      </c>
    </row>
    <row r="7" spans="1:17">
      <c r="B7" t="s">
        <v>2395</v>
      </c>
      <c r="D7" t="s">
        <v>2396</v>
      </c>
      <c r="I7" t="s">
        <v>2397</v>
      </c>
    </row>
    <row r="8" spans="1:17">
      <c r="B8" t="s">
        <v>2398</v>
      </c>
      <c r="D8" t="s">
        <v>2399</v>
      </c>
    </row>
    <row r="9" spans="1:17">
      <c r="B9" t="s">
        <v>2399</v>
      </c>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K126"/>
  <sheetViews>
    <sheetView zoomScale="85" zoomScaleNormal="85" workbookViewId="0">
      <selection activeCell="Q6" sqref="Q6"/>
    </sheetView>
  </sheetViews>
  <sheetFormatPr defaultRowHeight="14.25"/>
  <cols>
    <col min="1" max="1" width="18.85546875" customWidth="1"/>
    <col min="2" max="3" width="27.140625" customWidth="1"/>
    <col min="4" max="4" width="24.140625" customWidth="1"/>
    <col min="5" max="5" width="15.42578125" customWidth="1"/>
    <col min="6" max="6" width="29.7109375" customWidth="1"/>
    <col min="7" max="7" width="29.140625" customWidth="1"/>
    <col min="8" max="8" width="24.85546875" customWidth="1"/>
    <col min="9" max="9" width="21.42578125" customWidth="1"/>
    <col min="10" max="11" width="25.140625" customWidth="1"/>
  </cols>
  <sheetData>
    <row r="1" spans="1:11">
      <c r="A1" t="s">
        <v>49</v>
      </c>
    </row>
    <row r="2" spans="1:11">
      <c r="A2" t="s">
        <v>2400</v>
      </c>
      <c r="D2" t="s">
        <v>958</v>
      </c>
      <c r="F2" t="s">
        <v>2341</v>
      </c>
      <c r="H2" t="s">
        <v>1017</v>
      </c>
      <c r="J2" t="s">
        <v>2401</v>
      </c>
    </row>
    <row r="3" spans="1:11">
      <c r="D3" t="s">
        <v>11</v>
      </c>
      <c r="F3" t="s">
        <v>11</v>
      </c>
      <c r="H3" t="s">
        <v>11</v>
      </c>
      <c r="J3" t="s">
        <v>2402</v>
      </c>
    </row>
    <row r="4" spans="1:11">
      <c r="A4" t="s">
        <v>2403</v>
      </c>
      <c r="B4">
        <v>9375.1977179000005</v>
      </c>
      <c r="C4">
        <v>9375.1977179000005</v>
      </c>
      <c r="D4" t="s">
        <v>2404</v>
      </c>
      <c r="E4" t="s">
        <v>2405</v>
      </c>
      <c r="F4" t="s">
        <v>2406</v>
      </c>
      <c r="G4">
        <v>68</v>
      </c>
      <c r="H4" t="s">
        <v>2407</v>
      </c>
      <c r="I4">
        <v>420.86</v>
      </c>
      <c r="J4" t="s">
        <v>2408</v>
      </c>
    </row>
    <row r="5" spans="1:11">
      <c r="A5" t="s">
        <v>2409</v>
      </c>
      <c r="B5">
        <v>47400</v>
      </c>
      <c r="C5">
        <v>48300</v>
      </c>
      <c r="D5" t="s">
        <v>2410</v>
      </c>
      <c r="E5">
        <v>12</v>
      </c>
      <c r="F5" t="s">
        <v>2411</v>
      </c>
      <c r="G5">
        <v>613.904</v>
      </c>
      <c r="H5" t="s">
        <v>2412</v>
      </c>
      <c r="I5">
        <v>0</v>
      </c>
      <c r="J5" t="s">
        <v>2413</v>
      </c>
    </row>
    <row r="6" spans="1:11">
      <c r="A6" t="s">
        <v>2414</v>
      </c>
      <c r="B6">
        <v>28124</v>
      </c>
      <c r="D6" t="s">
        <v>2415</v>
      </c>
      <c r="E6">
        <v>47</v>
      </c>
      <c r="F6" t="s">
        <v>2416</v>
      </c>
      <c r="G6">
        <v>0</v>
      </c>
      <c r="H6" t="s">
        <v>2417</v>
      </c>
      <c r="I6">
        <v>25552</v>
      </c>
      <c r="J6" t="s">
        <v>2418</v>
      </c>
    </row>
    <row r="7" spans="1:11">
      <c r="A7" t="s">
        <v>2419</v>
      </c>
      <c r="B7">
        <v>2939</v>
      </c>
      <c r="D7" t="s">
        <v>2420</v>
      </c>
      <c r="E7">
        <v>33</v>
      </c>
      <c r="F7" t="s">
        <v>2421</v>
      </c>
      <c r="G7">
        <v>6</v>
      </c>
      <c r="H7" t="s">
        <v>2422</v>
      </c>
      <c r="I7">
        <v>2127</v>
      </c>
    </row>
    <row r="8" spans="1:11">
      <c r="A8" t="s">
        <v>2423</v>
      </c>
      <c r="B8">
        <v>31063</v>
      </c>
      <c r="D8" t="s">
        <v>2424</v>
      </c>
      <c r="E8">
        <v>701.33799999999997</v>
      </c>
      <c r="F8" t="s">
        <v>2425</v>
      </c>
      <c r="G8" t="s">
        <v>2405</v>
      </c>
      <c r="H8" t="s">
        <v>2426</v>
      </c>
      <c r="I8">
        <v>43065.168539325838</v>
      </c>
    </row>
    <row r="9" spans="1:11">
      <c r="A9" t="s">
        <v>2427</v>
      </c>
      <c r="B9">
        <v>1.6853932584269662</v>
      </c>
      <c r="D9" t="s">
        <v>2428</v>
      </c>
      <c r="E9" t="s">
        <v>2405</v>
      </c>
      <c r="F9" t="s">
        <v>2429</v>
      </c>
      <c r="G9">
        <v>4726397</v>
      </c>
      <c r="H9" t="s">
        <v>2430</v>
      </c>
      <c r="I9">
        <v>27679</v>
      </c>
    </row>
    <row r="10" spans="1:11">
      <c r="A10" t="s">
        <v>2431</v>
      </c>
      <c r="B10">
        <v>19.5</v>
      </c>
      <c r="D10" t="s">
        <v>2432</v>
      </c>
      <c r="E10" t="s">
        <v>2405</v>
      </c>
      <c r="F10" t="s">
        <v>2433</v>
      </c>
      <c r="G10" t="s">
        <v>2405</v>
      </c>
      <c r="H10" t="s">
        <v>2434</v>
      </c>
      <c r="I10" t="s">
        <v>2405</v>
      </c>
      <c r="J10" t="s">
        <v>2435</v>
      </c>
      <c r="K10" t="s">
        <v>795</v>
      </c>
    </row>
    <row r="11" spans="1:11">
      <c r="A11" t="s">
        <v>2436</v>
      </c>
      <c r="B11">
        <v>2</v>
      </c>
      <c r="D11" t="s">
        <v>2437</v>
      </c>
      <c r="E11" t="s">
        <v>2405</v>
      </c>
      <c r="F11" t="s">
        <v>2438</v>
      </c>
      <c r="G11">
        <v>0</v>
      </c>
      <c r="H11" t="s">
        <v>2439</v>
      </c>
      <c r="I11" t="s">
        <v>2405</v>
      </c>
      <c r="K11" t="s">
        <v>796</v>
      </c>
    </row>
    <row r="12" spans="1:11">
      <c r="A12" t="s">
        <v>2440</v>
      </c>
      <c r="B12">
        <v>37</v>
      </c>
      <c r="D12" t="s">
        <v>2441</v>
      </c>
      <c r="E12">
        <v>25582</v>
      </c>
      <c r="F12" t="s">
        <v>2442</v>
      </c>
      <c r="G12">
        <v>0</v>
      </c>
      <c r="H12" t="s">
        <v>2443</v>
      </c>
      <c r="I12">
        <v>23.43</v>
      </c>
      <c r="K12" t="s">
        <v>797</v>
      </c>
    </row>
    <row r="13" spans="1:11">
      <c r="A13" t="s">
        <v>2444</v>
      </c>
      <c r="B13" t="s">
        <v>2405</v>
      </c>
      <c r="D13" t="s">
        <v>2445</v>
      </c>
      <c r="E13">
        <v>2251</v>
      </c>
      <c r="F13" t="s">
        <v>2446</v>
      </c>
      <c r="G13" t="s">
        <v>2405</v>
      </c>
      <c r="H13" t="s">
        <v>2447</v>
      </c>
      <c r="I13" t="s">
        <v>2405</v>
      </c>
      <c r="K13" t="s">
        <v>800</v>
      </c>
    </row>
    <row r="14" spans="1:11">
      <c r="A14" t="s">
        <v>2448</v>
      </c>
      <c r="B14" t="s">
        <v>2405</v>
      </c>
      <c r="D14" t="s">
        <v>2449</v>
      </c>
      <c r="E14">
        <v>43115.730337078647</v>
      </c>
      <c r="F14" t="s">
        <v>2450</v>
      </c>
      <c r="G14" t="s">
        <v>2405</v>
      </c>
      <c r="H14" t="s">
        <v>2451</v>
      </c>
      <c r="I14" t="s">
        <v>2405</v>
      </c>
      <c r="K14" t="s">
        <v>802</v>
      </c>
    </row>
    <row r="15" spans="1:11">
      <c r="A15" t="s">
        <v>2452</v>
      </c>
      <c r="B15" t="s">
        <v>2405</v>
      </c>
      <c r="D15" t="s">
        <v>2453</v>
      </c>
      <c r="E15">
        <v>0.90961456407338925</v>
      </c>
      <c r="F15" t="s">
        <v>2454</v>
      </c>
      <c r="G15" t="s">
        <v>2405</v>
      </c>
      <c r="H15" t="s">
        <v>2455</v>
      </c>
      <c r="I15" t="s">
        <v>2405</v>
      </c>
      <c r="K15" t="s">
        <v>804</v>
      </c>
    </row>
    <row r="16" spans="1:11">
      <c r="A16" t="s">
        <v>2456</v>
      </c>
      <c r="B16" t="s">
        <v>2405</v>
      </c>
      <c r="D16" t="s">
        <v>2457</v>
      </c>
      <c r="E16">
        <v>27833</v>
      </c>
      <c r="F16" t="s">
        <v>2458</v>
      </c>
      <c r="G16" t="s">
        <v>541</v>
      </c>
      <c r="H16" t="s">
        <v>2459</v>
      </c>
      <c r="I16">
        <v>510</v>
      </c>
    </row>
    <row r="17" spans="1:9">
      <c r="A17" t="s">
        <v>2460</v>
      </c>
      <c r="B17" t="s">
        <v>2405</v>
      </c>
      <c r="D17" t="s">
        <v>2461</v>
      </c>
      <c r="E17">
        <v>12251029</v>
      </c>
      <c r="F17" t="s">
        <v>2462</v>
      </c>
      <c r="G17">
        <v>3798</v>
      </c>
      <c r="H17" t="s">
        <v>2463</v>
      </c>
      <c r="I17">
        <v>0</v>
      </c>
    </row>
    <row r="18" spans="1:9">
      <c r="A18" t="s">
        <v>2464</v>
      </c>
      <c r="B18" t="s">
        <v>2405</v>
      </c>
      <c r="D18" t="s">
        <v>2465</v>
      </c>
      <c r="E18">
        <v>2450205.8000000003</v>
      </c>
      <c r="F18" t="s">
        <v>2466</v>
      </c>
      <c r="G18" t="s">
        <v>2405</v>
      </c>
      <c r="H18" t="s">
        <v>2467</v>
      </c>
      <c r="I18">
        <v>0</v>
      </c>
    </row>
    <row r="19" spans="1:9">
      <c r="A19" t="s">
        <v>2468</v>
      </c>
      <c r="B19" t="s">
        <v>2405</v>
      </c>
      <c r="D19" t="s">
        <v>2469</v>
      </c>
      <c r="E19">
        <v>0</v>
      </c>
      <c r="F19" t="s">
        <v>2470</v>
      </c>
      <c r="G19">
        <v>0</v>
      </c>
      <c r="H19" t="s">
        <v>2471</v>
      </c>
      <c r="I19">
        <v>0</v>
      </c>
    </row>
    <row r="20" spans="1:9">
      <c r="A20" t="s">
        <v>2472</v>
      </c>
      <c r="B20" t="s">
        <v>2405</v>
      </c>
      <c r="D20" t="s">
        <v>2473</v>
      </c>
      <c r="E20">
        <v>0</v>
      </c>
      <c r="F20" t="s">
        <v>2474</v>
      </c>
      <c r="G20">
        <v>1</v>
      </c>
      <c r="H20" t="s">
        <v>2475</v>
      </c>
      <c r="I20">
        <v>0</v>
      </c>
    </row>
    <row r="21" spans="1:9">
      <c r="A21" t="s">
        <v>2476</v>
      </c>
      <c r="B21" t="s">
        <v>2405</v>
      </c>
      <c r="D21" t="s">
        <v>2477</v>
      </c>
      <c r="E21" t="s">
        <v>2405</v>
      </c>
      <c r="F21" t="s">
        <v>2478</v>
      </c>
      <c r="G21">
        <v>0</v>
      </c>
      <c r="H21" t="s">
        <v>2479</v>
      </c>
      <c r="I21">
        <v>0</v>
      </c>
    </row>
    <row r="22" spans="1:9">
      <c r="A22" t="s">
        <v>2480</v>
      </c>
      <c r="B22">
        <v>0.3</v>
      </c>
      <c r="D22" t="s">
        <v>2481</v>
      </c>
      <c r="E22" t="s">
        <v>2405</v>
      </c>
      <c r="F22" t="s">
        <v>2482</v>
      </c>
      <c r="G22">
        <v>0</v>
      </c>
      <c r="H22" t="s">
        <v>2483</v>
      </c>
      <c r="I22">
        <v>0</v>
      </c>
    </row>
    <row r="23" spans="1:9">
      <c r="A23" t="s">
        <v>2484</v>
      </c>
      <c r="B23">
        <v>0.7</v>
      </c>
      <c r="D23" t="s">
        <v>2485</v>
      </c>
      <c r="E23" t="s">
        <v>2405</v>
      </c>
      <c r="F23" t="s">
        <v>2486</v>
      </c>
      <c r="G23" t="s">
        <v>2405</v>
      </c>
      <c r="H23" t="s">
        <v>2487</v>
      </c>
      <c r="I23">
        <v>0</v>
      </c>
    </row>
    <row r="24" spans="1:9">
      <c r="A24" t="s">
        <v>2488</v>
      </c>
      <c r="B24">
        <v>0.45</v>
      </c>
      <c r="D24" t="s">
        <v>2489</v>
      </c>
      <c r="E24" t="s">
        <v>2405</v>
      </c>
      <c r="F24" t="s">
        <v>2490</v>
      </c>
      <c r="G24">
        <v>2.1074990018824065</v>
      </c>
      <c r="H24" t="s">
        <v>2491</v>
      </c>
      <c r="I24">
        <v>0</v>
      </c>
    </row>
    <row r="25" spans="1:9">
      <c r="A25" t="s">
        <v>2492</v>
      </c>
      <c r="B25">
        <v>1</v>
      </c>
      <c r="D25" t="s">
        <v>2493</v>
      </c>
      <c r="E25">
        <v>0.43666666666666665</v>
      </c>
      <c r="F25" t="s">
        <v>2494</v>
      </c>
      <c r="G25">
        <v>5005</v>
      </c>
      <c r="H25" t="s">
        <v>2495</v>
      </c>
      <c r="I25" t="s">
        <v>328</v>
      </c>
    </row>
    <row r="26" spans="1:9">
      <c r="D26" t="s">
        <v>2496</v>
      </c>
      <c r="E26">
        <v>6.7666666666666666</v>
      </c>
      <c r="F26" t="s">
        <v>2497</v>
      </c>
      <c r="G26">
        <v>0</v>
      </c>
      <c r="H26" t="s">
        <v>2498</v>
      </c>
      <c r="I26" t="s">
        <v>328</v>
      </c>
    </row>
    <row r="27" spans="1:9">
      <c r="D27" t="s">
        <v>2499</v>
      </c>
      <c r="E27">
        <v>10.783333333333333</v>
      </c>
      <c r="F27" t="s">
        <v>2500</v>
      </c>
      <c r="G27">
        <v>0</v>
      </c>
      <c r="H27" t="s">
        <v>2501</v>
      </c>
      <c r="I27">
        <v>0</v>
      </c>
    </row>
    <row r="28" spans="1:9">
      <c r="D28" t="s">
        <v>2502</v>
      </c>
      <c r="E28">
        <v>42.85</v>
      </c>
      <c r="F28" t="s">
        <v>2503</v>
      </c>
      <c r="G28">
        <v>0</v>
      </c>
      <c r="H28" t="s">
        <v>2504</v>
      </c>
      <c r="I28" t="s">
        <v>2405</v>
      </c>
    </row>
    <row r="29" spans="1:9">
      <c r="A29">
        <v>20</v>
      </c>
      <c r="D29" t="s">
        <v>2505</v>
      </c>
      <c r="E29">
        <v>47</v>
      </c>
      <c r="F29" t="s">
        <v>2506</v>
      </c>
      <c r="G29">
        <v>0</v>
      </c>
      <c r="H29" t="s">
        <v>2507</v>
      </c>
      <c r="I29" t="s">
        <v>2405</v>
      </c>
    </row>
    <row r="30" spans="1:9">
      <c r="A30">
        <v>50</v>
      </c>
      <c r="D30" t="s">
        <v>2508</v>
      </c>
      <c r="E30">
        <v>50</v>
      </c>
      <c r="F30" t="s">
        <v>2509</v>
      </c>
      <c r="G30">
        <v>24231</v>
      </c>
      <c r="H30" t="s">
        <v>2510</v>
      </c>
      <c r="I30" t="s">
        <v>2405</v>
      </c>
    </row>
    <row r="31" spans="1:9">
      <c r="D31" t="s">
        <v>2511</v>
      </c>
      <c r="E31">
        <v>133</v>
      </c>
      <c r="F31" t="s">
        <v>2512</v>
      </c>
      <c r="G31">
        <v>2939</v>
      </c>
      <c r="H31" t="s">
        <v>2513</v>
      </c>
      <c r="I31" t="s">
        <v>2405</v>
      </c>
    </row>
    <row r="32" spans="1:9">
      <c r="D32" t="s">
        <v>2514</v>
      </c>
      <c r="E32">
        <v>4.7785003413214531</v>
      </c>
      <c r="F32" t="s">
        <v>2515</v>
      </c>
      <c r="G32">
        <v>40838.764044943819</v>
      </c>
      <c r="H32" t="s">
        <v>2516</v>
      </c>
      <c r="I32" t="s">
        <v>2405</v>
      </c>
    </row>
    <row r="33" spans="4:9">
      <c r="D33" t="s">
        <v>2517</v>
      </c>
      <c r="F33" t="s">
        <v>2518</v>
      </c>
      <c r="G33">
        <v>0.86157730052624093</v>
      </c>
      <c r="H33" t="s">
        <v>2519</v>
      </c>
      <c r="I33" t="s">
        <v>2405</v>
      </c>
    </row>
    <row r="34" spans="4:9">
      <c r="D34" t="s">
        <v>2520</v>
      </c>
      <c r="F34" t="s">
        <v>2521</v>
      </c>
      <c r="G34">
        <v>27170</v>
      </c>
      <c r="H34" t="s">
        <v>2522</v>
      </c>
      <c r="I34" t="s">
        <v>2405</v>
      </c>
    </row>
    <row r="35" spans="4:9">
      <c r="D35" t="s">
        <v>2523</v>
      </c>
      <c r="E35">
        <v>19.3</v>
      </c>
      <c r="F35" t="s">
        <v>2524</v>
      </c>
      <c r="G35">
        <v>0.28333333333333333</v>
      </c>
      <c r="H35" t="s">
        <v>2525</v>
      </c>
      <c r="I35">
        <v>138.63168914572606</v>
      </c>
    </row>
    <row r="36" spans="4:9">
      <c r="D36" t="s">
        <v>2526</v>
      </c>
      <c r="F36" t="s">
        <v>2527</v>
      </c>
      <c r="G36">
        <v>2.2000000000000002</v>
      </c>
      <c r="H36" t="s">
        <v>2528</v>
      </c>
      <c r="I36" t="s">
        <v>386</v>
      </c>
    </row>
    <row r="37" spans="4:9">
      <c r="D37" t="s">
        <v>2529</v>
      </c>
      <c r="E37" t="s">
        <v>2405</v>
      </c>
      <c r="F37" t="s">
        <v>2530</v>
      </c>
      <c r="G37">
        <v>0</v>
      </c>
      <c r="H37" t="s">
        <v>2531</v>
      </c>
      <c r="I37">
        <v>178</v>
      </c>
    </row>
    <row r="38" spans="4:9">
      <c r="D38" t="s">
        <v>2532</v>
      </c>
      <c r="E38">
        <v>60</v>
      </c>
      <c r="F38" t="s">
        <v>2533</v>
      </c>
      <c r="G38">
        <v>0</v>
      </c>
      <c r="H38" t="s">
        <v>2534</v>
      </c>
      <c r="I38">
        <v>178</v>
      </c>
    </row>
    <row r="39" spans="4:9">
      <c r="D39" t="s">
        <v>2535</v>
      </c>
      <c r="E39" t="s">
        <v>2405</v>
      </c>
      <c r="F39" t="s">
        <v>2536</v>
      </c>
      <c r="G39">
        <v>0</v>
      </c>
      <c r="H39" t="s">
        <v>2537</v>
      </c>
      <c r="I39" t="s">
        <v>2405</v>
      </c>
    </row>
    <row r="40" spans="4:9">
      <c r="D40" t="s">
        <v>2538</v>
      </c>
      <c r="E40">
        <v>0</v>
      </c>
      <c r="F40" t="s">
        <v>2539</v>
      </c>
      <c r="G40" t="s">
        <v>2405</v>
      </c>
      <c r="H40" t="s">
        <v>2540</v>
      </c>
      <c r="I40">
        <v>6.430868167202572</v>
      </c>
    </row>
    <row r="41" spans="4:9">
      <c r="D41" t="s">
        <v>2541</v>
      </c>
      <c r="E41" t="s">
        <v>2405</v>
      </c>
      <c r="F41" t="s">
        <v>2542</v>
      </c>
      <c r="G41" t="s">
        <v>2405</v>
      </c>
      <c r="H41" t="s">
        <v>2543</v>
      </c>
      <c r="I41">
        <v>0</v>
      </c>
    </row>
    <row r="42" spans="4:9">
      <c r="D42" t="s">
        <v>2544</v>
      </c>
      <c r="E42" t="s">
        <v>2405</v>
      </c>
      <c r="F42" t="s">
        <v>2545</v>
      </c>
      <c r="G42">
        <v>21.1</v>
      </c>
      <c r="H42" t="s">
        <v>2546</v>
      </c>
      <c r="I42">
        <v>0</v>
      </c>
    </row>
    <row r="43" spans="4:9">
      <c r="D43" t="s">
        <v>2547</v>
      </c>
      <c r="E43">
        <v>0</v>
      </c>
      <c r="F43" t="s">
        <v>2548</v>
      </c>
      <c r="G43">
        <v>3.2814576871953924E-2</v>
      </c>
      <c r="H43" t="s">
        <v>2549</v>
      </c>
      <c r="I43">
        <v>0</v>
      </c>
    </row>
    <row r="44" spans="4:9">
      <c r="D44" t="s">
        <v>2550</v>
      </c>
      <c r="E44">
        <v>3752138.39</v>
      </c>
      <c r="F44" t="s">
        <v>2551</v>
      </c>
      <c r="G44" t="s">
        <v>2405</v>
      </c>
      <c r="H44" t="s">
        <v>2552</v>
      </c>
      <c r="I44">
        <v>0</v>
      </c>
    </row>
    <row r="45" spans="4:9">
      <c r="D45" t="s">
        <v>2553</v>
      </c>
      <c r="E45">
        <v>553</v>
      </c>
      <c r="F45" t="s">
        <v>2554</v>
      </c>
      <c r="G45" t="s">
        <v>2405</v>
      </c>
      <c r="H45" t="s">
        <v>2555</v>
      </c>
      <c r="I45">
        <v>0</v>
      </c>
    </row>
    <row r="46" spans="4:9">
      <c r="D46" t="s">
        <v>2556</v>
      </c>
      <c r="E46">
        <v>16.861525247562504</v>
      </c>
      <c r="F46" t="s">
        <v>2557</v>
      </c>
      <c r="G46">
        <v>57</v>
      </c>
      <c r="H46" t="s">
        <v>2558</v>
      </c>
      <c r="I46">
        <v>0</v>
      </c>
    </row>
    <row r="47" spans="4:9">
      <c r="D47" t="s">
        <v>2559</v>
      </c>
      <c r="E47">
        <v>11.512343045326439</v>
      </c>
      <c r="F47" t="s">
        <v>2560</v>
      </c>
      <c r="G47">
        <v>57</v>
      </c>
      <c r="H47" t="s">
        <v>2561</v>
      </c>
      <c r="I47">
        <v>0.05</v>
      </c>
    </row>
    <row r="48" spans="4:9">
      <c r="D48" t="s">
        <v>2562</v>
      </c>
      <c r="E48">
        <v>384.3548300335317</v>
      </c>
      <c r="F48" t="s">
        <v>2563</v>
      </c>
      <c r="G48">
        <v>0</v>
      </c>
      <c r="H48" t="s">
        <v>2564</v>
      </c>
      <c r="I48">
        <v>0.01</v>
      </c>
    </row>
    <row r="49" spans="4:9">
      <c r="D49" t="s">
        <v>2544</v>
      </c>
      <c r="E49" t="s">
        <v>2405</v>
      </c>
      <c r="F49" t="s">
        <v>2565</v>
      </c>
      <c r="G49">
        <v>0</v>
      </c>
      <c r="H49" t="s">
        <v>2566</v>
      </c>
      <c r="I49">
        <v>3069010.55</v>
      </c>
    </row>
    <row r="50" spans="4:9">
      <c r="D50" t="s">
        <v>2567</v>
      </c>
      <c r="E50">
        <v>960</v>
      </c>
      <c r="F50" t="s">
        <v>2568</v>
      </c>
      <c r="G50">
        <v>0</v>
      </c>
      <c r="H50" t="s">
        <v>2569</v>
      </c>
      <c r="I50">
        <v>571882.6</v>
      </c>
    </row>
    <row r="51" spans="4:9">
      <c r="D51" t="s">
        <v>2570</v>
      </c>
      <c r="E51">
        <v>71</v>
      </c>
      <c r="F51" t="s">
        <v>2571</v>
      </c>
      <c r="G51">
        <v>57</v>
      </c>
      <c r="H51" t="s">
        <v>2572</v>
      </c>
      <c r="I51">
        <v>3640893.15</v>
      </c>
    </row>
    <row r="52" spans="4:9">
      <c r="D52" t="s">
        <v>2573</v>
      </c>
      <c r="E52" t="s">
        <v>2405</v>
      </c>
      <c r="F52" t="s">
        <v>2574</v>
      </c>
      <c r="G52" t="s">
        <v>2405</v>
      </c>
      <c r="H52" t="s">
        <v>2575</v>
      </c>
      <c r="I52">
        <v>131.53990931753316</v>
      </c>
    </row>
    <row r="53" spans="4:9">
      <c r="D53" t="s">
        <v>2576</v>
      </c>
      <c r="E53" t="s">
        <v>2405</v>
      </c>
      <c r="F53" t="s">
        <v>2577</v>
      </c>
      <c r="G53" t="s">
        <v>631</v>
      </c>
      <c r="H53" t="s">
        <v>2578</v>
      </c>
      <c r="I53">
        <v>49771</v>
      </c>
    </row>
    <row r="54" spans="4:9">
      <c r="D54" t="s">
        <v>2579</v>
      </c>
      <c r="E54">
        <v>0</v>
      </c>
      <c r="F54" t="s">
        <v>2580</v>
      </c>
      <c r="G54" t="s">
        <v>2405</v>
      </c>
      <c r="H54" t="s">
        <v>2581</v>
      </c>
      <c r="I54">
        <v>0</v>
      </c>
    </row>
    <row r="55" spans="4:9">
      <c r="D55" t="s">
        <v>2582</v>
      </c>
      <c r="E55" t="s">
        <v>2405</v>
      </c>
      <c r="F55" t="s">
        <v>2583</v>
      </c>
      <c r="G55" t="s">
        <v>292</v>
      </c>
      <c r="H55" t="s">
        <v>2584</v>
      </c>
      <c r="I55">
        <v>513591.98</v>
      </c>
    </row>
    <row r="56" spans="4:9">
      <c r="D56" t="s">
        <v>2585</v>
      </c>
      <c r="E56" t="s">
        <v>2405</v>
      </c>
      <c r="F56" t="s">
        <v>2586</v>
      </c>
      <c r="G56" t="s">
        <v>292</v>
      </c>
      <c r="H56" t="s">
        <v>2587</v>
      </c>
      <c r="I56">
        <v>210544.4</v>
      </c>
    </row>
    <row r="57" spans="4:9">
      <c r="D57" t="s">
        <v>2588</v>
      </c>
      <c r="E57" t="s">
        <v>2405</v>
      </c>
      <c r="F57" t="s">
        <v>2589</v>
      </c>
      <c r="G57" t="s">
        <v>292</v>
      </c>
      <c r="H57" t="s">
        <v>2590</v>
      </c>
      <c r="I57">
        <v>123868.17</v>
      </c>
    </row>
    <row r="58" spans="4:9">
      <c r="D58" t="s">
        <v>2591</v>
      </c>
      <c r="E58" t="s">
        <v>2405</v>
      </c>
      <c r="F58" t="s">
        <v>2592</v>
      </c>
      <c r="G58" t="s">
        <v>328</v>
      </c>
      <c r="H58" t="s">
        <v>2593</v>
      </c>
      <c r="I58">
        <v>0</v>
      </c>
    </row>
    <row r="59" spans="4:9">
      <c r="D59" t="s">
        <v>2594</v>
      </c>
      <c r="E59">
        <v>41</v>
      </c>
      <c r="F59" t="s">
        <v>2595</v>
      </c>
      <c r="G59">
        <v>2</v>
      </c>
      <c r="H59" t="s">
        <v>2596</v>
      </c>
      <c r="I59">
        <v>848004.55</v>
      </c>
    </row>
    <row r="60" spans="4:9">
      <c r="D60" t="s">
        <v>2597</v>
      </c>
      <c r="E60">
        <v>5</v>
      </c>
      <c r="F60" t="s">
        <v>2598</v>
      </c>
      <c r="G60">
        <v>1</v>
      </c>
      <c r="H60" t="s">
        <v>2599</v>
      </c>
      <c r="I60">
        <v>30.637109360887315</v>
      </c>
    </row>
    <row r="61" spans="4:9">
      <c r="D61" t="s">
        <v>2600</v>
      </c>
      <c r="E61">
        <v>2</v>
      </c>
      <c r="F61" t="s">
        <v>2601</v>
      </c>
      <c r="G61">
        <v>0</v>
      </c>
      <c r="H61" t="s">
        <v>2602</v>
      </c>
      <c r="I61">
        <v>4552947.6500000004</v>
      </c>
    </row>
    <row r="62" spans="4:9">
      <c r="D62" t="s">
        <v>2603</v>
      </c>
      <c r="E62">
        <v>75</v>
      </c>
      <c r="F62" t="s">
        <v>2604</v>
      </c>
      <c r="G62">
        <v>0</v>
      </c>
      <c r="H62" t="s">
        <v>2605</v>
      </c>
      <c r="I62">
        <v>391257.15</v>
      </c>
    </row>
    <row r="63" spans="4:9">
      <c r="D63" t="s">
        <v>2606</v>
      </c>
      <c r="E63">
        <v>72</v>
      </c>
      <c r="F63" t="s">
        <v>2607</v>
      </c>
      <c r="G63">
        <v>5</v>
      </c>
      <c r="H63" t="s">
        <v>2608</v>
      </c>
      <c r="I63">
        <v>0.10746186001091519</v>
      </c>
    </row>
    <row r="64" spans="4:9">
      <c r="D64" t="s">
        <v>2609</v>
      </c>
      <c r="E64">
        <v>1</v>
      </c>
      <c r="F64" t="s">
        <v>2610</v>
      </c>
      <c r="G64">
        <v>0</v>
      </c>
      <c r="H64" t="s">
        <v>2611</v>
      </c>
      <c r="I64">
        <v>0.52985145469578021</v>
      </c>
    </row>
    <row r="65" spans="4:9">
      <c r="D65" t="s">
        <v>2612</v>
      </c>
      <c r="E65">
        <v>196</v>
      </c>
      <c r="F65" t="s">
        <v>2613</v>
      </c>
      <c r="G65">
        <v>0</v>
      </c>
      <c r="H65" t="s">
        <v>2614</v>
      </c>
      <c r="I65">
        <v>10363053.32</v>
      </c>
    </row>
    <row r="66" spans="4:9">
      <c r="D66" t="s">
        <v>2615</v>
      </c>
      <c r="E66">
        <v>7.0420005030000361</v>
      </c>
      <c r="F66" t="s">
        <v>2616</v>
      </c>
      <c r="G66">
        <v>0</v>
      </c>
      <c r="H66" t="s">
        <v>2617</v>
      </c>
      <c r="I66">
        <v>374.40129050905017</v>
      </c>
    </row>
    <row r="67" spans="4:9">
      <c r="D67" t="s">
        <v>2618</v>
      </c>
      <c r="E67">
        <v>839.81596731674881</v>
      </c>
      <c r="F67" t="s">
        <v>2619</v>
      </c>
      <c r="G67" t="s">
        <v>2405</v>
      </c>
      <c r="H67" t="s">
        <v>2620</v>
      </c>
      <c r="I67">
        <v>11016701.539999999</v>
      </c>
    </row>
    <row r="68" spans="4:9">
      <c r="D68" t="s">
        <v>2621</v>
      </c>
      <c r="E68" t="s">
        <v>386</v>
      </c>
      <c r="F68" t="s">
        <v>2622</v>
      </c>
      <c r="G68" t="s">
        <v>2405</v>
      </c>
      <c r="H68" t="s">
        <v>2623</v>
      </c>
      <c r="I68">
        <v>5713617.0042369999</v>
      </c>
    </row>
    <row r="69" spans="4:9">
      <c r="D69" t="s">
        <v>2624</v>
      </c>
      <c r="E69" t="s">
        <v>2405</v>
      </c>
      <c r="F69" t="s">
        <v>2625</v>
      </c>
      <c r="G69" t="s">
        <v>2405</v>
      </c>
      <c r="H69" t="s">
        <v>2626</v>
      </c>
      <c r="I69">
        <v>4066849.4151630001</v>
      </c>
    </row>
    <row r="70" spans="4:9">
      <c r="D70" t="s">
        <v>2627</v>
      </c>
      <c r="E70">
        <v>481.78551731985988</v>
      </c>
      <c r="F70" t="s">
        <v>2628</v>
      </c>
      <c r="G70" t="s">
        <v>2405</v>
      </c>
      <c r="H70" t="s">
        <v>2629</v>
      </c>
      <c r="I70">
        <v>1236235.1206</v>
      </c>
    </row>
    <row r="71" spans="4:9">
      <c r="D71" t="s">
        <v>2630</v>
      </c>
      <c r="E71" t="s">
        <v>386</v>
      </c>
      <c r="F71" t="s">
        <v>2631</v>
      </c>
      <c r="G71" t="s">
        <v>2405</v>
      </c>
      <c r="H71" t="s">
        <v>2632</v>
      </c>
      <c r="I71">
        <v>4570843.97</v>
      </c>
    </row>
    <row r="72" spans="4:9">
      <c r="D72" t="s">
        <v>2633</v>
      </c>
      <c r="E72" t="s">
        <v>2405</v>
      </c>
      <c r="F72" t="s">
        <v>2634</v>
      </c>
      <c r="G72" t="s">
        <v>2405</v>
      </c>
      <c r="H72" t="s">
        <v>2635</v>
      </c>
      <c r="I72">
        <v>3537339.6872130004</v>
      </c>
    </row>
    <row r="73" spans="4:9">
      <c r="D73" t="s">
        <v>2636</v>
      </c>
      <c r="E73">
        <v>481.78551731985988</v>
      </c>
      <c r="F73" t="s">
        <v>2637</v>
      </c>
      <c r="G73" t="s">
        <v>2405</v>
      </c>
      <c r="H73" t="s">
        <v>2638</v>
      </c>
      <c r="I73">
        <v>697836.26243799995</v>
      </c>
    </row>
    <row r="74" spans="4:9">
      <c r="D74" t="s">
        <v>2639</v>
      </c>
      <c r="E74">
        <v>0</v>
      </c>
      <c r="F74" t="s">
        <v>2640</v>
      </c>
      <c r="G74" t="s">
        <v>292</v>
      </c>
      <c r="H74" t="s">
        <v>2641</v>
      </c>
      <c r="I74">
        <v>335668.020349</v>
      </c>
    </row>
    <row r="75" spans="4:9">
      <c r="D75" t="s">
        <v>2642</v>
      </c>
      <c r="E75">
        <v>9647695.7100000009</v>
      </c>
      <c r="F75" t="s">
        <v>2643</v>
      </c>
      <c r="G75">
        <v>0</v>
      </c>
      <c r="H75" t="s">
        <v>2644</v>
      </c>
      <c r="I75">
        <v>165.13761226922938</v>
      </c>
    </row>
    <row r="76" spans="4:9">
      <c r="D76" t="s">
        <v>2645</v>
      </c>
      <c r="E76">
        <v>4562106.17</v>
      </c>
      <c r="F76" t="s">
        <v>2646</v>
      </c>
      <c r="G76">
        <v>0</v>
      </c>
      <c r="H76" t="s">
        <v>2647</v>
      </c>
      <c r="I76">
        <v>15366381.58</v>
      </c>
    </row>
    <row r="77" spans="4:9">
      <c r="D77" t="s">
        <v>2648</v>
      </c>
      <c r="E77">
        <v>14209801.880000001</v>
      </c>
      <c r="F77" t="s">
        <v>2649</v>
      </c>
      <c r="G77">
        <v>0</v>
      </c>
      <c r="H77" t="s">
        <v>2650</v>
      </c>
      <c r="I77">
        <v>294308380</v>
      </c>
    </row>
    <row r="78" spans="4:9">
      <c r="D78" t="s">
        <v>2651</v>
      </c>
      <c r="E78">
        <v>510.53791829842277</v>
      </c>
      <c r="F78" t="s">
        <v>2652</v>
      </c>
      <c r="G78">
        <v>664</v>
      </c>
      <c r="H78" t="s">
        <v>2653</v>
      </c>
      <c r="I78">
        <v>7.3725429359812647E-2</v>
      </c>
    </row>
    <row r="79" spans="4:9">
      <c r="D79" t="s">
        <v>2654</v>
      </c>
      <c r="E79">
        <v>1292515</v>
      </c>
      <c r="F79" t="s">
        <v>2655</v>
      </c>
      <c r="G79" t="s">
        <v>386</v>
      </c>
      <c r="H79" t="s">
        <v>2656</v>
      </c>
      <c r="I79" t="s">
        <v>2405</v>
      </c>
    </row>
    <row r="80" spans="4:9">
      <c r="D80" t="s">
        <v>2657</v>
      </c>
      <c r="E80">
        <v>2388380.5</v>
      </c>
      <c r="F80" t="s">
        <v>2658</v>
      </c>
      <c r="G80" t="s">
        <v>2405</v>
      </c>
      <c r="H80" t="s">
        <v>2656</v>
      </c>
      <c r="I80" t="s">
        <v>2405</v>
      </c>
    </row>
    <row r="81" spans="4:7">
      <c r="D81" t="s">
        <v>2659</v>
      </c>
      <c r="E81">
        <v>961100</v>
      </c>
      <c r="F81" t="s">
        <v>2660</v>
      </c>
      <c r="G81" t="s">
        <v>2405</v>
      </c>
    </row>
    <row r="82" spans="4:7">
      <c r="D82" t="s">
        <v>2661</v>
      </c>
      <c r="E82" t="s">
        <v>2405</v>
      </c>
      <c r="F82" t="s">
        <v>2662</v>
      </c>
      <c r="G82">
        <v>664</v>
      </c>
    </row>
    <row r="83" spans="4:7">
      <c r="D83" t="s">
        <v>2663</v>
      </c>
      <c r="E83">
        <v>1316368.1599999999</v>
      </c>
      <c r="F83" t="s">
        <v>2664</v>
      </c>
      <c r="G83" t="s">
        <v>386</v>
      </c>
    </row>
    <row r="84" spans="4:7">
      <c r="D84" t="s">
        <v>2665</v>
      </c>
      <c r="E84">
        <v>1818731.15</v>
      </c>
      <c r="F84" t="s">
        <v>2666</v>
      </c>
      <c r="G84" t="s">
        <v>2405</v>
      </c>
    </row>
    <row r="85" spans="4:7">
      <c r="D85" t="s">
        <v>2667</v>
      </c>
      <c r="E85">
        <v>1116746.79</v>
      </c>
      <c r="F85" t="s">
        <v>2668</v>
      </c>
      <c r="G85">
        <v>664</v>
      </c>
    </row>
    <row r="86" spans="4:7">
      <c r="D86" t="s">
        <v>2669</v>
      </c>
      <c r="E86">
        <v>0</v>
      </c>
      <c r="F86" t="s">
        <v>2670</v>
      </c>
      <c r="G86">
        <v>204</v>
      </c>
    </row>
    <row r="87" spans="4:7">
      <c r="D87" t="s">
        <v>2671</v>
      </c>
      <c r="E87">
        <v>5212946.0999999996</v>
      </c>
      <c r="F87" t="s">
        <v>2672</v>
      </c>
      <c r="G87">
        <v>46</v>
      </c>
    </row>
    <row r="88" spans="4:7">
      <c r="D88" t="s">
        <v>2673</v>
      </c>
      <c r="E88">
        <v>187.29371968526567</v>
      </c>
      <c r="F88" t="s">
        <v>2674</v>
      </c>
      <c r="G88">
        <v>101</v>
      </c>
    </row>
    <row r="89" spans="4:7">
      <c r="D89" t="s">
        <v>2675</v>
      </c>
      <c r="E89">
        <v>5290202.1100000003</v>
      </c>
      <c r="F89" t="s">
        <v>2676</v>
      </c>
      <c r="G89">
        <v>57</v>
      </c>
    </row>
    <row r="90" spans="4:7">
      <c r="D90" t="s">
        <v>2677</v>
      </c>
      <c r="E90">
        <v>703394.48</v>
      </c>
      <c r="F90" t="s">
        <v>2678</v>
      </c>
      <c r="G90">
        <v>0</v>
      </c>
    </row>
    <row r="91" spans="4:7">
      <c r="D91" t="s">
        <v>2679</v>
      </c>
      <c r="E91">
        <v>4.9500653558725051E-2</v>
      </c>
      <c r="F91" t="s">
        <v>2680</v>
      </c>
      <c r="G91">
        <v>7.5082811924917188</v>
      </c>
    </row>
    <row r="92" spans="4:7">
      <c r="D92" t="s">
        <v>2681</v>
      </c>
      <c r="E92">
        <v>0.86089849268222429</v>
      </c>
      <c r="F92" t="s">
        <v>2682</v>
      </c>
      <c r="G92">
        <v>0</v>
      </c>
    </row>
    <row r="93" spans="4:7">
      <c r="D93" t="s">
        <v>2683</v>
      </c>
      <c r="E93">
        <v>22645031.109999999</v>
      </c>
      <c r="F93" t="s">
        <v>2684</v>
      </c>
      <c r="G93">
        <v>13703952.459999999</v>
      </c>
    </row>
    <row r="94" spans="4:7">
      <c r="D94" t="s">
        <v>2685</v>
      </c>
      <c r="E94">
        <v>813.60367585240544</v>
      </c>
      <c r="F94" t="s">
        <v>2686</v>
      </c>
      <c r="G94">
        <v>4620066.58</v>
      </c>
    </row>
    <row r="95" spans="4:7">
      <c r="D95" t="s">
        <v>2687</v>
      </c>
      <c r="E95">
        <v>21979917.669999998</v>
      </c>
      <c r="F95" t="s">
        <v>2688</v>
      </c>
      <c r="G95">
        <v>18324019.039999999</v>
      </c>
    </row>
    <row r="96" spans="4:7">
      <c r="D96" t="s">
        <v>2689</v>
      </c>
      <c r="E96">
        <v>11671354.385540003</v>
      </c>
      <c r="F96" t="s">
        <v>2690</v>
      </c>
      <c r="G96">
        <v>674.42101729849094</v>
      </c>
    </row>
    <row r="97" spans="4:7">
      <c r="D97" t="s">
        <v>2691</v>
      </c>
      <c r="E97">
        <v>7704196.4855199978</v>
      </c>
      <c r="F97" t="s">
        <v>2692</v>
      </c>
      <c r="G97">
        <v>5454832</v>
      </c>
    </row>
    <row r="98" spans="4:7">
      <c r="D98" t="s">
        <v>2693</v>
      </c>
      <c r="E98">
        <v>2604366.7989400006</v>
      </c>
      <c r="F98" t="s">
        <v>2694</v>
      </c>
      <c r="G98">
        <v>7098939.5</v>
      </c>
    </row>
    <row r="99" spans="4:7">
      <c r="D99" t="s">
        <v>2695</v>
      </c>
      <c r="E99">
        <v>11438488.419999998</v>
      </c>
      <c r="F99" t="s">
        <v>2696</v>
      </c>
      <c r="G99">
        <v>936359.42</v>
      </c>
    </row>
    <row r="100" spans="4:7">
      <c r="D100" t="s">
        <v>2697</v>
      </c>
      <c r="E100">
        <v>5247675.2231299998</v>
      </c>
      <c r="F100" t="s">
        <v>2698</v>
      </c>
      <c r="G100">
        <v>1663637.69</v>
      </c>
    </row>
    <row r="101" spans="4:7">
      <c r="D101" t="s">
        <v>2699</v>
      </c>
      <c r="E101">
        <v>4850437.8629719988</v>
      </c>
      <c r="F101" t="s">
        <v>2700</v>
      </c>
      <c r="G101">
        <v>1503256.73</v>
      </c>
    </row>
    <row r="102" spans="4:7">
      <c r="D102" t="s">
        <v>2701</v>
      </c>
      <c r="E102">
        <v>1340375.333898</v>
      </c>
      <c r="F102" t="s">
        <v>2702</v>
      </c>
      <c r="G102">
        <v>935357.19</v>
      </c>
    </row>
    <row r="103" spans="4:7">
      <c r="D103" t="s">
        <v>2703</v>
      </c>
      <c r="E103">
        <v>410.96857758775548</v>
      </c>
      <c r="F103" t="s">
        <v>2704</v>
      </c>
      <c r="G103">
        <v>1965636.58</v>
      </c>
    </row>
    <row r="104" spans="4:7">
      <c r="D104" t="s">
        <v>2705</v>
      </c>
      <c r="E104">
        <v>8110448.5</v>
      </c>
      <c r="F104" t="s">
        <v>2706</v>
      </c>
      <c r="G104">
        <v>0</v>
      </c>
    </row>
    <row r="105" spans="4:7">
      <c r="D105" t="s">
        <v>2707</v>
      </c>
      <c r="E105">
        <v>36560159</v>
      </c>
      <c r="F105" t="s">
        <v>2708</v>
      </c>
      <c r="G105">
        <v>7004247.6099999994</v>
      </c>
    </row>
    <row r="106" spans="4:7">
      <c r="D106" t="s">
        <v>2709</v>
      </c>
      <c r="E106">
        <v>239371338</v>
      </c>
      <c r="F106" t="s">
        <v>2710</v>
      </c>
      <c r="G106">
        <v>257.79343430253954</v>
      </c>
    </row>
    <row r="107" spans="4:7">
      <c r="D107" t="s">
        <v>2711</v>
      </c>
      <c r="E107">
        <v>0.25336939988820195</v>
      </c>
      <c r="F107" t="s">
        <v>2712</v>
      </c>
      <c r="G107">
        <v>7448815.54</v>
      </c>
    </row>
    <row r="108" spans="4:7">
      <c r="F108" t="s">
        <v>2713</v>
      </c>
      <c r="G108">
        <v>1539308.76</v>
      </c>
    </row>
    <row r="109" spans="4:7">
      <c r="F109" t="s">
        <v>2714</v>
      </c>
      <c r="G109">
        <v>8.4004974926068413E-2</v>
      </c>
    </row>
    <row r="110" spans="4:7">
      <c r="F110" t="s">
        <v>2715</v>
      </c>
      <c r="G110">
        <v>0.85690556329739576</v>
      </c>
    </row>
    <row r="111" spans="4:7">
      <c r="F111" t="s">
        <v>2716</v>
      </c>
      <c r="G111">
        <v>43482125.620000005</v>
      </c>
    </row>
    <row r="112" spans="4:7">
      <c r="F112" t="s">
        <v>2717</v>
      </c>
      <c r="G112">
        <v>1600.3726764814135</v>
      </c>
    </row>
    <row r="113" spans="6:11">
      <c r="F113" t="s">
        <v>2718</v>
      </c>
      <c r="G113">
        <v>34291984.880000003</v>
      </c>
      <c r="K113" s="756"/>
    </row>
    <row r="114" spans="6:11">
      <c r="F114" t="s">
        <v>2719</v>
      </c>
      <c r="G114">
        <v>12406855.640910001</v>
      </c>
    </row>
    <row r="115" spans="6:11">
      <c r="F115" t="s">
        <v>2720</v>
      </c>
      <c r="G115">
        <v>15056647.497052999</v>
      </c>
    </row>
    <row r="116" spans="6:11">
      <c r="F116" t="s">
        <v>2721</v>
      </c>
      <c r="G116">
        <v>6828481.7420370001</v>
      </c>
    </row>
    <row r="117" spans="6:11">
      <c r="F117" t="s">
        <v>2722</v>
      </c>
      <c r="G117">
        <v>27489753.710000001</v>
      </c>
    </row>
    <row r="118" spans="6:11">
      <c r="F118" t="s">
        <v>2723</v>
      </c>
      <c r="G118">
        <v>9731850.0347700007</v>
      </c>
    </row>
    <row r="119" spans="6:11">
      <c r="F119" t="s">
        <v>2724</v>
      </c>
      <c r="G119">
        <v>12038943.593265003</v>
      </c>
    </row>
    <row r="120" spans="6:11">
      <c r="F120" t="s">
        <v>2725</v>
      </c>
      <c r="G120">
        <v>5718960.0819650004</v>
      </c>
    </row>
    <row r="121" spans="6:11">
      <c r="F121" t="s">
        <v>2726</v>
      </c>
      <c r="G121">
        <v>1011.7686312108945</v>
      </c>
    </row>
    <row r="122" spans="6:11">
      <c r="F122" t="s">
        <v>2727</v>
      </c>
      <c r="G122">
        <v>8352525.9400000004</v>
      </c>
    </row>
    <row r="123" spans="6:11">
      <c r="F123" t="s">
        <v>2728</v>
      </c>
      <c r="G123">
        <v>59807523</v>
      </c>
    </row>
    <row r="124" spans="6:11">
      <c r="F124" t="s">
        <v>2729</v>
      </c>
      <c r="G124">
        <v>303411948</v>
      </c>
    </row>
    <row r="125" spans="6:11">
      <c r="F125" t="s">
        <v>2730</v>
      </c>
      <c r="G125">
        <v>0.76776771437744584</v>
      </c>
    </row>
    <row r="126" spans="6:11">
      <c r="F126" t="s">
        <v>2656</v>
      </c>
      <c r="G126" t="s">
        <v>2405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PJ9"/>
  <sheetViews>
    <sheetView zoomScale="85" zoomScaleNormal="85" workbookViewId="0">
      <selection activeCell="Q6" sqref="Q6"/>
    </sheetView>
  </sheetViews>
  <sheetFormatPr defaultRowHeight="14.25"/>
  <cols>
    <col min="1" max="1" width="11" bestFit="1" customWidth="1"/>
    <col min="127" max="127" width="37.7109375" bestFit="1" customWidth="1"/>
    <col min="213" max="213" width="8.5703125" customWidth="1"/>
    <col min="258" max="258" width="16" customWidth="1"/>
    <col min="290" max="290" width="10.7109375" customWidth="1"/>
    <col min="324" max="324" width="81.28515625" bestFit="1" customWidth="1"/>
    <col min="325" max="325" width="47.7109375" bestFit="1" customWidth="1"/>
    <col min="326" max="326" width="51.28515625" bestFit="1" customWidth="1"/>
    <col min="327" max="327" width="39.140625" bestFit="1" customWidth="1"/>
    <col min="328" max="328" width="62.28515625" bestFit="1" customWidth="1"/>
    <col min="329" max="329" width="67" bestFit="1" customWidth="1"/>
    <col min="330" max="330" width="28.85546875" bestFit="1" customWidth="1"/>
    <col min="331" max="331" width="37.28515625" bestFit="1" customWidth="1"/>
    <col min="332" max="332" width="40" bestFit="1" customWidth="1"/>
    <col min="333" max="333" width="67.85546875" bestFit="1" customWidth="1"/>
    <col min="334" max="334" width="59.42578125" bestFit="1" customWidth="1"/>
    <col min="335" max="335" width="74.140625" bestFit="1" customWidth="1"/>
    <col min="336" max="336" width="74.85546875" bestFit="1" customWidth="1"/>
    <col min="337" max="337" width="64" bestFit="1" customWidth="1"/>
    <col min="338" max="338" width="60.42578125" bestFit="1" customWidth="1"/>
    <col min="340" max="340" width="33.85546875" bestFit="1" customWidth="1"/>
    <col min="341" max="341" width="57.7109375" bestFit="1" customWidth="1"/>
    <col min="343" max="343" width="45.85546875" bestFit="1" customWidth="1"/>
    <col min="346" max="346" width="59.28515625" bestFit="1" customWidth="1"/>
    <col min="347" max="347" width="45.5703125" bestFit="1" customWidth="1"/>
    <col min="348" max="348" width="62.28515625" bestFit="1" customWidth="1"/>
    <col min="352" max="352" width="62.5703125" bestFit="1" customWidth="1"/>
    <col min="356" max="356" width="62.140625" bestFit="1" customWidth="1"/>
    <col min="357" max="357" width="62.85546875" bestFit="1" customWidth="1"/>
    <col min="358" max="358" width="50.85546875" bestFit="1" customWidth="1"/>
    <col min="360" max="364" width="47.7109375" customWidth="1"/>
    <col min="365" max="365" width="51.140625" bestFit="1" customWidth="1"/>
    <col min="417" max="417" width="36" bestFit="1" customWidth="1"/>
    <col min="418" max="418" width="35.7109375" bestFit="1" customWidth="1"/>
    <col min="419" max="419" width="61.28515625" bestFit="1" customWidth="1"/>
    <col min="420" max="420" width="61.140625" bestFit="1" customWidth="1"/>
    <col min="421" max="421" width="36.5703125" bestFit="1" customWidth="1"/>
    <col min="422" max="422" width="36.42578125" bestFit="1" customWidth="1"/>
    <col min="423" max="423" width="36.5703125" bestFit="1" customWidth="1"/>
    <col min="424" max="424" width="36.42578125" bestFit="1" customWidth="1"/>
    <col min="425" max="425" width="58.140625" bestFit="1" customWidth="1"/>
    <col min="426" max="426" width="58" bestFit="1" customWidth="1"/>
    <col min="427" max="427" width="68.42578125" bestFit="1" customWidth="1"/>
    <col min="428" max="428" width="68.140625" bestFit="1" customWidth="1"/>
  </cols>
  <sheetData>
    <row r="1" spans="1:426">
      <c r="A1" t="s">
        <v>2731</v>
      </c>
      <c r="B1" s="120" t="s">
        <v>2732</v>
      </c>
      <c r="C1" t="s">
        <v>2733</v>
      </c>
      <c r="D1" t="s">
        <v>2734</v>
      </c>
      <c r="E1" t="s">
        <v>2735</v>
      </c>
      <c r="F1" t="s">
        <v>2736</v>
      </c>
      <c r="G1" t="s">
        <v>2737</v>
      </c>
      <c r="H1" t="s">
        <v>2738</v>
      </c>
      <c r="I1" t="s">
        <v>2739</v>
      </c>
      <c r="J1" t="s">
        <v>2740</v>
      </c>
      <c r="K1" t="s">
        <v>2741</v>
      </c>
      <c r="L1" t="s">
        <v>2742</v>
      </c>
      <c r="M1" t="s">
        <v>2743</v>
      </c>
      <c r="N1" t="s">
        <v>2744</v>
      </c>
      <c r="O1" t="s">
        <v>2745</v>
      </c>
      <c r="P1" t="s">
        <v>2746</v>
      </c>
      <c r="Q1" t="s">
        <v>2747</v>
      </c>
      <c r="R1" t="s">
        <v>2748</v>
      </c>
      <c r="S1" t="s">
        <v>2749</v>
      </c>
      <c r="T1" t="s">
        <v>2750</v>
      </c>
      <c r="U1" t="s">
        <v>2751</v>
      </c>
      <c r="V1" t="s">
        <v>2752</v>
      </c>
      <c r="W1" t="s">
        <v>2753</v>
      </c>
      <c r="X1" t="s">
        <v>2754</v>
      </c>
      <c r="Y1" t="s">
        <v>2755</v>
      </c>
      <c r="Z1" t="s">
        <v>2756</v>
      </c>
      <c r="AA1" t="s">
        <v>2757</v>
      </c>
      <c r="AB1" t="s">
        <v>2758</v>
      </c>
      <c r="AC1" t="s">
        <v>2759</v>
      </c>
      <c r="AD1" t="s">
        <v>2760</v>
      </c>
      <c r="AE1" t="s">
        <v>2761</v>
      </c>
      <c r="AF1" t="s">
        <v>2762</v>
      </c>
      <c r="AG1" t="s">
        <v>2763</v>
      </c>
      <c r="AH1" t="s">
        <v>2764</v>
      </c>
      <c r="AI1" t="s">
        <v>2765</v>
      </c>
      <c r="AJ1" t="s">
        <v>2766</v>
      </c>
      <c r="AK1" t="s">
        <v>2767</v>
      </c>
      <c r="AL1" t="s">
        <v>2768</v>
      </c>
      <c r="AM1" t="s">
        <v>2769</v>
      </c>
      <c r="AN1" t="s">
        <v>2770</v>
      </c>
      <c r="AO1" t="s">
        <v>2771</v>
      </c>
      <c r="AP1" t="s">
        <v>2772</v>
      </c>
      <c r="AQ1" t="s">
        <v>2773</v>
      </c>
      <c r="AR1" t="s">
        <v>2774</v>
      </c>
      <c r="AS1" t="s">
        <v>2775</v>
      </c>
      <c r="AT1" t="s">
        <v>2776</v>
      </c>
      <c r="AU1" t="s">
        <v>2777</v>
      </c>
      <c r="AV1" t="s">
        <v>2778</v>
      </c>
      <c r="AW1" t="s">
        <v>2779</v>
      </c>
      <c r="AX1" t="s">
        <v>2780</v>
      </c>
      <c r="AY1" t="s">
        <v>2781</v>
      </c>
      <c r="AZ1" t="s">
        <v>2782</v>
      </c>
      <c r="BA1" t="s">
        <v>2783</v>
      </c>
      <c r="BB1" t="s">
        <v>2784</v>
      </c>
      <c r="BC1" t="s">
        <v>2785</v>
      </c>
      <c r="BD1" t="s">
        <v>2786</v>
      </c>
      <c r="BE1" s="104" t="s">
        <v>2787</v>
      </c>
      <c r="BF1" t="s">
        <v>2788</v>
      </c>
      <c r="BG1" t="s">
        <v>2789</v>
      </c>
      <c r="BH1" t="s">
        <v>2790</v>
      </c>
      <c r="BI1" t="s">
        <v>2791</v>
      </c>
      <c r="BJ1" t="s">
        <v>2792</v>
      </c>
      <c r="BK1" t="s">
        <v>2793</v>
      </c>
      <c r="BL1" t="s">
        <v>2794</v>
      </c>
      <c r="BM1" t="s">
        <v>2795</v>
      </c>
      <c r="BN1" t="s">
        <v>2796</v>
      </c>
      <c r="BO1" t="s">
        <v>2797</v>
      </c>
      <c r="BP1" t="s">
        <v>2798</v>
      </c>
      <c r="BQ1" t="s">
        <v>2799</v>
      </c>
      <c r="BR1" t="s">
        <v>2800</v>
      </c>
      <c r="BS1" t="s">
        <v>2801</v>
      </c>
      <c r="BT1" t="s">
        <v>2802</v>
      </c>
      <c r="BU1" t="s">
        <v>2803</v>
      </c>
      <c r="BV1" t="s">
        <v>2804</v>
      </c>
      <c r="BW1" t="s">
        <v>2805</v>
      </c>
      <c r="BX1" t="s">
        <v>2806</v>
      </c>
      <c r="BY1" t="s">
        <v>2807</v>
      </c>
      <c r="BZ1" t="s">
        <v>2808</v>
      </c>
      <c r="CA1" t="s">
        <v>2809</v>
      </c>
      <c r="CB1" t="s">
        <v>2810</v>
      </c>
      <c r="CC1" t="s">
        <v>2811</v>
      </c>
      <c r="CD1" t="s">
        <v>2812</v>
      </c>
      <c r="CE1" t="s">
        <v>2813</v>
      </c>
      <c r="CF1" t="s">
        <v>2814</v>
      </c>
      <c r="CG1" t="s">
        <v>2815</v>
      </c>
      <c r="CH1" t="s">
        <v>2816</v>
      </c>
      <c r="CI1" t="s">
        <v>2817</v>
      </c>
      <c r="CJ1" t="s">
        <v>2818</v>
      </c>
      <c r="CK1" t="s">
        <v>2819</v>
      </c>
      <c r="CL1" t="s">
        <v>2820</v>
      </c>
      <c r="CM1" t="s">
        <v>2821</v>
      </c>
      <c r="CN1" t="s">
        <v>2822</v>
      </c>
      <c r="CO1" t="s">
        <v>2823</v>
      </c>
      <c r="CP1" t="s">
        <v>2824</v>
      </c>
      <c r="CQ1" t="s">
        <v>2825</v>
      </c>
      <c r="CR1" t="s">
        <v>2826</v>
      </c>
      <c r="CS1" t="s">
        <v>2827</v>
      </c>
      <c r="CT1" t="s">
        <v>2828</v>
      </c>
      <c r="CU1" t="s">
        <v>2829</v>
      </c>
      <c r="CV1" t="s">
        <v>2830</v>
      </c>
      <c r="CW1" t="s">
        <v>2831</v>
      </c>
      <c r="CX1" t="s">
        <v>2832</v>
      </c>
      <c r="CY1" t="s">
        <v>2833</v>
      </c>
      <c r="CZ1" t="s">
        <v>2834</v>
      </c>
      <c r="DA1" t="s">
        <v>2835</v>
      </c>
      <c r="DB1" t="s">
        <v>2836</v>
      </c>
      <c r="DC1" t="s">
        <v>2837</v>
      </c>
      <c r="DD1" t="s">
        <v>2838</v>
      </c>
      <c r="DE1" t="s">
        <v>2839</v>
      </c>
      <c r="DF1" t="s">
        <v>2840</v>
      </c>
      <c r="DG1" t="s">
        <v>2841</v>
      </c>
      <c r="DH1" t="s">
        <v>2842</v>
      </c>
      <c r="DI1" t="s">
        <v>2843</v>
      </c>
      <c r="DJ1" t="s">
        <v>2844</v>
      </c>
      <c r="DK1" t="s">
        <v>2845</v>
      </c>
      <c r="DL1" t="s">
        <v>2846</v>
      </c>
      <c r="DM1" t="s">
        <v>2847</v>
      </c>
      <c r="DN1" t="s">
        <v>2848</v>
      </c>
      <c r="DO1" t="s">
        <v>2849</v>
      </c>
      <c r="DP1" t="s">
        <v>2850</v>
      </c>
      <c r="DQ1" t="s">
        <v>2851</v>
      </c>
      <c r="DR1" t="s">
        <v>2852</v>
      </c>
      <c r="DS1" t="s">
        <v>2853</v>
      </c>
      <c r="DT1" t="s">
        <v>2854</v>
      </c>
      <c r="DU1" t="s">
        <v>2855</v>
      </c>
      <c r="DV1" t="s">
        <v>2856</v>
      </c>
      <c r="DW1" t="s">
        <v>2857</v>
      </c>
      <c r="DX1" t="s">
        <v>2858</v>
      </c>
      <c r="DY1" t="s">
        <v>2859</v>
      </c>
      <c r="DZ1" t="s">
        <v>2860</v>
      </c>
      <c r="EA1" t="s">
        <v>2861</v>
      </c>
      <c r="EB1" t="s">
        <v>2862</v>
      </c>
      <c r="EC1" t="s">
        <v>2863</v>
      </c>
      <c r="ED1" t="s">
        <v>2864</v>
      </c>
      <c r="EE1" t="s">
        <v>2865</v>
      </c>
      <c r="EF1" t="s">
        <v>2866</v>
      </c>
      <c r="EG1" t="s">
        <v>2867</v>
      </c>
      <c r="EH1" t="s">
        <v>2868</v>
      </c>
      <c r="EI1" t="s">
        <v>2869</v>
      </c>
      <c r="EJ1" t="s">
        <v>2870</v>
      </c>
      <c r="EK1" t="s">
        <v>2871</v>
      </c>
      <c r="EL1" t="s">
        <v>2872</v>
      </c>
      <c r="EM1" t="s">
        <v>2873</v>
      </c>
      <c r="EN1" t="s">
        <v>2874</v>
      </c>
      <c r="EO1" t="s">
        <v>2875</v>
      </c>
      <c r="EP1" t="s">
        <v>2876</v>
      </c>
      <c r="EQ1" t="s">
        <v>2877</v>
      </c>
      <c r="ER1" t="s">
        <v>2878</v>
      </c>
      <c r="ES1" t="s">
        <v>2879</v>
      </c>
      <c r="ET1" t="s">
        <v>2880</v>
      </c>
      <c r="EU1" t="s">
        <v>2881</v>
      </c>
      <c r="EV1" t="s">
        <v>2882</v>
      </c>
      <c r="EW1" t="s">
        <v>2883</v>
      </c>
      <c r="EX1" t="s">
        <v>2884</v>
      </c>
      <c r="EY1" t="s">
        <v>2885</v>
      </c>
      <c r="EZ1" t="s">
        <v>2886</v>
      </c>
      <c r="FA1" t="s">
        <v>2887</v>
      </c>
      <c r="FB1" t="s">
        <v>2888</v>
      </c>
      <c r="FC1" t="s">
        <v>2889</v>
      </c>
      <c r="FD1" t="s">
        <v>2890</v>
      </c>
      <c r="FE1" t="s">
        <v>2891</v>
      </c>
      <c r="FF1" t="s">
        <v>2892</v>
      </c>
      <c r="FG1" t="s">
        <v>2893</v>
      </c>
      <c r="FH1" t="s">
        <v>2894</v>
      </c>
      <c r="FI1" t="s">
        <v>2895</v>
      </c>
      <c r="FJ1" t="s">
        <v>2896</v>
      </c>
      <c r="FK1" t="s">
        <v>2897</v>
      </c>
      <c r="FL1" t="s">
        <v>2898</v>
      </c>
      <c r="FM1" t="s">
        <v>2899</v>
      </c>
      <c r="FN1" t="s">
        <v>2900</v>
      </c>
      <c r="FO1" t="s">
        <v>2901</v>
      </c>
      <c r="FP1" t="s">
        <v>2902</v>
      </c>
      <c r="FQ1" t="s">
        <v>2903</v>
      </c>
      <c r="FR1" t="s">
        <v>2904</v>
      </c>
      <c r="FS1" t="s">
        <v>2905</v>
      </c>
      <c r="FT1" t="s">
        <v>2906</v>
      </c>
      <c r="FU1" t="s">
        <v>2907</v>
      </c>
      <c r="FV1" t="s">
        <v>2908</v>
      </c>
      <c r="FW1" t="s">
        <v>2909</v>
      </c>
      <c r="FX1" t="s">
        <v>2910</v>
      </c>
      <c r="FY1" t="s">
        <v>2911</v>
      </c>
      <c r="FZ1" t="s">
        <v>2912</v>
      </c>
      <c r="GA1" t="s">
        <v>2913</v>
      </c>
      <c r="GB1" t="s">
        <v>2914</v>
      </c>
      <c r="GC1" t="s">
        <v>2915</v>
      </c>
      <c r="GD1" t="s">
        <v>2916</v>
      </c>
      <c r="GE1" t="s">
        <v>2917</v>
      </c>
      <c r="GF1" t="s">
        <v>2918</v>
      </c>
      <c r="GG1" t="s">
        <v>2919</v>
      </c>
      <c r="GH1" t="s">
        <v>2920</v>
      </c>
      <c r="GI1" t="s">
        <v>2921</v>
      </c>
      <c r="GJ1" t="s">
        <v>2922</v>
      </c>
      <c r="GK1" t="s">
        <v>2923</v>
      </c>
      <c r="GL1" t="s">
        <v>2924</v>
      </c>
      <c r="GM1" t="s">
        <v>2925</v>
      </c>
      <c r="GN1" t="s">
        <v>2926</v>
      </c>
      <c r="GO1" t="s">
        <v>2927</v>
      </c>
      <c r="GP1" t="s">
        <v>2928</v>
      </c>
      <c r="GQ1" t="s">
        <v>2929</v>
      </c>
      <c r="GR1" t="s">
        <v>2930</v>
      </c>
      <c r="GS1" t="s">
        <v>2931</v>
      </c>
      <c r="GT1" t="s">
        <v>2932</v>
      </c>
      <c r="GU1" t="s">
        <v>2933</v>
      </c>
      <c r="GV1" t="s">
        <v>2934</v>
      </c>
      <c r="GW1" t="s">
        <v>2935</v>
      </c>
      <c r="GX1" t="s">
        <v>2936</v>
      </c>
      <c r="GY1" t="s">
        <v>2937</v>
      </c>
      <c r="GZ1" t="s">
        <v>2938</v>
      </c>
      <c r="HA1" t="s">
        <v>2939</v>
      </c>
      <c r="HB1" t="s">
        <v>2940</v>
      </c>
      <c r="HC1" t="s">
        <v>2941</v>
      </c>
      <c r="HD1" t="s">
        <v>2942</v>
      </c>
      <c r="HE1" t="s">
        <v>2943</v>
      </c>
      <c r="HF1" t="s">
        <v>2944</v>
      </c>
      <c r="HG1" t="s">
        <v>2945</v>
      </c>
      <c r="HH1" t="s">
        <v>2946</v>
      </c>
      <c r="HI1" t="s">
        <v>2947</v>
      </c>
      <c r="HJ1" t="s">
        <v>2948</v>
      </c>
      <c r="HK1" t="s">
        <v>2949</v>
      </c>
      <c r="HL1" t="s">
        <v>2950</v>
      </c>
      <c r="HM1" t="s">
        <v>2951</v>
      </c>
      <c r="HN1" t="s">
        <v>2952</v>
      </c>
      <c r="HO1" t="s">
        <v>2953</v>
      </c>
      <c r="HP1" t="s">
        <v>2954</v>
      </c>
      <c r="HQ1" t="s">
        <v>2955</v>
      </c>
      <c r="HR1" t="s">
        <v>2956</v>
      </c>
      <c r="HS1" t="s">
        <v>2957</v>
      </c>
      <c r="HT1" t="s">
        <v>2958</v>
      </c>
      <c r="HU1" t="s">
        <v>2959</v>
      </c>
      <c r="HV1" t="s">
        <v>2960</v>
      </c>
      <c r="HW1" t="s">
        <v>2961</v>
      </c>
      <c r="HX1" t="s">
        <v>2962</v>
      </c>
      <c r="HY1" t="s">
        <v>2963</v>
      </c>
      <c r="HZ1" t="s">
        <v>2964</v>
      </c>
      <c r="IA1" t="s">
        <v>2965</v>
      </c>
      <c r="IB1" t="s">
        <v>2966</v>
      </c>
      <c r="IC1" t="s">
        <v>2967</v>
      </c>
      <c r="ID1" t="s">
        <v>2968</v>
      </c>
      <c r="IE1" t="s">
        <v>2969</v>
      </c>
      <c r="IF1" t="s">
        <v>2970</v>
      </c>
      <c r="IG1" t="s">
        <v>2971</v>
      </c>
      <c r="IH1" t="s">
        <v>2972</v>
      </c>
      <c r="II1" t="s">
        <v>2973</v>
      </c>
      <c r="IJ1" t="s">
        <v>2974</v>
      </c>
      <c r="IK1" t="s">
        <v>2975</v>
      </c>
      <c r="IL1" t="s">
        <v>2976</v>
      </c>
      <c r="IM1" t="s">
        <v>2977</v>
      </c>
      <c r="IN1" t="s">
        <v>2978</v>
      </c>
      <c r="IO1" t="s">
        <v>2979</v>
      </c>
      <c r="IP1" t="s">
        <v>2980</v>
      </c>
      <c r="IQ1" t="s">
        <v>2981</v>
      </c>
      <c r="IR1" t="s">
        <v>2982</v>
      </c>
      <c r="IS1" t="s">
        <v>2983</v>
      </c>
      <c r="IT1" t="s">
        <v>2984</v>
      </c>
      <c r="IU1" t="s">
        <v>2985</v>
      </c>
      <c r="IV1" t="s">
        <v>2986</v>
      </c>
      <c r="IW1" t="s">
        <v>2987</v>
      </c>
      <c r="IX1" t="s">
        <v>2988</v>
      </c>
      <c r="IY1" t="s">
        <v>2989</v>
      </c>
      <c r="IZ1" t="s">
        <v>2990</v>
      </c>
      <c r="JA1" t="s">
        <v>2991</v>
      </c>
      <c r="JB1" t="s">
        <v>2992</v>
      </c>
      <c r="JC1" t="s">
        <v>2993</v>
      </c>
      <c r="JD1" t="s">
        <v>2994</v>
      </c>
      <c r="JE1" t="s">
        <v>2995</v>
      </c>
      <c r="JF1" t="s">
        <v>2996</v>
      </c>
      <c r="JG1" t="s">
        <v>2997</v>
      </c>
      <c r="JH1" t="s">
        <v>2998</v>
      </c>
      <c r="JI1" t="s">
        <v>2999</v>
      </c>
      <c r="JJ1" t="s">
        <v>3000</v>
      </c>
      <c r="JK1" t="s">
        <v>3001</v>
      </c>
      <c r="JL1" t="s">
        <v>3002</v>
      </c>
      <c r="JM1" t="s">
        <v>3003</v>
      </c>
      <c r="JN1" t="s">
        <v>3004</v>
      </c>
      <c r="JO1" t="s">
        <v>3005</v>
      </c>
      <c r="JP1" t="s">
        <v>3006</v>
      </c>
      <c r="JQ1" t="s">
        <v>3007</v>
      </c>
      <c r="JR1" t="s">
        <v>3008</v>
      </c>
      <c r="JS1" t="s">
        <v>3009</v>
      </c>
      <c r="JT1" t="s">
        <v>3010</v>
      </c>
      <c r="JU1" t="s">
        <v>3011</v>
      </c>
      <c r="JV1" t="s">
        <v>3012</v>
      </c>
      <c r="JW1" t="s">
        <v>3013</v>
      </c>
      <c r="JX1" t="s">
        <v>3014</v>
      </c>
      <c r="JY1" t="s">
        <v>3015</v>
      </c>
      <c r="JZ1" t="s">
        <v>3016</v>
      </c>
      <c r="KA1" t="s">
        <v>3017</v>
      </c>
      <c r="KB1" t="s">
        <v>3018</v>
      </c>
      <c r="KC1" t="s">
        <v>3019</v>
      </c>
      <c r="KD1" t="s">
        <v>3020</v>
      </c>
      <c r="KE1" t="s">
        <v>3021</v>
      </c>
      <c r="KF1" t="s">
        <v>3022</v>
      </c>
      <c r="KG1" t="s">
        <v>3023</v>
      </c>
      <c r="KH1" t="s">
        <v>3024</v>
      </c>
      <c r="KI1" t="s">
        <v>3025</v>
      </c>
      <c r="KJ1" t="s">
        <v>3026</v>
      </c>
      <c r="KK1" t="s">
        <v>3027</v>
      </c>
      <c r="KL1" t="s">
        <v>3028</v>
      </c>
      <c r="KM1" t="s">
        <v>3029</v>
      </c>
      <c r="KN1" t="s">
        <v>3030</v>
      </c>
      <c r="KO1" t="s">
        <v>3031</v>
      </c>
      <c r="KP1" t="s">
        <v>3032</v>
      </c>
      <c r="KQ1" t="s">
        <v>3033</v>
      </c>
      <c r="KR1" t="s">
        <v>3034</v>
      </c>
      <c r="KS1" t="s">
        <v>3035</v>
      </c>
      <c r="KT1" t="s">
        <v>3036</v>
      </c>
      <c r="KU1" t="s">
        <v>3037</v>
      </c>
      <c r="KV1" t="s">
        <v>3038</v>
      </c>
      <c r="KW1" t="s">
        <v>3039</v>
      </c>
      <c r="KX1" t="s">
        <v>3040</v>
      </c>
      <c r="KY1" t="s">
        <v>3041</v>
      </c>
      <c r="KZ1" t="s">
        <v>3042</v>
      </c>
      <c r="LA1" t="s">
        <v>3043</v>
      </c>
      <c r="LB1" t="s">
        <v>3044</v>
      </c>
      <c r="LC1" t="s">
        <v>3045</v>
      </c>
      <c r="LD1" t="s">
        <v>3046</v>
      </c>
      <c r="LE1" t="s">
        <v>3047</v>
      </c>
      <c r="LF1" t="s">
        <v>3048</v>
      </c>
      <c r="LG1" t="s">
        <v>3049</v>
      </c>
      <c r="LH1" t="s">
        <v>3050</v>
      </c>
      <c r="LI1" t="s">
        <v>3051</v>
      </c>
      <c r="LJ1" t="s">
        <v>3052</v>
      </c>
      <c r="LK1" t="s">
        <v>3053</v>
      </c>
      <c r="LL1" t="s">
        <v>3054</v>
      </c>
      <c r="LM1" t="s">
        <v>3055</v>
      </c>
      <c r="LN1" t="s">
        <v>3056</v>
      </c>
      <c r="LO1" t="s">
        <v>3057</v>
      </c>
      <c r="LP1" t="s">
        <v>3058</v>
      </c>
      <c r="LQ1" t="s">
        <v>3059</v>
      </c>
      <c r="LR1" t="s">
        <v>3060</v>
      </c>
      <c r="LS1" t="s">
        <v>3061</v>
      </c>
      <c r="LT1" t="s">
        <v>3062</v>
      </c>
      <c r="LU1" t="s">
        <v>3063</v>
      </c>
      <c r="LV1" t="s">
        <v>3064</v>
      </c>
      <c r="LW1" s="121" t="s">
        <v>3065</v>
      </c>
      <c r="LX1" s="121" t="s">
        <v>3066</v>
      </c>
      <c r="LY1" s="121" t="s">
        <v>3067</v>
      </c>
      <c r="LZ1" s="121" t="s">
        <v>3068</v>
      </c>
      <c r="MA1" s="121" t="s">
        <v>3069</v>
      </c>
      <c r="MB1" s="121" t="s">
        <v>3070</v>
      </c>
      <c r="MC1" s="121" t="s">
        <v>3071</v>
      </c>
      <c r="MD1" s="121" t="s">
        <v>3072</v>
      </c>
      <c r="ME1" s="121" t="s">
        <v>3073</v>
      </c>
      <c r="MF1" s="121" t="s">
        <v>3074</v>
      </c>
      <c r="MG1" s="121" t="s">
        <v>3075</v>
      </c>
      <c r="MH1" s="121" t="s">
        <v>3076</v>
      </c>
      <c r="MI1" s="121" t="s">
        <v>3077</v>
      </c>
      <c r="MJ1" s="121" t="s">
        <v>3078</v>
      </c>
      <c r="MK1" s="121" t="s">
        <v>3079</v>
      </c>
      <c r="ML1" s="121" t="s">
        <v>3080</v>
      </c>
      <c r="MM1" s="121" t="s">
        <v>3081</v>
      </c>
      <c r="MN1" s="121" t="s">
        <v>3082</v>
      </c>
      <c r="MO1" s="121" t="s">
        <v>3083</v>
      </c>
      <c r="MP1" s="121" t="s">
        <v>3084</v>
      </c>
      <c r="MQ1" s="121" t="s">
        <v>3085</v>
      </c>
      <c r="MR1" s="121" t="s">
        <v>3086</v>
      </c>
      <c r="MS1" s="121" t="s">
        <v>3087</v>
      </c>
      <c r="MT1" s="121" t="s">
        <v>3088</v>
      </c>
      <c r="MU1" s="121" t="s">
        <v>3089</v>
      </c>
      <c r="MV1" s="121" t="s">
        <v>3090</v>
      </c>
      <c r="MW1" s="121" t="s">
        <v>3091</v>
      </c>
      <c r="MX1" s="121" t="s">
        <v>3092</v>
      </c>
      <c r="MY1" s="121" t="s">
        <v>3093</v>
      </c>
      <c r="MZ1" s="121" t="s">
        <v>3094</v>
      </c>
      <c r="NA1" s="121" t="s">
        <v>3095</v>
      </c>
      <c r="NB1" s="121" t="s">
        <v>3096</v>
      </c>
      <c r="NC1" s="121" t="s">
        <v>3097</v>
      </c>
      <c r="ND1" s="121" t="s">
        <v>3098</v>
      </c>
      <c r="NE1" s="121" t="s">
        <v>3099</v>
      </c>
      <c r="NF1" s="121" t="s">
        <v>3100</v>
      </c>
      <c r="NG1" s="121" t="s">
        <v>3101</v>
      </c>
      <c r="NH1" s="121" t="s">
        <v>3102</v>
      </c>
      <c r="NI1" s="121" t="s">
        <v>3103</v>
      </c>
      <c r="NJ1" s="121" t="s">
        <v>3104</v>
      </c>
      <c r="NK1" s="121" t="s">
        <v>3105</v>
      </c>
      <c r="NL1" s="121" t="s">
        <v>3106</v>
      </c>
      <c r="NM1" s="121" t="s">
        <v>3107</v>
      </c>
      <c r="NN1" s="121" t="s">
        <v>3108</v>
      </c>
      <c r="NO1" t="s">
        <v>3109</v>
      </c>
      <c r="NP1" t="s">
        <v>3110</v>
      </c>
      <c r="NQ1" t="s">
        <v>3111</v>
      </c>
      <c r="NR1" t="s">
        <v>3112</v>
      </c>
      <c r="NS1" t="s">
        <v>3113</v>
      </c>
      <c r="NT1" t="s">
        <v>3114</v>
      </c>
      <c r="NU1" t="s">
        <v>3115</v>
      </c>
      <c r="NV1" t="s">
        <v>3116</v>
      </c>
      <c r="NW1" t="s">
        <v>3117</v>
      </c>
      <c r="NX1" t="s">
        <v>3118</v>
      </c>
      <c r="NY1" t="s">
        <v>3119</v>
      </c>
      <c r="NZ1" t="s">
        <v>3120</v>
      </c>
      <c r="OA1" t="s">
        <v>3121</v>
      </c>
      <c r="OB1" t="s">
        <v>3122</v>
      </c>
      <c r="OC1" t="s">
        <v>3123</v>
      </c>
      <c r="OD1" t="s">
        <v>3124</v>
      </c>
      <c r="OE1" t="s">
        <v>3125</v>
      </c>
      <c r="OF1" t="s">
        <v>3126</v>
      </c>
      <c r="OG1" t="s">
        <v>3127</v>
      </c>
      <c r="OH1" t="s">
        <v>3128</v>
      </c>
      <c r="OI1" t="s">
        <v>3129</v>
      </c>
      <c r="OJ1" t="s">
        <v>3130</v>
      </c>
      <c r="OK1" t="s">
        <v>3131</v>
      </c>
      <c r="OL1" t="s">
        <v>3132</v>
      </c>
      <c r="OM1" t="s">
        <v>3133</v>
      </c>
      <c r="ON1" t="s">
        <v>3134</v>
      </c>
      <c r="OO1" t="s">
        <v>3135</v>
      </c>
      <c r="OP1" t="s">
        <v>3136</v>
      </c>
      <c r="OQ1" t="s">
        <v>3137</v>
      </c>
      <c r="OR1" t="s">
        <v>3138</v>
      </c>
      <c r="OS1" t="s">
        <v>3139</v>
      </c>
      <c r="OT1" t="s">
        <v>3140</v>
      </c>
      <c r="OU1" t="s">
        <v>3141</v>
      </c>
      <c r="OV1" t="s">
        <v>3142</v>
      </c>
      <c r="OW1" t="s">
        <v>3143</v>
      </c>
      <c r="OX1" t="s">
        <v>3144</v>
      </c>
      <c r="OY1" t="s">
        <v>3145</v>
      </c>
      <c r="OZ1" t="s">
        <v>3146</v>
      </c>
      <c r="PA1" t="s">
        <v>3147</v>
      </c>
      <c r="PB1" t="s">
        <v>3148</v>
      </c>
      <c r="PC1" t="s">
        <v>3149</v>
      </c>
      <c r="PD1" t="s">
        <v>3150</v>
      </c>
      <c r="PE1" t="s">
        <v>3151</v>
      </c>
      <c r="PF1" t="s">
        <v>3152</v>
      </c>
      <c r="PG1" t="s">
        <v>3153</v>
      </c>
      <c r="PH1" t="s">
        <v>3154</v>
      </c>
      <c r="PI1" t="s">
        <v>3155</v>
      </c>
      <c r="PJ1" t="s">
        <v>3156</v>
      </c>
    </row>
    <row r="2" spans="1:426">
      <c r="A2" t="s">
        <v>55</v>
      </c>
      <c r="B2" t="s">
        <v>59</v>
      </c>
      <c r="C2" t="s">
        <v>62</v>
      </c>
      <c r="D2" t="s">
        <v>67</v>
      </c>
      <c r="E2" t="s">
        <v>70</v>
      </c>
      <c r="F2" t="s">
        <v>73</v>
      </c>
      <c r="G2" t="s">
        <v>76</v>
      </c>
      <c r="H2" t="s">
        <v>80</v>
      </c>
      <c r="I2" t="s">
        <v>82</v>
      </c>
      <c r="J2" t="s">
        <v>85</v>
      </c>
      <c r="K2" t="s">
        <v>87</v>
      </c>
      <c r="L2" t="s">
        <v>90</v>
      </c>
      <c r="M2" t="s">
        <v>94</v>
      </c>
      <c r="N2" t="s">
        <v>96</v>
      </c>
      <c r="O2" t="s">
        <v>98</v>
      </c>
      <c r="P2" t="s">
        <v>100</v>
      </c>
      <c r="Q2" t="s">
        <v>102</v>
      </c>
      <c r="R2" t="s">
        <v>104</v>
      </c>
      <c r="S2" t="s">
        <v>107</v>
      </c>
      <c r="T2" t="s">
        <v>110</v>
      </c>
      <c r="U2" t="s">
        <v>112</v>
      </c>
      <c r="V2" t="s">
        <v>114</v>
      </c>
      <c r="W2" t="s">
        <v>187</v>
      </c>
      <c r="X2" t="s">
        <v>192</v>
      </c>
      <c r="Y2" t="s">
        <v>177</v>
      </c>
      <c r="Z2" t="s">
        <v>183</v>
      </c>
      <c r="AA2" t="s">
        <v>194</v>
      </c>
      <c r="AB2" t="s">
        <v>197</v>
      </c>
      <c r="AC2" t="s">
        <v>209</v>
      </c>
      <c r="AD2" t="s">
        <v>212</v>
      </c>
      <c r="AE2" t="s">
        <v>3157</v>
      </c>
      <c r="AF2" t="s">
        <v>203</v>
      </c>
      <c r="AG2" t="s">
        <v>322</v>
      </c>
      <c r="AH2" t="s">
        <v>3158</v>
      </c>
      <c r="AI2" t="s">
        <v>161</v>
      </c>
      <c r="AJ2" t="s">
        <v>3159</v>
      </c>
      <c r="AK2" t="s">
        <v>3160</v>
      </c>
      <c r="AL2" t="s">
        <v>3161</v>
      </c>
      <c r="AM2" t="s">
        <v>3162</v>
      </c>
      <c r="AN2" t="s">
        <v>3163</v>
      </c>
      <c r="AO2" t="s">
        <v>265</v>
      </c>
      <c r="AP2" t="s">
        <v>3164</v>
      </c>
      <c r="AQ2" t="s">
        <v>262</v>
      </c>
      <c r="AR2" t="s">
        <v>3165</v>
      </c>
      <c r="AS2" t="s">
        <v>268</v>
      </c>
      <c r="AT2" t="s">
        <v>147</v>
      </c>
      <c r="AU2" t="s">
        <v>3166</v>
      </c>
      <c r="AV2" t="s">
        <v>158</v>
      </c>
      <c r="AW2" t="s">
        <v>3167</v>
      </c>
      <c r="AX2" t="s">
        <v>153</v>
      </c>
      <c r="AY2" t="s">
        <v>3168</v>
      </c>
      <c r="AZ2" t="s">
        <v>3169</v>
      </c>
      <c r="BA2" t="s">
        <v>329</v>
      </c>
      <c r="BB2" t="s">
        <v>333</v>
      </c>
      <c r="BC2" t="s">
        <v>3170</v>
      </c>
      <c r="BD2" t="s">
        <v>3171</v>
      </c>
      <c r="BE2" t="s">
        <v>3172</v>
      </c>
      <c r="BF2" t="s">
        <v>3173</v>
      </c>
      <c r="BG2" t="s">
        <v>273</v>
      </c>
      <c r="BH2" t="s">
        <v>308</v>
      </c>
      <c r="BI2" t="s">
        <v>3174</v>
      </c>
      <c r="BJ2" t="s">
        <v>3175</v>
      </c>
      <c r="BK2" t="s">
        <v>311</v>
      </c>
      <c r="BL2" t="s">
        <v>315</v>
      </c>
      <c r="BM2" t="s">
        <v>3176</v>
      </c>
      <c r="BN2" t="s">
        <v>3177</v>
      </c>
      <c r="BO2" t="s">
        <v>317</v>
      </c>
      <c r="BP2" t="s">
        <v>282</v>
      </c>
      <c r="BQ2" t="s">
        <v>337</v>
      </c>
      <c r="BR2" t="s">
        <v>342</v>
      </c>
      <c r="BS2" t="s">
        <v>346</v>
      </c>
      <c r="BT2" t="s">
        <v>256</v>
      </c>
      <c r="BU2" t="s">
        <v>258</v>
      </c>
      <c r="BV2" t="s">
        <v>247</v>
      </c>
      <c r="BW2" t="s">
        <v>253</v>
      </c>
      <c r="BX2" t="s">
        <v>374</v>
      </c>
      <c r="BY2" t="s">
        <v>362</v>
      </c>
      <c r="BZ2" t="s">
        <v>364</v>
      </c>
      <c r="CA2" t="s">
        <v>366</v>
      </c>
      <c r="CB2" t="s">
        <v>368</v>
      </c>
      <c r="CC2" t="s">
        <v>370</v>
      </c>
      <c r="CD2" t="s">
        <v>372</v>
      </c>
      <c r="CE2" t="s">
        <v>376</v>
      </c>
      <c r="CF2" t="s">
        <v>3178</v>
      </c>
      <c r="CG2" t="s">
        <v>379</v>
      </c>
      <c r="CH2" t="s">
        <v>384</v>
      </c>
      <c r="CI2" t="s">
        <v>387</v>
      </c>
      <c r="CJ2" t="s">
        <v>390</v>
      </c>
      <c r="CK2" t="s">
        <v>392</v>
      </c>
      <c r="CL2" t="s">
        <v>394</v>
      </c>
      <c r="CM2" t="s">
        <v>396</v>
      </c>
      <c r="CN2" t="s">
        <v>233</v>
      </c>
      <c r="CO2" t="s">
        <v>237</v>
      </c>
      <c r="CP2" t="s">
        <v>240</v>
      </c>
      <c r="CQ2" t="s">
        <v>243</v>
      </c>
      <c r="CR2" t="s">
        <v>294</v>
      </c>
      <c r="CS2" t="s">
        <v>304</v>
      </c>
      <c r="CT2" t="s">
        <v>3179</v>
      </c>
      <c r="CU2" t="s">
        <v>3180</v>
      </c>
      <c r="CV2" t="s">
        <v>3181</v>
      </c>
      <c r="CW2" t="s">
        <v>3182</v>
      </c>
      <c r="CX2" t="s">
        <v>400</v>
      </c>
      <c r="CY2" t="s">
        <v>403</v>
      </c>
      <c r="CZ2" t="s">
        <v>406</v>
      </c>
      <c r="DA2" t="s">
        <v>408</v>
      </c>
      <c r="DB2" t="s">
        <v>410</v>
      </c>
      <c r="DC2" t="s">
        <v>413</v>
      </c>
      <c r="DD2" t="s">
        <v>422</v>
      </c>
      <c r="DE2" t="s">
        <v>424</v>
      </c>
      <c r="DF2" t="s">
        <v>426</v>
      </c>
      <c r="DG2" t="s">
        <v>429</v>
      </c>
      <c r="DH2" t="s">
        <v>431</v>
      </c>
      <c r="DI2" t="s">
        <v>433</v>
      </c>
      <c r="DJ2" t="s">
        <v>435</v>
      </c>
      <c r="DK2" t="s">
        <v>437</v>
      </c>
      <c r="DL2" t="s">
        <v>439</v>
      </c>
      <c r="DM2" t="s">
        <v>441</v>
      </c>
      <c r="DN2" t="s">
        <v>443</v>
      </c>
      <c r="DO2" t="s">
        <v>445</v>
      </c>
      <c r="DP2" t="s">
        <v>447</v>
      </c>
      <c r="DQ2" t="s">
        <v>449</v>
      </c>
      <c r="DR2" t="s">
        <v>451</v>
      </c>
      <c r="DS2" t="s">
        <v>453</v>
      </c>
      <c r="DT2" t="s">
        <v>456</v>
      </c>
      <c r="DU2" t="s">
        <v>458</v>
      </c>
      <c r="DV2" t="s">
        <v>460</v>
      </c>
      <c r="DW2" t="s">
        <v>462</v>
      </c>
      <c r="DX2" t="s">
        <v>464</v>
      </c>
      <c r="DY2" t="s">
        <v>466</v>
      </c>
      <c r="DZ2" t="s">
        <v>468</v>
      </c>
      <c r="EA2" t="s">
        <v>471</v>
      </c>
      <c r="EB2" t="s">
        <v>474</v>
      </c>
      <c r="EC2" t="s">
        <v>476</v>
      </c>
      <c r="ED2" t="s">
        <v>478</v>
      </c>
      <c r="EE2" t="s">
        <v>418</v>
      </c>
      <c r="EF2" t="s">
        <v>583</v>
      </c>
      <c r="EG2" t="s">
        <v>585</v>
      </c>
      <c r="EH2" t="s">
        <v>579</v>
      </c>
      <c r="EI2" t="s">
        <v>581</v>
      </c>
      <c r="EJ2" t="s">
        <v>587</v>
      </c>
      <c r="EK2" t="s">
        <v>520</v>
      </c>
      <c r="EL2" t="s">
        <v>518</v>
      </c>
      <c r="EM2" t="s">
        <v>3183</v>
      </c>
      <c r="EN2" t="s">
        <v>484</v>
      </c>
      <c r="EO2" t="s">
        <v>3184</v>
      </c>
      <c r="EP2" t="s">
        <v>3185</v>
      </c>
      <c r="EQ2" t="s">
        <v>3186</v>
      </c>
      <c r="ER2" t="s">
        <v>3187</v>
      </c>
      <c r="ES2" t="s">
        <v>3188</v>
      </c>
      <c r="ET2" t="s">
        <v>605</v>
      </c>
      <c r="EU2" t="s">
        <v>3189</v>
      </c>
      <c r="EV2" t="s">
        <v>604</v>
      </c>
      <c r="EW2" t="s">
        <v>3190</v>
      </c>
      <c r="EX2" t="s">
        <v>606</v>
      </c>
      <c r="EY2" t="s">
        <v>609</v>
      </c>
      <c r="EZ2" t="s">
        <v>482</v>
      </c>
      <c r="FA2" t="s">
        <v>3191</v>
      </c>
      <c r="FB2" t="s">
        <v>611</v>
      </c>
      <c r="FC2" t="s">
        <v>3192</v>
      </c>
      <c r="FD2" t="s">
        <v>3193</v>
      </c>
      <c r="FE2" t="s">
        <v>488</v>
      </c>
      <c r="FF2" t="s">
        <v>509</v>
      </c>
      <c r="FG2" t="s">
        <v>512</v>
      </c>
      <c r="FH2" t="s">
        <v>516</v>
      </c>
      <c r="FI2" t="s">
        <v>529</v>
      </c>
      <c r="FJ2" t="s">
        <v>532</v>
      </c>
      <c r="FK2" t="s">
        <v>535</v>
      </c>
      <c r="FL2" t="s">
        <v>543</v>
      </c>
      <c r="FM2" t="s">
        <v>546</v>
      </c>
      <c r="FN2" t="s">
        <v>548</v>
      </c>
      <c r="FO2" t="s">
        <v>550</v>
      </c>
      <c r="FP2" t="s">
        <v>552</v>
      </c>
      <c r="FQ2" t="s">
        <v>554</v>
      </c>
      <c r="FR2" t="s">
        <v>556</v>
      </c>
      <c r="FS2" t="s">
        <v>3194</v>
      </c>
      <c r="FT2" t="s">
        <v>561</v>
      </c>
      <c r="FU2" t="s">
        <v>486</v>
      </c>
      <c r="FV2" t="s">
        <v>614</v>
      </c>
      <c r="FW2" t="s">
        <v>616</v>
      </c>
      <c r="FX2" t="s">
        <v>619</v>
      </c>
      <c r="FY2" t="s">
        <v>621</v>
      </c>
      <c r="FZ2" t="s">
        <v>623</v>
      </c>
      <c r="GA2" t="s">
        <v>625</v>
      </c>
      <c r="GB2" t="s">
        <v>627</v>
      </c>
      <c r="GC2" t="s">
        <v>629</v>
      </c>
      <c r="GD2" t="s">
        <v>632</v>
      </c>
      <c r="GE2" t="s">
        <v>634</v>
      </c>
      <c r="GF2" t="s">
        <v>637</v>
      </c>
      <c r="GG2" t="s">
        <v>639</v>
      </c>
      <c r="GH2" t="s">
        <v>641</v>
      </c>
      <c r="GI2" t="s">
        <v>644</v>
      </c>
      <c r="GJ2" t="s">
        <v>647</v>
      </c>
      <c r="GK2" t="s">
        <v>649</v>
      </c>
      <c r="GL2" t="s">
        <v>651</v>
      </c>
      <c r="GM2" t="s">
        <v>653</v>
      </c>
      <c r="GN2" t="s">
        <v>656</v>
      </c>
      <c r="GO2" t="s">
        <v>539</v>
      </c>
      <c r="GP2" t="s">
        <v>658</v>
      </c>
      <c r="GQ2" t="s">
        <v>660</v>
      </c>
      <c r="GR2" t="s">
        <v>3195</v>
      </c>
      <c r="GS2" t="s">
        <v>3196</v>
      </c>
      <c r="GT2" t="s">
        <v>667</v>
      </c>
      <c r="GU2" t="s">
        <v>3197</v>
      </c>
      <c r="GV2" t="s">
        <v>3198</v>
      </c>
      <c r="GW2" t="s">
        <v>3199</v>
      </c>
      <c r="GX2" t="s">
        <v>688</v>
      </c>
      <c r="GY2" t="s">
        <v>690</v>
      </c>
      <c r="GZ2" t="s">
        <v>692</v>
      </c>
      <c r="HA2" t="s">
        <v>694</v>
      </c>
      <c r="HB2" t="s">
        <v>696</v>
      </c>
      <c r="HC2" t="s">
        <v>698</v>
      </c>
      <c r="HD2" t="s">
        <v>700</v>
      </c>
      <c r="HE2" t="s">
        <v>702</v>
      </c>
      <c r="HF2" t="s">
        <v>704</v>
      </c>
      <c r="HG2" t="s">
        <v>706</v>
      </c>
      <c r="HH2" t="s">
        <v>708</v>
      </c>
      <c r="HI2" t="s">
        <v>710</v>
      </c>
      <c r="HJ2" t="s">
        <v>712</v>
      </c>
      <c r="HK2" t="s">
        <v>714</v>
      </c>
      <c r="HL2" t="s">
        <v>590</v>
      </c>
      <c r="HM2" t="s">
        <v>594</v>
      </c>
      <c r="HN2" t="s">
        <v>597</v>
      </c>
      <c r="HO2" t="s">
        <v>599</v>
      </c>
      <c r="HP2" t="s">
        <v>601</v>
      </c>
      <c r="HQ2" t="s">
        <v>716</v>
      </c>
      <c r="HR2" t="s">
        <v>718</v>
      </c>
      <c r="HS2" t="s">
        <v>721</v>
      </c>
      <c r="HT2" t="s">
        <v>723</v>
      </c>
      <c r="HU2" t="s">
        <v>725</v>
      </c>
      <c r="HV2" t="s">
        <v>727</v>
      </c>
      <c r="HW2" t="s">
        <v>731</v>
      </c>
      <c r="HX2" t="s">
        <v>733</v>
      </c>
      <c r="HY2" t="s">
        <v>735</v>
      </c>
      <c r="HZ2" t="s">
        <v>737</v>
      </c>
      <c r="IA2" t="s">
        <v>739</v>
      </c>
      <c r="IB2" t="s">
        <v>741</v>
      </c>
      <c r="IC2" t="s">
        <v>744</v>
      </c>
      <c r="ID2" t="s">
        <v>746</v>
      </c>
      <c r="IE2" t="s">
        <v>748</v>
      </c>
      <c r="IF2" t="s">
        <v>750</v>
      </c>
      <c r="IG2" t="s">
        <v>752</v>
      </c>
      <c r="IH2" t="s">
        <v>754</v>
      </c>
      <c r="II2" t="s">
        <v>756</v>
      </c>
      <c r="IJ2" t="s">
        <v>758</v>
      </c>
      <c r="IK2" t="s">
        <v>760</v>
      </c>
      <c r="IL2" t="s">
        <v>762</v>
      </c>
      <c r="IM2" t="s">
        <v>763</v>
      </c>
      <c r="IN2" t="s">
        <v>764</v>
      </c>
      <c r="IO2" t="s">
        <v>765</v>
      </c>
      <c r="IP2" t="s">
        <v>767</v>
      </c>
      <c r="IQ2" t="s">
        <v>768</v>
      </c>
      <c r="IR2" t="s">
        <v>769</v>
      </c>
      <c r="IS2" t="s">
        <v>770</v>
      </c>
      <c r="IT2" t="s">
        <v>772</v>
      </c>
      <c r="IU2" t="s">
        <v>774</v>
      </c>
      <c r="IV2" t="s">
        <v>776</v>
      </c>
      <c r="IW2" t="s">
        <v>778</v>
      </c>
      <c r="IX2" t="s">
        <v>729</v>
      </c>
      <c r="IY2" t="s">
        <v>791</v>
      </c>
      <c r="IZ2" t="s">
        <v>787</v>
      </c>
      <c r="JA2" t="s">
        <v>789</v>
      </c>
      <c r="JB2" t="s">
        <v>793</v>
      </c>
      <c r="JC2" t="s">
        <v>782</v>
      </c>
      <c r="JD2" t="s">
        <v>3200</v>
      </c>
      <c r="JE2" t="s">
        <v>3201</v>
      </c>
      <c r="JF2" t="s">
        <v>3202</v>
      </c>
      <c r="JG2" t="s">
        <v>3203</v>
      </c>
      <c r="JH2" t="s">
        <v>3204</v>
      </c>
      <c r="JI2" t="s">
        <v>796</v>
      </c>
      <c r="JJ2" t="s">
        <v>3205</v>
      </c>
      <c r="JK2" t="s">
        <v>795</v>
      </c>
      <c r="JL2" t="s">
        <v>3206</v>
      </c>
      <c r="JM2" t="s">
        <v>797</v>
      </c>
      <c r="JN2" t="s">
        <v>3207</v>
      </c>
      <c r="JO2" t="s">
        <v>3208</v>
      </c>
      <c r="JP2" t="s">
        <v>802</v>
      </c>
      <c r="JQ2" t="s">
        <v>800</v>
      </c>
      <c r="JR2" t="s">
        <v>785</v>
      </c>
      <c r="JS2" t="s">
        <v>807</v>
      </c>
      <c r="JT2" t="s">
        <v>810</v>
      </c>
      <c r="JU2" t="s">
        <v>812</v>
      </c>
      <c r="JV2" t="s">
        <v>814</v>
      </c>
      <c r="JW2" t="s">
        <v>816</v>
      </c>
      <c r="JX2" t="s">
        <v>818</v>
      </c>
      <c r="JY2" t="s">
        <v>820</v>
      </c>
      <c r="JZ2" t="s">
        <v>822</v>
      </c>
      <c r="KA2" t="s">
        <v>824</v>
      </c>
      <c r="KB2" t="s">
        <v>827</v>
      </c>
      <c r="KC2" t="s">
        <v>829</v>
      </c>
      <c r="KD2" t="s">
        <v>831</v>
      </c>
      <c r="KE2" t="s">
        <v>849</v>
      </c>
      <c r="KF2" t="s">
        <v>851</v>
      </c>
      <c r="KG2" t="s">
        <v>853</v>
      </c>
      <c r="KH2" t="s">
        <v>855</v>
      </c>
      <c r="KI2" t="s">
        <v>858</v>
      </c>
      <c r="KJ2" t="s">
        <v>860</v>
      </c>
      <c r="KK2" t="s">
        <v>864</v>
      </c>
      <c r="KL2" t="s">
        <v>866</v>
      </c>
      <c r="KM2" t="s">
        <v>868</v>
      </c>
      <c r="KN2" t="s">
        <v>870</v>
      </c>
      <c r="KO2" t="s">
        <v>872</v>
      </c>
      <c r="KP2" t="s">
        <v>874</v>
      </c>
      <c r="KQ2" t="s">
        <v>876</v>
      </c>
      <c r="KR2" t="s">
        <v>880</v>
      </c>
      <c r="KS2" t="s">
        <v>882</v>
      </c>
      <c r="KT2" t="s">
        <v>885</v>
      </c>
      <c r="KU2" t="s">
        <v>887</v>
      </c>
      <c r="KV2" t="s">
        <v>889</v>
      </c>
      <c r="KW2" t="s">
        <v>892</v>
      </c>
      <c r="KX2" t="s">
        <v>896</v>
      </c>
      <c r="KY2" t="s">
        <v>898</v>
      </c>
      <c r="KZ2" t="s">
        <v>900</v>
      </c>
      <c r="LA2" t="s">
        <v>902</v>
      </c>
      <c r="LB2" t="s">
        <v>905</v>
      </c>
      <c r="LC2" t="s">
        <v>907</v>
      </c>
      <c r="LD2" t="s">
        <v>909</v>
      </c>
      <c r="LE2" t="s">
        <v>911</v>
      </c>
      <c r="LF2" t="s">
        <v>913</v>
      </c>
      <c r="LG2" t="s">
        <v>915</v>
      </c>
      <c r="LH2" t="s">
        <v>917</v>
      </c>
      <c r="LI2" t="s">
        <v>919</v>
      </c>
      <c r="LJ2" t="s">
        <v>921</v>
      </c>
      <c r="LK2" t="s">
        <v>923</v>
      </c>
      <c r="LL2" t="s">
        <v>924</v>
      </c>
      <c r="LM2" t="s">
        <v>925</v>
      </c>
      <c r="LN2" t="s">
        <v>926</v>
      </c>
      <c r="LO2" t="s">
        <v>928</v>
      </c>
      <c r="LP2" t="s">
        <v>929</v>
      </c>
      <c r="LQ2" t="s">
        <v>930</v>
      </c>
      <c r="LR2" t="s">
        <v>931</v>
      </c>
      <c r="LS2" t="s">
        <v>933</v>
      </c>
      <c r="LT2" t="s">
        <v>935</v>
      </c>
      <c r="LU2" t="s">
        <v>937</v>
      </c>
      <c r="LV2" t="s">
        <v>894</v>
      </c>
      <c r="LW2" t="s">
        <v>3209</v>
      </c>
      <c r="LX2" t="s">
        <v>3210</v>
      </c>
      <c r="LY2" t="s">
        <v>3211</v>
      </c>
      <c r="LZ2" t="s">
        <v>3212</v>
      </c>
      <c r="MA2" t="s">
        <v>3213</v>
      </c>
      <c r="MB2" t="s">
        <v>3214</v>
      </c>
      <c r="MC2" t="s">
        <v>3215</v>
      </c>
      <c r="MD2" t="s">
        <v>3216</v>
      </c>
      <c r="ME2" t="s">
        <v>3217</v>
      </c>
      <c r="MF2" t="s">
        <v>3218</v>
      </c>
      <c r="MG2" t="s">
        <v>3219</v>
      </c>
      <c r="MH2" t="s">
        <v>3220</v>
      </c>
      <c r="MI2" t="s">
        <v>3221</v>
      </c>
      <c r="MJ2" t="s">
        <v>3222</v>
      </c>
      <c r="MK2" t="s">
        <v>3223</v>
      </c>
      <c r="ML2" t="s">
        <v>3224</v>
      </c>
      <c r="MM2" t="s">
        <v>3225</v>
      </c>
      <c r="MN2" t="s">
        <v>3226</v>
      </c>
      <c r="MO2" t="e">
        <v>#VALUE!</v>
      </c>
      <c r="MP2" t="s">
        <v>3227</v>
      </c>
      <c r="MQ2" t="s">
        <v>3228</v>
      </c>
      <c r="MR2" t="s">
        <v>3229</v>
      </c>
      <c r="MS2" t="s">
        <v>3230</v>
      </c>
      <c r="MT2" t="s">
        <v>3231</v>
      </c>
      <c r="MU2" t="s">
        <v>3232</v>
      </c>
      <c r="MV2" t="s">
        <v>3233</v>
      </c>
      <c r="MW2" t="s">
        <v>3234</v>
      </c>
      <c r="MX2" t="s">
        <v>3235</v>
      </c>
      <c r="MY2" t="s">
        <v>3236</v>
      </c>
      <c r="MZ2" t="s">
        <v>3237</v>
      </c>
      <c r="NA2" t="s">
        <v>3238</v>
      </c>
      <c r="NB2" t="s">
        <v>3239</v>
      </c>
      <c r="NC2" t="s">
        <v>3240</v>
      </c>
      <c r="ND2" t="s">
        <v>3241</v>
      </c>
      <c r="NE2" t="s">
        <v>3242</v>
      </c>
      <c r="NF2" t="s">
        <v>3243</v>
      </c>
      <c r="NG2" t="s">
        <v>3244</v>
      </c>
      <c r="NH2" t="s">
        <v>3245</v>
      </c>
      <c r="NI2" t="e">
        <v>#VALUE!</v>
      </c>
      <c r="NJ2" t="e">
        <v>#VALUE!</v>
      </c>
      <c r="NK2" t="e">
        <v>#VALUE!</v>
      </c>
      <c r="NL2" t="e">
        <v>#VALUE!</v>
      </c>
      <c r="NM2" t="e">
        <v>#VALUE!</v>
      </c>
      <c r="NN2" t="e">
        <v>#VALUE!</v>
      </c>
      <c r="NO2" s="518" t="s">
        <v>141</v>
      </c>
      <c r="NP2" s="519" t="s">
        <v>166</v>
      </c>
      <c r="NQ2" s="519" t="s">
        <v>169</v>
      </c>
      <c r="NR2" s="519" t="s">
        <v>173</v>
      </c>
      <c r="NS2" s="519" t="s">
        <v>217</v>
      </c>
      <c r="NT2" s="519" t="s">
        <v>222</v>
      </c>
      <c r="NU2" s="519" t="s">
        <v>225</v>
      </c>
      <c r="NV2" s="519" t="s">
        <v>228</v>
      </c>
      <c r="NW2" s="519" t="s">
        <v>273</v>
      </c>
      <c r="NX2" s="519" t="s">
        <v>277</v>
      </c>
      <c r="NY2" s="519" t="s">
        <v>288</v>
      </c>
      <c r="NZ2" s="519" t="s">
        <v>297</v>
      </c>
      <c r="OA2" s="519" t="s">
        <v>301</v>
      </c>
      <c r="OB2" s="520" t="s">
        <v>301</v>
      </c>
      <c r="OC2" s="520" t="s">
        <v>337</v>
      </c>
      <c r="OD2" s="519" t="s">
        <v>342</v>
      </c>
      <c r="OE2" s="520" t="s">
        <v>350</v>
      </c>
      <c r="OF2" s="520" t="s">
        <v>354</v>
      </c>
      <c r="OG2" s="520" t="s">
        <v>357</v>
      </c>
      <c r="OH2" s="520" t="s">
        <v>359</v>
      </c>
      <c r="OI2" s="174" t="s">
        <v>611</v>
      </c>
      <c r="OJ2" s="174" t="s">
        <v>612</v>
      </c>
      <c r="OK2" s="174" t="s">
        <v>663</v>
      </c>
      <c r="OL2" s="174" t="s">
        <v>665</v>
      </c>
      <c r="OM2" s="174" t="s">
        <v>669</v>
      </c>
      <c r="ON2" s="174" t="s">
        <v>672</v>
      </c>
      <c r="OO2" s="174" t="s">
        <v>674</v>
      </c>
      <c r="OP2" s="174" t="s">
        <v>676</v>
      </c>
      <c r="OQ2" s="521" t="s">
        <v>802</v>
      </c>
      <c r="OR2" s="521" t="s">
        <v>804</v>
      </c>
      <c r="OS2" s="521" t="s">
        <v>831</v>
      </c>
      <c r="OT2" s="521" t="s">
        <v>833</v>
      </c>
      <c r="OU2" s="521" t="s">
        <v>835</v>
      </c>
      <c r="OV2" s="521" t="s">
        <v>837</v>
      </c>
      <c r="OW2" s="521" t="s">
        <v>839</v>
      </c>
      <c r="OX2" s="521" t="s">
        <v>841</v>
      </c>
      <c r="OY2" s="521" t="s">
        <v>844</v>
      </c>
      <c r="OZ2" s="521" t="s">
        <v>846</v>
      </c>
    </row>
    <row r="3" spans="1:426">
      <c r="A3">
        <f>IF(ISBLANK(VLOOKUP(A2,Common!$D$6:$H$27,5,FALSE)),"",VLOOKUP(A2,Common!$D$6:$H$27,5,FALSE))</f>
        <v>9375.1977179000005</v>
      </c>
      <c r="B3">
        <f>IF(ISBLANK(VLOOKUP(B2,Common!$D$6:$H$27,5,FALSE)),"",VLOOKUP(B2,Common!$D$6:$H$27,5,FALSE))</f>
        <v>48300</v>
      </c>
      <c r="C3">
        <f>IF(ISBLANK(VLOOKUP(C2,Common!$D$6:$H$27,5,FALSE)),"",VLOOKUP(C2,Common!$D$6:$H$27,5,FALSE))</f>
        <v>28144</v>
      </c>
      <c r="D3">
        <f>IF(ISBLANK(VLOOKUP(D2,Common!$D$6:$H$27,5,FALSE)),"",VLOOKUP(D2,Common!$D$6:$H$27,5,FALSE))</f>
        <v>3040</v>
      </c>
      <c r="E3">
        <f>IF(ISBLANK(VLOOKUP(E2,Common!$D$6:$H$27,5,FALSE)),"",VLOOKUP(E2,Common!$D$6:$H$27,5,FALSE))</f>
        <v>31184</v>
      </c>
      <c r="F3">
        <f>IF(ISBLANK(VLOOKUP(F2,Common!$D$6:$H$27,5,FALSE)),"",VLOOKUP(F2,Common!$D$6:$H$27,5,FALSE))</f>
        <v>1.7161739624786811</v>
      </c>
      <c r="G3" t="str">
        <f>IF(ISBLANK(VLOOKUP(G2,Common!$D$6:$H$27,5,FALSE)),"",VLOOKUP(G2,Common!$D$6:$H$27,5,FALSE))</f>
        <v/>
      </c>
      <c r="H3" t="str">
        <f>IF(ISBLANK(VLOOKUP(H2,Common!$D$6:$H$27,5,FALSE)),"",VLOOKUP(H2,Common!$D$6:$H$27,5,FALSE))</f>
        <v/>
      </c>
      <c r="I3" t="str">
        <f>IF(ISBLANK(VLOOKUP(I2,Common!$D$6:$H$27,5,FALSE)),"",VLOOKUP(I2,Common!$D$6:$H$27,5,FALSE))</f>
        <v/>
      </c>
      <c r="J3" t="str">
        <f>IF(ISBLANK(VLOOKUP(J2,Common!$D$6:$H$27,5,FALSE)),"",VLOOKUP(J2,Common!$D$6:$H$27,5,FALSE))</f>
        <v/>
      </c>
      <c r="K3" t="str">
        <f>IF(ISBLANK(VLOOKUP(K2,Common!$D$6:$H$27,5,FALSE)),"",VLOOKUP(K2,Common!$D$6:$H$27,5,FALSE))</f>
        <v/>
      </c>
      <c r="L3" t="str">
        <f>IF(ISBLANK(VLOOKUP(L2,Common!$D$6:$H$27,5,FALSE)),"",VLOOKUP(L2,Common!$D$6:$H$27,5,FALSE))</f>
        <v/>
      </c>
      <c r="M3" t="str">
        <f>IF(ISBLANK(VLOOKUP(M2,Common!$D$6:$H$27,5,FALSE)),"",VLOOKUP(M2,Common!$D$6:$H$27,5,FALSE))</f>
        <v/>
      </c>
      <c r="N3" t="str">
        <f>IF(ISBLANK(VLOOKUP(N2,Common!$D$6:$H$27,5,FALSE)),"",VLOOKUP(N2,Common!$D$6:$H$27,5,FALSE))</f>
        <v/>
      </c>
      <c r="O3" t="str">
        <f>IF(ISBLANK(VLOOKUP(O2,Common!$D$6:$H$27,5,FALSE)),"",VLOOKUP(O2,Common!$D$6:$H$27,5,FALSE))</f>
        <v/>
      </c>
      <c r="P3" t="str">
        <f>IF(ISBLANK(VLOOKUP(P2,Common!$D$6:$H$27,5,FALSE)),"",VLOOKUP(P2,Common!$D$6:$H$27,5,FALSE))</f>
        <v/>
      </c>
      <c r="Q3" t="str">
        <f>IF(ISBLANK(VLOOKUP(Q2,Common!$D$6:$H$27,5,FALSE)),"",VLOOKUP(Q2,Common!$D$6:$H$27,5,FALSE))</f>
        <v/>
      </c>
      <c r="R3" t="str">
        <f>IF(ISBLANK(VLOOKUP(R2,Common!$D$6:$H$27,5,FALSE)),"",VLOOKUP(R2,Common!$D$6:$H$27,5,FALSE))</f>
        <v/>
      </c>
      <c r="S3">
        <f>IF(ISBLANK(VLOOKUP(S2,Common!$D$6:$H$27,5,FALSE)),"",VLOOKUP(S2,Common!$D$6:$H$27,5,FALSE))</f>
        <v>0.3</v>
      </c>
      <c r="T3">
        <f>IF(ISBLANK(VLOOKUP(T2,Common!$D$6:$H$27,5,FALSE)),"",VLOOKUP(T2,Common!$D$6:$H$27,5,FALSE))</f>
        <v>0.7</v>
      </c>
      <c r="U3">
        <f>IF(ISBLANK(VLOOKUP(U2,Common!$D$6:$H$27,5,FALSE)),"",VLOOKUP(U2,Common!$D$6:$H$27,5,FALSE))</f>
        <v>0.45</v>
      </c>
      <c r="V3">
        <f>IF(ISBLANK(VLOOKUP(V2,Common!$D$6:$H$27,5,FALSE)),"",VLOOKUP(V2,Common!$D$6:$H$27,5,FALSE))</f>
        <v>1</v>
      </c>
      <c r="W3">
        <f>IF(ISBLANK(VLOOKUP(W2,Water!$D$6:$J$109,7,FALSE)),"",VLOOKUP(W2,Water!$D$6:$J$109,7,FALSE))</f>
        <v>48300</v>
      </c>
      <c r="X3">
        <f>IF(ISBLANK(VLOOKUP(X2,Water!$D$6:$J$109,7,FALSE)),"",VLOOKUP(X2,Water!$D$6:$J$109,7,FALSE))</f>
        <v>0.95402217168845938</v>
      </c>
      <c r="Y3">
        <f>IF(ISBLANK(VLOOKUP(Y2,Water!$D$6:$J$109,7,FALSE)),"",VLOOKUP(Y2,Water!$D$6:$J$109,7,FALSE))</f>
        <v>26850</v>
      </c>
      <c r="Z3">
        <f>IF(ISBLANK(VLOOKUP(Z2,Water!$D$6:$J$109,7,FALSE)),"",VLOOKUP(Z2,Water!$D$6:$J$109,7,FALSE))</f>
        <v>2350</v>
      </c>
      <c r="AA3">
        <f>IF(ISBLANK(VLOOKUP(AA2,Water!$D$6:$J$109,7,FALSE)),"",VLOOKUP(AA2,Water!$D$6:$J$109,7,FALSE))</f>
        <v>29200</v>
      </c>
      <c r="AB3">
        <f>IF(ISBLANK(VLOOKUP(AB2,Water!$D$6:$J$109,7,FALSE)),"",VLOOKUP(AB2,Water!$D$6:$J$109,7,FALSE))</f>
        <v>10512000</v>
      </c>
      <c r="AC3">
        <f>IF(ISBLANK(VLOOKUP(AC2,Water!$D$6:$J$109,7,FALSE)),"",VLOOKUP(AC2,Water!$D$6:$J$109,7,FALSE))</f>
        <v>0</v>
      </c>
      <c r="AD3">
        <f>IF(ISBLANK(VLOOKUP(AD2,Water!$D$6:$J$109,7,FALSE)),"",VLOOKUP(AD2,Water!$D$6:$J$109,7,FALSE))</f>
        <v>160000</v>
      </c>
      <c r="AF3">
        <f>IF(ISBLANK(VLOOKUP(AF2,Water!$D$6:$J$109,7,FALSE)),"",VLOOKUP(AF2,Water!$D$6:$J$109,7,FALSE))</f>
        <v>3300000</v>
      </c>
      <c r="AG3">
        <f>IF(ISBLANK(VLOOKUP(AG2,Water!$D$6:$J$109,7,FALSE)),"",VLOOKUP(AG2,Water!$D$6:$J$109,7,FALSE))</f>
        <v>527.74163924389688</v>
      </c>
      <c r="AI3">
        <f>IF(ISBLANK(VLOOKUP(AI2,Water!$D$6:$J$109,7,FALSE)),"",VLOOKUP(AI2,Water!$D$6:$J$109,7,FALSE))</f>
        <v>619.62</v>
      </c>
      <c r="AO3" t="str">
        <f>IF(ISBLANK(VLOOKUP(AO2,Water!$D$6:$J$109,7,FALSE)),"",VLOOKUP(AO2,Water!$D$6:$J$109,7,FALSE))</f>
        <v/>
      </c>
      <c r="AQ3" t="str">
        <f>IF(ISBLANK(VLOOKUP(AQ2,Water!$D$6:$J$109,7,FALSE)),"",VLOOKUP(AQ2,Water!$D$6:$J$109,7,FALSE))</f>
        <v/>
      </c>
      <c r="AS3">
        <f>IF(ISBLANK(VLOOKUP(AS2,Water!$D$6:$J$109,7,FALSE)),"",VLOOKUP(AS2,Water!$D$6:$J$109,7,FALSE))</f>
        <v>19.404897160709321</v>
      </c>
      <c r="AT3">
        <f>IF(ISBLANK(VLOOKUP(AT2,Water!$D$6:$J$109,7,FALSE)),"",VLOOKUP(AT2,Water!$D$6:$J$109,7,FALSE))</f>
        <v>12</v>
      </c>
      <c r="AV3">
        <f>IF(ISBLANK(VLOOKUP(AV2,Water!$D$6:$J$109,7,FALSE)),"",VLOOKUP(AV2,Water!$D$6:$J$109,7,FALSE))</f>
        <v>34</v>
      </c>
      <c r="AX3">
        <f>IF(ISBLANK(VLOOKUP(AX2,Water!$D$6:$J$109,7,FALSE)),"",VLOOKUP(AX2,Water!$D$6:$J$109,7,FALSE))</f>
        <v>52</v>
      </c>
      <c r="BA3">
        <f>IF(ISBLANK(VLOOKUP(BA2,Water!$D$6:$J$109,7,FALSE)),"",VLOOKUP(BA2,Water!$D$6:$J$109,7,FALSE))</f>
        <v>1008</v>
      </c>
      <c r="BB3">
        <f>IF(ISBLANK(VLOOKUP(BB2,Water!$D$6:$J$109,7,FALSE)),"",VLOOKUP(BB2,Water!$D$6:$J$109,7,FALSE))</f>
        <v>74.55</v>
      </c>
      <c r="BG3" t="str">
        <f>IF(ISBLANK(VLOOKUP(BG2,Water!$D$6:$J$109,7,FALSE)),"",VLOOKUP(BG2,Water!$D$6:$J$109,7,FALSE))</f>
        <v/>
      </c>
      <c r="BH3">
        <f>IF(ISBLANK(VLOOKUP(BH2,Water!$D$6:$J$109,7,FALSE)),"",VLOOKUP(BH2,Water!$D$6:$J$109,7,FALSE))</f>
        <v>2040000</v>
      </c>
      <c r="BK3">
        <f>IF(ISBLANK(VLOOKUP(BK2,Water!$D$6:$J$109,7,FALSE)),"",VLOOKUP(BK2,Water!$D$6:$J$109,7,FALSE))</f>
        <v>355</v>
      </c>
      <c r="BL3">
        <f>IF(ISBLANK(VLOOKUP(BL2,Water!$D$6:$J$109,7,FALSE)),"",VLOOKUP(BL2,Water!$D$6:$J$109,7,FALSE))</f>
        <v>11.6</v>
      </c>
      <c r="BO3">
        <f>IF(ISBLANK(VLOOKUP(BO2,Water!$D$6:$J$109,7,FALSE)),"",VLOOKUP(BO2,Water!$D$6:$J$109,7,FALSE))</f>
        <v>4.4000000000000004</v>
      </c>
      <c r="BP3">
        <f>IF(ISBLANK(VLOOKUP(BP2,Water!$D$6:$J$109,7,FALSE)),"",VLOOKUP(BP2,Water!$D$6:$J$109,7,FALSE))</f>
        <v>60</v>
      </c>
      <c r="BQ3" t="str">
        <f>IF(ISBLANK(VLOOKUP(BQ2,Water!$D$6:$J$109,7,FALSE)),"",VLOOKUP(BQ2,Water!$D$6:$J$109,7,FALSE))</f>
        <v/>
      </c>
      <c r="BR3" t="str">
        <f>IF(ISBLANK(VLOOKUP(BR2,Water!$D$6:$J$109,7,FALSE)),"",VLOOKUP(BR2,Water!$D$6:$J$109,7,FALSE))</f>
        <v/>
      </c>
      <c r="BS3" t="str">
        <f>IF(ISBLANK(VLOOKUP(BS2,Water!$D$6:$J$109,7,FALSE)),"",VLOOKUP(BS2,Water!$D$6:$J$109,7,FALSE))</f>
        <v/>
      </c>
      <c r="BT3" t="str">
        <f>IF(ISBLANK(VLOOKUP(BT2,Water!$D$6:$J$109,7,FALSE)),"",VLOOKUP(BT2,Water!$D$6:$J$109,7,FALSE))</f>
        <v/>
      </c>
      <c r="BU3">
        <f>IF(ISBLANK(VLOOKUP(BU2,Water!$D$6:$J$109,7,FALSE)),"",VLOOKUP(BU2,Water!$D$6:$J$109,7,FALSE))</f>
        <v>0</v>
      </c>
      <c r="BV3" t="str">
        <f>IF(ISBLANK(VLOOKUP(BV2,Water!$D$6:$J$109,7,FALSE)),"",VLOOKUP(BV2,Water!$D$6:$J$109,7,FALSE))</f>
        <v/>
      </c>
      <c r="BW3" t="str">
        <f>IF(ISBLANK(VLOOKUP(BW2,Water!$D$6:$J$109,7,FALSE)),"",VLOOKUP(BW2,Water!$D$6:$J$109,7,FALSE))</f>
        <v/>
      </c>
      <c r="BX3">
        <f>IF(ISBLANK(VLOOKUP(BX2,Water!$D$6:$J$109,7,FALSE)),"",VLOOKUP(BX2,Water!$D$6:$J$109,7,FALSE))</f>
        <v>225</v>
      </c>
      <c r="BY3">
        <f>IF(ISBLANK(VLOOKUP(BY2,Water!$D$6:$J$109,7,FALSE)),"",VLOOKUP(BY2,Water!$D$6:$J$109,7,FALSE))</f>
        <v>34</v>
      </c>
      <c r="BZ3">
        <f>IF(ISBLANK(VLOOKUP(BZ2,Water!$D$6:$J$109,7,FALSE)),"",VLOOKUP(BZ2,Water!$D$6:$J$109,7,FALSE))</f>
        <v>7</v>
      </c>
      <c r="CA3">
        <f>IF(ISBLANK(VLOOKUP(CA2,Water!$D$6:$J$109,7,FALSE)),"",VLOOKUP(CA2,Water!$D$6:$J$109,7,FALSE))</f>
        <v>3</v>
      </c>
      <c r="CB3">
        <f>IF(ISBLANK(VLOOKUP(CB2,Water!$D$6:$J$109,7,FALSE)),"",VLOOKUP(CB2,Water!$D$6:$J$109,7,FALSE))</f>
        <v>103</v>
      </c>
      <c r="CC3">
        <f>IF(ISBLANK(VLOOKUP(CC2,Water!$D$6:$J$109,7,FALSE)),"",VLOOKUP(CC2,Water!$D$6:$J$109,7,FALSE))</f>
        <v>78</v>
      </c>
      <c r="CD3">
        <f>IF(ISBLANK(VLOOKUP(CD2,Water!$D$6:$J$109,7,FALSE)),"",VLOOKUP(CD2,Water!$D$6:$J$109,7,FALSE))</f>
        <v>0</v>
      </c>
      <c r="CE3">
        <f>IF(ISBLANK(VLOOKUP(CE2,Water!$D$6:$J$109,7,FALSE)),"",VLOOKUP(CE2,Water!$D$6:$J$109,7,FALSE))</f>
        <v>7.7054794520547949</v>
      </c>
      <c r="CG3">
        <f>IF(ISBLANK(VLOOKUP(CG2,Water!$D$6:$J$109,7,FALSE)),"",VLOOKUP(CG2,Water!$D$6:$J$109,7,FALSE))</f>
        <v>764.44378992979614</v>
      </c>
      <c r="CH3" t="str">
        <f>IF(ISBLANK(VLOOKUP(CH2,Water!$D$6:$J$109,7,FALSE)),"",VLOOKUP(CH2,Water!$D$6:$J$109,7,FALSE))</f>
        <v>Targeted Rate</v>
      </c>
      <c r="CI3" t="str">
        <f>IF(ISBLANK(VLOOKUP(CI2,Water!$D$6:$J$109,7,FALSE)),"",VLOOKUP(CI2,Water!$D$6:$J$109,7,FALSE))</f>
        <v/>
      </c>
      <c r="CJ3">
        <f>IF(ISBLANK(VLOOKUP(CJ2,Water!$D$6:$J$109,7,FALSE)),"",VLOOKUP(CJ2,Water!$D$6:$J$109,7,FALSE))</f>
        <v>467.40864121146751</v>
      </c>
      <c r="CK3" t="str">
        <f>IF(ISBLANK(VLOOKUP(CK2,Water!$D$6:$J$109,7,FALSE)),"",VLOOKUP(CK2,Water!$D$6:$J$109,7,FALSE))</f>
        <v>Targeted Rate</v>
      </c>
      <c r="CL3" t="str">
        <f>IF(ISBLANK(VLOOKUP(CL2,Water!$D$6:$J$109,7,FALSE)),"",VLOOKUP(CL2,Water!$D$6:$J$109,7,FALSE))</f>
        <v/>
      </c>
      <c r="CM3" t="str">
        <f>IF(ISBLANK(VLOOKUP(CM2,Water!$D$6:$J$109,7,FALSE)),"",VLOOKUP(CM2,Water!$D$6:$J$109,7,FALSE))</f>
        <v/>
      </c>
      <c r="CN3">
        <f>IF(ISBLANK(VLOOKUP(CN2,Water!$D$6:$J$109,7,FALSE)),"",VLOOKUP(CN2,Water!$D$6:$J$109,7,FALSE))</f>
        <v>0.47333333333333333</v>
      </c>
      <c r="CO3">
        <f>IF(ISBLANK(VLOOKUP(CO2,Water!$D$6:$J$109,7,FALSE)),"",VLOOKUP(CO2,Water!$D$6:$J$109,7,FALSE))</f>
        <v>4.6166666666666663</v>
      </c>
      <c r="CP3">
        <f>IF(ISBLANK(VLOOKUP(CP2,Water!$D$6:$J$109,7,FALSE)),"",VLOOKUP(CP2,Water!$D$6:$J$109,7,FALSE))</f>
        <v>13.283333333333333</v>
      </c>
      <c r="CQ3">
        <f>IF(ISBLANK(VLOOKUP(CQ2,Water!$D$6:$J$109,7,FALSE)),"",VLOOKUP(CQ2,Water!$D$6:$J$109,7,FALSE))</f>
        <v>55.93333333333333</v>
      </c>
      <c r="CR3" t="str">
        <f>IF(ISBLANK(VLOOKUP(CR2,Water!$D$6:$J$109,7,FALSE)),"",VLOOKUP(CR2,Water!$D$6:$J$109,7,FALSE))</f>
        <v/>
      </c>
      <c r="CS3" t="str">
        <f>IF(ISBLANK(VLOOKUP(CS2,Water!$D$6:$J$109,7,FALSE)),"",VLOOKUP(CS2,Water!$D$6:$J$109,7,FALSE))</f>
        <v/>
      </c>
      <c r="CX3" t="str">
        <f>IF(ISBLANK(VLOOKUP(CX2,Water!$D$6:$J$109,7,FALSE)),"",VLOOKUP(CX2,Water!$D$6:$J$109,7,FALSE))</f>
        <v/>
      </c>
      <c r="CY3">
        <f>IF(ISBLANK(VLOOKUP(CY2,Water!$D$6:$J$109,7,FALSE)),"",VLOOKUP(CY2,Water!$D$6:$J$109,7,FALSE))</f>
        <v>10313139.869999999</v>
      </c>
      <c r="CZ3">
        <f>IF(ISBLANK(VLOOKUP(CZ2,Water!$D$6:$J$109,7,FALSE)),"",VLOOKUP(CZ2,Water!$D$6:$J$109,7,FALSE))</f>
        <v>4044289.42</v>
      </c>
      <c r="DA3">
        <f>IF(ISBLANK(VLOOKUP(DA2,Water!$D$6:$J$109,7,FALSE)),"",VLOOKUP(DA2,Water!$D$6:$J$109,7,FALSE))</f>
        <v>14357429.289999999</v>
      </c>
      <c r="DB3">
        <f>IF(ISBLANK(VLOOKUP(DB2,Water!$D$6:$J$109,7,FALSE)),"",VLOOKUP(DB2,Water!$D$6:$J$109,7,FALSE))</f>
        <v>491.69278390410955</v>
      </c>
      <c r="DC3">
        <f>IF(ISBLANK(VLOOKUP(DC2,Water!$D$6:$J$109,7,FALSE)),"",VLOOKUP(DC2,Water!$D$6:$J$109,7,FALSE))</f>
        <v>9177975.2288585603</v>
      </c>
      <c r="DD3">
        <f>IF(ISBLANK(VLOOKUP(DD2,Water!$D$6:$J$109,7,FALSE)),"",VLOOKUP(DD2,Water!$D$6:$J$109,7,FALSE))</f>
        <v>1013271.62</v>
      </c>
      <c r="DE3" t="str">
        <f>IF(ISBLANK(VLOOKUP(DE2,Water!$D$6:$J$109,7,FALSE)),"",VLOOKUP(DE2,Water!$D$6:$J$109,7,FALSE))</f>
        <v/>
      </c>
      <c r="DF3">
        <f>IF(ISBLANK(VLOOKUP(DF2,Water!$D$6:$J$109,7,FALSE)),"",VLOOKUP(DF2,Water!$D$6:$J$109,7,FALSE))</f>
        <v>1438352.4899999995</v>
      </c>
      <c r="DG3">
        <f>IF(ISBLANK(VLOOKUP(DG2,Water!$D$6:$J$109,7,FALSE)),"",VLOOKUP(DG2,Water!$D$6:$J$109,7,FALSE))</f>
        <v>1896655.1999999993</v>
      </c>
      <c r="DH3">
        <f>IF(ISBLANK(VLOOKUP(DH2,Water!$D$6:$J$109,7,FALSE)),"",VLOOKUP(DH2,Water!$D$6:$J$109,7,FALSE))</f>
        <v>1420074.9599999988</v>
      </c>
      <c r="DI3" t="str">
        <f>IF(ISBLANK(VLOOKUP(DI2,Water!$D$6:$J$109,7,FALSE)),"",VLOOKUP(DI2,Water!$D$6:$J$109,7,FALSE))</f>
        <v/>
      </c>
      <c r="DJ3">
        <f>IF(ISBLANK(VLOOKUP(DJ2,Water!$D$6:$J$109,7,FALSE)),"",VLOOKUP(DJ2,Water!$D$6:$J$109,7,FALSE))</f>
        <v>5768354.2699999977</v>
      </c>
      <c r="DK3">
        <f>IF(ISBLANK(VLOOKUP(DK2,Water!$D$6:$J$109,7,FALSE)),"",VLOOKUP(DK2,Water!$D$6:$J$109,7,FALSE))</f>
        <v>197.54637910958897</v>
      </c>
      <c r="DL3">
        <f>IF(ISBLANK(VLOOKUP(DL2,Water!$D$6:$J$109,7,FALSE)),"",VLOOKUP(DL2,Water!$D$6:$J$109,7,FALSE))</f>
        <v>5931724.0999999996</v>
      </c>
      <c r="DM3">
        <f>IF(ISBLANK(VLOOKUP(DM2,Water!$D$6:$J$109,7,FALSE)),"",VLOOKUP(DM2,Water!$D$6:$J$109,7,FALSE))</f>
        <v>1007074.78</v>
      </c>
      <c r="DN3">
        <f>IF(ISBLANK(VLOOKUP(DN2,Water!$D$6:$J$109,7,FALSE)),"",VLOOKUP(DN2,Water!$D$6:$J$109,7,FALSE))</f>
        <v>7.0143112646316924E-2</v>
      </c>
      <c r="DO3">
        <f>IF(ISBLANK(VLOOKUP(DO2,Water!$D$6:$J$109,7,FALSE)),"",VLOOKUP(DO2,Water!$D$6:$J$109,7,FALSE))</f>
        <v>1.1298698552318938</v>
      </c>
      <c r="DP3">
        <f>IF(ISBLANK(VLOOKUP(DP2,Water!$D$6:$J$109,7,FALSE)),"",VLOOKUP(DP2,Water!$D$6:$J$109,7,FALSE))</f>
        <v>32267970.789999992</v>
      </c>
      <c r="DQ3">
        <f>IF(ISBLANK(VLOOKUP(DQ2,Water!$D$6:$J$109,7,FALSE)),"",VLOOKUP(DQ2,Water!$D$6:$J$109,7,FALSE))</f>
        <v>1105.067492808219</v>
      </c>
      <c r="DR3">
        <f>IF(ISBLANK(VLOOKUP(DR2,Water!$D$6:$J$109,7,FALSE)),"",VLOOKUP(DR2,Water!$D$6:$J$109,7,FALSE))</f>
        <v>31744611.399999999</v>
      </c>
      <c r="DS3">
        <f>IF(ISBLANK(VLOOKUP(DS2,Water!$D$6:$J$109,7,FALSE)),"",VLOOKUP(DS2,Water!$D$6:$J$109,7,FALSE))</f>
        <v>11927583.881887</v>
      </c>
      <c r="DT3">
        <f>IF(ISBLANK(VLOOKUP(DT2,Water!$D$6:$J$109,7,FALSE)),"",VLOOKUP(DT2,Water!$D$6:$J$109,7,FALSE))</f>
        <v>15204017.178493001</v>
      </c>
      <c r="DU3">
        <f>IF(ISBLANK(VLOOKUP(DU2,Water!$D$6:$J$109,7,FALSE)),"",VLOOKUP(DU2,Water!$D$6:$J$109,7,FALSE))</f>
        <v>4613010.3396199998</v>
      </c>
      <c r="DV3">
        <f>IF(ISBLANK(VLOOKUP(DV2,Water!$D$6:$J$109,7,FALSE)),"",VLOOKUP(DV2,Water!$D$6:$J$109,7,FALSE))</f>
        <v>19560817.639999997</v>
      </c>
      <c r="DW3">
        <f>IF(ISBLANK(VLOOKUP(DW2,Water!$D$6:$J$109,7,FALSE)),"",VLOOKUP(DW2,Water!$D$6:$J$109,7,FALSE))</f>
        <v>6671738.6793839997</v>
      </c>
      <c r="DX3">
        <f>IF(ISBLANK(VLOOKUP(DX2,Water!$D$6:$J$109,7,FALSE)),"",VLOOKUP(DX2,Water!$D$6:$J$109,7,FALSE))</f>
        <v>9982528.2660999987</v>
      </c>
      <c r="DY3">
        <f>IF(ISBLANK(VLOOKUP(DY2,Water!$D$6:$J$109,7,FALSE)),"",VLOOKUP(DY2,Water!$D$6:$J$109,7,FALSE))</f>
        <v>2906550.6945159989</v>
      </c>
      <c r="DZ3">
        <f>IF(ISBLANK(VLOOKUP(DZ2,Water!$D$6:$J$109,7,FALSE)),"",VLOOKUP(DZ2,Water!$D$6:$J$109,7,FALSE))</f>
        <v>669.89101506849306</v>
      </c>
      <c r="EA3">
        <f>IF(ISBLANK(VLOOKUP(EA2,Water!$D$6:$J$109,7,FALSE)),"",VLOOKUP(EA2,Water!$D$6:$J$109,7,FALSE))</f>
        <v>5057898.7699999996</v>
      </c>
      <c r="EB3">
        <f>IF(ISBLANK(VLOOKUP(EB2,Water!$D$6:$J$109,7,FALSE)),"",VLOOKUP(EB2,Water!$D$6:$J$109,7,FALSE))</f>
        <v>50052610.369999997</v>
      </c>
      <c r="EC3">
        <f>IF(ISBLANK(VLOOKUP(EC2,Water!$D$6:$J$109,7,FALSE)),"",VLOOKUP(EC2,Water!$D$6:$J$109,7,FALSE))</f>
        <v>283423603.67000002</v>
      </c>
      <c r="ED3">
        <f>IF(ISBLANK(VLOOKUP(ED2,Water!$D$6:$J$109,7,FALSE)),"",VLOOKUP(ED2,Water!$D$6:$J$109,7,FALSE))</f>
        <v>0.49000099221000504</v>
      </c>
      <c r="EE3" t="str">
        <f>IF(ISBLANK(VLOOKUP(EE2,Water!$D$6:$J$109,7,FALSE)),"",VLOOKUP(EE2,Water!$D$6:$J$109,7,FALSE))</f>
        <v/>
      </c>
      <c r="EF3">
        <f>IF(ISBLANK(VLOOKUP(EF2,Wastewater!$D$6:$H$127,5,FALSE)),"",VLOOKUP(EF2,Wastewater!$D$6:$H$127,5,FALSE))</f>
        <v>43663.841849061966</v>
      </c>
      <c r="EG3">
        <f>IF(ISBLANK(VLOOKUP(EG2,Wastewater!$D$6:$H$127,5,FALSE)),"",VLOOKUP(EG2,Wastewater!$D$6:$H$127,5,FALSE))</f>
        <v>0.90401328880045473</v>
      </c>
      <c r="EH3">
        <f>IF(ISBLANK(VLOOKUP(EH2,Wastewater!$D$6:$H$127,5,FALSE)),"",VLOOKUP(EH2,Wastewater!$D$6:$H$127,5,FALSE))</f>
        <v>25442.55</v>
      </c>
      <c r="EI3">
        <f>IF(ISBLANK(VLOOKUP(EI2,Wastewater!$D$6:$H$127,5,FALSE)),"",VLOOKUP(EI2,Wastewater!$D$6:$H$127,5,FALSE))</f>
        <v>3085.9500000000003</v>
      </c>
      <c r="EJ3">
        <f>IF(ISBLANK(VLOOKUP(EJ2,Wastewater!$D$6:$H$127,5,FALSE)),"",VLOOKUP(EJ2,Wastewater!$D$6:$H$127,5,FALSE))</f>
        <v>28528.5</v>
      </c>
      <c r="EK3" t="str">
        <f>IF(ISBLANK(VLOOKUP(EK2,Wastewater!$D$6:$H$127,5,FALSE)),"",VLOOKUP(EK2,Wastewater!$D$6:$H$127,5,FALSE))</f>
        <v/>
      </c>
      <c r="EL3" t="str">
        <f>IF(ISBLANK(VLOOKUP(EL2,Wastewater!$D$6:$H$127,5,FALSE)),"",VLOOKUP(EL2,Wastewater!$D$6:$H$127,5,FALSE))</f>
        <v/>
      </c>
      <c r="EN3">
        <f>IF(ISBLANK(VLOOKUP(EN2,Wastewater!$D$6:$H$127,5,FALSE)),"",VLOOKUP(EN2,Wastewater!$D$6:$H$127,5,FALSE))</f>
        <v>597.95000000000005</v>
      </c>
      <c r="ET3" t="str">
        <f>IF(ISBLANK(VLOOKUP(ET2,Wastewater!$D$6:$H$127,5,FALSE)),"",VLOOKUP(ET2,Wastewater!$D$6:$H$127,5,FALSE))</f>
        <v/>
      </c>
      <c r="EV3" t="str">
        <f>IF(ISBLANK(VLOOKUP(EV2,Wastewater!$D$6:$H$127,5,FALSE)),"",VLOOKUP(EV2,Wastewater!$D$6:$H$127,5,FALSE))</f>
        <v/>
      </c>
      <c r="EX3">
        <f>IF(ISBLANK(VLOOKUP(EX2,Wastewater!$D$6:$H$127,5,FALSE)),"",VLOOKUP(EX2,Wastewater!$D$6:$H$127,5,FALSE))</f>
        <v>21.522000000000002</v>
      </c>
      <c r="EY3" t="str">
        <f>IF(ISBLANK(VLOOKUP(EY2,Wastewater!$D$6:$H$127,5,FALSE)),"",VLOOKUP(EY2,Wastewater!$D$6:$H$127,5,FALSE))</f>
        <v/>
      </c>
      <c r="EZ3">
        <f>IF(ISBLANK(VLOOKUP(EZ2,Wastewater!$D$6:$H$127,5,FALSE)),"",VLOOKUP(EZ2,Wastewater!$D$6:$H$127,5,FALSE))</f>
        <v>73</v>
      </c>
      <c r="FB3" t="str">
        <f>IF(ISBLANK(VLOOKUP(FB2,Wastewater!$D$6:$H$127,5,FALSE)),"",VLOOKUP(FB2,Wastewater!$D$6:$H$127,5,FALSE))</f>
        <v/>
      </c>
      <c r="FE3">
        <f>IF(ISBLANK(VLOOKUP(FE2,Wastewater!$D$6:$H$127,5,FALSE)),"",VLOOKUP(FE2,Wastewater!$D$6:$H$127,5,FALSE))</f>
        <v>6</v>
      </c>
      <c r="FF3" t="str">
        <f>IF(ISBLANK(VLOOKUP(FF2,Wastewater!$D$6:$H$127,5,FALSE)),"",VLOOKUP(FF2,Wastewater!$D$6:$H$127,5,FALSE))</f>
        <v/>
      </c>
      <c r="FG3" t="str">
        <f>IF(ISBLANK(VLOOKUP(FG2,Wastewater!$D$6:$H$127,5,FALSE)),"",VLOOKUP(FG2,Wastewater!$D$6:$H$127,5,FALSE))</f>
        <v/>
      </c>
      <c r="FH3" t="str">
        <f>IF(ISBLANK(VLOOKUP(FH2,Wastewater!$D$6:$H$127,5,FALSE)),"",VLOOKUP(FH2,Wastewater!$D$6:$H$127,5,FALSE))</f>
        <v/>
      </c>
      <c r="FI3">
        <f>IF(ISBLANK(VLOOKUP(FI2,Wastewater!$D$6:$H$127,5,FALSE)),"",VLOOKUP(FI2,Wastewater!$D$6:$H$127,5,FALSE))</f>
        <v>13</v>
      </c>
      <c r="FJ3" t="str">
        <f>IF(ISBLANK(VLOOKUP(FJ2,Wastewater!$D$6:$H$127,5,FALSE)),"",VLOOKUP(FJ2,Wastewater!$D$6:$H$127,5,FALSE))</f>
        <v/>
      </c>
      <c r="FK3" t="str">
        <f>IF(ISBLANK(VLOOKUP(FK2,Wastewater!$D$6:$H$127,5,FALSE)),"",VLOOKUP(FK2,Wastewater!$D$6:$H$127,5,FALSE))</f>
        <v>Current</v>
      </c>
      <c r="FL3" t="str">
        <f>IF(ISBLANK(VLOOKUP(FL2,Wastewater!$D$6:$H$127,5,FALSE)),"",VLOOKUP(FL2,Wastewater!$D$6:$H$127,5,FALSE))</f>
        <v/>
      </c>
      <c r="FM3" t="str">
        <f>IF(ISBLANK(VLOOKUP(FM2,Wastewater!$D$6:$H$127,5,FALSE)),"",VLOOKUP(FM2,Wastewater!$D$6:$H$127,5,FALSE))</f>
        <v/>
      </c>
      <c r="FN3" t="str">
        <f>IF(ISBLANK(VLOOKUP(FN2,Wastewater!$D$6:$H$127,5,FALSE)),"",VLOOKUP(FN2,Wastewater!$D$6:$H$127,5,FALSE))</f>
        <v/>
      </c>
      <c r="FO3" t="str">
        <f>IF(ISBLANK(VLOOKUP(FO2,Wastewater!$D$6:$H$127,5,FALSE)),"",VLOOKUP(FO2,Wastewater!$D$6:$H$127,5,FALSE))</f>
        <v/>
      </c>
      <c r="FP3" t="str">
        <f>IF(ISBLANK(VLOOKUP(FP2,Wastewater!$D$6:$H$127,5,FALSE)),"",VLOOKUP(FP2,Wastewater!$D$6:$H$127,5,FALSE))</f>
        <v/>
      </c>
      <c r="FQ3" t="str">
        <f>IF(ISBLANK(VLOOKUP(FQ2,Wastewater!$D$6:$H$127,5,FALSE)),"",VLOOKUP(FQ2,Wastewater!$D$6:$H$127,5,FALSE))</f>
        <v/>
      </c>
      <c r="FR3" t="str">
        <f>IF(ISBLANK(VLOOKUP(FR2,Wastewater!$D$6:$H$127,5,FALSE)),"",VLOOKUP(FR2,Wastewater!$D$6:$H$127,5,FALSE))</f>
        <v/>
      </c>
      <c r="FT3" t="str">
        <f>IF(ISBLANK(VLOOKUP(FT2,Wastewater!$D$6:$H$127,5,FALSE)),"",VLOOKUP(FT2,Wastewater!$D$6:$H$127,5,FALSE))</f>
        <v/>
      </c>
      <c r="FU3">
        <f>IF(ISBLANK(VLOOKUP(FU2,Wastewater!$D$6:$H$127,5,FALSE)),"",VLOOKUP(FU2,Wastewater!$D$6:$H$127,5,FALSE))</f>
        <v>0</v>
      </c>
      <c r="FV3">
        <f>IF(ISBLANK(VLOOKUP(FV2,Wastewater!$D$6:$H$127,5,FALSE)),"",VLOOKUP(FV2,Wastewater!$D$6:$H$127,5,FALSE))</f>
        <v>50</v>
      </c>
      <c r="FW3">
        <f>IF(ISBLANK(VLOOKUP(FW2,Wastewater!$D$6:$H$127,5,FALSE)),"",VLOOKUP(FW2,Wastewater!$D$6:$H$127,5,FALSE))</f>
        <v>50</v>
      </c>
      <c r="FX3" t="str">
        <f>IF(ISBLANK(VLOOKUP(FX2,Wastewater!$D$6:$H$127,5,FALSE)),"",VLOOKUP(FX2,Wastewater!$D$6:$H$127,5,FALSE))</f>
        <v/>
      </c>
      <c r="FY3" t="str">
        <f>IF(ISBLANK(VLOOKUP(FY2,Wastewater!$D$6:$H$127,5,FALSE)),"",VLOOKUP(FY2,Wastewater!$D$6:$H$127,5,FALSE))</f>
        <v/>
      </c>
      <c r="FZ3" t="str">
        <f>IF(ISBLANK(VLOOKUP(FZ2,Wastewater!$D$6:$H$127,5,FALSE)),"",VLOOKUP(FZ2,Wastewater!$D$6:$H$127,5,FALSE))</f>
        <v/>
      </c>
      <c r="GA3">
        <f>IF(ISBLANK(VLOOKUP(GA2,Wastewater!$D$6:$H$127,5,FALSE)),"",VLOOKUP(GA2,Wastewater!$D$6:$H$127,5,FALSE))</f>
        <v>50</v>
      </c>
      <c r="GB3" t="str">
        <f>IF(ISBLANK(VLOOKUP(GB2,Wastewater!$D$6:$H$127,5,FALSE)),"",VLOOKUP(GB2,Wastewater!$D$6:$H$127,5,FALSE))</f>
        <v/>
      </c>
      <c r="GC3" t="str">
        <f>IF(ISBLANK(VLOOKUP(GC2,Wastewater!$D$6:$H$127,5,FALSE)),"",VLOOKUP(GC2,Wastewater!$D$6:$H$127,5,FALSE))</f>
        <v>NZS4404</v>
      </c>
      <c r="GD3" t="str">
        <f>IF(ISBLANK(VLOOKUP(GD2,Wastewater!$D$6:$H$127,5,FALSE)),"",VLOOKUP(GD2,Wastewater!$D$6:$H$127,5,FALSE))</f>
        <v/>
      </c>
      <c r="GE3" t="str">
        <f>IF(ISBLANK(VLOOKUP(GE2,Wastewater!$D$6:$H$127,5,FALSE)),"",VLOOKUP(GE2,Wastewater!$D$6:$H$127,5,FALSE))</f>
        <v>Yes</v>
      </c>
      <c r="GF3" t="str">
        <f>IF(ISBLANK(VLOOKUP(GF2,Wastewater!$D$6:$H$127,5,FALSE)),"",VLOOKUP(GF2,Wastewater!$D$6:$H$127,5,FALSE))</f>
        <v>Yes</v>
      </c>
      <c r="GG3" t="str">
        <f>IF(ISBLANK(VLOOKUP(GG2,Wastewater!$D$6:$H$127,5,FALSE)),"",VLOOKUP(GG2,Wastewater!$D$6:$H$127,5,FALSE))</f>
        <v>Yes</v>
      </c>
      <c r="GH3" t="str">
        <f>IF(ISBLANK(VLOOKUP(GH2,Wastewater!$D$6:$H$127,5,FALSE)),"",VLOOKUP(GH2,Wastewater!$D$6:$H$127,5,FALSE))</f>
        <v>No</v>
      </c>
      <c r="GI3">
        <f>IF(ISBLANK(VLOOKUP(GI2,Wastewater!$D$6:$H$127,5,FALSE)),"",VLOOKUP(GI2,Wastewater!$D$6:$H$127,5,FALSE))</f>
        <v>2</v>
      </c>
      <c r="GJ3">
        <f>IF(ISBLANK(VLOOKUP(GJ2,Wastewater!$D$6:$H$127,5,FALSE)),"",VLOOKUP(GJ2,Wastewater!$D$6:$H$127,5,FALSE))</f>
        <v>0</v>
      </c>
      <c r="GK3">
        <f>IF(ISBLANK(VLOOKUP(GK2,Wastewater!$D$6:$H$127,5,FALSE)),"",VLOOKUP(GK2,Wastewater!$D$6:$H$127,5,FALSE))</f>
        <v>0</v>
      </c>
      <c r="GL3">
        <f>IF(ISBLANK(VLOOKUP(GL2,Wastewater!$D$6:$H$127,5,FALSE)),"",VLOOKUP(GL2,Wastewater!$D$6:$H$127,5,FALSE))</f>
        <v>0</v>
      </c>
      <c r="GM3">
        <f>IF(ISBLANK(VLOOKUP(GM2,Wastewater!$D$6:$H$127,5,FALSE)),"",VLOOKUP(GM2,Wastewater!$D$6:$H$127,5,FALSE))</f>
        <v>6</v>
      </c>
      <c r="GN3">
        <f>IF(ISBLANK(VLOOKUP(GN2,Wastewater!$D$6:$H$127,5,FALSE)),"",VLOOKUP(GN2,Wastewater!$D$6:$H$127,5,FALSE))</f>
        <v>0</v>
      </c>
      <c r="GO3" t="str">
        <f>IF(ISBLANK(VLOOKUP(GO2,Wastewater!$D$6:$H$127,5,FALSE)),"",VLOOKUP(GO2,Wastewater!$D$6:$H$127,5,FALSE))</f>
        <v>No regulatory approach</v>
      </c>
      <c r="GP3">
        <f>IF(ISBLANK(VLOOKUP(GP2,Wastewater!$D$6:$H$127,5,FALSE)),"",VLOOKUP(GP2,Wastewater!$D$6:$H$127,5,FALSE))</f>
        <v>0</v>
      </c>
      <c r="GQ3">
        <f>IF(ISBLANK(VLOOKUP(GQ2,Wastewater!$D$6:$H$127,5,FALSE)),"",VLOOKUP(GQ2,Wastewater!$D$6:$H$127,5,FALSE))</f>
        <v>0</v>
      </c>
      <c r="GT3" t="str">
        <f>IF(ISBLANK(VLOOKUP(GT2,Wastewater!$D$6:$H$127,5,FALSE)),"",VLOOKUP(GT2,Wastewater!$D$6:$H$127,5,FALSE))</f>
        <v/>
      </c>
      <c r="GX3">
        <f>IF(ISBLANK(VLOOKUP(GX2,Wastewater!$D$6:$H$127,5,FALSE)),"",VLOOKUP(GX2,Wastewater!$D$6:$H$127,5,FALSE))</f>
        <v>694</v>
      </c>
      <c r="GY3" t="str">
        <f>IF(ISBLANK(VLOOKUP(GY2,Wastewater!$D$6:$H$127,5,FALSE)),"",VLOOKUP(GY2,Wastewater!$D$6:$H$127,5,FALSE))</f>
        <v>Targeted Rate</v>
      </c>
      <c r="GZ3" t="str">
        <f>IF(ISBLANK(VLOOKUP(GZ2,Wastewater!$D$6:$H$127,5,FALSE)),"",VLOOKUP(GZ2,Wastewater!$D$6:$H$127,5,FALSE))</f>
        <v/>
      </c>
      <c r="HA3" t="str">
        <f>IF(ISBLANK(VLOOKUP(HA2,Wastewater!$D$6:$H$127,5,FALSE)),"",VLOOKUP(HA2,Wastewater!$D$6:$H$127,5,FALSE))</f>
        <v/>
      </c>
      <c r="HB3">
        <f>IF(ISBLANK(VLOOKUP(HB2,Wastewater!$D$6:$H$127,5,FALSE)),"",VLOOKUP(HB2,Wastewater!$D$6:$H$127,5,FALSE))</f>
        <v>694</v>
      </c>
      <c r="HC3" t="str">
        <f>IF(ISBLANK(VLOOKUP(HC2,Wastewater!$D$6:$H$127,5,FALSE)),"",VLOOKUP(HC2,Wastewater!$D$6:$H$127,5,FALSE))</f>
        <v>Targeted Rate</v>
      </c>
      <c r="HD3" t="str">
        <f>IF(ISBLANK(VLOOKUP(HD2,Wastewater!$D$6:$H$127,5,FALSE)),"",VLOOKUP(HD2,Wastewater!$D$6:$H$127,5,FALSE))</f>
        <v/>
      </c>
      <c r="HE3">
        <f>IF(ISBLANK(VLOOKUP(HE2,Wastewater!$D$6:$H$127,5,FALSE)),"",VLOOKUP(HE2,Wastewater!$D$6:$H$127,5,FALSE))</f>
        <v>694</v>
      </c>
      <c r="HF3">
        <f>IF(ISBLANK(VLOOKUP(HF2,Wastewater!$D$6:$H$127,5,FALSE)),"",VLOOKUP(HF2,Wastewater!$D$6:$H$127,5,FALSE))</f>
        <v>171</v>
      </c>
      <c r="HG3">
        <f>IF(ISBLANK(VLOOKUP(HG2,Wastewater!$D$6:$H$127,5,FALSE)),"",VLOOKUP(HG2,Wastewater!$D$6:$H$127,5,FALSE))</f>
        <v>40</v>
      </c>
      <c r="HH3">
        <f>IF(ISBLANK(VLOOKUP(HH2,Wastewater!$D$6:$H$127,5,FALSE)),"",VLOOKUP(HH2,Wastewater!$D$6:$H$127,5,FALSE))</f>
        <v>89</v>
      </c>
      <c r="HI3">
        <f>IF(ISBLANK(VLOOKUP(HI2,Wastewater!$D$6:$H$127,5,FALSE)),"",VLOOKUP(HI2,Wastewater!$D$6:$H$127,5,FALSE))</f>
        <v>42</v>
      </c>
      <c r="HJ3">
        <f>IF(ISBLANK(VLOOKUP(HJ2,Wastewater!$D$6:$H$127,5,FALSE)),"",VLOOKUP(HJ2,Wastewater!$D$6:$H$127,5,FALSE))</f>
        <v>0</v>
      </c>
      <c r="HK3">
        <f>IF(ISBLANK(VLOOKUP(HK2,Wastewater!$D$6:$H$127,5,FALSE)),"",VLOOKUP(HK2,Wastewater!$D$6:$H$127,5,FALSE))</f>
        <v>5.9940059940059944</v>
      </c>
      <c r="HL3">
        <f>IF(ISBLANK(VLOOKUP(HL2,Wastewater!$D$6:$H$127,5,FALSE)),"",VLOOKUP(HL2,Wastewater!$D$6:$H$127,5,FALSE))</f>
        <v>0.45</v>
      </c>
      <c r="HM3">
        <f>IF(ISBLANK(VLOOKUP(HM2,Wastewater!$D$6:$H$127,5,FALSE)),"",VLOOKUP(HM2,Wastewater!$D$6:$H$127,5,FALSE))</f>
        <v>2.15</v>
      </c>
      <c r="HN3" t="str">
        <f>IF(ISBLANK(VLOOKUP(HN2,Wastewater!$D$6:$H$127,5,FALSE)),"",VLOOKUP(HN2,Wastewater!$D$6:$H$127,5,FALSE))</f>
        <v/>
      </c>
      <c r="HO3" t="str">
        <f>IF(ISBLANK(VLOOKUP(HO2,Wastewater!$D$6:$H$127,5,FALSE)),"",VLOOKUP(HO2,Wastewater!$D$6:$H$127,5,FALSE))</f>
        <v/>
      </c>
      <c r="HP3">
        <f>IF(ISBLANK(VLOOKUP(HP2,Wastewater!$D$6:$H$127,5,FALSE)),"",VLOOKUP(HP2,Wastewater!$D$6:$H$127,5,FALSE))</f>
        <v>0</v>
      </c>
      <c r="HQ3" t="str">
        <f>IF(ISBLANK(VLOOKUP(HQ2,Wastewater!$D$6:$H$127,5,FALSE)),"",VLOOKUP(HQ2,Wastewater!$D$6:$H$127,5,FALSE))</f>
        <v/>
      </c>
      <c r="HR3">
        <f>IF(ISBLANK(VLOOKUP(HR2,Wastewater!$D$6:$H$127,5,FALSE)),"",VLOOKUP(HR2,Wastewater!$D$6:$H$127,5,FALSE))</f>
        <v>14846710.66</v>
      </c>
      <c r="HS3">
        <f>IF(ISBLANK(VLOOKUP(HS2,Wastewater!$D$6:$H$127,5,FALSE)),"",VLOOKUP(HS2,Wastewater!$D$6:$H$127,5,FALSE))</f>
        <v>4678713.71</v>
      </c>
      <c r="HT3">
        <f>IF(ISBLANK(VLOOKUP(HT2,Wastewater!$D$6:$H$127,5,FALSE)),"",VLOOKUP(HT2,Wastewater!$D$6:$H$127,5,FALSE))</f>
        <v>19525424.370000001</v>
      </c>
      <c r="HU3">
        <f>IF(ISBLANK(VLOOKUP(HU2,Wastewater!$D$6:$H$127,5,FALSE)),"",VLOOKUP(HU2,Wastewater!$D$6:$H$127,5,FALSE))</f>
        <v>684.41819128240184</v>
      </c>
      <c r="HV3">
        <f>IF(ISBLANK(VLOOKUP(HV2,Wastewater!$D$6:$H$127,5,FALSE)),"",VLOOKUP(HV2,Wastewater!$D$6:$H$127,5,FALSE))</f>
        <v>17602682.214177001</v>
      </c>
      <c r="HW3">
        <f>IF(ISBLANK(VLOOKUP(HW2,Wastewater!$D$6:$H$127,5,FALSE)),"",VLOOKUP(HW2,Wastewater!$D$6:$H$127,5,FALSE))</f>
        <v>1024310.97</v>
      </c>
      <c r="HX3">
        <f>IF(ISBLANK(VLOOKUP(HX2,Wastewater!$D$6:$H$127,5,FALSE)),"",VLOOKUP(HX2,Wastewater!$D$6:$H$127,5,FALSE))</f>
        <v>1797183.09</v>
      </c>
      <c r="HY3">
        <f>IF(ISBLANK(VLOOKUP(HY2,Wastewater!$D$6:$H$127,5,FALSE)),"",VLOOKUP(HY2,Wastewater!$D$6:$H$127,5,FALSE))</f>
        <v>1612715.5199999998</v>
      </c>
      <c r="HZ3">
        <f>IF(ISBLANK(VLOOKUP(HZ2,Wastewater!$D$6:$H$127,5,FALSE)),"",VLOOKUP(HZ2,Wastewater!$D$6:$H$127,5,FALSE))</f>
        <v>963970.89999999979</v>
      </c>
      <c r="IA3">
        <f>IF(ISBLANK(VLOOKUP(IA2,Wastewater!$D$6:$H$127,5,FALSE)),"",VLOOKUP(IA2,Wastewater!$D$6:$H$127,5,FALSE))</f>
        <v>4094112.3000000017</v>
      </c>
      <c r="IB3" t="str">
        <f>IF(ISBLANK(VLOOKUP(IB2,Wastewater!$D$6:$H$127,5,FALSE)),"",VLOOKUP(IB2,Wastewater!$D$6:$H$127,5,FALSE))</f>
        <v/>
      </c>
      <c r="IC3">
        <f>IF(ISBLANK(VLOOKUP(IC2,Wastewater!$D$6:$H$127,5,FALSE)),"",VLOOKUP(IC2,Wastewater!$D$6:$H$127,5,FALSE))</f>
        <v>9492292.7800000012</v>
      </c>
      <c r="ID3">
        <f>IF(ISBLANK(VLOOKUP(ID2,Wastewater!$D$6:$H$127,5,FALSE)),"",VLOOKUP(ID2,Wastewater!$D$6:$H$127,5,FALSE))</f>
        <v>332.73017438701652</v>
      </c>
      <c r="IE3">
        <f>IF(ISBLANK(VLOOKUP(IE2,Wastewater!$D$6:$H$127,5,FALSE)),"",VLOOKUP(IE2,Wastewater!$D$6:$H$127,5,FALSE))</f>
        <v>7825925.0099999998</v>
      </c>
      <c r="IF3">
        <f>IF(ISBLANK(VLOOKUP(IF2,Wastewater!$D$6:$H$127,5,FALSE)),"",VLOOKUP(IF2,Wastewater!$D$6:$H$127,5,FALSE))</f>
        <v>2038345.97</v>
      </c>
      <c r="IG3">
        <f>IF(ISBLANK(VLOOKUP(IG2,Wastewater!$D$6:$H$127,5,FALSE)),"",VLOOKUP(IG2,Wastewater!$D$6:$H$127,5,FALSE))</f>
        <v>0.10439445163260233</v>
      </c>
      <c r="IH3">
        <f>IF(ISBLANK(VLOOKUP(IH2,Wastewater!$D$6:$H$127,5,FALSE)),"",VLOOKUP(IH2,Wastewater!$D$6:$H$127,5,FALSE))</f>
        <v>0.76701168885566695</v>
      </c>
      <c r="II3">
        <f>IF(ISBLANK(VLOOKUP(II2,Wastewater!$D$6:$H$127,5,FALSE)),"",VLOOKUP(II2,Wastewater!$D$6:$H$127,5,FALSE))</f>
        <v>47361386.010000005</v>
      </c>
      <c r="IJ3">
        <f>IF(ISBLANK(VLOOKUP(IJ2,Wastewater!$D$6:$H$127,5,FALSE)),"",VLOOKUP(IJ2,Wastewater!$D$6:$H$127,5,FALSE))</f>
        <v>1660.1428750197174</v>
      </c>
      <c r="IK3">
        <f>IF(ISBLANK(VLOOKUP(IK2,Wastewater!$D$6:$H$127,5,FALSE)),"",VLOOKUP(IK2,Wastewater!$D$6:$H$127,5,FALSE))</f>
        <v>31932232.68</v>
      </c>
      <c r="IL3">
        <f>IF(ISBLANK(VLOOKUP(IL2,Wastewater!$D$6:$H$127,5,FALSE)),"",VLOOKUP(IL2,Wastewater!$D$6:$H$127,5,FALSE))</f>
        <v>10700710.457010999</v>
      </c>
      <c r="IM3">
        <f>IF(ISBLANK(VLOOKUP(IM2,Wastewater!$D$6:$H$127,5,FALSE)),"",VLOOKUP(IM2,Wastewater!$D$6:$H$127,5,FALSE))</f>
        <v>15508818.69359</v>
      </c>
      <c r="IN3">
        <f>IF(ISBLANK(VLOOKUP(IN2,Wastewater!$D$6:$H$127,5,FALSE)),"",VLOOKUP(IN2,Wastewater!$D$6:$H$127,5,FALSE))</f>
        <v>5722703.5293990001</v>
      </c>
      <c r="IO3">
        <f>IF(ISBLANK(VLOOKUP(IO2,Wastewater!$D$6:$H$127,5,FALSE)),"",VLOOKUP(IO2,Wastewater!$D$6:$H$127,5,FALSE))</f>
        <v>28004822.250000004</v>
      </c>
      <c r="IP3">
        <f>IF(ISBLANK(VLOOKUP(IP2,Wastewater!$D$6:$H$127,5,FALSE)),"",VLOOKUP(IP2,Wastewater!$D$6:$H$127,5,FALSE))</f>
        <v>8474552.3226430006</v>
      </c>
      <c r="IQ3">
        <f>IF(ISBLANK(VLOOKUP(IQ2,Wastewater!$D$6:$H$127,5,FALSE)),"",VLOOKUP(IQ2,Wastewater!$D$6:$H$127,5,FALSE))</f>
        <v>14257106.467026003</v>
      </c>
      <c r="IR3">
        <f>IF(ISBLANK(VLOOKUP(IR2,Wastewater!$D$6:$H$127,5,FALSE)),"",VLOOKUP(IR2,Wastewater!$D$6:$H$127,5,FALSE))</f>
        <v>5273163.4603310004</v>
      </c>
      <c r="IS3">
        <f>IF(ISBLANK(VLOOKUP(IS2,Wastewater!$D$6:$H$127,5,FALSE)),"",VLOOKUP(IS2,Wastewater!$D$6:$H$127,5,FALSE))</f>
        <v>981.6436984068564</v>
      </c>
      <c r="IT3">
        <f>IF(ISBLANK(VLOOKUP(IT2,Wastewater!$D$6:$H$127,5,FALSE)),"",VLOOKUP(IT2,Wastewater!$D$6:$H$127,5,FALSE))</f>
        <v>15698045.34</v>
      </c>
      <c r="IU3">
        <f>IF(ISBLANK(VLOOKUP(IU2,Wastewater!$D$6:$H$127,5,FALSE)),"",VLOOKUP(IU2,Wastewater!$D$6:$H$127,5,FALSE))</f>
        <v>93981645.310000002</v>
      </c>
      <c r="IV3">
        <f>IF(ISBLANK(VLOOKUP(IV2,Wastewater!$D$6:$H$127,5,FALSE)),"",VLOOKUP(IV2,Wastewater!$D$6:$H$127,5,FALSE))</f>
        <v>397016088.30000001</v>
      </c>
      <c r="IW3">
        <f>IF(ISBLANK(VLOOKUP(IW2,Wastewater!$D$6:$H$127,5,FALSE)),"",VLOOKUP(IW2,Wastewater!$D$6:$H$127,5,FALSE))</f>
        <v>0.67380705202170099</v>
      </c>
      <c r="IX3" t="str">
        <f>IF(ISBLANK(VLOOKUP(IX2,Wastewater!$D$6:$H$127,5,FALSE)),"",VLOOKUP(IX2,Wastewater!$D$6:$H$127,5,FALSE))</f>
        <v/>
      </c>
      <c r="IY3">
        <f>IF(ISBLANK(VLOOKUP(IY2,Stormwater!$D$6:$H$80,5,FALSE)),"",VLOOKUP(IY2,Stormwater!$D$6:$H$80,5,FALSE))</f>
        <v>46044.260943718029</v>
      </c>
      <c r="IZ3">
        <f>IF(ISBLANK(VLOOKUP(IZ2,Stormwater!$D$6:$H$80,5,FALSE)),"",VLOOKUP(IZ2,Stormwater!$D$6:$H$80,5,FALSE))</f>
        <v>26829.600000000002</v>
      </c>
      <c r="JA3">
        <f>IF(ISBLANK(VLOOKUP(JA2,Stormwater!$D$6:$H$80,5,FALSE)),"",VLOOKUP(JA2,Stormwater!$D$6:$H$80,5,FALSE))</f>
        <v>2233.35</v>
      </c>
      <c r="JB3">
        <f>IF(ISBLANK(VLOOKUP(JB2,Stormwater!$D$6:$H$80,5,FALSE)),"",VLOOKUP(JB2,Stormwater!$D$6:$H$80,5,FALSE))</f>
        <v>29062.95</v>
      </c>
      <c r="JC3">
        <f>IF(ISBLANK(VLOOKUP(JC2,Stormwater!$D$6:$H$80,5,FALSE)),"",VLOOKUP(JC2,Stormwater!$D$6:$H$80,5,FALSE))</f>
        <v>445.07</v>
      </c>
      <c r="JI3" t="str">
        <f>IF(ISBLANK(VLOOKUP(JI2,Stormwater!$D$6:$H$80,5,FALSE)),"",VLOOKUP(JI2,Stormwater!$D$6:$H$80,5,FALSE))</f>
        <v/>
      </c>
      <c r="JK3" t="str">
        <f>IF(ISBLANK(VLOOKUP(JK2,Stormwater!$D$6:$H$80,5,FALSE)),"",VLOOKUP(JK2,Stormwater!$D$6:$H$80,5,FALSE))</f>
        <v/>
      </c>
      <c r="JM3">
        <f>IF(ISBLANK(VLOOKUP(JM2,Stormwater!$D$6:$H$80,5,FALSE)),"",VLOOKUP(JM2,Stormwater!$D$6:$H$80,5,FALSE))</f>
        <v>25.3</v>
      </c>
      <c r="JP3" t="str">
        <f>IF(ISBLANK(VLOOKUP(JP2,Stormwater!$D$6:$H$80,5,FALSE)),"",VLOOKUP(JP2,Stormwater!$D$6:$H$80,5,FALSE))</f>
        <v/>
      </c>
      <c r="JQ3" t="str">
        <f>IF(ISBLANK(VLOOKUP(JQ2,Stormwater!$D$6:$H$80,5,FALSE)),"",VLOOKUP(JQ2,Stormwater!$D$6:$H$80,5,FALSE))</f>
        <v/>
      </c>
      <c r="JR3" t="str">
        <f>IF(ISBLANK(VLOOKUP(JR2,Stormwater!$D$6:$H$80,5,FALSE)),"",VLOOKUP(JR2,Stormwater!$D$6:$H$80,5,FALSE))</f>
        <v/>
      </c>
      <c r="JS3">
        <f>IF(ISBLANK(VLOOKUP(JS2,Stormwater!$D$6:$H$80,5,FALSE)),"",VLOOKUP(JS2,Stormwater!$D$6:$H$80,5,FALSE))</f>
        <v>510</v>
      </c>
      <c r="JT3" t="str">
        <f>IF(ISBLANK(VLOOKUP(JT2,Stormwater!$D$6:$H$80,5,FALSE)),"",VLOOKUP(JT2,Stormwater!$D$6:$H$80,5,FALSE))</f>
        <v/>
      </c>
      <c r="JU3">
        <f>IF(ISBLANK(VLOOKUP(JU2,Stormwater!$D$6:$H$80,5,FALSE)),"",VLOOKUP(JU2,Stormwater!$D$6:$H$80,5,FALSE))</f>
        <v>0</v>
      </c>
      <c r="JV3">
        <f>IF(ISBLANK(VLOOKUP(JV2,Stormwater!$D$6:$H$80,5,FALSE)),"",VLOOKUP(JV2,Stormwater!$D$6:$H$80,5,FALSE))</f>
        <v>0</v>
      </c>
      <c r="JW3">
        <f>IF(ISBLANK(VLOOKUP(JW2,Stormwater!$D$6:$H$80,5,FALSE)),"",VLOOKUP(JW2,Stormwater!$D$6:$H$80,5,FALSE))</f>
        <v>0</v>
      </c>
      <c r="JX3">
        <f>IF(ISBLANK(VLOOKUP(JX2,Stormwater!$D$6:$H$80,5,FALSE)),"",VLOOKUP(JX2,Stormwater!$D$6:$H$80,5,FALSE))</f>
        <v>0</v>
      </c>
      <c r="JY3">
        <f>IF(ISBLANK(VLOOKUP(JY2,Stormwater!$D$6:$H$80,5,FALSE)),"",VLOOKUP(JY2,Stormwater!$D$6:$H$80,5,FALSE))</f>
        <v>0</v>
      </c>
      <c r="JZ3">
        <f>IF(ISBLANK(VLOOKUP(JZ2,Stormwater!$D$6:$H$80,5,FALSE)),"",VLOOKUP(JZ2,Stormwater!$D$6:$H$80,5,FALSE))</f>
        <v>0</v>
      </c>
      <c r="KA3">
        <f>IF(ISBLANK(VLOOKUP(KA2,Stormwater!$D$6:$H$80,5,FALSE)),"",VLOOKUP(KA2,Stormwater!$D$6:$H$80,5,FALSE))</f>
        <v>0</v>
      </c>
      <c r="KB3" t="str">
        <f>IF(ISBLANK(VLOOKUP(KB2,Stormwater!$D$6:$H$80,5,FALSE)),"",VLOOKUP(KB2,Stormwater!$D$6:$H$80,5,FALSE))</f>
        <v>No</v>
      </c>
      <c r="KC3" t="str">
        <f>IF(ISBLANK(VLOOKUP(KC2,Stormwater!$D$6:$H$80,5,FALSE)),"",VLOOKUP(KC2,Stormwater!$D$6:$H$80,5,FALSE))</f>
        <v>No</v>
      </c>
      <c r="KD3" t="str">
        <f>IF(ISBLANK(VLOOKUP(KD2,Stormwater!$D$6:$H$80,5,FALSE)),"",VLOOKUP(KD2,Stormwater!$D$6:$H$80,5,FALSE))</f>
        <v/>
      </c>
      <c r="KE3">
        <f>IF(ISBLANK(VLOOKUP(KE2,Stormwater!$D$6:$H$80,5,FALSE)),"",VLOOKUP(KE2,Stormwater!$D$6:$H$80,5,FALSE))</f>
        <v>155.97956838451435</v>
      </c>
      <c r="KF3" t="str">
        <f>IF(ISBLANK(VLOOKUP(KF2,Stormwater!$D$6:$H$80,5,FALSE)),"",VLOOKUP(KF2,Stormwater!$D$6:$H$80,5,FALSE))</f>
        <v>Targeted Rate</v>
      </c>
      <c r="KG3">
        <f>IF(ISBLANK(VLOOKUP(KG2,Stormwater!$D$6:$H$80,5,FALSE)),"",VLOOKUP(KG2,Stormwater!$D$6:$H$80,5,FALSE))</f>
        <v>218</v>
      </c>
      <c r="KH3">
        <f>IF(ISBLANK(VLOOKUP(KH2,Stormwater!$D$6:$H$80,5,FALSE)),"",VLOOKUP(KH2,Stormwater!$D$6:$H$80,5,FALSE))</f>
        <v>218</v>
      </c>
      <c r="KI3" t="str">
        <f>IF(ISBLANK(VLOOKUP(KI2,Stormwater!$D$6:$H$80,5,FALSE)),"",VLOOKUP(KI2,Stormwater!$D$6:$H$80,5,FALSE))</f>
        <v/>
      </c>
      <c r="KJ3">
        <f>IF(ISBLANK(VLOOKUP(KJ2,Stormwater!$D$6:$H$80,5,FALSE)),"",VLOOKUP(KJ2,Stormwater!$D$6:$H$80,5,FALSE))</f>
        <v>7.5009591249339795</v>
      </c>
      <c r="KK3">
        <f>IF(ISBLANK(VLOOKUP(KK2,Stormwater!$D$6:$H$80,5,FALSE)),"",VLOOKUP(KK2,Stormwater!$D$6:$H$80,5,FALSE))</f>
        <v>0</v>
      </c>
      <c r="KL3">
        <f>IF(ISBLANK(VLOOKUP(KL2,Stormwater!$D$6:$H$80,5,FALSE)),"",VLOOKUP(KL2,Stormwater!$D$6:$H$80,5,FALSE))</f>
        <v>0</v>
      </c>
      <c r="KM3">
        <f>IF(ISBLANK(VLOOKUP(KM2,Stormwater!$D$6:$H$80,5,FALSE)),"",VLOOKUP(KM2,Stormwater!$D$6:$H$80,5,FALSE))</f>
        <v>0</v>
      </c>
      <c r="KN3">
        <f>IF(ISBLANK(VLOOKUP(KN2,Stormwater!$D$6:$H$80,5,FALSE)),"",VLOOKUP(KN2,Stormwater!$D$6:$H$80,5,FALSE))</f>
        <v>0</v>
      </c>
      <c r="KO3">
        <f>IF(ISBLANK(VLOOKUP(KO2,Stormwater!$D$6:$H$80,5,FALSE)),"",VLOOKUP(KO2,Stormwater!$D$6:$H$80,5,FALSE))</f>
        <v>0</v>
      </c>
      <c r="KP3">
        <f>IF(ISBLANK(VLOOKUP(KP2,Stormwater!$D$6:$H$80,5,FALSE)),"",VLOOKUP(KP2,Stormwater!$D$6:$H$80,5,FALSE))</f>
        <v>0</v>
      </c>
      <c r="KQ3">
        <f>IF(ISBLANK(VLOOKUP(KQ2,Stormwater!$D$6:$H$80,5,FALSE)),"",VLOOKUP(KQ2,Stormwater!$D$6:$H$80,5,FALSE))</f>
        <v>0.05</v>
      </c>
      <c r="KR3">
        <f>IF(ISBLANK(VLOOKUP(KR2,Stormwater!$D$6:$H$80,5,FALSE)),"",VLOOKUP(KR2,Stormwater!$D$6:$H$80,5,FALSE))</f>
        <v>0.01</v>
      </c>
      <c r="KS3">
        <f>IF(ISBLANK(VLOOKUP(KS2,Stormwater!$D$6:$H$80,5,FALSE)),"",VLOOKUP(KS2,Stormwater!$D$6:$H$80,5,FALSE))</f>
        <v>3602788.13</v>
      </c>
      <c r="KT3">
        <f>IF(ISBLANK(VLOOKUP(KT2,Stormwater!$D$6:$H$80,5,FALSE)),"",VLOOKUP(KT2,Stormwater!$D$6:$H$80,5,FALSE))</f>
        <v>203068.13</v>
      </c>
      <c r="KU3">
        <f>IF(ISBLANK(VLOOKUP(KU2,Stormwater!$D$6:$H$80,5,FALSE)),"",VLOOKUP(KU2,Stormwater!$D$6:$H$80,5,FALSE))</f>
        <v>3805856.26</v>
      </c>
      <c r="KV3">
        <f>IF(ISBLANK(VLOOKUP(KV2,Stormwater!$D$6:$H$80,5,FALSE)),"",VLOOKUP(KV2,Stormwater!$D$6:$H$80,5,FALSE))</f>
        <v>130.95216624602801</v>
      </c>
      <c r="KW3">
        <f>IF(ISBLANK(VLOOKUP(KW2,Stormwater!$D$6:$H$80,5,FALSE)),"",VLOOKUP(KW2,Stormwater!$D$6:$H$80,5,FALSE))</f>
        <v>6076490.2339236103</v>
      </c>
      <c r="KX3">
        <f>IF(ISBLANK(VLOOKUP(KX2,Stormwater!$D$6:$H$80,5,FALSE)),"",VLOOKUP(KX2,Stormwater!$D$6:$H$80,5,FALSE))</f>
        <v>245457.69000000018</v>
      </c>
      <c r="KY3">
        <f>IF(ISBLANK(VLOOKUP(KY2,Stormwater!$D$6:$H$80,5,FALSE)),"",VLOOKUP(KY2,Stormwater!$D$6:$H$80,5,FALSE))</f>
        <v>186182.13000000003</v>
      </c>
      <c r="KZ3">
        <f>IF(ISBLANK(VLOOKUP(KZ2,Stormwater!$D$6:$H$80,5,FALSE)),"",VLOOKUP(KZ2,Stormwater!$D$6:$H$80,5,FALSE))</f>
        <v>203354.97999999969</v>
      </c>
      <c r="LA3" t="str">
        <f>IF(ISBLANK(VLOOKUP(LA2,Stormwater!$D$6:$H$80,5,FALSE)),"",VLOOKUP(LA2,Stormwater!$D$6:$H$80,5,FALSE))</f>
        <v/>
      </c>
      <c r="LB3">
        <f>IF(ISBLANK(VLOOKUP(LB2,Stormwater!$D$6:$H$80,5,FALSE)),"",VLOOKUP(LB2,Stormwater!$D$6:$H$80,5,FALSE))</f>
        <v>634994.79999999981</v>
      </c>
      <c r="LC3">
        <f>IF(ISBLANK(VLOOKUP(LC2,Stormwater!$D$6:$H$80,5,FALSE)),"",VLOOKUP(LC2,Stormwater!$D$6:$H$80,5,FALSE))</f>
        <v>21.848945134612961</v>
      </c>
      <c r="LD3">
        <f>IF(ISBLANK(VLOOKUP(LD2,Stormwater!$D$6:$H$80,5,FALSE)),"",VLOOKUP(LD2,Stormwater!$D$6:$H$80,5,FALSE))</f>
        <v>5045257.57</v>
      </c>
      <c r="LE3">
        <f>IF(ISBLANK(VLOOKUP(LE2,Stormwater!$D$6:$H$80,5,FALSE)),"",VLOOKUP(LE2,Stormwater!$D$6:$H$80,5,FALSE))</f>
        <v>375872.2</v>
      </c>
      <c r="LF3">
        <f>IF(ISBLANK(VLOOKUP(LF2,Stormwater!$D$6:$H$80,5,FALSE)),"",VLOOKUP(LF2,Stormwater!$D$6:$H$80,5,FALSE))</f>
        <v>9.8761533363848075E-2</v>
      </c>
      <c r="LG3">
        <f>IF(ISBLANK(VLOOKUP(LG2,Stormwater!$D$6:$H$80,5,FALSE)),"",VLOOKUP(LG2,Stormwater!$D$6:$H$80,5,FALSE))</f>
        <v>0.59489993779966122</v>
      </c>
      <c r="LH3">
        <f>IF(ISBLANK(VLOOKUP(LH2,Stormwater!$D$6:$H$80,5,FALSE)),"",VLOOKUP(LH2,Stormwater!$D$6:$H$80,5,FALSE))</f>
        <v>14276708.320000002</v>
      </c>
      <c r="LI3">
        <f>IF(ISBLANK(VLOOKUP(LI2,Stormwater!$D$6:$H$80,5,FALSE)),"",VLOOKUP(LI2,Stormwater!$D$6:$H$80,5,FALSE))</f>
        <v>491.23397039873799</v>
      </c>
      <c r="LJ3">
        <f>IF(ISBLANK(VLOOKUP(LJ2,Stormwater!$D$6:$H$80,5,FALSE)),"",VLOOKUP(LJ2,Stormwater!$D$6:$H$80,5,FALSE))</f>
        <v>9386146.4000000004</v>
      </c>
      <c r="LK3">
        <f>IF(ISBLANK(VLOOKUP(LK2,Stormwater!$D$6:$H$80,5,FALSE)),"",VLOOKUP(LK2,Stormwater!$D$6:$H$80,5,FALSE))</f>
        <v>5422023.8134380002</v>
      </c>
      <c r="LL3">
        <f>IF(ISBLANK(VLOOKUP(LL2,Stormwater!$D$6:$H$80,5,FALSE)),"",VLOOKUP(LL2,Stormwater!$D$6:$H$80,5,FALSE))</f>
        <v>2554660.6363110002</v>
      </c>
      <c r="LM3">
        <f>IF(ISBLANK(VLOOKUP(LM2,Stormwater!$D$6:$H$80,5,FALSE)),"",VLOOKUP(LM2,Stormwater!$D$6:$H$80,5,FALSE))</f>
        <v>1409461.950251</v>
      </c>
      <c r="LN3">
        <f>IF(ISBLANK(VLOOKUP(LN2,Stormwater!$D$6:$H$80,5,FALSE)),"",VLOOKUP(LN2,Stormwater!$D$6:$H$80,5,FALSE))</f>
        <v>8220583.7500000019</v>
      </c>
      <c r="LO3">
        <f>IF(ISBLANK(VLOOKUP(LO2,Stormwater!$D$6:$H$80,5,FALSE)),"",VLOOKUP(LO2,Stormwater!$D$6:$H$80,5,FALSE))</f>
        <v>4630147.850715002</v>
      </c>
      <c r="LP3">
        <f>IF(ISBLANK(VLOOKUP(LP2,Stormwater!$D$6:$H$80,5,FALSE)),"",VLOOKUP(LP2,Stormwater!$D$6:$H$80,5,FALSE))</f>
        <v>2356760.6682020002</v>
      </c>
      <c r="LQ3">
        <f>IF(ISBLANK(VLOOKUP(LQ2,Stormwater!$D$6:$H$80,5,FALSE)),"",VLOOKUP(LQ2,Stormwater!$D$6:$H$80,5,FALSE))</f>
        <v>1233675.2310830001</v>
      </c>
      <c r="LR3">
        <f>IF(ISBLANK(VLOOKUP(LR2,Stormwater!$D$6:$H$80,5,FALSE)),"",VLOOKUP(LR2,Stormwater!$D$6:$H$80,5,FALSE))</f>
        <v>282.8544160176445</v>
      </c>
      <c r="LS3">
        <f>IF(ISBLANK(VLOOKUP(LS2,Stormwater!$D$6:$H$80,5,FALSE)),"",VLOOKUP(LS2,Stormwater!$D$6:$H$80,5,FALSE))</f>
        <v>8958266.1600000001</v>
      </c>
      <c r="LT3">
        <f>IF(ISBLANK(VLOOKUP(LT2,Stormwater!$D$6:$H$80,5,FALSE)),"",VLOOKUP(LT2,Stormwater!$D$6:$H$80,5,FALSE))</f>
        <v>345568957.19999999</v>
      </c>
      <c r="LU3">
        <f>IF(ISBLANK(VLOOKUP(LU2,Stormwater!$D$6:$H$80,5,FALSE)),"",VLOOKUP(LU2,Stormwater!$D$6:$H$80,5,FALSE))</f>
        <v>0.24452175413573582</v>
      </c>
      <c r="LV3" t="str">
        <f>IF(ISBLANK(VLOOKUP(LV2,Stormwater!$D$6:$H$80,5,FALSE)),"",VLOOKUP(LV2,Stormwater!$D$6:$H$80,5,FALSE))</f>
        <v/>
      </c>
      <c r="LW3">
        <f>IFERROR((Actual_Capital_Expenditure__Water_Supply__WSF20+Actual_Capital_Expenditure__Wastewater__WWF21+Actual_Capital_Expenditure__Stormwater__SWF17)/(Budgeted_Capital_Expenditure__Water_Supply__WSF19+Budgeted_Capital_Expenditure__Wastewater__WWF20+Budgeted_Capital_Expenditure__Stormwater__SWF16),"")</f>
        <v>0.76353600192796267</v>
      </c>
      <c r="LX3" t="str">
        <f>IFERROR((Revenue_from_Supply_of_Water_to_Other_Local_Authorities__WSF1+Operating_Revenue__Water_Supply__WSF2)/(Operating_Cost__Water_Supply__WSF12+Interest__Water_Supply__WSF15a),"")</f>
        <v/>
      </c>
      <c r="LY3" t="str">
        <f>IFERROR((Revenue_from_the_Provision_of_Wastewater_Treatment_Services_to_Another_Local_Authority__WWF1+Operating_Revenue__Wastewater__WWF2)/(Operating_Cost__Wastewater__WWF13+Interest__Wastewater__WWF16a),"")</f>
        <v/>
      </c>
      <c r="LZ3">
        <f>IFERROR(Operating_Revenue__Stormwater__SWF1/(Operating_Cost__Stormwater__SWF9+Interest__Stormwater__SWF12a),"")</f>
        <v>3.5640575169631621</v>
      </c>
      <c r="MA3" t="str">
        <f>IFERROR(Contracted_staff__CB11*1000/(Total_Water_Serviced_Properties__WSB4+Total_Wastewater_Serviced_Properties__WWB4),"")</f>
        <v/>
      </c>
      <c r="MB3">
        <f>IFERROR(Water_Stored_in_Reservoirs__WSA7/(Water_Supplied_to_Own_System__WSB5*365),"")</f>
        <v>0</v>
      </c>
      <c r="MC3">
        <f>IFERROR(Interest__Stormwater__SWF12a/Operating_Revenue__Stormwater__SWF1,"")</f>
        <v>0.10432814432526734</v>
      </c>
      <c r="MD3" t="str">
        <f>IFERROR(Interest__Water_Supply__WSF15a/(Operating_Revenue__Water_Supply__WSF2+Revenue_from_Supply_of_Water_to_Other_Local_Authorities__WSF1),"")</f>
        <v/>
      </c>
      <c r="ME3" t="str">
        <f>IFERROR(Interest__Wastewater__WWF16a/(Operating_Revenue__Wastewater__WWF2+Revenue_from_the_Provision_of_Wastewater_Treatment_Services_to_Another_Local_Authority__WWF1),"")</f>
        <v/>
      </c>
      <c r="MF3">
        <f>IFERROR(Dry_Weather_Wastewater_Overflows__WWE1/Total_Wastewater_Serviced_Properties__WWB4*1000,"")</f>
        <v>1.7526333315806999</v>
      </c>
      <c r="MG3" t="str">
        <f>IFERROR(Internal_staff__CB10*1000/(Total_Water_Serviced_Properties__WSB4+Total_Wastewater_Serviced_Properties__WWB4),"")</f>
        <v/>
      </c>
      <c r="MH3" t="str">
        <f>IFERROR(Lost_time_injuries__CB13/(Internal_staff__CB10+Contracted_staff__CB11),"")</f>
        <v/>
      </c>
      <c r="MI3" t="str">
        <f>IFERROR(Near_miss_reports__CB12/(Internal_staff__CB10+Contracted_staff__CB11),"")</f>
        <v/>
      </c>
      <c r="MJ3">
        <f>IFERROR(Properties_with_Water_Meters___Non_Residential___WSA9b/Water_Serviced_Properties__Non_Residential__WSB3,"")</f>
        <v>3.1723404255319144E-2</v>
      </c>
      <c r="MK3">
        <f>IFERROR(Properties_with_Water_Meters___Residential__WSA9a/Water_Serviced_Properties__Residential__WSB2,"")</f>
        <v>3.754189944134078E-2</v>
      </c>
      <c r="ML3" t="str">
        <f>IFERROR(Water_Stored_in_Reservoirs__WSA7/Capacity_of_Water_Storage_Reservoirs__WSA8,"")</f>
        <v/>
      </c>
      <c r="MM3">
        <f>IFERROR(Total_Revenue__Stormwater__SWF3+Total_Revenue__Wastewater__WWF4+Total_Revenue__Water_Supply__WSF4,"")</f>
        <v>37688709.920000002</v>
      </c>
      <c r="MN3" t="str">
        <f>IFERROR(Staff_vacancies__CB10a/(Total_Water_Serviced_Properties__WSB4+Total_Wastewater_Serviced_Properties__WWB4)*-1000,"")</f>
        <v/>
      </c>
      <c r="MO3" t="str">
        <f>IFERROR(Volumetric_Charge__Residential_water__WSS8c*200,"")</f>
        <v/>
      </c>
      <c r="MP3">
        <f>IFERROR(Total_Wastewater_Serviced_Properties__WWB4/Total_Length_of_Public_Wastewater_Network__WWA1a,"")</f>
        <v>47.710510912283631</v>
      </c>
      <c r="MQ3">
        <f>IFERROR(IF((Wastewater_Pump_Stations__WWA5-Wastewater_Pump_Stations_Standby_Generators__WWA5a)&gt;0,(Wastewater_Pump_Stations__WWA5-Wastewater_Pump_Stations_Standby_Generators__WWA5a),0),"")</f>
        <v>73</v>
      </c>
      <c r="MR3">
        <f>IFERROR(IF((Number_of_wastewater_treatment_plants__WWA7-Treatment_Plant_backup_generators__WWA7l)&gt;0,(Number_of_wastewater_treatment_plants__WWA7-Treatment_Plant_backup_generators__WWA7l),0),"")</f>
        <v>6</v>
      </c>
      <c r="MS3">
        <f>IFERROR(IF((Water_Pump_Stations__WSA5-Water_Pump_Stations_Standby_Generators__WSA5a)&gt;0,(Water_Pump_Stations__WSA5-Water_Pump_Stations_Standby_Generators__WSA5a),0),"")</f>
        <v>34</v>
      </c>
      <c r="MT3">
        <f>IFERROR(Total_Water_Serviced_Properties__WSB4/Length_of_Water_Supply_Network__WSA1a,"")</f>
        <v>47.125657661147152</v>
      </c>
      <c r="MU3">
        <f>IFERROR(IF((Water_Treatment_Plants__WSA4-Water_Treatment_Plant_Standby_Generators__WSA4a)&gt;0,(Water_Treatment_Plants__WSA4-Water_Treatment_Plant_Standby_Generators__WSA4a),0),"")</f>
        <v>12</v>
      </c>
      <c r="MV3" t="str">
        <f>IFERROR(Wet_weather_overflows_from_the_wastewater_network__WWE2a/Total_Wastewater_Serviced_Properties__WWB4*1000,"")</f>
        <v/>
      </c>
      <c r="MW3">
        <f>IFERROR(Actual_Capital_Expenditure__Water_Supply__WSF20/Annual_Depreciation__Water_Supply__WSF14,"")</f>
        <v>3.2976614067400738</v>
      </c>
      <c r="MX3">
        <f>IFERROR(Actual_Capital_Expenditure__Wastewater__WWF21/Annual_Depreciation__Wastewater__WWF15,"")</f>
        <v>3.5784680040014853</v>
      </c>
      <c r="MY3">
        <f>IFERROR(Actual_Capital_Expenditure__Stormwater__SWF17/Annual_Depreciation__Stormwater__SWF11,"")</f>
        <v>1.6293684982271384</v>
      </c>
      <c r="MZ3">
        <f>Total_Water_Serviced_Properties__WSB4+Total_Wastewater_Serviced_Properties__WWB4</f>
        <v>57728.5</v>
      </c>
      <c r="NA3" s="95">
        <f>MAX(Water!J72,Water!O72:AH72)</f>
        <v>467.40864121146751</v>
      </c>
      <c r="NB3">
        <f>MIN(Water!J72,Water!O72:AH72)</f>
        <v>467.40864121146751</v>
      </c>
      <c r="NC3">
        <f>MAX(Water!J75,Water!O75:AH75)</f>
        <v>0</v>
      </c>
      <c r="ND3">
        <f>MIN(Water!J75,Water!O75:AH75)</f>
        <v>0</v>
      </c>
      <c r="NE3" t="str">
        <f>IF(MAX(MAX(Wastewater!M26:AD26))=0,"",MAX(MAX(Wastewater!M26:AD26)))</f>
        <v/>
      </c>
      <c r="NF3" t="str">
        <f>IF(MIN(Wastewater!M26:AD26)=0,"",MIN(Wastewater!M26:AD26))</f>
        <v/>
      </c>
      <c r="NG3">
        <f>IFERROR(Routine_Maintenance__Wastewater__WWF9+Reactive_Maintenance__Wastewater__WWF10,"")</f>
        <v>2576686.4199999995</v>
      </c>
      <c r="NH3">
        <f>IFERROR(Actual_Capital_Expenditure__Stormwater__SWF17+Actual_Capital_Expenditure__Wastewater__WWF21+Actual_Capital_Expenditure__Water_Supply__WSF20,"")</f>
        <v>55786223.640000001</v>
      </c>
      <c r="NI3">
        <f>IF(IF(Other_wastewater_asset_value__WWF24b="",0,Other_wastewater_asset_value__WWF24b)+IF(Wastewater_facility_value_at_end_of_reporting_year__WWF24a="",0,Wastewater_facility_value_at_end_of_reporting_year__WWF24a)+IF(Stormwater_asset_value_at_end_of_reporting_year__SWF20="",0,Stormwater_asset_value_at_end_of_reporting_year__SWF20)+IF(Other_water_supply_asset_value__WSF23b="",0,Other_water_supply_asset_value__WSF23b)+IF(Water_treatment_facility_value_at_end_of_reporting_year__WSF23a="",0,Water_treatment_facility_value_at_end_of_reporting_year__WSF23a)=0,"",IF(Other_wastewater_asset_value__WWF24b="",0,Other_wastewater_asset_value__WWF24b)+IF(Wastewater_facility_value_at_end_of_reporting_year__WWF24a="",0,Wastewater_facility_value_at_end_of_reporting_year__WWF24a)+IF(Stormwater_asset_value_at_end_of_reporting_year__SWF20="",0,Stormwater_asset_value_at_end_of_reporting_year__SWF20)+IF(Other_water_supply_asset_value__WSF23b="",0,Other_water_supply_asset_value__WSF23b)+IF(Water_treatment_facility_value_at_end_of_reporting_year__WSF23a="",0,Water_treatment_facility_value_at_end_of_reporting_year__WSF23a))</f>
        <v>1170042904.8499999</v>
      </c>
      <c r="NJ3">
        <f>IFERROR(Development_Contributions__Water_Supply_assets__WSF22+Development_Contributions__Wastewater_assets__WWF23+Development_Contributions__Stormwater_assets__SWF19,"")</f>
        <v>29714210.27</v>
      </c>
      <c r="NK3">
        <f>IFERROR(Reactive_maintenance__Water_Supply__WSF9b/Routine_maintenance__Water_Supply__WSF9a,"")</f>
        <v>1.3186303171067615</v>
      </c>
      <c r="NL3">
        <f>IFERROR(Reactive_Maintenance__Wastewater__WWF10/Routine_Maintenance__Wastewater__WWF9,"")</f>
        <v>0.59773152055980705</v>
      </c>
      <c r="NM3">
        <f>IFERROR(Reactive_maintenance__Stormwater___SWF6b/Routine_maintenance__Stormwater___SWF6a,"")</f>
        <v>0.75851007153208316</v>
      </c>
      <c r="NO3">
        <f>IF(ISBLANK(VLOOKUP(NO2,Water!$D$6:$J$109,7,FALSE)),"",VLOOKUP(NO2,Water!$D$6:$J$109,7,FALSE))</f>
        <v>1</v>
      </c>
      <c r="NP3" t="str">
        <f>IF(ISBLANK(VLOOKUP(NP2,Water!$D$6:$J$109,7,FALSE)),"",VLOOKUP(NP2,Water!$D$6:$J$109,7,FALSE))</f>
        <v/>
      </c>
      <c r="NQ3" t="str">
        <f>IF(ISBLANK(VLOOKUP(NQ2,Water!$D$6:$J$109,7,FALSE)),"",VLOOKUP(NQ2,Water!$D$6:$J$109,7,FALSE))</f>
        <v/>
      </c>
      <c r="NR3" t="str">
        <f>IF(ISBLANK(VLOOKUP(NR2,Water!$D$6:$J$109,7,FALSE)),"",VLOOKUP(NR2,Water!$D$6:$J$109,7,FALSE))</f>
        <v/>
      </c>
      <c r="NS3">
        <f>IF(ISBLANK(VLOOKUP(NS2,Water!$D$6:$J$109,7,FALSE)),"",VLOOKUP(NS2,Water!$D$6:$J$109,7,FALSE))</f>
        <v>15</v>
      </c>
      <c r="NT3" t="str">
        <f>IF(ISBLANK(VLOOKUP(NT2,Water!$D$6:$J$109,7,FALSE)),"",VLOOKUP(NT2,Water!$D$6:$J$109,7,FALSE))</f>
        <v/>
      </c>
      <c r="NU3" t="str">
        <f>IF(ISBLANK(VLOOKUP(NU2,Water!$D$6:$J$109,7,FALSE)),"",VLOOKUP(NU2,Water!$D$6:$J$109,7,FALSE))</f>
        <v/>
      </c>
      <c r="NV3" t="str">
        <f>IF(ISBLANK(VLOOKUP(NV2,Water!$D$6:$J$109,7,FALSE)),"",VLOOKUP(NV2,Water!$D$6:$J$109,7,FALSE))</f>
        <v/>
      </c>
      <c r="NW3" t="str">
        <f>IF(ISBLANK(VLOOKUP(NW2,Water!$D$6:$J$109,7,FALSE)),"",VLOOKUP(NW2,Water!$D$6:$J$109,7,FALSE))</f>
        <v/>
      </c>
      <c r="NX3" t="str">
        <f>IF(ISBLANK(VLOOKUP(NX2,Water!$D$6:$J$109,7,FALSE)),"",VLOOKUP(NX2,Water!$D$6:$J$109,7,FALSE))</f>
        <v/>
      </c>
      <c r="NY3" t="str">
        <f>IF(ISBLANK(VLOOKUP(NY2,Water!$D$6:$J$109,7,FALSE)),"",VLOOKUP(NY2,Water!$D$6:$J$109,7,FALSE))</f>
        <v>Yes</v>
      </c>
      <c r="NZ3" t="str">
        <f>IF(ISBLANK(VLOOKUP(NZ2,Water!$D$6:$J$109,7,FALSE)),"",VLOOKUP(NZ2,Water!$D$6:$J$109,7,FALSE))</f>
        <v/>
      </c>
      <c r="OA3" t="str">
        <f>IF(ISBLANK(VLOOKUP(OA2,Water!$D$6:$J$109,7,FALSE)),"",VLOOKUP(OA2,Water!$D$6:$J$109,7,FALSE))</f>
        <v/>
      </c>
      <c r="OB3" t="str">
        <f>IF(ISBLANK(VLOOKUP(OB2,Water!$D$6:$J$109,7,FALSE)),"",VLOOKUP(OB2,Water!$D$6:$J$109,7,FALSE))</f>
        <v/>
      </c>
      <c r="OC3" t="str">
        <f>IF(ISBLANK(VLOOKUP(OC2,Water!$D$6:$J$109,7,FALSE)),"",VLOOKUP(OC2,Water!$D$6:$J$109,7,FALSE))</f>
        <v/>
      </c>
      <c r="OD3" t="str">
        <f>IF(ISBLANK(VLOOKUP(OD2,Water!$D$6:$J$109,7,FALSE)),"",VLOOKUP(OD2,Water!$D$6:$J$109,7,FALSE))</f>
        <v/>
      </c>
      <c r="OE3" t="str">
        <f>IF(ISBLANK(VLOOKUP(OC2,Water!$D$6:$J$109,7,FALSE)),"",VLOOKUP(OC2,Water!$D$6:$J$109,7,FALSE))</f>
        <v/>
      </c>
      <c r="OF3" t="str">
        <f>IF(ISBLANK(VLOOKUP(OD2,Water!$D$6:$J$109,7,FALSE)),"",VLOOKUP(OD2,Water!$D$6:$J$109,7,FALSE))</f>
        <v/>
      </c>
      <c r="OG3" t="str">
        <f>IF(ISBLANK(VLOOKUP(OE2,Water!$D$6:$J$109,7,FALSE)),"",VLOOKUP(OE2,Water!$D$6:$J$109,7,FALSE))</f>
        <v>Yes</v>
      </c>
      <c r="OH3" t="str">
        <f>IF(ISBLANK(VLOOKUP(OF2,Water!$D$6:$J$109,7,FALSE)),"",VLOOKUP(OF2,Water!$D$6:$J$109,7,FALSE))</f>
        <v>No</v>
      </c>
      <c r="OI3" t="str">
        <f>IF(ISBLANK(VLOOKUP(OI2,Wastewater!$D$6:$H$127,5,FALSE)),"",VLOOKUP(OI2,Wastewater!$D$6:$H$127,5,FALSE))</f>
        <v/>
      </c>
      <c r="OJ3" t="str">
        <f>IF(ISBLANK(VLOOKUP(OJ2,Wastewater!$D$6:$H$127,5,FALSE)),"",VLOOKUP(OJ2,Wastewater!$D$6:$H$127,5,FALSE))</f>
        <v/>
      </c>
      <c r="OK3" t="str">
        <f>IF(ISBLANK(VLOOKUP(OK2,Wastewater!$D$6:$H$127,5,FALSE)),"",VLOOKUP(OK2,Wastewater!$D$6:$H$127,5,FALSE))</f>
        <v/>
      </c>
      <c r="OL3" t="str">
        <f>IF(ISBLANK(VLOOKUP(OL2,Wastewater!$D$6:$H$127,5,FALSE)),"",VLOOKUP(OL2,Wastewater!$D$6:$H$127,5,FALSE))</f>
        <v/>
      </c>
      <c r="OM3" t="str">
        <f>IF(ISBLANK(VLOOKUP(OM2,Wastewater!$D$6:$H$127,5,FALSE)),"",VLOOKUP(OM2,Wastewater!$D$6:$H$127,5,FALSE))</f>
        <v>NO</v>
      </c>
      <c r="ON3" t="str">
        <f>IF(ISBLANK(VLOOKUP(ON2,Wastewater!$D$6:$H$127,5,FALSE)),"",VLOOKUP(ON2,Wastewater!$D$6:$H$127,5,FALSE))</f>
        <v>No</v>
      </c>
      <c r="OO3" t="str">
        <f>IF(ISBLANK(VLOOKUP(OO2,Wastewater!$D$6:$H$127,5,FALSE)),"",VLOOKUP(OO2,Wastewater!$D$6:$H$127,5,FALSE))</f>
        <v>No</v>
      </c>
      <c r="OP3" t="str">
        <f>IF(ISBLANK(VLOOKUP(OP2,Wastewater!$D$6:$H$127,5,FALSE)),"",VLOOKUP(OP2,Wastewater!$D$6:$H$127,5,FALSE))</f>
        <v>Yes</v>
      </c>
      <c r="OQ3" t="str">
        <f>IF(ISBLANK(VLOOKUP(OQ2,Stormwater!$D$6:$H$80,5,FALSE)),"",VLOOKUP(OQ2,Stormwater!$D$6:$H$80,5,FALSE))</f>
        <v/>
      </c>
      <c r="OR3" t="str">
        <f>IF(ISBLANK(VLOOKUP(OR2,Stormwater!$D$6:$H$80,5,FALSE)),"",VLOOKUP(OR2,Stormwater!$D$6:$H$80,5,FALSE))</f>
        <v/>
      </c>
      <c r="OS3" t="str">
        <f>IF(ISBLANK(VLOOKUP(OS2,Stormwater!$D$6:$H$80,5,FALSE)),"",VLOOKUP(OS2,Stormwater!$D$6:$H$80,5,FALSE))</f>
        <v/>
      </c>
      <c r="OT3" t="str">
        <f>IF(ISBLANK(VLOOKUP(OT2,Stormwater!$D$6:$H$80,5,FALSE)),"",VLOOKUP(OT2,Stormwater!$D$6:$H$80,5,FALSE))</f>
        <v/>
      </c>
      <c r="OU3" t="str">
        <f>IF(ISBLANK(VLOOKUP(OU2,Stormwater!$D$6:$H$80,5,FALSE)),"",VLOOKUP(OU2,Stormwater!$D$6:$H$80,5,FALSE))</f>
        <v/>
      </c>
      <c r="OV3" t="str">
        <f>IF(ISBLANK(VLOOKUP(OV2,Stormwater!$D$6:$H$80,5,FALSE)),"",VLOOKUP(OV2,Stormwater!$D$6:$H$80,5,FALSE))</f>
        <v/>
      </c>
      <c r="OW3" t="str">
        <f>IF(ISBLANK(VLOOKUP(OW2,Stormwater!$D$6:$H$80,5,FALSE)),"",VLOOKUP(OW2,Stormwater!$D$6:$H$80,5,FALSE))</f>
        <v/>
      </c>
      <c r="OX3" t="str">
        <f>IF(ISBLANK(VLOOKUP(OX2,Stormwater!$D$6:$H$80,5,FALSE)),"",VLOOKUP(OX2,Stormwater!$D$6:$H$80,5,FALSE))</f>
        <v/>
      </c>
      <c r="OY3" t="str">
        <f>IF(ISBLANK(VLOOKUP(OY2,Stormwater!$D$6:$H$80,5,FALSE)),"",VLOOKUP(OY2,Stormwater!$D$6:$H$80,5,FALSE))</f>
        <v/>
      </c>
      <c r="OZ3" t="str">
        <f>IF(ISBLANK(VLOOKUP(OZ2,Stormwater!$D$6:$H$80,5,FALSE)),"",VLOOKUP(OZ2,Stormwater!$D$6:$H$80,5,FALSE))</f>
        <v/>
      </c>
      <c r="PA3" t="str">
        <f>IF(MAX(Water!O40:AH40)=0,"",MAX(Water!O40:AH40))</f>
        <v/>
      </c>
      <c r="PB3" t="str">
        <f>IF(MIN(Water!O40:AH40)=0,"",MIN(Water!O40:AH40))</f>
        <v/>
      </c>
      <c r="PC3" t="str">
        <f>IF(MAX(Water!O47:AH47)=0,"",MAX(Water!O47:AH47))</f>
        <v/>
      </c>
      <c r="PD3" t="str">
        <f>IF(MIN(Water!O47:AH47)=0,"",MIN(Water!O47:AH47))</f>
        <v/>
      </c>
      <c r="PE3" t="str">
        <f>IF(MAX(Water!O48:AH48)=0,"",MAX(Water!O48:AH48))</f>
        <v/>
      </c>
      <c r="PF3" t="str">
        <f>IF(MIN(Water!O48:AH48)=0,"",MIN(Water!O48:AH48))</f>
        <v/>
      </c>
      <c r="PG3" t="str">
        <f>IF(MAX(Water!Q49:AJ49)=0,"",MAX(Water!Q49:AJ49))</f>
        <v/>
      </c>
      <c r="PH3" t="str">
        <f>IF(MIN(Water!Q49:AJ49)=0,"",MIN(Water!Q49:AJ49))</f>
        <v/>
      </c>
      <c r="PI3" t="str">
        <f>IF(MAX(Water!S50:AL50)=0,"",MAX(Water!S50:AL50))</f>
        <v/>
      </c>
      <c r="PJ3" t="str">
        <f>IF(MIN(Water!S50:AL50)=0,"",MIN(Water!S50:AL50))</f>
        <v/>
      </c>
    </row>
    <row r="4" spans="1:426">
      <c r="NE4" s="95"/>
      <c r="NJ4">
        <f>IF(Wastewater_facility_value_at_end_of_reporting_year__WWF24a&gt;0,Wastewater_facility_value_at_end_of_reporting_year__WWF24a,"anything at all please")</f>
        <v>93981645.310000002</v>
      </c>
    </row>
    <row r="5" spans="1:426">
      <c r="A5" t="s">
        <v>2731</v>
      </c>
      <c r="B5" s="120" t="s">
        <v>2732</v>
      </c>
      <c r="C5" t="s">
        <v>2733</v>
      </c>
      <c r="D5" t="s">
        <v>2734</v>
      </c>
      <c r="E5" t="s">
        <v>2735</v>
      </c>
      <c r="F5" t="s">
        <v>2736</v>
      </c>
      <c r="G5" t="s">
        <v>2737</v>
      </c>
      <c r="H5" t="s">
        <v>2738</v>
      </c>
      <c r="I5" t="s">
        <v>2739</v>
      </c>
      <c r="J5" t="s">
        <v>2740</v>
      </c>
      <c r="K5" t="s">
        <v>2741</v>
      </c>
      <c r="L5" t="s">
        <v>2742</v>
      </c>
      <c r="M5" t="s">
        <v>2743</v>
      </c>
      <c r="N5" t="s">
        <v>2744</v>
      </c>
      <c r="O5" t="s">
        <v>2745</v>
      </c>
      <c r="P5" t="s">
        <v>2746</v>
      </c>
      <c r="Q5" t="s">
        <v>2747</v>
      </c>
      <c r="R5" t="s">
        <v>2748</v>
      </c>
      <c r="S5" t="s">
        <v>2749</v>
      </c>
      <c r="T5" t="s">
        <v>2750</v>
      </c>
      <c r="U5" t="s">
        <v>2751</v>
      </c>
      <c r="V5" t="s">
        <v>2752</v>
      </c>
      <c r="W5" t="s">
        <v>2753</v>
      </c>
      <c r="X5" t="s">
        <v>2754</v>
      </c>
      <c r="Y5" t="s">
        <v>2755</v>
      </c>
      <c r="Z5" t="s">
        <v>2756</v>
      </c>
      <c r="AA5" t="s">
        <v>2757</v>
      </c>
      <c r="AB5" t="s">
        <v>2758</v>
      </c>
      <c r="AC5" t="s">
        <v>2759</v>
      </c>
      <c r="AD5" t="s">
        <v>2760</v>
      </c>
      <c r="AE5" t="s">
        <v>2761</v>
      </c>
      <c r="AF5" t="s">
        <v>2762</v>
      </c>
      <c r="AG5" t="s">
        <v>2763</v>
      </c>
      <c r="AH5" t="s">
        <v>2764</v>
      </c>
      <c r="AI5" t="s">
        <v>2765</v>
      </c>
      <c r="AJ5" t="s">
        <v>2766</v>
      </c>
      <c r="AK5" t="s">
        <v>2767</v>
      </c>
      <c r="AL5" t="s">
        <v>2768</v>
      </c>
      <c r="AM5" t="s">
        <v>2769</v>
      </c>
      <c r="AN5" t="s">
        <v>2770</v>
      </c>
      <c r="AO5" t="s">
        <v>2771</v>
      </c>
      <c r="AP5" t="s">
        <v>2772</v>
      </c>
      <c r="AQ5" t="s">
        <v>2773</v>
      </c>
      <c r="AR5" t="s">
        <v>2774</v>
      </c>
      <c r="AS5" t="s">
        <v>2775</v>
      </c>
      <c r="AT5" t="s">
        <v>2776</v>
      </c>
      <c r="AU5" t="s">
        <v>2777</v>
      </c>
      <c r="AV5" t="s">
        <v>2778</v>
      </c>
      <c r="AW5" t="s">
        <v>2779</v>
      </c>
      <c r="AX5" t="s">
        <v>2780</v>
      </c>
      <c r="AY5" t="s">
        <v>2781</v>
      </c>
      <c r="AZ5" t="s">
        <v>2782</v>
      </c>
      <c r="BA5" t="s">
        <v>2783</v>
      </c>
      <c r="BB5" t="s">
        <v>2784</v>
      </c>
      <c r="BC5" t="s">
        <v>2785</v>
      </c>
      <c r="BD5" t="s">
        <v>2786</v>
      </c>
      <c r="BE5" s="104" t="s">
        <v>2787</v>
      </c>
      <c r="BF5" t="s">
        <v>2788</v>
      </c>
      <c r="BG5" t="s">
        <v>2789</v>
      </c>
      <c r="BH5" t="s">
        <v>2790</v>
      </c>
      <c r="BI5" t="s">
        <v>2791</v>
      </c>
      <c r="BJ5" t="s">
        <v>2792</v>
      </c>
      <c r="BK5" t="s">
        <v>2793</v>
      </c>
      <c r="BL5" t="s">
        <v>2794</v>
      </c>
      <c r="BM5" t="s">
        <v>2795</v>
      </c>
      <c r="BN5" t="s">
        <v>2796</v>
      </c>
      <c r="BO5" t="s">
        <v>2797</v>
      </c>
      <c r="BP5" t="s">
        <v>2798</v>
      </c>
      <c r="BQ5" t="s">
        <v>2799</v>
      </c>
      <c r="BR5" t="s">
        <v>2800</v>
      </c>
      <c r="BS5" t="s">
        <v>2801</v>
      </c>
      <c r="BT5" t="s">
        <v>2802</v>
      </c>
      <c r="BU5" t="s">
        <v>2803</v>
      </c>
      <c r="BV5" t="s">
        <v>2804</v>
      </c>
      <c r="BW5" t="s">
        <v>2805</v>
      </c>
      <c r="BX5" t="s">
        <v>2806</v>
      </c>
      <c r="BY5" t="s">
        <v>2807</v>
      </c>
      <c r="BZ5" t="s">
        <v>2808</v>
      </c>
      <c r="CA5" t="s">
        <v>2809</v>
      </c>
      <c r="CB5" t="s">
        <v>2810</v>
      </c>
      <c r="CC5" t="s">
        <v>2811</v>
      </c>
      <c r="CD5" t="s">
        <v>2812</v>
      </c>
      <c r="CE5" t="s">
        <v>2813</v>
      </c>
      <c r="CF5" t="s">
        <v>2814</v>
      </c>
      <c r="CG5" t="s">
        <v>2815</v>
      </c>
      <c r="CH5" t="s">
        <v>2816</v>
      </c>
      <c r="CI5" t="s">
        <v>2817</v>
      </c>
      <c r="CJ5" t="s">
        <v>2818</v>
      </c>
      <c r="CK5" t="s">
        <v>2819</v>
      </c>
      <c r="CL5" t="s">
        <v>2820</v>
      </c>
      <c r="CM5" t="s">
        <v>2821</v>
      </c>
      <c r="CN5" t="s">
        <v>2822</v>
      </c>
      <c r="CO5" t="s">
        <v>2823</v>
      </c>
      <c r="CP5" t="s">
        <v>2824</v>
      </c>
      <c r="CQ5" t="s">
        <v>2825</v>
      </c>
      <c r="CR5" t="s">
        <v>2826</v>
      </c>
      <c r="CS5" t="s">
        <v>2827</v>
      </c>
      <c r="CT5" t="s">
        <v>2828</v>
      </c>
      <c r="CU5" t="s">
        <v>2829</v>
      </c>
      <c r="CV5" t="s">
        <v>2830</v>
      </c>
      <c r="CW5" t="s">
        <v>2831</v>
      </c>
      <c r="CX5" t="s">
        <v>2832</v>
      </c>
      <c r="CY5" t="s">
        <v>2833</v>
      </c>
      <c r="CZ5" t="s">
        <v>2834</v>
      </c>
      <c r="DA5" t="s">
        <v>2835</v>
      </c>
      <c r="DB5" t="s">
        <v>2836</v>
      </c>
      <c r="DC5" t="s">
        <v>2837</v>
      </c>
      <c r="DD5" t="s">
        <v>2838</v>
      </c>
      <c r="DE5" t="s">
        <v>2839</v>
      </c>
      <c r="DF5" t="s">
        <v>2840</v>
      </c>
      <c r="DG5" t="s">
        <v>2841</v>
      </c>
      <c r="DH5" t="s">
        <v>2842</v>
      </c>
      <c r="DI5" t="s">
        <v>2843</v>
      </c>
      <c r="DJ5" t="s">
        <v>2844</v>
      </c>
      <c r="DK5" t="s">
        <v>2845</v>
      </c>
      <c r="DL5" t="s">
        <v>2846</v>
      </c>
      <c r="DM5" t="s">
        <v>2847</v>
      </c>
      <c r="DN5" t="s">
        <v>2848</v>
      </c>
      <c r="DO5" t="s">
        <v>2849</v>
      </c>
      <c r="DP5" t="s">
        <v>2850</v>
      </c>
      <c r="DQ5" t="s">
        <v>2851</v>
      </c>
      <c r="DR5" t="s">
        <v>2852</v>
      </c>
      <c r="DS5" t="s">
        <v>2853</v>
      </c>
      <c r="DT5" t="s">
        <v>2854</v>
      </c>
      <c r="DU5" t="s">
        <v>2855</v>
      </c>
      <c r="DV5" t="s">
        <v>2856</v>
      </c>
      <c r="DW5" t="s">
        <v>2857</v>
      </c>
      <c r="DX5" t="s">
        <v>2858</v>
      </c>
      <c r="DY5" t="s">
        <v>2859</v>
      </c>
      <c r="DZ5" t="s">
        <v>2860</v>
      </c>
      <c r="EA5" t="s">
        <v>2861</v>
      </c>
      <c r="EB5" t="s">
        <v>2862</v>
      </c>
      <c r="EC5" t="s">
        <v>2863</v>
      </c>
      <c r="ED5" t="s">
        <v>2864</v>
      </c>
      <c r="EE5" t="s">
        <v>2865</v>
      </c>
      <c r="EF5" t="s">
        <v>2866</v>
      </c>
      <c r="EG5" t="s">
        <v>2867</v>
      </c>
      <c r="EH5" t="s">
        <v>2868</v>
      </c>
      <c r="EI5" t="s">
        <v>2869</v>
      </c>
      <c r="EJ5" t="s">
        <v>2870</v>
      </c>
      <c r="EK5" t="s">
        <v>2871</v>
      </c>
      <c r="EL5" t="s">
        <v>2872</v>
      </c>
      <c r="EM5" t="s">
        <v>2873</v>
      </c>
      <c r="EN5" t="s">
        <v>2874</v>
      </c>
      <c r="EO5" t="s">
        <v>2875</v>
      </c>
      <c r="EP5" t="s">
        <v>2876</v>
      </c>
      <c r="EQ5" t="s">
        <v>2877</v>
      </c>
      <c r="ER5" t="s">
        <v>2878</v>
      </c>
      <c r="ES5" t="s">
        <v>2879</v>
      </c>
      <c r="ET5" t="s">
        <v>2880</v>
      </c>
      <c r="EU5" t="s">
        <v>2881</v>
      </c>
      <c r="EV5" t="s">
        <v>2882</v>
      </c>
      <c r="EW5" t="s">
        <v>2883</v>
      </c>
      <c r="EX5" t="s">
        <v>2884</v>
      </c>
      <c r="EY5" t="s">
        <v>2885</v>
      </c>
      <c r="EZ5" t="s">
        <v>2886</v>
      </c>
      <c r="FA5" t="s">
        <v>2887</v>
      </c>
      <c r="FB5" t="s">
        <v>2888</v>
      </c>
      <c r="FC5" t="s">
        <v>2889</v>
      </c>
      <c r="FD5" t="s">
        <v>2890</v>
      </c>
      <c r="FE5" t="s">
        <v>2891</v>
      </c>
      <c r="FF5" t="s">
        <v>2892</v>
      </c>
      <c r="FG5" t="s">
        <v>2893</v>
      </c>
      <c r="FH5" t="s">
        <v>2894</v>
      </c>
      <c r="FI5" t="s">
        <v>2895</v>
      </c>
      <c r="FJ5" t="s">
        <v>2896</v>
      </c>
      <c r="FK5" t="s">
        <v>2897</v>
      </c>
      <c r="FL5" t="s">
        <v>2898</v>
      </c>
      <c r="FM5" t="s">
        <v>2899</v>
      </c>
      <c r="FN5" t="s">
        <v>2900</v>
      </c>
      <c r="FO5" t="s">
        <v>2901</v>
      </c>
      <c r="FP5" t="s">
        <v>2902</v>
      </c>
      <c r="FQ5" t="s">
        <v>2903</v>
      </c>
      <c r="FR5" t="s">
        <v>2904</v>
      </c>
      <c r="FS5" t="s">
        <v>2905</v>
      </c>
      <c r="FT5" t="s">
        <v>2906</v>
      </c>
      <c r="FU5" t="s">
        <v>2907</v>
      </c>
      <c r="FV5" t="s">
        <v>2908</v>
      </c>
      <c r="FW5" t="s">
        <v>2909</v>
      </c>
      <c r="FX5" t="s">
        <v>2910</v>
      </c>
      <c r="FY5" t="s">
        <v>2911</v>
      </c>
      <c r="FZ5" t="s">
        <v>2912</v>
      </c>
      <c r="GA5" t="s">
        <v>2913</v>
      </c>
      <c r="GB5" t="s">
        <v>2914</v>
      </c>
      <c r="GC5" t="s">
        <v>2915</v>
      </c>
      <c r="GD5" t="s">
        <v>2916</v>
      </c>
      <c r="GE5" t="s">
        <v>2917</v>
      </c>
      <c r="GF5" t="s">
        <v>2918</v>
      </c>
      <c r="GG5" t="s">
        <v>2919</v>
      </c>
      <c r="GH5" t="s">
        <v>2920</v>
      </c>
      <c r="GI5" t="s">
        <v>2921</v>
      </c>
      <c r="GJ5" t="s">
        <v>2922</v>
      </c>
      <c r="GK5" t="s">
        <v>2923</v>
      </c>
      <c r="GL5" t="s">
        <v>2924</v>
      </c>
      <c r="GM5" t="s">
        <v>2925</v>
      </c>
      <c r="GN5" t="s">
        <v>2926</v>
      </c>
      <c r="GO5" t="s">
        <v>2927</v>
      </c>
      <c r="GP5" t="s">
        <v>2928</v>
      </c>
      <c r="GQ5" t="s">
        <v>2929</v>
      </c>
      <c r="GR5" t="s">
        <v>2930</v>
      </c>
      <c r="GS5" t="s">
        <v>2931</v>
      </c>
      <c r="GT5" t="s">
        <v>2932</v>
      </c>
      <c r="GU5" t="s">
        <v>2933</v>
      </c>
      <c r="GV5" t="s">
        <v>2934</v>
      </c>
      <c r="GW5" t="s">
        <v>2935</v>
      </c>
      <c r="GX5" t="s">
        <v>2936</v>
      </c>
      <c r="GY5" t="s">
        <v>2937</v>
      </c>
      <c r="GZ5" t="s">
        <v>2938</v>
      </c>
      <c r="HA5" t="s">
        <v>2939</v>
      </c>
      <c r="HB5" t="s">
        <v>2940</v>
      </c>
      <c r="HC5" t="s">
        <v>2941</v>
      </c>
      <c r="HD5" t="s">
        <v>2942</v>
      </c>
      <c r="HE5" t="s">
        <v>2943</v>
      </c>
      <c r="HF5" t="s">
        <v>2944</v>
      </c>
      <c r="HG5" t="s">
        <v>2945</v>
      </c>
      <c r="HH5" t="s">
        <v>2946</v>
      </c>
      <c r="HI5" t="s">
        <v>2947</v>
      </c>
      <c r="HJ5" t="s">
        <v>2948</v>
      </c>
      <c r="HK5" t="s">
        <v>2949</v>
      </c>
      <c r="HL5" t="s">
        <v>2950</v>
      </c>
      <c r="HM5" t="s">
        <v>2951</v>
      </c>
      <c r="HN5" t="s">
        <v>2952</v>
      </c>
      <c r="HO5" t="s">
        <v>2953</v>
      </c>
      <c r="HP5" t="s">
        <v>2954</v>
      </c>
      <c r="HQ5" t="s">
        <v>2955</v>
      </c>
      <c r="HR5" t="s">
        <v>2956</v>
      </c>
      <c r="HS5" t="s">
        <v>2957</v>
      </c>
      <c r="HT5" t="s">
        <v>2958</v>
      </c>
      <c r="HU5" t="s">
        <v>2959</v>
      </c>
      <c r="HV5" t="s">
        <v>2960</v>
      </c>
      <c r="HW5" t="s">
        <v>2961</v>
      </c>
      <c r="HX5" t="s">
        <v>2962</v>
      </c>
      <c r="HY5" t="s">
        <v>2963</v>
      </c>
      <c r="HZ5" t="s">
        <v>2964</v>
      </c>
      <c r="IA5" t="s">
        <v>2965</v>
      </c>
      <c r="IB5" t="s">
        <v>2966</v>
      </c>
      <c r="IC5" t="s">
        <v>2967</v>
      </c>
      <c r="ID5" t="s">
        <v>2968</v>
      </c>
      <c r="IE5" t="s">
        <v>2969</v>
      </c>
      <c r="IF5" t="s">
        <v>2970</v>
      </c>
      <c r="IG5" t="s">
        <v>2971</v>
      </c>
      <c r="IH5" t="s">
        <v>2972</v>
      </c>
      <c r="II5" t="s">
        <v>2973</v>
      </c>
      <c r="IJ5" t="s">
        <v>2974</v>
      </c>
      <c r="IK5" t="s">
        <v>2975</v>
      </c>
      <c r="IL5" t="s">
        <v>2976</v>
      </c>
      <c r="IM5" t="s">
        <v>2977</v>
      </c>
      <c r="IN5" t="s">
        <v>2978</v>
      </c>
      <c r="IO5" t="s">
        <v>2979</v>
      </c>
      <c r="IP5" t="s">
        <v>2980</v>
      </c>
      <c r="IQ5" t="s">
        <v>2981</v>
      </c>
      <c r="IR5" t="s">
        <v>2982</v>
      </c>
      <c r="IS5" t="s">
        <v>2983</v>
      </c>
      <c r="IT5" t="s">
        <v>2984</v>
      </c>
      <c r="IU5" t="s">
        <v>2985</v>
      </c>
      <c r="IV5" t="s">
        <v>2986</v>
      </c>
      <c r="IW5" t="s">
        <v>2987</v>
      </c>
      <c r="IX5" t="s">
        <v>2988</v>
      </c>
      <c r="IY5" t="s">
        <v>2989</v>
      </c>
      <c r="IZ5" t="s">
        <v>2990</v>
      </c>
      <c r="JA5" t="s">
        <v>2991</v>
      </c>
      <c r="JB5" t="s">
        <v>2992</v>
      </c>
      <c r="JC5" t="s">
        <v>2993</v>
      </c>
      <c r="JD5" t="s">
        <v>2994</v>
      </c>
      <c r="JE5" t="s">
        <v>2995</v>
      </c>
      <c r="JF5" t="s">
        <v>2996</v>
      </c>
      <c r="JG5" t="s">
        <v>2997</v>
      </c>
      <c r="JH5" t="s">
        <v>2998</v>
      </c>
      <c r="JI5" t="s">
        <v>2999</v>
      </c>
      <c r="JJ5" t="s">
        <v>3000</v>
      </c>
      <c r="JK5" t="s">
        <v>3001</v>
      </c>
      <c r="JL5" t="s">
        <v>3002</v>
      </c>
      <c r="JM5" t="s">
        <v>3003</v>
      </c>
      <c r="JN5" t="s">
        <v>3004</v>
      </c>
      <c r="JO5" t="s">
        <v>3005</v>
      </c>
      <c r="JP5" t="s">
        <v>3006</v>
      </c>
      <c r="JQ5" t="s">
        <v>3007</v>
      </c>
      <c r="JR5" t="s">
        <v>3008</v>
      </c>
      <c r="JS5" t="s">
        <v>3009</v>
      </c>
      <c r="JT5" t="s">
        <v>3010</v>
      </c>
      <c r="JU5" t="s">
        <v>3011</v>
      </c>
      <c r="JV5" t="s">
        <v>3012</v>
      </c>
      <c r="JW5" t="s">
        <v>3013</v>
      </c>
      <c r="JX5" t="s">
        <v>3014</v>
      </c>
      <c r="JY5" t="s">
        <v>3015</v>
      </c>
      <c r="JZ5" t="s">
        <v>3016</v>
      </c>
      <c r="KA5" t="s">
        <v>3017</v>
      </c>
      <c r="KB5" t="s">
        <v>3018</v>
      </c>
      <c r="KC5" t="s">
        <v>3019</v>
      </c>
      <c r="KD5" t="s">
        <v>3020</v>
      </c>
      <c r="KE5" t="s">
        <v>3021</v>
      </c>
      <c r="KF5" t="s">
        <v>3022</v>
      </c>
      <c r="KG5" t="s">
        <v>3023</v>
      </c>
      <c r="KH5" t="s">
        <v>3024</v>
      </c>
      <c r="KI5" t="s">
        <v>3025</v>
      </c>
      <c r="KJ5" t="s">
        <v>3026</v>
      </c>
      <c r="KK5" t="s">
        <v>3027</v>
      </c>
      <c r="KL5" t="s">
        <v>3028</v>
      </c>
      <c r="KM5" t="s">
        <v>3029</v>
      </c>
      <c r="KN5" t="s">
        <v>3030</v>
      </c>
      <c r="KO5" t="s">
        <v>3031</v>
      </c>
      <c r="KP5" t="s">
        <v>3032</v>
      </c>
      <c r="KQ5" t="s">
        <v>3033</v>
      </c>
      <c r="KR5" t="s">
        <v>3034</v>
      </c>
      <c r="KS5" t="s">
        <v>3035</v>
      </c>
      <c r="KT5" t="s">
        <v>3036</v>
      </c>
      <c r="KU5" t="s">
        <v>3037</v>
      </c>
      <c r="KV5" t="s">
        <v>3038</v>
      </c>
      <c r="KW5" t="s">
        <v>3039</v>
      </c>
      <c r="KX5" t="s">
        <v>3040</v>
      </c>
      <c r="KY5" t="s">
        <v>3041</v>
      </c>
      <c r="KZ5" t="s">
        <v>3042</v>
      </c>
      <c r="LA5" t="s">
        <v>3043</v>
      </c>
      <c r="LB5" t="s">
        <v>3044</v>
      </c>
      <c r="LC5" t="s">
        <v>3045</v>
      </c>
      <c r="LD5" t="s">
        <v>3046</v>
      </c>
      <c r="LE5" t="s">
        <v>3047</v>
      </c>
      <c r="LF5" t="s">
        <v>3048</v>
      </c>
      <c r="LG5" t="s">
        <v>3049</v>
      </c>
      <c r="LH5" t="s">
        <v>3050</v>
      </c>
      <c r="LI5" t="s">
        <v>3051</v>
      </c>
      <c r="LJ5" t="s">
        <v>3052</v>
      </c>
      <c r="LK5" t="s">
        <v>3053</v>
      </c>
      <c r="LL5" t="s">
        <v>3054</v>
      </c>
      <c r="LM5" t="s">
        <v>3055</v>
      </c>
      <c r="LN5" t="s">
        <v>3056</v>
      </c>
      <c r="LO5" t="s">
        <v>3057</v>
      </c>
      <c r="LP5" t="s">
        <v>3058</v>
      </c>
      <c r="LQ5" t="s">
        <v>3059</v>
      </c>
      <c r="LR5" t="s">
        <v>3060</v>
      </c>
      <c r="LS5" t="s">
        <v>3061</v>
      </c>
      <c r="LT5" t="s">
        <v>3062</v>
      </c>
      <c r="LU5" t="s">
        <v>3063</v>
      </c>
      <c r="LV5" t="s">
        <v>3064</v>
      </c>
      <c r="LW5" s="121" t="s">
        <v>3065</v>
      </c>
      <c r="LX5" s="121" t="s">
        <v>3066</v>
      </c>
      <c r="LY5" s="121" t="s">
        <v>3067</v>
      </c>
      <c r="LZ5" s="121" t="s">
        <v>3068</v>
      </c>
      <c r="MA5" s="121" t="s">
        <v>3069</v>
      </c>
      <c r="MB5" s="121" t="s">
        <v>3070</v>
      </c>
      <c r="MC5" s="121" t="s">
        <v>3071</v>
      </c>
      <c r="MD5" s="121" t="s">
        <v>3072</v>
      </c>
      <c r="ME5" s="121" t="s">
        <v>3073</v>
      </c>
      <c r="MF5" s="121" t="s">
        <v>3074</v>
      </c>
      <c r="MG5" s="121" t="s">
        <v>3075</v>
      </c>
      <c r="MH5" s="121" t="s">
        <v>3076</v>
      </c>
      <c r="MI5" s="121" t="s">
        <v>3077</v>
      </c>
      <c r="MJ5" s="121" t="s">
        <v>3078</v>
      </c>
      <c r="MK5" s="121" t="s">
        <v>3079</v>
      </c>
      <c r="ML5" s="121" t="s">
        <v>3080</v>
      </c>
      <c r="MM5" s="121" t="s">
        <v>3081</v>
      </c>
      <c r="MN5" s="121" t="s">
        <v>3082</v>
      </c>
      <c r="MO5" s="121" t="s">
        <v>3083</v>
      </c>
      <c r="MP5" s="121" t="s">
        <v>3084</v>
      </c>
      <c r="MQ5" s="121" t="s">
        <v>3085</v>
      </c>
      <c r="MR5" s="121" t="s">
        <v>3086</v>
      </c>
      <c r="MS5" s="121" t="s">
        <v>3087</v>
      </c>
      <c r="MT5" s="121" t="s">
        <v>3088</v>
      </c>
      <c r="MU5" s="121" t="s">
        <v>3089</v>
      </c>
      <c r="MV5" s="121" t="s">
        <v>3090</v>
      </c>
      <c r="MW5" s="121" t="s">
        <v>3091</v>
      </c>
      <c r="MX5" s="121" t="s">
        <v>3092</v>
      </c>
      <c r="MY5" s="121" t="s">
        <v>3093</v>
      </c>
      <c r="MZ5" s="121" t="s">
        <v>3094</v>
      </c>
      <c r="NA5" s="121" t="s">
        <v>3095</v>
      </c>
      <c r="NB5" s="121" t="s">
        <v>3096</v>
      </c>
      <c r="NC5" s="121" t="s">
        <v>3097</v>
      </c>
      <c r="ND5" s="121" t="s">
        <v>3098</v>
      </c>
      <c r="NE5" s="121" t="s">
        <v>3099</v>
      </c>
      <c r="NF5" s="121" t="s">
        <v>3100</v>
      </c>
      <c r="NG5" s="121" t="s">
        <v>3101</v>
      </c>
      <c r="NH5" s="121" t="s">
        <v>3102</v>
      </c>
      <c r="NI5" s="121" t="s">
        <v>3103</v>
      </c>
      <c r="NJ5" s="121" t="s">
        <v>3104</v>
      </c>
      <c r="NK5" s="121" t="s">
        <v>3105</v>
      </c>
      <c r="NL5" s="121" t="s">
        <v>3106</v>
      </c>
      <c r="NM5" s="121" t="s">
        <v>3107</v>
      </c>
      <c r="NN5" s="121" t="s">
        <v>3108</v>
      </c>
      <c r="NO5" t="s">
        <v>3109</v>
      </c>
      <c r="NP5" t="s">
        <v>3110</v>
      </c>
      <c r="NQ5" t="s">
        <v>3111</v>
      </c>
      <c r="NR5" t="s">
        <v>3112</v>
      </c>
      <c r="NS5" t="s">
        <v>3113</v>
      </c>
      <c r="NT5" t="s">
        <v>3114</v>
      </c>
      <c r="NU5" t="s">
        <v>3115</v>
      </c>
      <c r="NV5" t="s">
        <v>3116</v>
      </c>
      <c r="NW5" t="s">
        <v>3117</v>
      </c>
      <c r="NX5" t="s">
        <v>3118</v>
      </c>
      <c r="NY5" t="s">
        <v>3119</v>
      </c>
      <c r="NZ5" t="s">
        <v>3120</v>
      </c>
      <c r="OA5" t="s">
        <v>3121</v>
      </c>
      <c r="OB5" t="s">
        <v>3122</v>
      </c>
      <c r="OC5" t="s">
        <v>3123</v>
      </c>
      <c r="OD5" t="s">
        <v>3124</v>
      </c>
      <c r="OE5" t="s">
        <v>3125</v>
      </c>
      <c r="OF5" t="s">
        <v>3126</v>
      </c>
      <c r="OG5" t="s">
        <v>3127</v>
      </c>
      <c r="OH5" t="s">
        <v>3128</v>
      </c>
      <c r="OI5" t="s">
        <v>3129</v>
      </c>
      <c r="OJ5" t="s">
        <v>3130</v>
      </c>
      <c r="OK5" t="s">
        <v>3131</v>
      </c>
      <c r="OL5" t="s">
        <v>3132</v>
      </c>
      <c r="OM5" t="s">
        <v>3133</v>
      </c>
      <c r="ON5" t="s">
        <v>3134</v>
      </c>
      <c r="OO5" t="s">
        <v>3135</v>
      </c>
      <c r="OP5" t="s">
        <v>3136</v>
      </c>
      <c r="OQ5" t="s">
        <v>3137</v>
      </c>
      <c r="OR5" t="s">
        <v>3138</v>
      </c>
      <c r="OS5" t="s">
        <v>3139</v>
      </c>
      <c r="OT5" t="s">
        <v>3140</v>
      </c>
      <c r="OU5" t="s">
        <v>3141</v>
      </c>
      <c r="OV5" t="s">
        <v>3142</v>
      </c>
      <c r="OW5" t="s">
        <v>3143</v>
      </c>
      <c r="OX5" t="s">
        <v>3144</v>
      </c>
      <c r="OY5" t="s">
        <v>3145</v>
      </c>
      <c r="OZ5" t="s">
        <v>3146</v>
      </c>
    </row>
    <row r="6" spans="1:426">
      <c r="A6" t="str">
        <f>IF(ISBLANK(VLOOKUP(A2,Common!$D$6:$I$27,6,FALSE)),"",VLOOKUP(A2,Common!$D$6:$I$27,6,FALSE))</f>
        <v/>
      </c>
      <c r="B6" t="str">
        <f>IF(ISBLANK(VLOOKUP(B2,Common!$D$6:$I$27,6,FALSE)),"",VLOOKUP(B2,Common!$D$6:$I$27,6,FALSE))</f>
        <v/>
      </c>
      <c r="C6" t="str">
        <f>IF(ISBLANK(VLOOKUP(C2,Common!$D$6:$I$27,6,FALSE)),"",VLOOKUP(C2,Common!$D$6:$I$27,6,FALSE))</f>
        <v/>
      </c>
      <c r="D6" t="str">
        <f>IF(ISBLANK(VLOOKUP(D2,Common!$D$6:$I$27,6,FALSE)),"",VLOOKUP(D2,Common!$D$6:$I$27,6,FALSE))</f>
        <v/>
      </c>
      <c r="E6" t="str">
        <f>IF(ISBLANK(VLOOKUP(E2,Common!$D$6:$I$27,6,FALSE)),"",VLOOKUP(E2,Common!$D$6:$I$27,6,FALSE))</f>
        <v>Calc</v>
      </c>
      <c r="F6" t="str">
        <f>IF(ISBLANK(VLOOKUP(F2,Common!$D$6:$I$27,6,FALSE)),"",VLOOKUP(F2,Common!$D$6:$I$27,6,FALSE))</f>
        <v>Calc</v>
      </c>
      <c r="G6" t="str">
        <f>IF(ISBLANK(VLOOKUP(G2,Common!$D$6:$I$27,6,FALSE)),"",VLOOKUP(G2,Common!$D$6:$I$27,6,FALSE))</f>
        <v/>
      </c>
      <c r="H6" t="str">
        <f>IF(ISBLANK(VLOOKUP(H2,Common!$D$6:$I$27,6,FALSE)),"",VLOOKUP(H2,Common!$D$6:$I$27,6,FALSE))</f>
        <v/>
      </c>
      <c r="I6" t="str">
        <f>IF(ISBLANK(VLOOKUP(I2,Common!$D$6:$I$27,6,FALSE)),"",VLOOKUP(I2,Common!$D$6:$I$27,6,FALSE))</f>
        <v/>
      </c>
      <c r="J6" t="str">
        <f>IF(ISBLANK(VLOOKUP(J2,Common!$D$6:$I$27,6,FALSE)),"",VLOOKUP(J2,Common!$D$6:$I$27,6,FALSE))</f>
        <v/>
      </c>
      <c r="K6" t="str">
        <f>IF(ISBLANK(VLOOKUP(K2,Common!$D$6:$I$27,6,FALSE)),"",VLOOKUP(K2,Common!$D$6:$I$27,6,FALSE))</f>
        <v/>
      </c>
      <c r="L6" t="str">
        <f>IF(ISBLANK(VLOOKUP(L2,Common!$D$6:$I$27,6,FALSE)),"",VLOOKUP(L2,Common!$D$6:$I$27,6,FALSE))</f>
        <v/>
      </c>
      <c r="M6" t="str">
        <f>IF(ISBLANK(VLOOKUP(M2,Common!$D$6:$I$27,6,FALSE)),"",VLOOKUP(M2,Common!$D$6:$I$27,6,FALSE))</f>
        <v/>
      </c>
      <c r="N6" t="str">
        <f>IF(ISBLANK(VLOOKUP(N2,Common!$D$6:$I$27,6,FALSE)),"",VLOOKUP(N2,Common!$D$6:$I$27,6,FALSE))</f>
        <v/>
      </c>
      <c r="O6" t="str">
        <f>IF(ISBLANK(VLOOKUP(O2,Common!$D$6:$I$27,6,FALSE)),"",VLOOKUP(O2,Common!$D$6:$I$27,6,FALSE))</f>
        <v/>
      </c>
      <c r="P6" t="str">
        <f>IF(ISBLANK(VLOOKUP(P2,Common!$D$6:$I$27,6,FALSE)),"",VLOOKUP(P2,Common!$D$6:$I$27,6,FALSE))</f>
        <v/>
      </c>
      <c r="Q6" t="str">
        <f>IF(ISBLANK(VLOOKUP(Q2,Common!$D$6:$I$27,6,FALSE)),"",VLOOKUP(Q2,Common!$D$6:$I$27,6,FALSE))</f>
        <v/>
      </c>
      <c r="R6" t="str">
        <f>IF(ISBLANK(VLOOKUP(R2,Common!$D$6:$I$27,6,FALSE)),"",VLOOKUP(R2,Common!$D$6:$I$27,6,FALSE))</f>
        <v/>
      </c>
      <c r="S6" t="str">
        <f>IF(ISBLANK(VLOOKUP(S2,Common!$D$6:$I$27,6,FALSE)),"",VLOOKUP(S2,Common!$D$6:$I$27,6,FALSE))</f>
        <v>Less Reliable</v>
      </c>
      <c r="T6" t="str">
        <f>IF(ISBLANK(VLOOKUP(T2,Common!$D$6:$I$27,6,FALSE)),"",VLOOKUP(T2,Common!$D$6:$I$27,6,FALSE))</f>
        <v>Less Reliable</v>
      </c>
      <c r="U6" t="str">
        <f>IF(ISBLANK(VLOOKUP(U2,Common!$D$6:$I$27,6,FALSE)),"",VLOOKUP(U2,Common!$D$6:$I$27,6,FALSE))</f>
        <v>Less Reliable</v>
      </c>
      <c r="V6" t="str">
        <f>IF(ISBLANK(VLOOKUP(V2,Common!$D$6:$I$27,6,FALSE)),"",VLOOKUP(V2,Common!$D$6:$I$27,6,FALSE))</f>
        <v>Less Reliable</v>
      </c>
      <c r="W6" t="str">
        <f>IF(ISBLANK(VLOOKUP(W2,Water!$D$6:$K$109,8,FALSE)),"",VLOOKUP(W2,Water!$D$6:$K$109,8,FALSE))</f>
        <v>Less Reliable</v>
      </c>
      <c r="X6" t="str">
        <f>IF(ISBLANK(VLOOKUP(X2,Water!$D$6:$K$109,8,FALSE)),"",VLOOKUP(X2,Water!$D$6:$K$109,8,FALSE))</f>
        <v>Calc</v>
      </c>
      <c r="Y6" t="str">
        <f>IF(ISBLANK(VLOOKUP(Y2,Water!$D$6:$K$109,8,FALSE)),"",VLOOKUP(Y2,Water!$D$6:$K$109,8,FALSE))</f>
        <v>Less Reliable</v>
      </c>
      <c r="Z6" t="str">
        <f>IF(ISBLANK(VLOOKUP(Z2,Water!$D$6:$K$109,8,FALSE)),"",VLOOKUP(Z2,Water!$D$6:$K$109,8,FALSE))</f>
        <v>Less Reliable</v>
      </c>
      <c r="AA6" t="str">
        <f>IF(ISBLANK(VLOOKUP(AA2,Water!$D$6:$K$109,8,FALSE)),"",VLOOKUP(AA2,Water!$D$6:$K$109,8,FALSE))</f>
        <v>Calc</v>
      </c>
      <c r="AB6" t="str">
        <f>IF(ISBLANK(VLOOKUP(AB2,Water!$D$6:$K$109,8,FALSE)),"",VLOOKUP(AB2,Water!$D$6:$K$109,8,FALSE))</f>
        <v>Less Reliable</v>
      </c>
      <c r="AC6" t="str">
        <f>IF(ISBLANK(VLOOKUP(AC2,Water!$D$6:$K$109,8,FALSE)),"",VLOOKUP(AC2,Water!$D$6:$K$109,8,FALSE))</f>
        <v/>
      </c>
      <c r="AD6" t="str">
        <f>IF(ISBLANK(VLOOKUP(AD2,Water!$D$6:$K$109,8,FALSE)),"",VLOOKUP(AD2,Water!$D$6:$K$109,8,FALSE))</f>
        <v>Less Reliable</v>
      </c>
      <c r="AF6" t="str">
        <f>IF(ISBLANK(VLOOKUP(AF2,Water!$D$6:$K$109,8,FALSE)),"",VLOOKUP(AF2,Water!$D$6:$K$109,8,FALSE))</f>
        <v>Less Reliable</v>
      </c>
      <c r="AG6" t="str">
        <f>IF(ISBLANK(VLOOKUP(AG2,Water!$D$6:$K$109,8,FALSE)),"",VLOOKUP(AG2,Water!$D$6:$K$109,8,FALSE))</f>
        <v>Calc</v>
      </c>
      <c r="AI6" t="str">
        <f>IF(ISBLANK(VLOOKUP(AI2,Water!$D$6:$K$109,8,FALSE)),"",VLOOKUP(AI2,Water!$D$6:$K$109,8,FALSE))</f>
        <v>Less Reliable</v>
      </c>
      <c r="AO6" t="str">
        <f>IF(ISBLANK(VLOOKUP(AO2,Water!$D$6:$K$109,8,FALSE)),"",VLOOKUP(AO2,Water!$D$6:$K$109,8,FALSE))</f>
        <v/>
      </c>
      <c r="AQ6" t="str">
        <f>IF(ISBLANK(VLOOKUP(AQ2,Water!$D$6:$K$109,8,FALSE)),"",VLOOKUP(AQ2,Water!$D$6:$K$109,8,FALSE))</f>
        <v/>
      </c>
      <c r="AS6" t="str">
        <f>IF(ISBLANK(VLOOKUP(AS2,Water!$D$6:$K$109,8,FALSE)),"",VLOOKUP(AS2,Water!$D$6:$K$109,8,FALSE))</f>
        <v>Reliable</v>
      </c>
      <c r="AT6" t="str">
        <f>IF(ISBLANK(VLOOKUP(AT2,Water!$D$6:$K$109,8,FALSE)),"",VLOOKUP(AT2,Water!$D$6:$K$109,8,FALSE))</f>
        <v>Reliable</v>
      </c>
      <c r="AV6" t="str">
        <f>IF(ISBLANK(VLOOKUP(AV2,Water!$D$6:$K$109,8,FALSE)),"",VLOOKUP(AV2,Water!$D$6:$K$109,8,FALSE))</f>
        <v>Reliable</v>
      </c>
      <c r="AX6" t="str">
        <f>IF(ISBLANK(VLOOKUP(AX2,Water!$D$6:$K$109,8,FALSE)),"",VLOOKUP(AX2,Water!$D$6:$K$109,8,FALSE))</f>
        <v>Reliable</v>
      </c>
      <c r="BA6" t="str">
        <f>IF(ISBLANK(VLOOKUP(BA2,Water!$D$6:$K$109,8,FALSE)),"",VLOOKUP(BA2,Water!$D$6:$K$109,8,FALSE))</f>
        <v>Less Reliable</v>
      </c>
      <c r="BB6" t="str">
        <f>IF(ISBLANK(VLOOKUP(BB2,Water!$D$6:$K$109,8,FALSE)),"",VLOOKUP(BB2,Water!$D$6:$K$109,8,FALSE))</f>
        <v>Less Reliable</v>
      </c>
      <c r="BG6" t="str">
        <f>IF(ISBLANK(VLOOKUP(BG2,Water!$D$6:$K$109,8,FALSE)),"",VLOOKUP(BG2,Water!$D$6:$K$109,8,FALSE))</f>
        <v/>
      </c>
      <c r="BH6" t="str">
        <f>IF(ISBLANK(VLOOKUP(BH2,Water!$D$6:$K$109,8,FALSE)),"",VLOOKUP(BH2,Water!$D$6:$K$109,8,FALSE))</f>
        <v>Less Reliable</v>
      </c>
      <c r="BK6" t="str">
        <f>IF(ISBLANK(VLOOKUP(BK2,Water!$D$6:$K$109,8,FALSE)),"",VLOOKUP(BK2,Water!$D$6:$K$109,8,FALSE))</f>
        <v>Less Reliable</v>
      </c>
      <c r="BL6" t="str">
        <f>IF(ISBLANK(VLOOKUP(BL2,Water!$D$6:$K$109,8,FALSE)),"",VLOOKUP(BL2,Water!$D$6:$K$109,8,FALSE))</f>
        <v>Less Reliable</v>
      </c>
      <c r="BO6" t="str">
        <f>IF(ISBLANK(VLOOKUP(BO2,Water!$D$6:$K$109,8,FALSE)),"",VLOOKUP(BO2,Water!$D$6:$K$109,8,FALSE))</f>
        <v>Less Reliable</v>
      </c>
      <c r="BP6" t="str">
        <f>IF(ISBLANK(VLOOKUP(BP2,Water!$D$6:$K$109,8,FALSE)),"",VLOOKUP(BP2,Water!$D$6:$K$109,8,FALSE))</f>
        <v>Less Reliable</v>
      </c>
      <c r="BQ6" t="str">
        <f>IF(ISBLANK(VLOOKUP(BQ2,Water!$D$6:$K$109,8,FALSE)),"",VLOOKUP(BQ2,Water!$D$6:$K$109,8,FALSE))</f>
        <v/>
      </c>
      <c r="BR6" t="str">
        <f>IF(ISBLANK(VLOOKUP(BR2,Water!$D$6:$K$109,8,FALSE)),"",VLOOKUP(BR2,Water!$D$6:$K$109,8,FALSE))</f>
        <v/>
      </c>
      <c r="BS6" t="str">
        <f>IF(ISBLANK(VLOOKUP(BS2,Water!$D$6:$K$109,8,FALSE)),"",VLOOKUP(BS2,Water!$D$6:$K$109,8,FALSE))</f>
        <v/>
      </c>
      <c r="BT6" t="str">
        <f>IF(ISBLANK(VLOOKUP(BT2,Water!$D$6:$K$109,8,FALSE)),"",VLOOKUP(BT2,Water!$D$6:$K$109,8,FALSE))</f>
        <v/>
      </c>
      <c r="BU6" t="str">
        <f>IF(ISBLANK(VLOOKUP(BU2,Water!$D$6:$K$109,8,FALSE)),"",VLOOKUP(BU2,Water!$D$6:$K$109,8,FALSE))</f>
        <v>Calc</v>
      </c>
      <c r="BV6" t="str">
        <f>IF(ISBLANK(VLOOKUP(BV2,Water!$D$6:$K$109,8,FALSE)),"",VLOOKUP(BV2,Water!$D$6:$K$109,8,FALSE))</f>
        <v/>
      </c>
      <c r="BW6" t="str">
        <f>IF(ISBLANK(VLOOKUP(BW2,Water!$D$6:$K$109,8,FALSE)),"",VLOOKUP(BW2,Water!$D$6:$K$109,8,FALSE))</f>
        <v/>
      </c>
      <c r="BX6" t="str">
        <f>IF(ISBLANK(VLOOKUP(BX2,Water!$D$6:$K$109,8,FALSE)),"",VLOOKUP(BX2,Water!$D$6:$K$109,8,FALSE))</f>
        <v>Calc</v>
      </c>
      <c r="BY6" t="str">
        <f>IF(ISBLANK(VLOOKUP(BY2,Water!$D$6:$K$109,8,FALSE)),"",VLOOKUP(BY2,Water!$D$6:$K$109,8,FALSE))</f>
        <v>Reliable</v>
      </c>
      <c r="BZ6" t="str">
        <f>IF(ISBLANK(VLOOKUP(BZ2,Water!$D$6:$K$109,8,FALSE)),"",VLOOKUP(BZ2,Water!$D$6:$K$109,8,FALSE))</f>
        <v>Reliable</v>
      </c>
      <c r="CA6" t="str">
        <f>IF(ISBLANK(VLOOKUP(CA2,Water!$D$6:$K$109,8,FALSE)),"",VLOOKUP(CA2,Water!$D$6:$K$109,8,FALSE))</f>
        <v>Reliable</v>
      </c>
      <c r="CB6" t="str">
        <f>IF(ISBLANK(VLOOKUP(CB2,Water!$D$6:$K$109,8,FALSE)),"",VLOOKUP(CB2,Water!$D$6:$K$109,8,FALSE))</f>
        <v>Reliable</v>
      </c>
      <c r="CC6" t="str">
        <f>IF(ISBLANK(VLOOKUP(CC2,Water!$D$6:$K$109,8,FALSE)),"",VLOOKUP(CC2,Water!$D$6:$K$109,8,FALSE))</f>
        <v>Reliable</v>
      </c>
      <c r="CD6" t="str">
        <f>IF(ISBLANK(VLOOKUP(CD2,Water!$D$6:$K$109,8,FALSE)),"",VLOOKUP(CD2,Water!$D$6:$K$109,8,FALSE))</f>
        <v>Reliable</v>
      </c>
      <c r="CE6" t="str">
        <f>IF(ISBLANK(VLOOKUP(CE2,Water!$D$6:$K$109,8,FALSE)),"",VLOOKUP(CE2,Water!$D$6:$K$109,8,FALSE))</f>
        <v>Calc</v>
      </c>
      <c r="CG6" t="str">
        <f>IF(ISBLANK(VLOOKUP(CG2,Water!$D$6:$K$109,8,FALSE)),"",VLOOKUP(CG2,Water!$D$6:$K$109,8,FALSE))</f>
        <v/>
      </c>
      <c r="CH6" t="str">
        <f>IF(ISBLANK(VLOOKUP(CH2,Water!$D$6:$K$109,8,FALSE)),"",VLOOKUP(CH2,Water!$D$6:$K$109,8,FALSE))</f>
        <v/>
      </c>
      <c r="CI6" t="str">
        <f>IF(ISBLANK(VLOOKUP(CI2,Water!$D$6:$K$109,8,FALSE)),"",VLOOKUP(CI2,Water!$D$6:$K$109,8,FALSE))</f>
        <v/>
      </c>
      <c r="CJ6" t="str">
        <f>IF(ISBLANK(VLOOKUP(CJ2,Water!$D$6:$K$109,8,FALSE)),"",VLOOKUP(CJ2,Water!$D$6:$K$109,8,FALSE))</f>
        <v/>
      </c>
      <c r="CK6" t="str">
        <f>IF(ISBLANK(VLOOKUP(CK2,Water!$D$6:$K$109,8,FALSE)),"",VLOOKUP(CK2,Water!$D$6:$K$109,8,FALSE))</f>
        <v/>
      </c>
      <c r="CL6" t="str">
        <f>IF(ISBLANK(VLOOKUP(CL2,Water!$D$6:$K$109,8,FALSE)),"",VLOOKUP(CL2,Water!$D$6:$K$109,8,FALSE))</f>
        <v/>
      </c>
      <c r="CM6" t="str">
        <f>IF(ISBLANK(VLOOKUP(CM2,Water!$D$6:$K$109,8,FALSE)),"",VLOOKUP(CM2,Water!$D$6:$K$109,8,FALSE))</f>
        <v>Calc</v>
      </c>
      <c r="CN6" t="str">
        <f>IF(ISBLANK(VLOOKUP(CN2,Water!$D$6:$K$109,8,FALSE)),"",VLOOKUP(CN2,Water!$D$6:$K$109,8,FALSE))</f>
        <v>Reliable</v>
      </c>
      <c r="CO6" t="str">
        <f>IF(ISBLANK(VLOOKUP(CO2,Water!$D$6:$K$109,8,FALSE)),"",VLOOKUP(CO2,Water!$D$6:$K$109,8,FALSE))</f>
        <v>Reliable</v>
      </c>
      <c r="CP6" t="str">
        <f>IF(ISBLANK(VLOOKUP(CP2,Water!$D$6:$K$109,8,FALSE)),"",VLOOKUP(CP2,Water!$D$6:$K$109,8,FALSE))</f>
        <v>Reliable</v>
      </c>
      <c r="CQ6" t="str">
        <f>IF(ISBLANK(VLOOKUP(CQ2,Water!$D$6:$K$109,8,FALSE)),"",VLOOKUP(CQ2,Water!$D$6:$K$109,8,FALSE))</f>
        <v>Reliable</v>
      </c>
      <c r="CR6" t="str">
        <f>IF(ISBLANK(VLOOKUP(CR2,Water!$D$6:$K$109,8,FALSE)),"",VLOOKUP(CR2,Water!$D$6:$K$109,8,FALSE))</f>
        <v/>
      </c>
      <c r="CS6" t="str">
        <f>IF(ISBLANK(VLOOKUP(CS2,Water!$D$6:$K$109,8,FALSE)),"",VLOOKUP(CS2,Water!$D$6:$K$109,8,FALSE))</f>
        <v/>
      </c>
      <c r="CX6" t="str">
        <f>IF(ISBLANK(VLOOKUP(CX2,Water!$D$6:$K$109,8,FALSE)),"",VLOOKUP(CX2,Water!$D$6:$K$109,8,FALSE))</f>
        <v/>
      </c>
      <c r="CY6" t="str">
        <f>IF(ISBLANK(VLOOKUP(CY2,Water!$D$6:$K$109,8,FALSE)),"",VLOOKUP(CY2,Water!$D$6:$K$109,8,FALSE))</f>
        <v/>
      </c>
      <c r="CZ6" t="str">
        <f>IF(ISBLANK(VLOOKUP(CZ2,Water!$D$6:$K$109,8,FALSE)),"",VLOOKUP(CZ2,Water!$D$6:$K$109,8,FALSE))</f>
        <v/>
      </c>
      <c r="DA6" t="str">
        <f>IF(ISBLANK(VLOOKUP(DA2,Water!$D$6:$K$109,8,FALSE)),"",VLOOKUP(DA2,Water!$D$6:$K$109,8,FALSE))</f>
        <v>Calc</v>
      </c>
      <c r="DB6" t="str">
        <f>IF(ISBLANK(VLOOKUP(DB2,Water!$D$6:$K$109,8,FALSE)),"",VLOOKUP(DB2,Water!$D$6:$K$109,8,FALSE))</f>
        <v>Calc</v>
      </c>
      <c r="DC6" t="str">
        <f>IF(ISBLANK(VLOOKUP(DC2,Water!$D$6:$K$109,8,FALSE)),"",VLOOKUP(DC2,Water!$D$6:$K$109,8,FALSE))</f>
        <v/>
      </c>
      <c r="DD6" t="str">
        <f>IF(ISBLANK(VLOOKUP(DD2,Water!$D$6:$K$109,8,FALSE)),"",VLOOKUP(DD2,Water!$D$6:$K$109,8,FALSE))</f>
        <v/>
      </c>
      <c r="DE6" t="str">
        <f>IF(ISBLANK(VLOOKUP(DE2,Water!$D$6:$K$109,8,FALSE)),"",VLOOKUP(DE2,Water!$D$6:$K$109,8,FALSE))</f>
        <v/>
      </c>
      <c r="DF6" t="str">
        <f>IF(ISBLANK(VLOOKUP(DF2,Water!$D$6:$K$109,8,FALSE)),"",VLOOKUP(DF2,Water!$D$6:$K$109,8,FALSE))</f>
        <v/>
      </c>
      <c r="DG6" t="str">
        <f>IF(ISBLANK(VLOOKUP(DG2,Water!$D$6:$K$109,8,FALSE)),"",VLOOKUP(DG2,Water!$D$6:$K$109,8,FALSE))</f>
        <v/>
      </c>
      <c r="DH6" t="str">
        <f>IF(ISBLANK(VLOOKUP(DH2,Water!$D$6:$K$109,8,FALSE)),"",VLOOKUP(DH2,Water!$D$6:$K$109,8,FALSE))</f>
        <v/>
      </c>
      <c r="DI6" t="str">
        <f>IF(ISBLANK(VLOOKUP(DI2,Water!$D$6:$K$109,8,FALSE)),"",VLOOKUP(DI2,Water!$D$6:$K$109,8,FALSE))</f>
        <v/>
      </c>
      <c r="DJ6" t="str">
        <f>IF(ISBLANK(VLOOKUP(DJ2,Water!$D$6:$K$109,8,FALSE)),"",VLOOKUP(DJ2,Water!$D$6:$K$109,8,FALSE))</f>
        <v>Calc</v>
      </c>
      <c r="DK6" t="str">
        <f>IF(ISBLANK(VLOOKUP(DK2,Water!$D$6:$K$109,8,FALSE)),"",VLOOKUP(DK2,Water!$D$6:$K$109,8,FALSE))</f>
        <v>Calc</v>
      </c>
      <c r="DL6" t="str">
        <f>IF(ISBLANK(VLOOKUP(DL2,Water!$D$6:$K$109,8,FALSE)),"",VLOOKUP(DL2,Water!$D$6:$K$109,8,FALSE))</f>
        <v/>
      </c>
      <c r="DM6" t="str">
        <f>IF(ISBLANK(VLOOKUP(DM2,Water!$D$6:$K$109,8,FALSE)),"",VLOOKUP(DM2,Water!$D$6:$K$109,8,FALSE))</f>
        <v/>
      </c>
      <c r="DN6" t="str">
        <f>IF(ISBLANK(VLOOKUP(DN2,Water!$D$6:$K$109,8,FALSE)),"",VLOOKUP(DN2,Water!$D$6:$K$109,8,FALSE))</f>
        <v>Calc</v>
      </c>
      <c r="DO6" t="str">
        <f>IF(ISBLANK(VLOOKUP(DO2,Water!$D$6:$K$109,8,FALSE)),"",VLOOKUP(DO2,Water!$D$6:$K$109,8,FALSE))</f>
        <v>Calc</v>
      </c>
      <c r="DP6" t="str">
        <f>IF(ISBLANK(VLOOKUP(DP2,Water!$D$6:$K$109,8,FALSE)),"",VLOOKUP(DP2,Water!$D$6:$K$109,8,FALSE))</f>
        <v>Calc</v>
      </c>
      <c r="DQ6" t="str">
        <f>IF(ISBLANK(VLOOKUP(DQ2,Water!$D$6:$K$109,8,FALSE)),"",VLOOKUP(DQ2,Water!$D$6:$K$109,8,FALSE))</f>
        <v>Calc</v>
      </c>
      <c r="DR6" t="str">
        <f>IF(ISBLANK(VLOOKUP(DR2,Water!$D$6:$K$109,8,FALSE)),"",VLOOKUP(DR2,Water!$D$6:$K$109,8,FALSE))</f>
        <v>Calc</v>
      </c>
      <c r="DS6" t="str">
        <f>IF(ISBLANK(VLOOKUP(DS2,Water!$D$6:$K$109,8,FALSE)),"",VLOOKUP(DS2,Water!$D$6:$K$109,8,FALSE))</f>
        <v/>
      </c>
      <c r="DT6" t="str">
        <f>IF(ISBLANK(VLOOKUP(DT2,Water!$D$6:$K$109,8,FALSE)),"",VLOOKUP(DT2,Water!$D$6:$K$109,8,FALSE))</f>
        <v/>
      </c>
      <c r="DU6" t="str">
        <f>IF(ISBLANK(VLOOKUP(DU2,Water!$D$6:$K$109,8,FALSE)),"",VLOOKUP(DU2,Water!$D$6:$K$109,8,FALSE))</f>
        <v/>
      </c>
      <c r="DV6" t="str">
        <f>IF(ISBLANK(VLOOKUP(DV2,Water!$D$6:$K$109,8,FALSE)),"",VLOOKUP(DV2,Water!$D$6:$K$109,8,FALSE))</f>
        <v>Calc</v>
      </c>
      <c r="DW6" t="str">
        <f>IF(ISBLANK(VLOOKUP(DW2,Water!$D$6:$K$109,8,FALSE)),"",VLOOKUP(DW2,Water!$D$6:$K$109,8,FALSE))</f>
        <v/>
      </c>
      <c r="DX6" t="str">
        <f>IF(ISBLANK(VLOOKUP(DX2,Water!$D$6:$K$109,8,FALSE)),"",VLOOKUP(DX2,Water!$D$6:$K$109,8,FALSE))</f>
        <v/>
      </c>
      <c r="DY6" t="str">
        <f>IF(ISBLANK(VLOOKUP(DY2,Water!$D$6:$K$109,8,FALSE)),"",VLOOKUP(DY2,Water!$D$6:$K$109,8,FALSE))</f>
        <v/>
      </c>
      <c r="DZ6" t="str">
        <f>IF(ISBLANK(VLOOKUP(DZ2,Water!$D$6:$K$109,8,FALSE)),"",VLOOKUP(DZ2,Water!$D$6:$K$109,8,FALSE))</f>
        <v>Calc</v>
      </c>
      <c r="EA6" t="str">
        <f>IF(ISBLANK(VLOOKUP(EA2,Water!$D$6:$K$109,8,FALSE)),"",VLOOKUP(EA2,Water!$D$6:$K$109,8,FALSE))</f>
        <v/>
      </c>
      <c r="EB6" t="str">
        <f>IF(ISBLANK(VLOOKUP(EB2,Water!$D$6:$K$109,8,FALSE)),"",VLOOKUP(EB2,Water!$D$6:$K$109,8,FALSE))</f>
        <v/>
      </c>
      <c r="EC6" t="str">
        <f>IF(ISBLANK(VLOOKUP(EC2,Water!$D$6:$K$109,8,FALSE)),"",VLOOKUP(EC2,Water!$D$6:$K$109,8,FALSE))</f>
        <v/>
      </c>
      <c r="ED6" t="str">
        <f>IF(ISBLANK(VLOOKUP(ED2,Water!$D$6:$K$109,8,FALSE)),"",VLOOKUP(ED2,Water!$D$6:$K$109,8,FALSE))</f>
        <v>Calc</v>
      </c>
      <c r="EE6" t="str">
        <f>IF(ISBLANK(VLOOKUP(EE2,Water!$D$6:$K$109,8,FALSE)),"",VLOOKUP(EE2,Water!$D$6:$K$109,8,FALSE))</f>
        <v/>
      </c>
      <c r="EF6" t="str">
        <f>IF(ISBLANK(VLOOKUP(EF2,Wastewater!$D$6:$I$127,6,FALSE)),"",VLOOKUP(EF2,Wastewater!$D$6:$I$127,6,FALSE))</f>
        <v>Calc</v>
      </c>
      <c r="EG6" t="str">
        <f>IF(ISBLANK(VLOOKUP(EG2,Wastewater!$D$6:$I$127,6,FALSE)),"",VLOOKUP(EG2,Wastewater!$D$6:$I$127,6,FALSE))</f>
        <v>Calc</v>
      </c>
      <c r="EH6" t="str">
        <f>IF(ISBLANK(VLOOKUP(EH2,Wastewater!$D$6:$I$127,6,FALSE)),"",VLOOKUP(EH2,Wastewater!$D$6:$I$127,6,FALSE))</f>
        <v>Less Reliable</v>
      </c>
      <c r="EI6" t="str">
        <f>IF(ISBLANK(VLOOKUP(EI2,Wastewater!$D$6:$I$127,6,FALSE)),"",VLOOKUP(EI2,Wastewater!$D$6:$I$127,6,FALSE))</f>
        <v>Less Reliable</v>
      </c>
      <c r="EJ6" t="str">
        <f>IF(ISBLANK(VLOOKUP(EJ2,Wastewater!$D$6:$I$127,6,FALSE)),"",VLOOKUP(EJ2,Wastewater!$D$6:$I$127,6,FALSE))</f>
        <v>Calc</v>
      </c>
      <c r="EK6" t="str">
        <f>IF(ISBLANK(VLOOKUP(EK2,Wastewater!$D$6:$I$127,6,FALSE)),"",VLOOKUP(EK2,Wastewater!$D$6:$I$127,6,FALSE))</f>
        <v/>
      </c>
      <c r="EL6" t="str">
        <f>IF(ISBLANK(VLOOKUP(EL2,Wastewater!$D$6:$I$127,6,FALSE)),"",VLOOKUP(EL2,Wastewater!$D$6:$I$127,6,FALSE))</f>
        <v/>
      </c>
      <c r="EN6" t="str">
        <f>IF(ISBLANK(VLOOKUP(EN2,Wastewater!$D$6:$I$127,6,FALSE)),"",VLOOKUP(EN2,Wastewater!$D$6:$I$127,6,FALSE))</f>
        <v>Less Reliable</v>
      </c>
      <c r="ET6" t="str">
        <f>IF(ISBLANK(VLOOKUP(ET2,Wastewater!$D$6:$I$127,6,FALSE)),"",VLOOKUP(ET2,Wastewater!$D$6:$I$127,6,FALSE))</f>
        <v/>
      </c>
      <c r="EV6" t="str">
        <f>IF(ISBLANK(VLOOKUP(EV2,Wastewater!$D$6:$I$127,6,FALSE)),"",VLOOKUP(EV2,Wastewater!$D$6:$I$127,6,FALSE))</f>
        <v/>
      </c>
      <c r="EX6" t="str">
        <f>IF(ISBLANK(VLOOKUP(EX2,Wastewater!$D$6:$I$127,6,FALSE)),"",VLOOKUP(EX2,Wastewater!$D$6:$I$127,6,FALSE))</f>
        <v>Reliable</v>
      </c>
      <c r="EY6" t="str">
        <f>IF(ISBLANK(VLOOKUP(EY2,Wastewater!$D$6:$I$127,6,FALSE)),"",VLOOKUP(EY2,Wastewater!$D$6:$I$127,6,FALSE))</f>
        <v/>
      </c>
      <c r="EZ6" t="str">
        <f>IF(ISBLANK(VLOOKUP(EZ2,Wastewater!$D$6:$I$127,6,FALSE)),"",VLOOKUP(EZ2,Wastewater!$D$6:$I$127,6,FALSE))</f>
        <v>Reliable</v>
      </c>
      <c r="FB6" t="str">
        <f>IF(ISBLANK(VLOOKUP(FB2,Wastewater!$D$6:$I$127,6,FALSE)),"",VLOOKUP(FB2,Wastewater!$D$6:$I$127,6,FALSE))</f>
        <v/>
      </c>
      <c r="FE6" t="str">
        <f>IF(ISBLANK(VLOOKUP(FE2,Wastewater!$D$6:$I$127,6,FALSE)),"",VLOOKUP(FE2,Wastewater!$D$6:$I$127,6,FALSE))</f>
        <v/>
      </c>
      <c r="FF6" t="str">
        <f>IF(ISBLANK(VLOOKUP(FF2,Wastewater!$D$6:$I$127,6,FALSE)),"",VLOOKUP(FF2,Wastewater!$D$6:$I$127,6,FALSE))</f>
        <v/>
      </c>
      <c r="FG6" t="str">
        <f>IF(ISBLANK(VLOOKUP(FG2,Wastewater!$D$6:$I$127,6,FALSE)),"",VLOOKUP(FG2,Wastewater!$D$6:$I$127,6,FALSE))</f>
        <v/>
      </c>
      <c r="FH6" t="str">
        <f>IF(ISBLANK(VLOOKUP(FH2,Wastewater!$D$6:$I$127,6,FALSE)),"",VLOOKUP(FH2,Wastewater!$D$6:$I$127,6,FALSE))</f>
        <v/>
      </c>
      <c r="FI6" t="str">
        <f>IF(ISBLANK(VLOOKUP(FI2,Wastewater!$D$6:$I$127,6,FALSE)),"",VLOOKUP(FI2,Wastewater!$D$6:$I$127,6,FALSE))</f>
        <v/>
      </c>
      <c r="FJ6" t="str">
        <f>IF(ISBLANK(VLOOKUP(FJ2,Wastewater!$D$6:$I$127,6,FALSE)),"",VLOOKUP(FJ2,Wastewater!$D$6:$I$127,6,FALSE))</f>
        <v/>
      </c>
      <c r="FK6" t="str">
        <f>IF(ISBLANK(VLOOKUP(FK2,Wastewater!$D$6:$I$127,6,FALSE)),"",VLOOKUP(FK2,Wastewater!$D$6:$I$127,6,FALSE))</f>
        <v/>
      </c>
      <c r="FL6" t="str">
        <f>IF(ISBLANK(VLOOKUP(FL2,Wastewater!$D$6:$I$127,6,FALSE)),"",VLOOKUP(FL2,Wastewater!$D$6:$I$127,6,FALSE))</f>
        <v/>
      </c>
      <c r="FM6" t="str">
        <f>IF(ISBLANK(VLOOKUP(FM2,Wastewater!$D$6:$I$127,6,FALSE)),"",VLOOKUP(FM2,Wastewater!$D$6:$I$127,6,FALSE))</f>
        <v/>
      </c>
      <c r="FN6" t="str">
        <f>IF(ISBLANK(VLOOKUP(FN2,Wastewater!$D$6:$I$127,6,FALSE)),"",VLOOKUP(FN2,Wastewater!$D$6:$I$127,6,FALSE))</f>
        <v/>
      </c>
      <c r="FO6" t="str">
        <f>IF(ISBLANK(VLOOKUP(FO2,Wastewater!$D$6:$I$127,6,FALSE)),"",VLOOKUP(FO2,Wastewater!$D$6:$I$127,6,FALSE))</f>
        <v/>
      </c>
      <c r="FP6" t="str">
        <f>IF(ISBLANK(VLOOKUP(FP2,Wastewater!$D$6:$I$127,6,FALSE)),"",VLOOKUP(FP2,Wastewater!$D$6:$I$127,6,FALSE))</f>
        <v/>
      </c>
      <c r="FQ6" t="str">
        <f>IF(ISBLANK(VLOOKUP(FQ2,Wastewater!$D$6:$I$127,6,FALSE)),"",VLOOKUP(FQ2,Wastewater!$D$6:$I$127,6,FALSE))</f>
        <v/>
      </c>
      <c r="FR6" t="str">
        <f>IF(ISBLANK(VLOOKUP(FR2,Wastewater!$D$6:$I$127,6,FALSE)),"",VLOOKUP(FR2,Wastewater!$D$6:$I$127,6,FALSE))</f>
        <v/>
      </c>
      <c r="FT6" t="str">
        <f>IF(ISBLANK(VLOOKUP(FT2,Wastewater!$D$6:$I$127,6,FALSE)),"",VLOOKUP(FT2,Wastewater!$D$6:$I$127,6,FALSE))</f>
        <v/>
      </c>
      <c r="FU6" t="str">
        <f>IF(ISBLANK(VLOOKUP(FU2,Wastewater!$D$6:$I$127,6,FALSE)),"",VLOOKUP(FU2,Wastewater!$D$6:$I$127,6,FALSE))</f>
        <v/>
      </c>
      <c r="FV6" t="str">
        <f>IF(ISBLANK(VLOOKUP(FV2,Wastewater!$D$6:$I$127,6,FALSE)),"",VLOOKUP(FV2,Wastewater!$D$6:$I$127,6,FALSE))</f>
        <v>Calc</v>
      </c>
      <c r="FW6" t="str">
        <f>IF(ISBLANK(VLOOKUP(FW2,Wastewater!$D$6:$I$127,6,FALSE)),"",VLOOKUP(FW2,Wastewater!$D$6:$I$127,6,FALSE))</f>
        <v>Reliable</v>
      </c>
      <c r="FX6" t="str">
        <f>IF(ISBLANK(VLOOKUP(FX2,Wastewater!$D$6:$I$127,6,FALSE)),"",VLOOKUP(FX2,Wastewater!$D$6:$I$127,6,FALSE))</f>
        <v/>
      </c>
      <c r="FY6" t="str">
        <f>IF(ISBLANK(VLOOKUP(FY2,Wastewater!$D$6:$I$127,6,FALSE)),"",VLOOKUP(FY2,Wastewater!$D$6:$I$127,6,FALSE))</f>
        <v/>
      </c>
      <c r="FZ6" t="str">
        <f>IF(ISBLANK(VLOOKUP(FZ2,Wastewater!$D$6:$I$127,6,FALSE)),"",VLOOKUP(FZ2,Wastewater!$D$6:$I$127,6,FALSE))</f>
        <v/>
      </c>
      <c r="GA6" t="str">
        <f>IF(ISBLANK(VLOOKUP(GA2,Wastewater!$D$6:$I$127,6,FALSE)),"",VLOOKUP(GA2,Wastewater!$D$6:$I$127,6,FALSE))</f>
        <v>Calc</v>
      </c>
      <c r="GB6" t="str">
        <f>IF(ISBLANK(VLOOKUP(GB2,Wastewater!$D$6:$I$127,6,FALSE)),"",VLOOKUP(GB2,Wastewater!$D$6:$I$127,6,FALSE))</f>
        <v/>
      </c>
      <c r="GC6" t="str">
        <f>IF(ISBLANK(VLOOKUP(GC2,Wastewater!$D$6:$I$127,6,FALSE)),"",VLOOKUP(GC2,Wastewater!$D$6:$I$127,6,FALSE))</f>
        <v/>
      </c>
      <c r="GD6" t="str">
        <f>IF(ISBLANK(VLOOKUP(GD2,Wastewater!$D$6:$I$127,6,FALSE)),"",VLOOKUP(GD2,Wastewater!$D$6:$I$127,6,FALSE))</f>
        <v/>
      </c>
      <c r="GE6" t="str">
        <f>IF(ISBLANK(VLOOKUP(GE2,Wastewater!$D$6:$I$127,6,FALSE)),"",VLOOKUP(GE2,Wastewater!$D$6:$I$127,6,FALSE))</f>
        <v/>
      </c>
      <c r="GF6" t="str">
        <f>IF(ISBLANK(VLOOKUP(GF2,Wastewater!$D$6:$I$127,6,FALSE)),"",VLOOKUP(GF2,Wastewater!$D$6:$I$127,6,FALSE))</f>
        <v/>
      </c>
      <c r="GG6" t="str">
        <f>IF(ISBLANK(VLOOKUP(GG2,Wastewater!$D$6:$I$127,6,FALSE)),"",VLOOKUP(GG2,Wastewater!$D$6:$I$127,6,FALSE))</f>
        <v/>
      </c>
      <c r="GH6" t="str">
        <f>IF(ISBLANK(VLOOKUP(GH2,Wastewater!$D$6:$I$127,6,FALSE)),"",VLOOKUP(GH2,Wastewater!$D$6:$I$127,6,FALSE))</f>
        <v/>
      </c>
      <c r="GI6" t="str">
        <f>IF(ISBLANK(VLOOKUP(GI2,Wastewater!$D$6:$I$127,6,FALSE)),"",VLOOKUP(GI2,Wastewater!$D$6:$I$127,6,FALSE))</f>
        <v/>
      </c>
      <c r="GJ6" t="str">
        <f>IF(ISBLANK(VLOOKUP(GJ2,Wastewater!$D$6:$I$127,6,FALSE)),"",VLOOKUP(GJ2,Wastewater!$D$6:$I$127,6,FALSE))</f>
        <v/>
      </c>
      <c r="GK6" t="str">
        <f>IF(ISBLANK(VLOOKUP(GK2,Wastewater!$D$6:$I$127,6,FALSE)),"",VLOOKUP(GK2,Wastewater!$D$6:$I$127,6,FALSE))</f>
        <v/>
      </c>
      <c r="GL6" t="str">
        <f>IF(ISBLANK(VLOOKUP(GL2,Wastewater!$D$6:$I$127,6,FALSE)),"",VLOOKUP(GL2,Wastewater!$D$6:$I$127,6,FALSE))</f>
        <v/>
      </c>
      <c r="GM6" t="str">
        <f>IF(ISBLANK(VLOOKUP(GM2,Wastewater!$D$6:$I$127,6,FALSE)),"",VLOOKUP(GM2,Wastewater!$D$6:$I$127,6,FALSE))</f>
        <v/>
      </c>
      <c r="GN6" t="str">
        <f>IF(ISBLANK(VLOOKUP(GN2,Wastewater!$D$6:$I$127,6,FALSE)),"",VLOOKUP(GN2,Wastewater!$D$6:$I$127,6,FALSE))</f>
        <v/>
      </c>
      <c r="GO6" t="str">
        <f>IF(ISBLANK(VLOOKUP(GO2,Wastewater!$D$6:$I$127,6,FALSE)),"",VLOOKUP(GO2,Wastewater!$D$6:$I$127,6,FALSE))</f>
        <v/>
      </c>
      <c r="GP6" t="str">
        <f>IF(ISBLANK(VLOOKUP(GP2,Wastewater!$D$6:$I$127,6,FALSE)),"",VLOOKUP(GP2,Wastewater!$D$6:$I$127,6,FALSE))</f>
        <v/>
      </c>
      <c r="GQ6" t="str">
        <f>IF(ISBLANK(VLOOKUP(GQ2,Wastewater!$D$6:$I$127,6,FALSE)),"",VLOOKUP(GQ2,Wastewater!$D$6:$I$127,6,FALSE))</f>
        <v/>
      </c>
      <c r="GT6" t="str">
        <f>IF(ISBLANK(VLOOKUP(GT2,Wastewater!$D$6:$I$127,6,FALSE)),"",VLOOKUP(GT2,Wastewater!$D$6:$I$127,6,FALSE))</f>
        <v/>
      </c>
      <c r="GX6" t="str">
        <f>IF(ISBLANK(VLOOKUP(GX2,Wastewater!$D$6:$I$127,6,FALSE)),"",VLOOKUP(GX2,Wastewater!$D$6:$I$127,6,FALSE))</f>
        <v/>
      </c>
      <c r="GY6" t="str">
        <f>IF(ISBLANK(VLOOKUP(GY2,Wastewater!$D$6:$I$127,6,FALSE)),"",VLOOKUP(GY2,Wastewater!$D$6:$I$127,6,FALSE))</f>
        <v/>
      </c>
      <c r="GZ6" t="str">
        <f>IF(ISBLANK(VLOOKUP(GZ2,Wastewater!$D$6:$I$127,6,FALSE)),"",VLOOKUP(GZ2,Wastewater!$D$6:$I$127,6,FALSE))</f>
        <v/>
      </c>
      <c r="HA6" t="str">
        <f>IF(ISBLANK(VLOOKUP(HA2,Wastewater!$D$6:$I$127,6,FALSE)),"",VLOOKUP(HA2,Wastewater!$D$6:$I$127,6,FALSE))</f>
        <v/>
      </c>
      <c r="HB6" t="str">
        <f>IF(ISBLANK(VLOOKUP(HB2,Wastewater!$D$6:$I$127,6,FALSE)),"",VLOOKUP(HB2,Wastewater!$D$6:$I$127,6,FALSE))</f>
        <v/>
      </c>
      <c r="HC6" t="str">
        <f>IF(ISBLANK(VLOOKUP(HC2,Wastewater!$D$6:$I$127,6,FALSE)),"",VLOOKUP(HC2,Wastewater!$D$6:$I$127,6,FALSE))</f>
        <v/>
      </c>
      <c r="HD6" t="str">
        <f>IF(ISBLANK(VLOOKUP(HD2,Wastewater!$D$6:$I$127,6,FALSE)),"",VLOOKUP(HD2,Wastewater!$D$6:$I$127,6,FALSE))</f>
        <v/>
      </c>
      <c r="HE6" t="str">
        <f>IF(ISBLANK(VLOOKUP(HE2,Wastewater!$D$6:$I$127,6,FALSE)),"",VLOOKUP(HE2,Wastewater!$D$6:$I$127,6,FALSE))</f>
        <v>Calc</v>
      </c>
      <c r="HF6" t="str">
        <f>IF(ISBLANK(VLOOKUP(HF2,Wastewater!$D$6:$I$127,6,FALSE)),"",VLOOKUP(HF2,Wastewater!$D$6:$I$127,6,FALSE))</f>
        <v>Calc</v>
      </c>
      <c r="HG6" t="str">
        <f>IF(ISBLANK(VLOOKUP(HG2,Wastewater!$D$6:$I$127,6,FALSE)),"",VLOOKUP(HG2,Wastewater!$D$6:$I$127,6,FALSE))</f>
        <v>Reliable</v>
      </c>
      <c r="HH6" t="str">
        <f>IF(ISBLANK(VLOOKUP(HH2,Wastewater!$D$6:$I$127,6,FALSE)),"",VLOOKUP(HH2,Wastewater!$D$6:$I$127,6,FALSE))</f>
        <v>Reliable</v>
      </c>
      <c r="HI6" t="str">
        <f>IF(ISBLANK(VLOOKUP(HI2,Wastewater!$D$6:$I$127,6,FALSE)),"",VLOOKUP(HI2,Wastewater!$D$6:$I$127,6,FALSE))</f>
        <v>Reliable</v>
      </c>
      <c r="HJ6" t="str">
        <f>IF(ISBLANK(VLOOKUP(HJ2,Wastewater!$D$6:$I$127,6,FALSE)),"",VLOOKUP(HJ2,Wastewater!$D$6:$I$127,6,FALSE))</f>
        <v/>
      </c>
      <c r="HK6" t="str">
        <f>IF(ISBLANK(VLOOKUP(HK2,Wastewater!$D$6:$I$127,6,FALSE)),"",VLOOKUP(HK2,Wastewater!$D$6:$I$127,6,FALSE))</f>
        <v>Calc</v>
      </c>
      <c r="HL6" t="str">
        <f>IF(ISBLANK(VLOOKUP(HL2,Wastewater!$D$6:$I$127,6,FALSE)),"",VLOOKUP(HL2,Wastewater!$D$6:$I$127,6,FALSE))</f>
        <v>Reliable</v>
      </c>
      <c r="HM6" t="str">
        <f>IF(ISBLANK(VLOOKUP(HM2,Wastewater!$D$6:$I$127,6,FALSE)),"",VLOOKUP(HM2,Wastewater!$D$6:$I$127,6,FALSE))</f>
        <v>Reliable</v>
      </c>
      <c r="HN6" t="str">
        <f>IF(ISBLANK(VLOOKUP(HN2,Wastewater!$D$6:$I$127,6,FALSE)),"",VLOOKUP(HN2,Wastewater!$D$6:$I$127,6,FALSE))</f>
        <v/>
      </c>
      <c r="HO6" t="str">
        <f>IF(ISBLANK(VLOOKUP(HO2,Wastewater!$D$6:$I$127,6,FALSE)),"",VLOOKUP(HO2,Wastewater!$D$6:$I$127,6,FALSE))</f>
        <v/>
      </c>
      <c r="HP6" t="str">
        <f>IF(ISBLANK(VLOOKUP(HP2,Wastewater!$D$6:$I$127,6,FALSE)),"",VLOOKUP(HP2,Wastewater!$D$6:$I$127,6,FALSE))</f>
        <v>Calc</v>
      </c>
      <c r="HQ6" t="str">
        <f>IF(ISBLANK(VLOOKUP(HQ2,Wastewater!$D$6:$I$127,6,FALSE)),"",VLOOKUP(HQ2,Wastewater!$D$6:$I$127,6,FALSE))</f>
        <v/>
      </c>
      <c r="HR6" t="str">
        <f>IF(ISBLANK(VLOOKUP(HR2,Wastewater!$D$6:$I$127,6,FALSE)),"",VLOOKUP(HR2,Wastewater!$D$6:$I$127,6,FALSE))</f>
        <v/>
      </c>
      <c r="HS6" t="str">
        <f>IF(ISBLANK(VLOOKUP(HS2,Wastewater!$D$6:$I$127,6,FALSE)),"",VLOOKUP(HS2,Wastewater!$D$6:$I$127,6,FALSE))</f>
        <v/>
      </c>
      <c r="HT6" t="str">
        <f>IF(ISBLANK(VLOOKUP(HT2,Wastewater!$D$6:$I$127,6,FALSE)),"",VLOOKUP(HT2,Wastewater!$D$6:$I$127,6,FALSE))</f>
        <v>Calc</v>
      </c>
      <c r="HU6" t="str">
        <f>IF(ISBLANK(VLOOKUP(HU2,Wastewater!$D$6:$I$127,6,FALSE)),"",VLOOKUP(HU2,Wastewater!$D$6:$I$127,6,FALSE))</f>
        <v>Calc</v>
      </c>
      <c r="HV6" t="str">
        <f>IF(ISBLANK(VLOOKUP(HV2,Wastewater!$D$6:$I$127,6,FALSE)),"",VLOOKUP(HV2,Wastewater!$D$6:$I$127,6,FALSE))</f>
        <v/>
      </c>
      <c r="HW6" t="str">
        <f>IF(ISBLANK(VLOOKUP(HW2,Wastewater!$D$6:$I$127,6,FALSE)),"",VLOOKUP(HW2,Wastewater!$D$6:$I$127,6,FALSE))</f>
        <v/>
      </c>
      <c r="HX6" t="str">
        <f>IF(ISBLANK(VLOOKUP(HX2,Wastewater!$D$6:$I$127,6,FALSE)),"",VLOOKUP(HX2,Wastewater!$D$6:$I$127,6,FALSE))</f>
        <v/>
      </c>
      <c r="HY6" t="str">
        <f>IF(ISBLANK(VLOOKUP(HY2,Wastewater!$D$6:$I$127,6,FALSE)),"",VLOOKUP(HY2,Wastewater!$D$6:$I$127,6,FALSE))</f>
        <v/>
      </c>
      <c r="HZ6" t="str">
        <f>IF(ISBLANK(VLOOKUP(HZ2,Wastewater!$D$6:$I$127,6,FALSE)),"",VLOOKUP(HZ2,Wastewater!$D$6:$I$127,6,FALSE))</f>
        <v/>
      </c>
      <c r="IA6" t="str">
        <f>IF(ISBLANK(VLOOKUP(IA2,Wastewater!$D$6:$I$127,6,FALSE)),"",VLOOKUP(IA2,Wastewater!$D$6:$I$127,6,FALSE))</f>
        <v/>
      </c>
      <c r="IB6" t="str">
        <f>IF(ISBLANK(VLOOKUP(IB2,Wastewater!$D$6:$I$127,6,FALSE)),"",VLOOKUP(IB2,Wastewater!$D$6:$I$127,6,FALSE))</f>
        <v/>
      </c>
      <c r="IC6" t="str">
        <f>IF(ISBLANK(VLOOKUP(IC2,Wastewater!$D$6:$I$127,6,FALSE)),"",VLOOKUP(IC2,Wastewater!$D$6:$I$127,6,FALSE))</f>
        <v>Calc</v>
      </c>
      <c r="ID6" t="str">
        <f>IF(ISBLANK(VLOOKUP(ID2,Wastewater!$D$6:$I$127,6,FALSE)),"",VLOOKUP(ID2,Wastewater!$D$6:$I$127,6,FALSE))</f>
        <v>Calc</v>
      </c>
      <c r="IE6" t="str">
        <f>IF(ISBLANK(VLOOKUP(IE2,Wastewater!$D$6:$I$127,6,FALSE)),"",VLOOKUP(IE2,Wastewater!$D$6:$I$127,6,FALSE))</f>
        <v/>
      </c>
      <c r="IF6" t="str">
        <f>IF(ISBLANK(VLOOKUP(IF2,Wastewater!$D$6:$I$127,6,FALSE)),"",VLOOKUP(IF2,Wastewater!$D$6:$I$127,6,FALSE))</f>
        <v/>
      </c>
      <c r="IG6" t="str">
        <f>IF(ISBLANK(VLOOKUP(IG2,Wastewater!$D$6:$I$127,6,FALSE)),"",VLOOKUP(IG2,Wastewater!$D$6:$I$127,6,FALSE))</f>
        <v>Calc</v>
      </c>
      <c r="IH6" t="str">
        <f>IF(ISBLANK(VLOOKUP(IH2,Wastewater!$D$6:$I$127,6,FALSE)),"",VLOOKUP(IH2,Wastewater!$D$6:$I$127,6,FALSE))</f>
        <v>Calc</v>
      </c>
      <c r="II6" t="str">
        <f>IF(ISBLANK(VLOOKUP(II2,Wastewater!$D$6:$I$127,6,FALSE)),"",VLOOKUP(II2,Wastewater!$D$6:$I$127,6,FALSE))</f>
        <v>Calc</v>
      </c>
      <c r="IJ6" t="str">
        <f>IF(ISBLANK(VLOOKUP(IJ2,Wastewater!$D$6:$I$127,6,FALSE)),"",VLOOKUP(IJ2,Wastewater!$D$6:$I$127,6,FALSE))</f>
        <v>Calc</v>
      </c>
      <c r="IK6" t="str">
        <f>IF(ISBLANK(VLOOKUP(IK2,Wastewater!$D$6:$I$127,6,FALSE)),"",VLOOKUP(IK2,Wastewater!$D$6:$I$127,6,FALSE))</f>
        <v>Calc</v>
      </c>
      <c r="IL6" t="str">
        <f>IF(ISBLANK(VLOOKUP(IL2,Wastewater!$D$6:$I$127,6,FALSE)),"",VLOOKUP(IL2,Wastewater!$D$6:$I$127,6,FALSE))</f>
        <v/>
      </c>
      <c r="IM6" t="str">
        <f>IF(ISBLANK(VLOOKUP(IM2,Wastewater!$D$6:$I$127,6,FALSE)),"",VLOOKUP(IM2,Wastewater!$D$6:$I$127,6,FALSE))</f>
        <v/>
      </c>
      <c r="IN6" t="str">
        <f>IF(ISBLANK(VLOOKUP(IN2,Wastewater!$D$6:$I$127,6,FALSE)),"",VLOOKUP(IN2,Wastewater!$D$6:$I$127,6,FALSE))</f>
        <v/>
      </c>
      <c r="IO6" t="str">
        <f>IF(ISBLANK(VLOOKUP(IO2,Wastewater!$D$6:$I$127,6,FALSE)),"",VLOOKUP(IO2,Wastewater!$D$6:$I$127,6,FALSE))</f>
        <v>Calc</v>
      </c>
      <c r="IP6" t="str">
        <f>IF(ISBLANK(VLOOKUP(IP2,Wastewater!$D$6:$I$127,6,FALSE)),"",VLOOKUP(IP2,Wastewater!$D$6:$I$127,6,FALSE))</f>
        <v/>
      </c>
      <c r="IQ6" t="str">
        <f>IF(ISBLANK(VLOOKUP(IQ2,Wastewater!$D$6:$I$127,6,FALSE)),"",VLOOKUP(IQ2,Wastewater!$D$6:$I$127,6,FALSE))</f>
        <v/>
      </c>
      <c r="IR6" t="str">
        <f>IF(ISBLANK(VLOOKUP(IR2,Wastewater!$D$6:$I$127,6,FALSE)),"",VLOOKUP(IR2,Wastewater!$D$6:$I$127,6,FALSE))</f>
        <v/>
      </c>
      <c r="IS6" t="str">
        <f>IF(ISBLANK(VLOOKUP(IS2,Wastewater!$D$6:$I$127,6,FALSE)),"",VLOOKUP(IS2,Wastewater!$D$6:$I$127,6,FALSE))</f>
        <v>Calc</v>
      </c>
      <c r="IT6" t="str">
        <f>IF(ISBLANK(VLOOKUP(IT2,Wastewater!$D$6:$I$127,6,FALSE)),"",VLOOKUP(IT2,Wastewater!$D$6:$I$127,6,FALSE))</f>
        <v/>
      </c>
      <c r="IU6" t="str">
        <f>IF(ISBLANK(VLOOKUP(IU2,Wastewater!$D$6:$I$127,6,FALSE)),"",VLOOKUP(IU2,Wastewater!$D$6:$I$127,6,FALSE))</f>
        <v/>
      </c>
      <c r="IV6" t="str">
        <f>IF(ISBLANK(VLOOKUP(IV2,Wastewater!$D$6:$I$127,6,FALSE)),"",VLOOKUP(IV2,Wastewater!$D$6:$I$127,6,FALSE))</f>
        <v/>
      </c>
      <c r="IW6" t="str">
        <f>IF(ISBLANK(VLOOKUP(IW2,Wastewater!$D$6:$I$127,6,FALSE)),"",VLOOKUP(IW2,Wastewater!$D$6:$I$127,6,FALSE))</f>
        <v>Calc</v>
      </c>
      <c r="IX6" t="str">
        <f>IF(ISBLANK(VLOOKUP(IX2,Wastewater!$D$6:$I$127,6,FALSE)),"",VLOOKUP(IX2,Wastewater!$D$6:$I$127,6,FALSE))</f>
        <v/>
      </c>
      <c r="IY6" t="str">
        <f>IF(ISBLANK(VLOOKUP(IY2,Stormwater!$D$6:$I$80,6,FALSE)),"",VLOOKUP(IY2,Stormwater!$D$6:$I$80,6,FALSE))</f>
        <v>Calc</v>
      </c>
      <c r="IZ6" t="str">
        <f>IF(ISBLANK(VLOOKUP(IZ2,Stormwater!$D$6:$I$80,6,FALSE)),"",VLOOKUP(IZ2,Stormwater!$D$6:$I$80,6,FALSE))</f>
        <v>Less Reliable</v>
      </c>
      <c r="JA6" t="str">
        <f>IF(ISBLANK(VLOOKUP(JA2,Stormwater!$D$6:$I$80,6,FALSE)),"",VLOOKUP(JA2,Stormwater!$D$6:$I$80,6,FALSE))</f>
        <v>Less Reliable</v>
      </c>
      <c r="JB6" t="str">
        <f>IF(ISBLANK(VLOOKUP(JB2,Stormwater!$D$6:$I$80,6,FALSE)),"",VLOOKUP(JB2,Stormwater!$D$6:$I$80,6,FALSE))</f>
        <v>Calc</v>
      </c>
      <c r="JC6" t="str">
        <f>IF(ISBLANK(VLOOKUP(JC2,Stormwater!$D$6:$I$80,6,FALSE)),"",VLOOKUP(JC2,Stormwater!$D$6:$I$80,6,FALSE))</f>
        <v>Reliable</v>
      </c>
      <c r="JI6" t="str">
        <f>IF(ISBLANK(VLOOKUP(JI2,Stormwater!$D$6:$I$80,6,FALSE)),"",VLOOKUP(JI2,Stormwater!$D$6:$I$80,6,FALSE))</f>
        <v/>
      </c>
      <c r="JK6" t="str">
        <f>IF(ISBLANK(VLOOKUP(JK2,Stormwater!$D$6:$I$80,6,FALSE)),"",VLOOKUP(JK2,Stormwater!$D$6:$I$80,6,FALSE))</f>
        <v/>
      </c>
      <c r="JM6" t="str">
        <f>IF(ISBLANK(VLOOKUP(JM2,Stormwater!$D$6:$I$80,6,FALSE)),"",VLOOKUP(JM2,Stormwater!$D$6:$I$80,6,FALSE))</f>
        <v>Reliable</v>
      </c>
      <c r="JP6" t="str">
        <f>IF(ISBLANK(VLOOKUP(JP2,Stormwater!$D$6:$I$80,6,FALSE)),"",VLOOKUP(JP2,Stormwater!$D$6:$I$80,6,FALSE))</f>
        <v/>
      </c>
      <c r="JQ6" t="str">
        <f>IF(ISBLANK(VLOOKUP(JQ2,Stormwater!$D$6:$I$80,6,FALSE)),"",VLOOKUP(JQ2,Stormwater!$D$6:$I$80,6,FALSE))</f>
        <v/>
      </c>
      <c r="JR6" t="str">
        <f>IF(ISBLANK(VLOOKUP(JR2,Stormwater!$D$6:$I$80,6,FALSE)),"",VLOOKUP(JR2,Stormwater!$D$6:$I$80,6,FALSE))</f>
        <v/>
      </c>
      <c r="JS6" t="str">
        <f>IF(ISBLANK(VLOOKUP(JS2,Stormwater!$D$6:$I$80,6,FALSE)),"",VLOOKUP(JS2,Stormwater!$D$6:$I$80,6,FALSE))</f>
        <v>Reliable</v>
      </c>
      <c r="JT6" t="str">
        <f>IF(ISBLANK(VLOOKUP(JT2,Stormwater!$D$6:$I$80,6,FALSE)),"",VLOOKUP(JT2,Stormwater!$D$6:$I$80,6,FALSE))</f>
        <v/>
      </c>
      <c r="JU6" t="str">
        <f>IF(ISBLANK(VLOOKUP(JU2,Stormwater!$D$6:$I$80,6,FALSE)),"",VLOOKUP(JU2,Stormwater!$D$6:$I$80,6,FALSE))</f>
        <v/>
      </c>
      <c r="JV6" t="str">
        <f>IF(ISBLANK(VLOOKUP(JV2,Stormwater!$D$6:$I$80,6,FALSE)),"",VLOOKUP(JV2,Stormwater!$D$6:$I$80,6,FALSE))</f>
        <v/>
      </c>
      <c r="JW6" t="str">
        <f>IF(ISBLANK(VLOOKUP(JW2,Stormwater!$D$6:$I$80,6,FALSE)),"",VLOOKUP(JW2,Stormwater!$D$6:$I$80,6,FALSE))</f>
        <v/>
      </c>
      <c r="JX6" t="str">
        <f>IF(ISBLANK(VLOOKUP(JX2,Stormwater!$D$6:$I$80,6,FALSE)),"",VLOOKUP(JX2,Stormwater!$D$6:$I$80,6,FALSE))</f>
        <v/>
      </c>
      <c r="JY6" t="str">
        <f>IF(ISBLANK(VLOOKUP(JY2,Stormwater!$D$6:$I$80,6,FALSE)),"",VLOOKUP(JY2,Stormwater!$D$6:$I$80,6,FALSE))</f>
        <v/>
      </c>
      <c r="JZ6" t="str">
        <f>IF(ISBLANK(VLOOKUP(JZ2,Stormwater!$D$6:$I$80,6,FALSE)),"",VLOOKUP(JZ2,Stormwater!$D$6:$I$80,6,FALSE))</f>
        <v/>
      </c>
      <c r="KA6" t="str">
        <f>IF(ISBLANK(VLOOKUP(KA2,Stormwater!$D$6:$I$80,6,FALSE)),"",VLOOKUP(KA2,Stormwater!$D$6:$I$80,6,FALSE))</f>
        <v/>
      </c>
      <c r="KB6" t="str">
        <f>IF(ISBLANK(VLOOKUP(KB2,Stormwater!$D$6:$I$80,6,FALSE)),"",VLOOKUP(KB2,Stormwater!$D$6:$I$80,6,FALSE))</f>
        <v/>
      </c>
      <c r="KC6" t="str">
        <f>IF(ISBLANK(VLOOKUP(KC2,Stormwater!$D$6:$I$80,6,FALSE)),"",VLOOKUP(KC2,Stormwater!$D$6:$I$80,6,FALSE))</f>
        <v/>
      </c>
      <c r="KD6" t="str">
        <f>IF(ISBLANK(VLOOKUP(KD2,Stormwater!$D$6:$I$80,6,FALSE)),"",VLOOKUP(KD2,Stormwater!$D$6:$I$80,6,FALSE))</f>
        <v/>
      </c>
      <c r="KE6" t="str">
        <f>IF(ISBLANK(VLOOKUP(KE2,Stormwater!$D$6:$I$80,6,FALSE)),"",VLOOKUP(KE2,Stormwater!$D$6:$I$80,6,FALSE))</f>
        <v/>
      </c>
      <c r="KF6" t="str">
        <f>IF(ISBLANK(VLOOKUP(KF2,Stormwater!$D$6:$I$80,6,FALSE)),"",VLOOKUP(KF2,Stormwater!$D$6:$I$80,6,FALSE))</f>
        <v/>
      </c>
      <c r="KG6" t="str">
        <f>IF(ISBLANK(VLOOKUP(KG2,Stormwater!$D$6:$I$80,6,FALSE)),"",VLOOKUP(KG2,Stormwater!$D$6:$I$80,6,FALSE))</f>
        <v>Calc</v>
      </c>
      <c r="KH6" t="str">
        <f>IF(ISBLANK(VLOOKUP(KH2,Stormwater!$D$6:$I$80,6,FALSE)),"",VLOOKUP(KH2,Stormwater!$D$6:$I$80,6,FALSE))</f>
        <v>Reliable</v>
      </c>
      <c r="KI6" t="str">
        <f>IF(ISBLANK(VLOOKUP(KI2,Stormwater!$D$6:$I$80,6,FALSE)),"",VLOOKUP(KI2,Stormwater!$D$6:$I$80,6,FALSE))</f>
        <v/>
      </c>
      <c r="KJ6" t="str">
        <f>IF(ISBLANK(VLOOKUP(KJ2,Stormwater!$D$6:$I$80,6,FALSE)),"",VLOOKUP(KJ2,Stormwater!$D$6:$I$80,6,FALSE))</f>
        <v>Calc</v>
      </c>
      <c r="KK6" t="str">
        <f>IF(ISBLANK(VLOOKUP(KK2,Stormwater!$D$6:$I$80,6,FALSE)),"",VLOOKUP(KK2,Stormwater!$D$6:$I$80,6,FALSE))</f>
        <v/>
      </c>
      <c r="KL6" t="str">
        <f>IF(ISBLANK(VLOOKUP(KL2,Stormwater!$D$6:$I$80,6,FALSE)),"",VLOOKUP(KL2,Stormwater!$D$6:$I$80,6,FALSE))</f>
        <v/>
      </c>
      <c r="KM6" t="str">
        <f>IF(ISBLANK(VLOOKUP(KM2,Stormwater!$D$6:$I$80,6,FALSE)),"",VLOOKUP(KM2,Stormwater!$D$6:$I$80,6,FALSE))</f>
        <v>Calc</v>
      </c>
      <c r="KN6" t="str">
        <f>IF(ISBLANK(VLOOKUP(KN2,Stormwater!$D$6:$I$80,6,FALSE)),"",VLOOKUP(KN2,Stormwater!$D$6:$I$80,6,FALSE))</f>
        <v/>
      </c>
      <c r="KO6" t="str">
        <f>IF(ISBLANK(VLOOKUP(KO2,Stormwater!$D$6:$I$80,6,FALSE)),"",VLOOKUP(KO2,Stormwater!$D$6:$I$80,6,FALSE))</f>
        <v/>
      </c>
      <c r="KP6" t="str">
        <f>IF(ISBLANK(VLOOKUP(KP2,Stormwater!$D$6:$I$80,6,FALSE)),"",VLOOKUP(KP2,Stormwater!$D$6:$I$80,6,FALSE))</f>
        <v/>
      </c>
      <c r="KQ6" t="str">
        <f>IF(ISBLANK(VLOOKUP(KQ2,Stormwater!$D$6:$I$80,6,FALSE)),"",VLOOKUP(KQ2,Stormwater!$D$6:$I$80,6,FALSE))</f>
        <v/>
      </c>
      <c r="KR6" t="str">
        <f>IF(ISBLANK(VLOOKUP(KR2,Stormwater!$D$6:$I$80,6,FALSE)),"",VLOOKUP(KR2,Stormwater!$D$6:$I$80,6,FALSE))</f>
        <v/>
      </c>
      <c r="KS6" t="str">
        <f>IF(ISBLANK(VLOOKUP(KS2,Stormwater!$D$6:$I$80,6,FALSE)),"",VLOOKUP(KS2,Stormwater!$D$6:$I$80,6,FALSE))</f>
        <v/>
      </c>
      <c r="KT6" t="str">
        <f>IF(ISBLANK(VLOOKUP(KT2,Stormwater!$D$6:$I$80,6,FALSE)),"",VLOOKUP(KT2,Stormwater!$D$6:$I$80,6,FALSE))</f>
        <v/>
      </c>
      <c r="KU6" t="str">
        <f>IF(ISBLANK(VLOOKUP(KU2,Stormwater!$D$6:$I$80,6,FALSE)),"",VLOOKUP(KU2,Stormwater!$D$6:$I$80,6,FALSE))</f>
        <v>Calc</v>
      </c>
      <c r="KV6" t="str">
        <f>IF(ISBLANK(VLOOKUP(KV2,Stormwater!$D$6:$I$80,6,FALSE)),"",VLOOKUP(KV2,Stormwater!$D$6:$I$80,6,FALSE))</f>
        <v>Calc</v>
      </c>
      <c r="KW6" t="str">
        <f>IF(ISBLANK(VLOOKUP(KW2,Stormwater!$D$6:$I$80,6,FALSE)),"",VLOOKUP(KW2,Stormwater!$D$6:$I$80,6,FALSE))</f>
        <v/>
      </c>
      <c r="KX6" t="str">
        <f>IF(ISBLANK(VLOOKUP(KX2,Stormwater!$D$6:$I$80,6,FALSE)),"",VLOOKUP(KX2,Stormwater!$D$6:$I$80,6,FALSE))</f>
        <v/>
      </c>
      <c r="KY6" t="str">
        <f>IF(ISBLANK(VLOOKUP(KY2,Stormwater!$D$6:$I$80,6,FALSE)),"",VLOOKUP(KY2,Stormwater!$D$6:$I$80,6,FALSE))</f>
        <v/>
      </c>
      <c r="KZ6" t="str">
        <f>IF(ISBLANK(VLOOKUP(KZ2,Stormwater!$D$6:$I$80,6,FALSE)),"",VLOOKUP(KZ2,Stormwater!$D$6:$I$80,6,FALSE))</f>
        <v/>
      </c>
      <c r="LA6" t="str">
        <f>IF(ISBLANK(VLOOKUP(LA2,Stormwater!$D$6:$I$80,6,FALSE)),"",VLOOKUP(LA2,Stormwater!$D$6:$I$80,6,FALSE))</f>
        <v/>
      </c>
      <c r="LB6" t="str">
        <f>IF(ISBLANK(VLOOKUP(LB2,Stormwater!$D$6:$I$80,6,FALSE)),"",VLOOKUP(LB2,Stormwater!$D$6:$I$80,6,FALSE))</f>
        <v>Calc</v>
      </c>
      <c r="LC6" t="str">
        <f>IF(ISBLANK(VLOOKUP(LC2,Stormwater!$D$6:$I$80,6,FALSE)),"",VLOOKUP(LC2,Stormwater!$D$6:$I$80,6,FALSE))</f>
        <v>Calc</v>
      </c>
      <c r="LD6" t="str">
        <f>IF(ISBLANK(VLOOKUP(LD2,Stormwater!$D$6:$I$80,6,FALSE)),"",VLOOKUP(LD2,Stormwater!$D$6:$I$80,6,FALSE))</f>
        <v/>
      </c>
      <c r="LE6" t="str">
        <f>IF(ISBLANK(VLOOKUP(LE2,Stormwater!$D$6:$I$80,6,FALSE)),"",VLOOKUP(LE2,Stormwater!$D$6:$I$80,6,FALSE))</f>
        <v/>
      </c>
      <c r="LF6" t="str">
        <f>IF(ISBLANK(VLOOKUP(LF2,Stormwater!$D$6:$I$80,6,FALSE)),"",VLOOKUP(LF2,Stormwater!$D$6:$I$80,6,FALSE))</f>
        <v>Calc</v>
      </c>
      <c r="LG6" t="str">
        <f>IF(ISBLANK(VLOOKUP(LG2,Stormwater!$D$6:$I$80,6,FALSE)),"",VLOOKUP(LG2,Stormwater!$D$6:$I$80,6,FALSE))</f>
        <v>Calc</v>
      </c>
      <c r="LH6" t="str">
        <f>IF(ISBLANK(VLOOKUP(LH2,Stormwater!$D$6:$I$80,6,FALSE)),"",VLOOKUP(LH2,Stormwater!$D$6:$I$80,6,FALSE))</f>
        <v>Calc</v>
      </c>
      <c r="LI6" t="str">
        <f>IF(ISBLANK(VLOOKUP(LI2,Stormwater!$D$6:$I$80,6,FALSE)),"",VLOOKUP(LI2,Stormwater!$D$6:$I$80,6,FALSE))</f>
        <v>Calc</v>
      </c>
      <c r="LJ6" t="str">
        <f>IF(ISBLANK(VLOOKUP(LJ2,Stormwater!$D$6:$I$80,6,FALSE)),"",VLOOKUP(LJ2,Stormwater!$D$6:$I$80,6,FALSE))</f>
        <v>Calc</v>
      </c>
      <c r="LK6" t="str">
        <f>IF(ISBLANK(VLOOKUP(LK2,Stormwater!$D$6:$I$80,6,FALSE)),"",VLOOKUP(LK2,Stormwater!$D$6:$I$80,6,FALSE))</f>
        <v/>
      </c>
      <c r="LL6" t="str">
        <f>IF(ISBLANK(VLOOKUP(LL2,Stormwater!$D$6:$I$80,6,FALSE)),"",VLOOKUP(LL2,Stormwater!$D$6:$I$80,6,FALSE))</f>
        <v/>
      </c>
      <c r="LM6" t="str">
        <f>IF(ISBLANK(VLOOKUP(LM2,Stormwater!$D$6:$I$80,6,FALSE)),"",VLOOKUP(LM2,Stormwater!$D$6:$I$80,6,FALSE))</f>
        <v/>
      </c>
      <c r="LN6" t="str">
        <f>IF(ISBLANK(VLOOKUP(LN2,Stormwater!$D$6:$I$80,6,FALSE)),"",VLOOKUP(LN2,Stormwater!$D$6:$I$80,6,FALSE))</f>
        <v>Calc</v>
      </c>
      <c r="LO6" t="str">
        <f>IF(ISBLANK(VLOOKUP(LO2,Stormwater!$D$6:$I$80,6,FALSE)),"",VLOOKUP(LO2,Stormwater!$D$6:$I$80,6,FALSE))</f>
        <v/>
      </c>
      <c r="LP6" t="str">
        <f>IF(ISBLANK(VLOOKUP(LP2,Stormwater!$D$6:$I$80,6,FALSE)),"",VLOOKUP(LP2,Stormwater!$D$6:$I$80,6,FALSE))</f>
        <v/>
      </c>
      <c r="LQ6" t="str">
        <f>IF(ISBLANK(VLOOKUP(LQ2,Stormwater!$D$6:$I$80,6,FALSE)),"",VLOOKUP(LQ2,Stormwater!$D$6:$I$80,6,FALSE))</f>
        <v/>
      </c>
      <c r="LR6" t="str">
        <f>IF(ISBLANK(VLOOKUP(LR2,Stormwater!$D$6:$I$80,6,FALSE)),"",VLOOKUP(LR2,Stormwater!$D$6:$I$80,6,FALSE))</f>
        <v>Calc</v>
      </c>
      <c r="LS6" t="str">
        <f>IF(ISBLANK(VLOOKUP(LS2,Stormwater!$D$6:$I$80,6,FALSE)),"",VLOOKUP(LS2,Stormwater!$D$6:$I$80,6,FALSE))</f>
        <v/>
      </c>
      <c r="LT6" t="str">
        <f>IF(ISBLANK(VLOOKUP(LT2,Stormwater!$D$6:$I$80,6,FALSE)),"",VLOOKUP(LT2,Stormwater!$D$6:$I$80,6,FALSE))</f>
        <v/>
      </c>
      <c r="LU6" t="str">
        <f>IF(ISBLANK(VLOOKUP(LU2,Stormwater!$D$6:$I$80,6,FALSE)),"",VLOOKUP(LU2,Stormwater!$D$6:$I$80,6,FALSE))</f>
        <v>Calc</v>
      </c>
      <c r="LV6" t="str">
        <f>IF(ISBLANK(VLOOKUP(LV2,Stormwater!$D$6:$I$80,6,FALSE)),"",VLOOKUP(LV2,Stormwater!$D$6:$I$80,6,FALSE))</f>
        <v/>
      </c>
      <c r="NO6" t="str">
        <f>IF(ISBLANK(VLOOKUP(NO2,Water!$D$6:$K$109,8,FALSE)),"",VLOOKUP(NO2,Water!$D$6:$K$109,8,FALSE))</f>
        <v/>
      </c>
      <c r="NP6" t="str">
        <f>IF(ISBLANK(VLOOKUP(NP2,Water!$D$6:$K$109,8,FALSE)),"",VLOOKUP(NP2,Water!$D$6:$K$109,8,FALSE))</f>
        <v/>
      </c>
      <c r="NQ6" t="str">
        <f>IF(ISBLANK(VLOOKUP(NQ2,Water!$D$6:$K$109,8,FALSE)),"",VLOOKUP(NQ2,Water!$D$6:$K$109,8,FALSE))</f>
        <v/>
      </c>
      <c r="NR6" t="str">
        <f>IF(ISBLANK(VLOOKUP(NR2,Water!$D$6:$K$109,8,FALSE)),"",VLOOKUP(NR2,Water!$D$6:$K$109,8,FALSE))</f>
        <v/>
      </c>
      <c r="NS6" t="str">
        <f>IF(ISBLANK(VLOOKUP(NS2,Water!$D$6:$K$109,8,FALSE)),"",VLOOKUP(NS2,Water!$D$6:$K$109,8,FALSE))</f>
        <v/>
      </c>
      <c r="NT6" t="str">
        <f>IF(ISBLANK(VLOOKUP(NT2,Water!$D$6:$K$109,8,FALSE)),"",VLOOKUP(NT2,Water!$D$6:$K$109,8,FALSE))</f>
        <v/>
      </c>
      <c r="NU6" t="str">
        <f>IF(ISBLANK(VLOOKUP(NU2,Water!$D$6:$K$109,8,FALSE)),"",VLOOKUP(NU2,Water!$D$6:$K$109,8,FALSE))</f>
        <v/>
      </c>
      <c r="NV6" t="str">
        <f>IF(ISBLANK(VLOOKUP(NV2,Water!$D$6:$K$109,8,FALSE)),"",VLOOKUP(NV2,Water!$D$6:$K$109,8,FALSE))</f>
        <v/>
      </c>
      <c r="NW6" t="str">
        <f>IF(ISBLANK(VLOOKUP(NW2,Water!$D$6:$K$109,8,FALSE)),"",VLOOKUP(NW2,Water!$D$6:$K$109,8,FALSE))</f>
        <v/>
      </c>
      <c r="NX6" t="str">
        <f>IF(ISBLANK(VLOOKUP(NX2,Water!$D$6:$K$109,8,FALSE)),"",VLOOKUP(NX2,Water!$D$6:$K$109,8,FALSE))</f>
        <v/>
      </c>
      <c r="NY6" t="str">
        <f>IF(ISBLANK(VLOOKUP(NY2,Water!$D$6:$K$109,8,FALSE)),"",VLOOKUP(NY2,Water!$D$6:$K$109,8,FALSE))</f>
        <v/>
      </c>
      <c r="NZ6" t="str">
        <f>IF(ISBLANK(VLOOKUP(NZ2,Water!$D$6:$K$109,8,FALSE)),"",VLOOKUP(NZ2,Water!$D$6:$K$109,8,FALSE))</f>
        <v/>
      </c>
      <c r="OA6" t="str">
        <f>IF(ISBLANK(VLOOKUP(OA2,Water!$D$6:$K$109,8,FALSE)),"",VLOOKUP(OA2,Water!$D$6:$K$109,8,FALSE))</f>
        <v/>
      </c>
      <c r="OB6" t="str">
        <f>IF(ISBLANK(VLOOKUP(OB2,Water!$D$6:$K$109,8,FALSE)),"",VLOOKUP(OB2,Water!$D$6:$K$109,8,FALSE))</f>
        <v/>
      </c>
      <c r="OC6" t="str">
        <f>IF(ISBLANK(VLOOKUP(OC2,Water!$D$6:$K$109,8,FALSE)),"",VLOOKUP(OC2,Water!$D$6:$K$109,8,FALSE))</f>
        <v/>
      </c>
      <c r="OD6" t="str">
        <f>IF(ISBLANK(VLOOKUP(OD2,Water!$D$6:$K$109,8,FALSE)),"",VLOOKUP(OD2,Water!$D$6:$K$109,8,FALSE))</f>
        <v/>
      </c>
      <c r="OE6" t="str">
        <f>IF(ISBLANK(VLOOKUP(OE2,Water!$D$6:$K$109,8,FALSE)),"",VLOOKUP(OE2,Water!$D$6:$K$109,8,FALSE))</f>
        <v/>
      </c>
      <c r="OF6" t="str">
        <f>IF(ISBLANK(VLOOKUP(OF2,Water!$D$6:$K$109,8,FALSE)),"",VLOOKUP(OF2,Water!$D$6:$K$109,8,FALSE))</f>
        <v/>
      </c>
      <c r="OG6" t="str">
        <f>IF(ISBLANK(VLOOKUP(OG2,Water!$D$6:$K$109,8,FALSE)),"",VLOOKUP(OG2,Water!$D$6:$K$109,8,FALSE))</f>
        <v/>
      </c>
      <c r="OH6" t="str">
        <f>IF(ISBLANK(VLOOKUP(OH2,Water!$D$6:$K$109,8,FALSE)),"",VLOOKUP(OH2,Water!$D$6:$K$109,8,FALSE))</f>
        <v/>
      </c>
      <c r="OI6" t="str">
        <f>IF(ISBLANK(VLOOKUP(OI2,Wastewater!$D$6:$I$127,6,FALSE)),"",VLOOKUP(OI2,Wastewater!$D$6:$I$127,6,FALSE))</f>
        <v/>
      </c>
      <c r="OJ6" t="str">
        <f>IF(ISBLANK(VLOOKUP(OJ2,Wastewater!$D$6:$I$127,6,FALSE)),"",VLOOKUP(OJ2,Wastewater!$D$6:$I$127,6,FALSE))</f>
        <v/>
      </c>
      <c r="OK6" t="str">
        <f>IF(ISBLANK(VLOOKUP(OK2,Wastewater!$D$6:$I$127,6,FALSE)),"",VLOOKUP(OK2,Wastewater!$D$6:$I$127,6,FALSE))</f>
        <v/>
      </c>
      <c r="OL6" t="str">
        <f>IF(ISBLANK(VLOOKUP(OL2,Wastewater!$D$6:$I$127,6,FALSE)),"",VLOOKUP(OL2,Wastewater!$D$6:$I$127,6,FALSE))</f>
        <v/>
      </c>
      <c r="OM6" t="str">
        <f>IF(ISBLANK(VLOOKUP(OM2,Wastewater!$D$6:$I$127,6,FALSE)),"",VLOOKUP(OM2,Wastewater!$D$6:$I$127,6,FALSE))</f>
        <v/>
      </c>
      <c r="ON6" t="str">
        <f>IF(ISBLANK(VLOOKUP(ON2,Wastewater!$D$6:$I$127,6,FALSE)),"",VLOOKUP(ON2,Wastewater!$D$6:$I$127,6,FALSE))</f>
        <v/>
      </c>
      <c r="OO6" t="str">
        <f>IF(ISBLANK(VLOOKUP(OO2,Wastewater!$D$6:$I$127,6,FALSE)),"",VLOOKUP(OO2,Wastewater!$D$6:$I$127,6,FALSE))</f>
        <v/>
      </c>
      <c r="OP6" t="str">
        <f>IF(ISBLANK(VLOOKUP(OP2,Wastewater!$D$6:$I$127,6,FALSE)),"",VLOOKUP(OP2,Wastewater!$D$6:$I$127,6,FALSE))</f>
        <v/>
      </c>
      <c r="OQ6" t="str">
        <f>IF(ISBLANK(VLOOKUP(OQ2,Stormwater!$D$6:$I$80,6,FALSE)),"",VLOOKUP(OQ2,Stormwater!$D$6:$I$80,6,FALSE))</f>
        <v/>
      </c>
      <c r="OR6" t="str">
        <f>IF(ISBLANK(VLOOKUP(OR2,Stormwater!$D$6:$I$80,6,FALSE)),"",VLOOKUP(OR2,Stormwater!$D$6:$I$80,6,FALSE))</f>
        <v/>
      </c>
      <c r="OS6" t="str">
        <f>IF(ISBLANK(VLOOKUP(OS2,Stormwater!$D$6:$I$80,6,FALSE)),"",VLOOKUP(OS2,Stormwater!$D$6:$I$80,6,FALSE))</f>
        <v/>
      </c>
      <c r="OT6" t="str">
        <f>IF(ISBLANK(VLOOKUP(OT2,Stormwater!$D$6:$I$80,6,FALSE)),"",VLOOKUP(OT2,Stormwater!$D$6:$I$80,6,FALSE))</f>
        <v/>
      </c>
      <c r="OU6" t="str">
        <f>IF(ISBLANK(VLOOKUP(OU2,Stormwater!$D$6:$I$80,6,FALSE)),"",VLOOKUP(OU2,Stormwater!$D$6:$I$80,6,FALSE))</f>
        <v/>
      </c>
      <c r="OV6" t="str">
        <f>IF(ISBLANK(VLOOKUP(OV2,Stormwater!$D$6:$I$80,6,FALSE)),"",VLOOKUP(OV2,Stormwater!$D$6:$I$80,6,FALSE))</f>
        <v/>
      </c>
      <c r="OW6" t="str">
        <f>IF(ISBLANK(VLOOKUP(OW2,Stormwater!$D$6:$I$80,6,FALSE)),"",VLOOKUP(OW2,Stormwater!$D$6:$I$80,6,FALSE))</f>
        <v/>
      </c>
      <c r="OX6" t="str">
        <f>IF(ISBLANK(VLOOKUP(OX2,Stormwater!$D$6:$I$80,6,FALSE)),"",VLOOKUP(OX2,Stormwater!$D$6:$I$80,6,FALSE))</f>
        <v/>
      </c>
      <c r="OY6" t="str">
        <f>IF(ISBLANK(VLOOKUP(OY2,Stormwater!$D$6:$I$80,6,FALSE)),"",VLOOKUP(OY2,Stormwater!$D$6:$I$80,6,FALSE))</f>
        <v/>
      </c>
      <c r="OZ6" t="str">
        <f>IF(ISBLANK(VLOOKUP(OZ2,Stormwater!$D$6:$I$80,6,FALSE)),"",VLOOKUP(OZ2,Stormwater!$D$6:$I$80,6,FALSE))</f>
        <v/>
      </c>
    </row>
    <row r="7" spans="1:426">
      <c r="A7" s="120"/>
    </row>
    <row r="8" spans="1:426">
      <c r="A8" t="s">
        <v>2731</v>
      </c>
      <c r="B8" s="120" t="s">
        <v>2732</v>
      </c>
      <c r="C8" t="s">
        <v>2733</v>
      </c>
      <c r="D8" t="s">
        <v>2734</v>
      </c>
      <c r="E8" t="s">
        <v>2735</v>
      </c>
      <c r="F8" t="s">
        <v>2736</v>
      </c>
      <c r="G8" t="s">
        <v>2737</v>
      </c>
      <c r="H8" t="s">
        <v>2738</v>
      </c>
      <c r="I8" t="s">
        <v>2739</v>
      </c>
      <c r="J8" t="s">
        <v>2740</v>
      </c>
      <c r="K8" t="s">
        <v>2741</v>
      </c>
      <c r="L8" t="s">
        <v>2742</v>
      </c>
      <c r="M8" t="s">
        <v>2743</v>
      </c>
      <c r="N8" t="s">
        <v>2744</v>
      </c>
      <c r="O8" t="s">
        <v>2745</v>
      </c>
      <c r="P8" t="s">
        <v>2746</v>
      </c>
      <c r="Q8" t="s">
        <v>2747</v>
      </c>
      <c r="R8" t="s">
        <v>2748</v>
      </c>
      <c r="S8" t="s">
        <v>2749</v>
      </c>
      <c r="T8" t="s">
        <v>2750</v>
      </c>
      <c r="U8" t="s">
        <v>2751</v>
      </c>
      <c r="V8" t="s">
        <v>2752</v>
      </c>
      <c r="W8" t="s">
        <v>2753</v>
      </c>
      <c r="X8" t="s">
        <v>2754</v>
      </c>
      <c r="Y8" t="s">
        <v>2755</v>
      </c>
      <c r="Z8" t="s">
        <v>2756</v>
      </c>
      <c r="AA8" t="s">
        <v>2757</v>
      </c>
      <c r="AB8" t="s">
        <v>2758</v>
      </c>
      <c r="AC8" t="s">
        <v>2759</v>
      </c>
      <c r="AD8" t="s">
        <v>2760</v>
      </c>
      <c r="AE8" t="s">
        <v>2761</v>
      </c>
      <c r="AF8" t="s">
        <v>2762</v>
      </c>
      <c r="AG8" t="s">
        <v>2763</v>
      </c>
      <c r="AH8" t="s">
        <v>2764</v>
      </c>
      <c r="AI8" t="s">
        <v>2765</v>
      </c>
      <c r="AJ8" t="s">
        <v>2766</v>
      </c>
      <c r="AK8" t="s">
        <v>2767</v>
      </c>
      <c r="AL8" t="s">
        <v>2768</v>
      </c>
      <c r="AM8" t="s">
        <v>2769</v>
      </c>
      <c r="AN8" t="s">
        <v>2770</v>
      </c>
      <c r="AO8" t="s">
        <v>2771</v>
      </c>
      <c r="AP8" t="s">
        <v>2772</v>
      </c>
      <c r="AQ8" t="s">
        <v>2773</v>
      </c>
      <c r="AR8" t="s">
        <v>2774</v>
      </c>
      <c r="AS8" t="s">
        <v>2775</v>
      </c>
      <c r="AT8" t="s">
        <v>2776</v>
      </c>
      <c r="AU8" t="s">
        <v>2777</v>
      </c>
      <c r="AV8" t="s">
        <v>2778</v>
      </c>
      <c r="AW8" t="s">
        <v>2779</v>
      </c>
      <c r="AX8" t="s">
        <v>2780</v>
      </c>
      <c r="AY8" t="s">
        <v>2781</v>
      </c>
      <c r="AZ8" t="s">
        <v>2782</v>
      </c>
      <c r="BA8" t="s">
        <v>2783</v>
      </c>
      <c r="BB8" t="s">
        <v>2784</v>
      </c>
      <c r="BC8" t="s">
        <v>2785</v>
      </c>
      <c r="BD8" t="s">
        <v>2786</v>
      </c>
      <c r="BE8" s="104" t="s">
        <v>2787</v>
      </c>
      <c r="BF8" t="s">
        <v>2788</v>
      </c>
      <c r="BG8" t="s">
        <v>2789</v>
      </c>
      <c r="BH8" t="s">
        <v>2790</v>
      </c>
      <c r="BI8" t="s">
        <v>2791</v>
      </c>
      <c r="BJ8" t="s">
        <v>2792</v>
      </c>
      <c r="BK8" t="s">
        <v>2793</v>
      </c>
      <c r="BL8" t="s">
        <v>2794</v>
      </c>
      <c r="BM8" t="s">
        <v>2795</v>
      </c>
      <c r="BN8" t="s">
        <v>2796</v>
      </c>
      <c r="BO8" t="s">
        <v>2797</v>
      </c>
      <c r="BP8" t="s">
        <v>2798</v>
      </c>
      <c r="BQ8" t="s">
        <v>2799</v>
      </c>
      <c r="BR8" t="s">
        <v>2800</v>
      </c>
      <c r="BS8" t="s">
        <v>2801</v>
      </c>
      <c r="BT8" t="s">
        <v>2802</v>
      </c>
      <c r="BU8" t="s">
        <v>2803</v>
      </c>
      <c r="BV8" t="s">
        <v>2804</v>
      </c>
      <c r="BW8" t="s">
        <v>2805</v>
      </c>
      <c r="BX8" t="s">
        <v>2806</v>
      </c>
      <c r="BY8" t="s">
        <v>2807</v>
      </c>
      <c r="BZ8" t="s">
        <v>2808</v>
      </c>
      <c r="CA8" t="s">
        <v>2809</v>
      </c>
      <c r="CB8" t="s">
        <v>2810</v>
      </c>
      <c r="CC8" t="s">
        <v>2811</v>
      </c>
      <c r="CD8" t="s">
        <v>2812</v>
      </c>
      <c r="CE8" t="s">
        <v>2813</v>
      </c>
      <c r="CF8" t="s">
        <v>2814</v>
      </c>
      <c r="CG8" t="s">
        <v>2815</v>
      </c>
      <c r="CH8" t="s">
        <v>2816</v>
      </c>
      <c r="CI8" t="s">
        <v>2817</v>
      </c>
      <c r="CJ8" t="s">
        <v>2818</v>
      </c>
      <c r="CK8" t="s">
        <v>2819</v>
      </c>
      <c r="CL8" t="s">
        <v>2820</v>
      </c>
      <c r="CM8" t="s">
        <v>2821</v>
      </c>
      <c r="CN8" t="s">
        <v>2822</v>
      </c>
      <c r="CO8" t="s">
        <v>2823</v>
      </c>
      <c r="CP8" t="s">
        <v>2824</v>
      </c>
      <c r="CQ8" t="s">
        <v>2825</v>
      </c>
      <c r="CR8" t="s">
        <v>2826</v>
      </c>
      <c r="CS8" t="s">
        <v>2827</v>
      </c>
      <c r="CT8" t="s">
        <v>2828</v>
      </c>
      <c r="CU8" t="s">
        <v>2829</v>
      </c>
      <c r="CV8" t="s">
        <v>2830</v>
      </c>
      <c r="CW8" t="s">
        <v>2831</v>
      </c>
      <c r="CX8" t="s">
        <v>2832</v>
      </c>
      <c r="CY8" t="s">
        <v>2833</v>
      </c>
      <c r="CZ8" t="s">
        <v>2834</v>
      </c>
      <c r="DA8" t="s">
        <v>2835</v>
      </c>
      <c r="DB8" t="s">
        <v>2836</v>
      </c>
      <c r="DC8" t="s">
        <v>2837</v>
      </c>
      <c r="DD8" t="s">
        <v>2838</v>
      </c>
      <c r="DE8" t="s">
        <v>2839</v>
      </c>
      <c r="DF8" t="s">
        <v>2840</v>
      </c>
      <c r="DG8" t="s">
        <v>2841</v>
      </c>
      <c r="DH8" t="s">
        <v>2842</v>
      </c>
      <c r="DI8" t="s">
        <v>2843</v>
      </c>
      <c r="DJ8" t="s">
        <v>2844</v>
      </c>
      <c r="DK8" t="s">
        <v>2845</v>
      </c>
      <c r="DL8" t="s">
        <v>2846</v>
      </c>
      <c r="DM8" t="s">
        <v>2847</v>
      </c>
      <c r="DN8" t="s">
        <v>2848</v>
      </c>
      <c r="DO8" t="s">
        <v>2849</v>
      </c>
      <c r="DP8" t="s">
        <v>2850</v>
      </c>
      <c r="DQ8" t="s">
        <v>2851</v>
      </c>
      <c r="DR8" t="s">
        <v>2852</v>
      </c>
      <c r="DS8" t="s">
        <v>2853</v>
      </c>
      <c r="DT8" t="s">
        <v>2854</v>
      </c>
      <c r="DU8" t="s">
        <v>2855</v>
      </c>
      <c r="DV8" t="s">
        <v>2856</v>
      </c>
      <c r="DW8" t="s">
        <v>2857</v>
      </c>
      <c r="DX8" t="s">
        <v>2858</v>
      </c>
      <c r="DY8" t="s">
        <v>2859</v>
      </c>
      <c r="DZ8" t="s">
        <v>2860</v>
      </c>
      <c r="EA8" t="s">
        <v>2861</v>
      </c>
      <c r="EB8" t="s">
        <v>2862</v>
      </c>
      <c r="EC8" t="s">
        <v>2863</v>
      </c>
      <c r="ED8" t="s">
        <v>2864</v>
      </c>
      <c r="EE8" t="s">
        <v>2865</v>
      </c>
      <c r="EF8" t="s">
        <v>2866</v>
      </c>
      <c r="EG8" t="s">
        <v>2867</v>
      </c>
      <c r="EH8" t="s">
        <v>2868</v>
      </c>
      <c r="EI8" t="s">
        <v>2869</v>
      </c>
      <c r="EJ8" t="s">
        <v>2870</v>
      </c>
      <c r="EK8" t="s">
        <v>2871</v>
      </c>
      <c r="EL8" t="s">
        <v>2872</v>
      </c>
      <c r="EM8" t="s">
        <v>2873</v>
      </c>
      <c r="EN8" t="s">
        <v>2874</v>
      </c>
      <c r="EO8" t="s">
        <v>2875</v>
      </c>
      <c r="EP8" t="s">
        <v>2876</v>
      </c>
      <c r="EQ8" t="s">
        <v>2877</v>
      </c>
      <c r="ER8" t="s">
        <v>2878</v>
      </c>
      <c r="ES8" t="s">
        <v>2879</v>
      </c>
      <c r="ET8" t="s">
        <v>2880</v>
      </c>
      <c r="EU8" t="s">
        <v>2881</v>
      </c>
      <c r="EV8" t="s">
        <v>2882</v>
      </c>
      <c r="EW8" t="s">
        <v>2883</v>
      </c>
      <c r="EX8" t="s">
        <v>2884</v>
      </c>
      <c r="EY8" t="s">
        <v>2885</v>
      </c>
      <c r="EZ8" t="s">
        <v>2886</v>
      </c>
      <c r="FA8" t="s">
        <v>2887</v>
      </c>
      <c r="FB8" t="s">
        <v>2888</v>
      </c>
      <c r="FC8" t="s">
        <v>2889</v>
      </c>
      <c r="FD8" t="s">
        <v>2890</v>
      </c>
      <c r="FE8" t="s">
        <v>2891</v>
      </c>
      <c r="FF8" t="s">
        <v>2892</v>
      </c>
      <c r="FG8" t="s">
        <v>2893</v>
      </c>
      <c r="FH8" t="s">
        <v>2894</v>
      </c>
      <c r="FI8" t="s">
        <v>2895</v>
      </c>
      <c r="FJ8" t="s">
        <v>2896</v>
      </c>
      <c r="FK8" t="s">
        <v>2897</v>
      </c>
      <c r="FL8" t="s">
        <v>2898</v>
      </c>
      <c r="FM8" t="s">
        <v>2899</v>
      </c>
      <c r="FN8" t="s">
        <v>2900</v>
      </c>
      <c r="FO8" t="s">
        <v>2901</v>
      </c>
      <c r="FP8" t="s">
        <v>2902</v>
      </c>
      <c r="FQ8" t="s">
        <v>2903</v>
      </c>
      <c r="FR8" t="s">
        <v>2904</v>
      </c>
      <c r="FS8" t="s">
        <v>2905</v>
      </c>
      <c r="FT8" t="s">
        <v>2906</v>
      </c>
      <c r="FU8" t="s">
        <v>2907</v>
      </c>
      <c r="FV8" t="s">
        <v>2908</v>
      </c>
      <c r="FW8" t="s">
        <v>2909</v>
      </c>
      <c r="FX8" t="s">
        <v>2910</v>
      </c>
      <c r="FY8" t="s">
        <v>2911</v>
      </c>
      <c r="FZ8" t="s">
        <v>2912</v>
      </c>
      <c r="GA8" t="s">
        <v>2913</v>
      </c>
      <c r="GB8" t="s">
        <v>2914</v>
      </c>
      <c r="GC8" t="s">
        <v>2915</v>
      </c>
      <c r="GD8" t="s">
        <v>2916</v>
      </c>
      <c r="GE8" t="s">
        <v>2917</v>
      </c>
      <c r="GF8" t="s">
        <v>2918</v>
      </c>
      <c r="GG8" t="s">
        <v>2919</v>
      </c>
      <c r="GH8" t="s">
        <v>2920</v>
      </c>
      <c r="GI8" t="s">
        <v>2921</v>
      </c>
      <c r="GJ8" t="s">
        <v>2922</v>
      </c>
      <c r="GK8" t="s">
        <v>2923</v>
      </c>
      <c r="GL8" t="s">
        <v>2924</v>
      </c>
      <c r="GM8" t="s">
        <v>2925</v>
      </c>
      <c r="GN8" t="s">
        <v>2926</v>
      </c>
      <c r="GO8" t="s">
        <v>2927</v>
      </c>
      <c r="GP8" t="s">
        <v>2928</v>
      </c>
      <c r="GQ8" t="s">
        <v>2929</v>
      </c>
      <c r="GR8" t="s">
        <v>2930</v>
      </c>
      <c r="GS8" t="s">
        <v>2931</v>
      </c>
      <c r="GT8" t="s">
        <v>2932</v>
      </c>
      <c r="GU8" t="s">
        <v>2933</v>
      </c>
      <c r="GV8" t="s">
        <v>2934</v>
      </c>
      <c r="GW8" t="s">
        <v>2935</v>
      </c>
      <c r="GX8" t="s">
        <v>2936</v>
      </c>
      <c r="GY8" t="s">
        <v>2937</v>
      </c>
      <c r="GZ8" t="s">
        <v>2938</v>
      </c>
      <c r="HA8" t="s">
        <v>2939</v>
      </c>
      <c r="HB8" t="s">
        <v>2940</v>
      </c>
      <c r="HC8" t="s">
        <v>2941</v>
      </c>
      <c r="HD8" t="s">
        <v>2942</v>
      </c>
      <c r="HE8" t="s">
        <v>2943</v>
      </c>
      <c r="HF8" t="s">
        <v>2944</v>
      </c>
      <c r="HG8" t="s">
        <v>2945</v>
      </c>
      <c r="HH8" t="s">
        <v>2946</v>
      </c>
      <c r="HI8" t="s">
        <v>2947</v>
      </c>
      <c r="HJ8" t="s">
        <v>2948</v>
      </c>
      <c r="HK8" t="s">
        <v>2949</v>
      </c>
      <c r="HL8" t="s">
        <v>2950</v>
      </c>
      <c r="HM8" t="s">
        <v>2951</v>
      </c>
      <c r="HN8" t="s">
        <v>2952</v>
      </c>
      <c r="HO8" t="s">
        <v>2953</v>
      </c>
      <c r="HP8" t="s">
        <v>2954</v>
      </c>
      <c r="HQ8" t="s">
        <v>2955</v>
      </c>
      <c r="HR8" t="s">
        <v>2956</v>
      </c>
      <c r="HS8" t="s">
        <v>2957</v>
      </c>
      <c r="HT8" t="s">
        <v>2958</v>
      </c>
      <c r="HU8" t="s">
        <v>2959</v>
      </c>
      <c r="HV8" t="s">
        <v>2960</v>
      </c>
      <c r="HW8" t="s">
        <v>2961</v>
      </c>
      <c r="HX8" t="s">
        <v>2962</v>
      </c>
      <c r="HY8" t="s">
        <v>2963</v>
      </c>
      <c r="HZ8" t="s">
        <v>2964</v>
      </c>
      <c r="IA8" t="s">
        <v>2965</v>
      </c>
      <c r="IB8" t="s">
        <v>2966</v>
      </c>
      <c r="IC8" t="s">
        <v>2967</v>
      </c>
      <c r="ID8" t="s">
        <v>2968</v>
      </c>
      <c r="IE8" t="s">
        <v>2969</v>
      </c>
      <c r="IF8" t="s">
        <v>2970</v>
      </c>
      <c r="IG8" t="s">
        <v>2971</v>
      </c>
      <c r="IH8" t="s">
        <v>2972</v>
      </c>
      <c r="II8" t="s">
        <v>2973</v>
      </c>
      <c r="IJ8" t="s">
        <v>2974</v>
      </c>
      <c r="IK8" t="s">
        <v>2975</v>
      </c>
      <c r="IL8" t="s">
        <v>2976</v>
      </c>
      <c r="IM8" t="s">
        <v>2977</v>
      </c>
      <c r="IN8" t="s">
        <v>2978</v>
      </c>
      <c r="IO8" t="s">
        <v>2979</v>
      </c>
      <c r="IP8" t="s">
        <v>2980</v>
      </c>
      <c r="IQ8" t="s">
        <v>2981</v>
      </c>
      <c r="IR8" t="s">
        <v>2982</v>
      </c>
      <c r="IS8" t="s">
        <v>2983</v>
      </c>
      <c r="IT8" t="s">
        <v>2984</v>
      </c>
      <c r="IU8" t="s">
        <v>2985</v>
      </c>
      <c r="IV8" t="s">
        <v>2986</v>
      </c>
      <c r="IW8" t="s">
        <v>2987</v>
      </c>
      <c r="IX8" t="s">
        <v>2988</v>
      </c>
      <c r="IY8" t="s">
        <v>2989</v>
      </c>
      <c r="IZ8" t="s">
        <v>2990</v>
      </c>
      <c r="JA8" t="s">
        <v>2991</v>
      </c>
      <c r="JB8" t="s">
        <v>2992</v>
      </c>
      <c r="JC8" t="s">
        <v>2993</v>
      </c>
      <c r="JD8" t="s">
        <v>2994</v>
      </c>
      <c r="JE8" t="s">
        <v>2995</v>
      </c>
      <c r="JF8" t="s">
        <v>2996</v>
      </c>
      <c r="JG8" t="s">
        <v>2997</v>
      </c>
      <c r="JH8" t="s">
        <v>2998</v>
      </c>
      <c r="JI8" t="s">
        <v>2999</v>
      </c>
      <c r="JJ8" t="s">
        <v>3000</v>
      </c>
      <c r="JK8" t="s">
        <v>3001</v>
      </c>
      <c r="JL8" t="s">
        <v>3002</v>
      </c>
      <c r="JM8" t="s">
        <v>3003</v>
      </c>
      <c r="JN8" t="s">
        <v>3004</v>
      </c>
      <c r="JO8" t="s">
        <v>3005</v>
      </c>
      <c r="JP8" t="s">
        <v>3006</v>
      </c>
      <c r="JQ8" t="s">
        <v>3007</v>
      </c>
      <c r="JR8" t="s">
        <v>3008</v>
      </c>
      <c r="JS8" t="s">
        <v>3009</v>
      </c>
      <c r="JT8" t="s">
        <v>3010</v>
      </c>
      <c r="JU8" t="s">
        <v>3011</v>
      </c>
      <c r="JV8" t="s">
        <v>3012</v>
      </c>
      <c r="JW8" t="s">
        <v>3013</v>
      </c>
      <c r="JX8" t="s">
        <v>3014</v>
      </c>
      <c r="JY8" t="s">
        <v>3015</v>
      </c>
      <c r="JZ8" t="s">
        <v>3016</v>
      </c>
      <c r="KA8" t="s">
        <v>3017</v>
      </c>
      <c r="KB8" t="s">
        <v>3018</v>
      </c>
      <c r="KC8" t="s">
        <v>3019</v>
      </c>
      <c r="KD8" t="s">
        <v>3020</v>
      </c>
      <c r="KE8" t="s">
        <v>3021</v>
      </c>
      <c r="KF8" t="s">
        <v>3022</v>
      </c>
      <c r="KG8" t="s">
        <v>3023</v>
      </c>
      <c r="KH8" t="s">
        <v>3024</v>
      </c>
      <c r="KI8" t="s">
        <v>3025</v>
      </c>
      <c r="KJ8" t="s">
        <v>3026</v>
      </c>
      <c r="KK8" t="s">
        <v>3027</v>
      </c>
      <c r="KL8" t="s">
        <v>3028</v>
      </c>
      <c r="KM8" t="s">
        <v>3029</v>
      </c>
      <c r="KN8" t="s">
        <v>3030</v>
      </c>
      <c r="KO8" t="s">
        <v>3031</v>
      </c>
      <c r="KP8" t="s">
        <v>3032</v>
      </c>
      <c r="KQ8" t="s">
        <v>3033</v>
      </c>
      <c r="KR8" t="s">
        <v>3034</v>
      </c>
      <c r="KS8" t="s">
        <v>3035</v>
      </c>
      <c r="KT8" t="s">
        <v>3036</v>
      </c>
      <c r="KU8" t="s">
        <v>3037</v>
      </c>
      <c r="KV8" t="s">
        <v>3038</v>
      </c>
      <c r="KW8" t="s">
        <v>3039</v>
      </c>
      <c r="KX8" t="s">
        <v>3040</v>
      </c>
      <c r="KY8" t="s">
        <v>3041</v>
      </c>
      <c r="KZ8" t="s">
        <v>3042</v>
      </c>
      <c r="LA8" t="s">
        <v>3043</v>
      </c>
      <c r="LB8" t="s">
        <v>3044</v>
      </c>
      <c r="LC8" t="s">
        <v>3045</v>
      </c>
      <c r="LD8" t="s">
        <v>3046</v>
      </c>
      <c r="LE8" t="s">
        <v>3047</v>
      </c>
      <c r="LF8" t="s">
        <v>3048</v>
      </c>
      <c r="LG8" t="s">
        <v>3049</v>
      </c>
      <c r="LH8" t="s">
        <v>3050</v>
      </c>
      <c r="LI8" t="s">
        <v>3051</v>
      </c>
      <c r="LJ8" t="s">
        <v>3052</v>
      </c>
      <c r="LK8" t="s">
        <v>3053</v>
      </c>
      <c r="LL8" t="s">
        <v>3054</v>
      </c>
      <c r="LM8" t="s">
        <v>3055</v>
      </c>
      <c r="LN8" t="s">
        <v>3056</v>
      </c>
      <c r="LO8" t="s">
        <v>3057</v>
      </c>
      <c r="LP8" t="s">
        <v>3058</v>
      </c>
      <c r="LQ8" t="s">
        <v>3059</v>
      </c>
      <c r="LR8" t="s">
        <v>3060</v>
      </c>
      <c r="LS8" t="s">
        <v>3061</v>
      </c>
      <c r="LT8" t="s">
        <v>3062</v>
      </c>
      <c r="LU8" t="s">
        <v>3063</v>
      </c>
      <c r="LV8" t="s">
        <v>3064</v>
      </c>
      <c r="LW8" s="121" t="s">
        <v>3065</v>
      </c>
      <c r="LX8" s="121" t="s">
        <v>3066</v>
      </c>
      <c r="LY8" s="121" t="s">
        <v>3067</v>
      </c>
      <c r="LZ8" s="121" t="s">
        <v>3068</v>
      </c>
      <c r="MA8" s="121" t="s">
        <v>3069</v>
      </c>
      <c r="MB8" s="121" t="s">
        <v>3070</v>
      </c>
      <c r="MC8" s="121" t="s">
        <v>3071</v>
      </c>
      <c r="MD8" s="121" t="s">
        <v>3072</v>
      </c>
      <c r="ME8" s="121" t="s">
        <v>3073</v>
      </c>
      <c r="MF8" s="121" t="s">
        <v>3074</v>
      </c>
      <c r="MG8" s="121" t="s">
        <v>3075</v>
      </c>
      <c r="MH8" s="121" t="s">
        <v>3076</v>
      </c>
      <c r="MI8" s="121" t="s">
        <v>3077</v>
      </c>
      <c r="MJ8" s="121" t="s">
        <v>3078</v>
      </c>
      <c r="MK8" s="121" t="s">
        <v>3079</v>
      </c>
      <c r="ML8" s="121" t="s">
        <v>3080</v>
      </c>
      <c r="MM8" s="121" t="s">
        <v>3081</v>
      </c>
      <c r="MN8" s="121" t="s">
        <v>3082</v>
      </c>
      <c r="MO8" s="121" t="s">
        <v>3083</v>
      </c>
      <c r="MP8" s="121" t="s">
        <v>3084</v>
      </c>
      <c r="MQ8" s="121" t="s">
        <v>3085</v>
      </c>
      <c r="MR8" s="121" t="s">
        <v>3086</v>
      </c>
      <c r="MS8" s="121" t="s">
        <v>3087</v>
      </c>
      <c r="MT8" s="121" t="s">
        <v>3088</v>
      </c>
      <c r="MU8" s="121" t="s">
        <v>3089</v>
      </c>
      <c r="MV8" s="121" t="s">
        <v>3090</v>
      </c>
      <c r="MW8" s="121" t="s">
        <v>3091</v>
      </c>
      <c r="MX8" s="121" t="s">
        <v>3092</v>
      </c>
      <c r="MY8" s="121" t="s">
        <v>3093</v>
      </c>
      <c r="MZ8" s="121" t="s">
        <v>3094</v>
      </c>
      <c r="NA8" s="121" t="s">
        <v>3095</v>
      </c>
      <c r="NB8" s="121" t="s">
        <v>3096</v>
      </c>
      <c r="NC8" s="121" t="s">
        <v>3097</v>
      </c>
      <c r="ND8" s="121" t="s">
        <v>3098</v>
      </c>
      <c r="NE8" s="121" t="s">
        <v>3099</v>
      </c>
      <c r="NF8" s="121" t="s">
        <v>3100</v>
      </c>
      <c r="NG8" s="121" t="s">
        <v>3101</v>
      </c>
      <c r="NH8" s="121" t="s">
        <v>3102</v>
      </c>
      <c r="NI8" s="121" t="s">
        <v>3103</v>
      </c>
      <c r="NJ8" s="121" t="s">
        <v>3104</v>
      </c>
      <c r="NK8" s="121" t="s">
        <v>3105</v>
      </c>
      <c r="NL8" s="121" t="s">
        <v>3106</v>
      </c>
      <c r="NM8" s="121" t="s">
        <v>3107</v>
      </c>
      <c r="NN8" s="121" t="s">
        <v>3108</v>
      </c>
      <c r="NO8" t="s">
        <v>3109</v>
      </c>
      <c r="NP8" t="s">
        <v>3110</v>
      </c>
      <c r="NQ8" t="s">
        <v>3111</v>
      </c>
      <c r="NR8" t="s">
        <v>3112</v>
      </c>
      <c r="NS8" t="s">
        <v>3113</v>
      </c>
      <c r="NT8" t="s">
        <v>3114</v>
      </c>
      <c r="NU8" t="s">
        <v>3115</v>
      </c>
      <c r="NV8" t="s">
        <v>3116</v>
      </c>
      <c r="NW8" t="s">
        <v>3117</v>
      </c>
      <c r="NX8" t="s">
        <v>3118</v>
      </c>
      <c r="NY8" t="s">
        <v>3119</v>
      </c>
      <c r="NZ8" t="s">
        <v>3120</v>
      </c>
      <c r="OA8" t="s">
        <v>3121</v>
      </c>
      <c r="OB8" t="s">
        <v>3122</v>
      </c>
      <c r="OC8" t="s">
        <v>3123</v>
      </c>
      <c r="OD8" t="s">
        <v>3124</v>
      </c>
      <c r="OE8" t="s">
        <v>3125</v>
      </c>
      <c r="OF8" t="s">
        <v>3126</v>
      </c>
      <c r="OG8" t="s">
        <v>3127</v>
      </c>
      <c r="OH8" t="s">
        <v>3128</v>
      </c>
      <c r="OI8" t="s">
        <v>3129</v>
      </c>
      <c r="OJ8" t="s">
        <v>3130</v>
      </c>
      <c r="OK8" t="s">
        <v>3131</v>
      </c>
      <c r="OL8" t="s">
        <v>3132</v>
      </c>
      <c r="OM8" t="s">
        <v>3133</v>
      </c>
      <c r="ON8" t="s">
        <v>3134</v>
      </c>
      <c r="OO8" t="s">
        <v>3135</v>
      </c>
      <c r="OP8" t="s">
        <v>3136</v>
      </c>
      <c r="OQ8" t="s">
        <v>3137</v>
      </c>
      <c r="OR8" t="s">
        <v>3138</v>
      </c>
      <c r="OS8" t="s">
        <v>3139</v>
      </c>
      <c r="OT8" t="s">
        <v>3140</v>
      </c>
      <c r="OU8" t="s">
        <v>3141</v>
      </c>
      <c r="OV8" t="s">
        <v>3142</v>
      </c>
      <c r="OW8" t="s">
        <v>3143</v>
      </c>
      <c r="OX8" t="s">
        <v>3144</v>
      </c>
      <c r="OY8" t="s">
        <v>3145</v>
      </c>
      <c r="OZ8" t="s">
        <v>3146</v>
      </c>
      <c r="PA8" t="s">
        <v>3147</v>
      </c>
      <c r="PB8" t="s">
        <v>3148</v>
      </c>
      <c r="PC8" t="s">
        <v>3149</v>
      </c>
      <c r="PD8" t="s">
        <v>3150</v>
      </c>
      <c r="PE8" t="s">
        <v>3151</v>
      </c>
      <c r="PF8" t="s">
        <v>3152</v>
      </c>
      <c r="PG8" t="s">
        <v>3153</v>
      </c>
      <c r="PH8" t="s">
        <v>3154</v>
      </c>
      <c r="PI8" t="s">
        <v>3155</v>
      </c>
      <c r="PJ8" t="s">
        <v>3156</v>
      </c>
    </row>
    <row r="9" spans="1:426">
      <c r="A9" t="str">
        <f>IF(ISBLANK(VLOOKUP(A2,Common!$D$6:$L$27,9,FALSE)),"",VLOOKUP(A2,Common!$D$6:$L$27,9,FALSE))</f>
        <v/>
      </c>
      <c r="B9" t="str">
        <f>IF(ISBLANK(VLOOKUP(B2,Common!$D$6:$L$27,9,FALSE)),"",VLOOKUP(B2,Common!$D$6:$L$27,9,FALSE))</f>
        <v/>
      </c>
      <c r="C9" t="str">
        <f>IF(ISBLANK(VLOOKUP(C2,Common!$D$6:$L$27,9,FALSE)),"",VLOOKUP(C2,Common!$D$6:$L$27,9,FALSE))</f>
        <v>Rating units (SUIPs) not demand units e.g. commercial accom may have multi demand units under 1 SUIP. This number includes visitor accom. Downgraded reliability slightly as I can't go back in time and this isn't saved during the year.</v>
      </c>
      <c r="D9" t="str">
        <f>IF(ISBLANK(VLOOKUP(D2,Common!$D$6:$L$27,9,FALSE)),"",VLOOKUP(D2,Common!$D$6:$L$27,9,FALSE))</f>
        <v>SUIPs. Downgraded reliability slightly as I can't go back in time and this isn't saved during the year.</v>
      </c>
      <c r="E9" t="str">
        <f>IF(ISBLANK(VLOOKUP(E2,Common!$D$6:$L$27,9,FALSE)),"",VLOOKUP(E2,Common!$D$6:$L$27,9,FALSE))</f>
        <v/>
      </c>
      <c r="F9" t="str">
        <f>IF(ISBLANK(VLOOKUP(F2,Common!$D$6:$L$27,9,FALSE)),"",VLOOKUP(F2,Common!$D$6:$L$27,9,FALSE))</f>
        <v/>
      </c>
      <c r="G9" t="str">
        <f>IF(ISBLANK(VLOOKUP(G2,Common!$D$6:$L$27,9,FALSE)),"",VLOOKUP(G2,Common!$D$6:$L$27,9,FALSE))</f>
        <v/>
      </c>
      <c r="H9" t="str">
        <f>IF(ISBLANK(VLOOKUP(H2,Common!$D$6:$L$27,9,FALSE)),"",VLOOKUP(H2,Common!$D$6:$L$27,9,FALSE))</f>
        <v/>
      </c>
      <c r="I9" t="str">
        <f>IF(ISBLANK(VLOOKUP(I2,Common!$D$6:$L$27,9,FALSE)),"",VLOOKUP(I2,Common!$D$6:$L$27,9,FALSE))</f>
        <v/>
      </c>
      <c r="J9" t="str">
        <f>IF(ISBLANK(VLOOKUP(J2,Common!$D$6:$L$27,9,FALSE)),"",VLOOKUP(J2,Common!$D$6:$L$27,9,FALSE))</f>
        <v/>
      </c>
      <c r="K9" t="str">
        <f>IF(ISBLANK(VLOOKUP(K2,Common!$D$6:$L$27,9,FALSE)),"",VLOOKUP(K2,Common!$D$6:$L$27,9,FALSE))</f>
        <v/>
      </c>
      <c r="L9" t="str">
        <f>IF(ISBLANK(VLOOKUP(L2,Common!$D$6:$L$27,9,FALSE)),"",VLOOKUP(L2,Common!$D$6:$L$27,9,FALSE))</f>
        <v/>
      </c>
      <c r="M9" t="str">
        <f>IF(ISBLANK(VLOOKUP(M2,Common!$D$6:$L$27,9,FALSE)),"",VLOOKUP(M2,Common!$D$6:$L$27,9,FALSE))</f>
        <v/>
      </c>
      <c r="N9" t="str">
        <f>IF(ISBLANK(VLOOKUP(N2,Common!$D$6:$L$27,9,FALSE)),"",VLOOKUP(N2,Common!$D$6:$L$27,9,FALSE))</f>
        <v/>
      </c>
      <c r="O9" t="str">
        <f>IF(ISBLANK(VLOOKUP(O2,Common!$D$6:$L$27,9,FALSE)),"",VLOOKUP(O2,Common!$D$6:$L$27,9,FALSE))</f>
        <v/>
      </c>
      <c r="P9" t="str">
        <f>IF(ISBLANK(VLOOKUP(P2,Common!$D$6:$L$27,9,FALSE)),"",VLOOKUP(P2,Common!$D$6:$L$27,9,FALSE))</f>
        <v/>
      </c>
      <c r="Q9" t="str">
        <f>IF(ISBLANK(VLOOKUP(Q2,Common!$D$6:$L$27,9,FALSE)),"",VLOOKUP(Q2,Common!$D$6:$L$27,9,FALSE))</f>
        <v/>
      </c>
      <c r="R9" t="str">
        <f>IF(ISBLANK(VLOOKUP(R2,Common!$D$6:$L$27,9,FALSE)),"",VLOOKUP(R2,Common!$D$6:$L$27,9,FALSE))</f>
        <v/>
      </c>
      <c r="S9" t="str">
        <f>IF(ISBLANK(VLOOKUP(S2,Common!$D$6:$L$27,9,FALSE)),"",VLOOKUP(S2,Common!$D$6:$L$27,9,FALSE))</f>
        <v/>
      </c>
      <c r="T9" t="str">
        <f>IF(ISBLANK(VLOOKUP(T2,Common!$D$6:$L$27,9,FALSE)),"",VLOOKUP(T2,Common!$D$6:$L$27,9,FALSE))</f>
        <v/>
      </c>
      <c r="U9" t="str">
        <f>IF(ISBLANK(VLOOKUP(U2,Common!$D$6:$L$27,9,FALSE)),"",VLOOKUP(U2,Common!$D$6:$L$27,9,FALSE))</f>
        <v/>
      </c>
      <c r="V9" t="str">
        <f>IF(ISBLANK(VLOOKUP(V2,Common!$D$6:$L$27,9,FALSE)),"",VLOOKUP(V2,Common!$D$6:$L$27,9,FALSE))</f>
        <v/>
      </c>
      <c r="W9" t="str">
        <f>IF(ISBLANK(VLOOKUP(W2,Water!$D$6:$N$109,11,FALSE)),"",VLOOKUP(W2,Water!$D$6:$N$109,11,FALSE))</f>
        <v>Estimate from 2020 growth projections</v>
      </c>
      <c r="X9" t="str">
        <f>IF(ISBLANK(VLOOKUP(X2,Water!$D$6:$N$109,11,FALSE)),"",VLOOKUP(X2,Water!$D$6:$N$109,11,FALSE))</f>
        <v/>
      </c>
      <c r="Y9" t="str">
        <f>IF(ISBLANK(VLOOKUP(Y2,Water!$D$6:$N$109,11,FALSE)),"",VLOOKUP(Y2,Water!$D$6:$N$109,11,FALSE))</f>
        <v/>
      </c>
      <c r="Z9" t="str">
        <f>IF(ISBLANK(VLOOKUP(Z2,Water!$D$6:$N$109,11,FALSE)),"",VLOOKUP(Z2,Water!$D$6:$N$109,11,FALSE))</f>
        <v/>
      </c>
      <c r="AA9" t="str">
        <f>IF(ISBLANK(VLOOKUP(AA2,Water!$D$6:$N$109,11,FALSE)),"",VLOOKUP(AA2,Water!$D$6:$N$109,11,FALSE))</f>
        <v/>
      </c>
      <c r="AB9" t="str">
        <f>IF(ISBLANK(VLOOKUP(AB2,Water!$D$6:$N$109,11,FALSE)),"",VLOOKUP(AB2,Water!$D$6:$N$109,11,FALSE))</f>
        <v/>
      </c>
      <c r="AC9" t="str">
        <f>IF(ISBLANK(VLOOKUP(AC2,Water!$D$6:$N$109,11,FALSE)),"",VLOOKUP(AC2,Water!$D$6:$N$109,11,FALSE))</f>
        <v/>
      </c>
      <c r="AD9" t="str">
        <f>IF(ISBLANK(VLOOKUP(AD2,Water!$D$6:$N$109,11,FALSE)),"",VLOOKUP(AD2,Water!$D$6:$N$109,11,FALSE))</f>
        <v>Millbrook scheme</v>
      </c>
      <c r="AE9" t="e">
        <f>IF(ISBLANK(VLOOKUP(AE2,Water!$D$6:$N$109,11,FALSE)),"",VLOOKUP(AE2,Water!$D$6:$N$109,11,FALSE))</f>
        <v>#N/A</v>
      </c>
      <c r="AF9" t="str">
        <f>IF(ISBLANK(VLOOKUP(AF2,Water!$D$6:$N$109,11,FALSE)),"",VLOOKUP(AF2,Water!$D$6:$N$109,11,FALSE))</f>
        <v>Estimate from non res consumption in 2020/21</v>
      </c>
      <c r="AG9" t="str">
        <f>IF(ISBLANK(VLOOKUP(AG2,Water!$D$6:$N$109,11,FALSE)),"",VLOOKUP(AG2,Water!$D$6:$N$109,11,FALSE))</f>
        <v/>
      </c>
      <c r="AH9" t="e">
        <f>IF(ISBLANK(VLOOKUP(AH2,Water!$D$6:$N$109,11,FALSE)),"",VLOOKUP(AH2,Water!$D$6:$N$109,11,FALSE))</f>
        <v>#N/A</v>
      </c>
      <c r="AI9" t="str">
        <f>IF(ISBLANK(VLOOKUP(AI2,Water!$D$6:$N$109,11,FALSE)),"",VLOOKUP(AI2,Water!$D$6:$N$109,11,FALSE))</f>
        <v>Taken from GIS Layer_WSMains_Excluding Pvate, abandoned,removed</v>
      </c>
      <c r="AJ9" t="e">
        <f>IF(ISBLANK(VLOOKUP(AJ2,Water!$D$6:$N$109,11,FALSE)),"",VLOOKUP(AJ2,Water!$D$6:$N$109,11,FALSE))</f>
        <v>#N/A</v>
      </c>
      <c r="AK9" t="e">
        <f>IF(ISBLANK(VLOOKUP(AK2,Water!$D$6:$N$109,11,FALSE)),"",VLOOKUP(AK2,Water!$D$6:$N$109,11,FALSE))</f>
        <v>#N/A</v>
      </c>
      <c r="AL9" t="e">
        <f>IF(ISBLANK(VLOOKUP(AL2,Water!$D$6:$N$109,11,FALSE)),"",VLOOKUP(AL2,Water!$D$6:$N$109,11,FALSE))</f>
        <v>#N/A</v>
      </c>
      <c r="AM9" t="e">
        <f>IF(ISBLANK(VLOOKUP(AM2,Water!$D$6:$N$109,11,FALSE)),"",VLOOKUP(AM2,Water!$D$6:$N$109,11,FALSE))</f>
        <v>#N/A</v>
      </c>
      <c r="AN9" t="e">
        <f>IF(ISBLANK(VLOOKUP(AN2,Water!$D$6:$N$109,11,FALSE)),"",VLOOKUP(AN2,Water!$D$6:$N$109,11,FALSE))</f>
        <v>#N/A</v>
      </c>
      <c r="AO9" t="str">
        <f>IF(ISBLANK(VLOOKUP(AO2,Water!$D$6:$N$109,11,FALSE)),"",VLOOKUP(AO2,Water!$D$6:$N$109,11,FALSE))</f>
        <v/>
      </c>
      <c r="AP9" t="e">
        <f>IF(ISBLANK(VLOOKUP(AP2,Water!$D$6:$N$109,11,FALSE)),"",VLOOKUP(AP2,Water!$D$6:$N$109,11,FALSE))</f>
        <v>#N/A</v>
      </c>
      <c r="AQ9" t="str">
        <f>IF(ISBLANK(VLOOKUP(AQ2,Water!$D$6:$N$109,11,FALSE)),"",VLOOKUP(AQ2,Water!$D$6:$N$109,11,FALSE))</f>
        <v/>
      </c>
      <c r="AR9" t="e">
        <f>IF(ISBLANK(VLOOKUP(AR2,Water!$D$6:$N$109,11,FALSE)),"",VLOOKUP(AR2,Water!$D$6:$N$109,11,FALSE))</f>
        <v>#N/A</v>
      </c>
      <c r="AS9" t="str">
        <f>IF(ISBLANK(VLOOKUP(AS2,Water!$D$6:$N$109,11,FALSE)),"",VLOOKUP(AS2,Water!$D$6:$N$109,11,FALSE))</f>
        <v/>
      </c>
      <c r="AT9" t="str">
        <f>IF(ISBLANK(VLOOKUP(AT2,Water!$D$6:$N$109,11,FALSE)),"",VLOOKUP(AT2,Water!$D$6:$N$109,11,FALSE))</f>
        <v/>
      </c>
      <c r="AU9" t="e">
        <f>IF(ISBLANK(VLOOKUP(AU2,Water!$D$6:$N$109,11,FALSE)),"",VLOOKUP(AU2,Water!$D$6:$N$109,11,FALSE))</f>
        <v>#N/A</v>
      </c>
      <c r="AV9" t="str">
        <f>IF(ISBLANK(VLOOKUP(AV2,Water!$D$6:$N$109,11,FALSE)),"",VLOOKUP(AV2,Water!$D$6:$N$109,11,FALSE))</f>
        <v/>
      </c>
      <c r="AW9" t="e">
        <f>IF(ISBLANK(VLOOKUP(AW2,Water!$D$6:$N$109,11,FALSE)),"",VLOOKUP(AW2,Water!$D$6:$N$109,11,FALSE))</f>
        <v>#N/A</v>
      </c>
      <c r="AX9" t="str">
        <f>IF(ISBLANK(VLOOKUP(AX2,Water!$D$6:$N$109,11,FALSE)),"",VLOOKUP(AX2,Water!$D$6:$N$109,11,FALSE))</f>
        <v>This number includes private tanks as in the previous year report.</v>
      </c>
      <c r="AY9" t="e">
        <f>IF(ISBLANK(VLOOKUP(AY2,Water!$D$6:$N$109,11,FALSE)),"",VLOOKUP(AY2,Water!$D$6:$N$109,11,FALSE))</f>
        <v>#N/A</v>
      </c>
      <c r="AZ9" t="e">
        <f>IF(ISBLANK(VLOOKUP(AZ2,Water!$D$6:$N$109,11,FALSE)),"",VLOOKUP(AZ2,Water!$D$6:$N$109,11,FALSE))</f>
        <v>#N/A</v>
      </c>
      <c r="BA9" t="str">
        <f>IF(ISBLANK(VLOOKUP(BA2,Water!$D$6:$N$109,11,FALSE)),"",VLOOKUP(BA2,Water!$D$6:$N$109,11,FALSE))</f>
        <v>Last year plus 5%</v>
      </c>
      <c r="BB9" t="str">
        <f>IF(ISBLANK(VLOOKUP(BB2,Water!$D$6:$N$109,11,FALSE)),"",VLOOKUP(BB2,Water!$D$6:$N$109,11,FALSE))</f>
        <v>Last year plus 5%</v>
      </c>
      <c r="BC9" t="e">
        <f>IF(ISBLANK(VLOOKUP(BC2,Water!$D$6:$N$109,11,FALSE)),"",VLOOKUP(BC2,Water!$D$6:$N$109,11,FALSE))</f>
        <v>#N/A</v>
      </c>
      <c r="BD9" t="e">
        <f>IF(ISBLANK(VLOOKUP(BD2,Water!$D$6:$N$109,11,FALSE)),"",VLOOKUP(BD2,Water!$D$6:$N$109,11,FALSE))</f>
        <v>#N/A</v>
      </c>
      <c r="BE9" t="e">
        <f>IF(ISBLANK(VLOOKUP(BE2,Water!$D$6:$N$109,11,FALSE)),"",VLOOKUP(BE2,Water!$D$6:$N$109,11,FALSE))</f>
        <v>#N/A</v>
      </c>
      <c r="BF9" t="e">
        <f>IF(ISBLANK(VLOOKUP(BF2,Water!$D$6:$N$109,11,FALSE)),"",VLOOKUP(BF2,Water!$D$6:$N$109,11,FALSE))</f>
        <v>#N/A</v>
      </c>
      <c r="BG9" t="str">
        <f>IF(ISBLANK(VLOOKUP(BG2,Water!$D$6:$N$109,11,FALSE)),"",VLOOKUP(BG2,Water!$D$6:$N$109,11,FALSE))</f>
        <v/>
      </c>
      <c r="BH9" t="str">
        <f>IF(ISBLANK(VLOOKUP(BH2,Water!$D$6:$N$109,11,FALSE)),"",VLOOKUP(BH2,Water!$D$6:$N$109,11,FALSE))</f>
        <v/>
      </c>
      <c r="BI9" t="e">
        <f>IF(ISBLANK(VLOOKUP(BI2,Water!$D$6:$N$109,11,FALSE)),"",VLOOKUP(BI2,Water!$D$6:$N$109,11,FALSE))</f>
        <v>#N/A</v>
      </c>
      <c r="BJ9" t="e">
        <f>IF(ISBLANK(VLOOKUP(BJ2,Water!$D$6:$N$109,11,FALSE)),"",VLOOKUP(BJ2,Water!$D$6:$N$109,11,FALSE))</f>
        <v>#N/A</v>
      </c>
      <c r="BK9" t="str">
        <f>IF(ISBLANK(VLOOKUP(BK2,Water!$D$6:$N$109,11,FALSE)),"",VLOOKUP(BK2,Water!$D$6:$N$109,11,FALSE))</f>
        <v/>
      </c>
      <c r="BL9" t="str">
        <f>IF(ISBLANK(VLOOKUP(BL2,Water!$D$6:$N$109,11,FALSE)),"",VLOOKUP(BL2,Water!$D$6:$N$109,11,FALSE))</f>
        <v/>
      </c>
      <c r="BM9" t="e">
        <f>IF(ISBLANK(VLOOKUP(BM2,Water!$D$6:$N$109,11,FALSE)),"",VLOOKUP(BM2,Water!$D$6:$N$109,11,FALSE))</f>
        <v>#N/A</v>
      </c>
      <c r="BN9" t="e">
        <f>IF(ISBLANK(VLOOKUP(BN2,Water!$D$6:$N$109,11,FALSE)),"",VLOOKUP(BN2,Water!$D$6:$N$109,11,FALSE))</f>
        <v>#N/A</v>
      </c>
      <c r="BO9" t="str">
        <f>IF(ISBLANK(VLOOKUP(BO2,Water!$D$6:$N$109,11,FALSE)),"",VLOOKUP(BO2,Water!$D$6:$N$109,11,FALSE))</f>
        <v xml:space="preserve">Average of all schemes. </v>
      </c>
      <c r="BP9" t="str">
        <f>IF(ISBLANK(VLOOKUP(BP2,Water!$D$6:$N$109,11,FALSE)),"",VLOOKUP(BP2,Water!$D$6:$N$109,11,FALSE))</f>
        <v xml:space="preserve">Average of all schemes. </v>
      </c>
      <c r="BQ9" t="str">
        <f>IF(ISBLANK(VLOOKUP(BQ2,Water!$D$6:$N$109,11,FALSE)),"",VLOOKUP(BQ2,Water!$D$6:$N$109,11,FALSE))</f>
        <v/>
      </c>
      <c r="BR9" t="str">
        <f>IF(ISBLANK(VLOOKUP(BR2,Water!$D$6:$N$109,11,FALSE)),"",VLOOKUP(BR2,Water!$D$6:$N$109,11,FALSE))</f>
        <v/>
      </c>
      <c r="BS9" t="str">
        <f>IF(ISBLANK(VLOOKUP(BS2,Water!$D$6:$N$109,11,FALSE)),"",VLOOKUP(BS2,Water!$D$6:$N$109,11,FALSE))</f>
        <v/>
      </c>
      <c r="BT9" t="str">
        <f>IF(ISBLANK(VLOOKUP(BT2,Water!$D$6:$N$109,11,FALSE)),"",VLOOKUP(BT2,Water!$D$6:$N$109,11,FALSE))</f>
        <v/>
      </c>
      <c r="BU9" t="str">
        <f>IF(ISBLANK(VLOOKUP(BU2,Water!$D$6:$N$109,11,FALSE)),"",VLOOKUP(BU2,Water!$D$6:$N$109,11,FALSE))</f>
        <v/>
      </c>
      <c r="BV9" t="str">
        <f>IF(ISBLANK(VLOOKUP(BV2,Water!$D$6:$N$109,11,FALSE)),"",VLOOKUP(BV2,Water!$D$6:$N$109,11,FALSE))</f>
        <v/>
      </c>
      <c r="BW9" t="str">
        <f>IF(ISBLANK(VLOOKUP(BW2,Water!$D$6:$N$109,11,FALSE)),"",VLOOKUP(BW2,Water!$D$6:$N$109,11,FALSE))</f>
        <v/>
      </c>
      <c r="BX9" t="str">
        <f>IF(ISBLANK(VLOOKUP(BX2,Water!$D$6:$N$109,11,FALSE)),"",VLOOKUP(BX2,Water!$D$6:$N$109,11,FALSE))</f>
        <v/>
      </c>
      <c r="BY9" t="str">
        <f>IF(ISBLANK(VLOOKUP(BY2,Water!$D$6:$N$109,11,FALSE)),"",VLOOKUP(BY2,Water!$D$6:$N$109,11,FALSE))</f>
        <v/>
      </c>
      <c r="BZ9" t="str">
        <f>IF(ISBLANK(VLOOKUP(BZ2,Water!$D$6:$N$109,11,FALSE)),"",VLOOKUP(BZ2,Water!$D$6:$N$109,11,FALSE))</f>
        <v/>
      </c>
      <c r="CA9" t="str">
        <f>IF(ISBLANK(VLOOKUP(CA2,Water!$D$6:$N$109,11,FALSE)),"",VLOOKUP(CA2,Water!$D$6:$N$109,11,FALSE))</f>
        <v/>
      </c>
      <c r="CB9" t="str">
        <f>IF(ISBLANK(VLOOKUP(CB2,Water!$D$6:$N$109,11,FALSE)),"",VLOOKUP(CB2,Water!$D$6:$N$109,11,FALSE))</f>
        <v/>
      </c>
      <c r="CC9" t="str">
        <f>IF(ISBLANK(VLOOKUP(CC2,Water!$D$6:$N$109,11,FALSE)),"",VLOOKUP(CC2,Water!$D$6:$N$109,11,FALSE))</f>
        <v/>
      </c>
      <c r="CD9" t="str">
        <f>IF(ISBLANK(VLOOKUP(CD2,Water!$D$6:$N$109,11,FALSE)),"",VLOOKUP(CD2,Water!$D$6:$N$109,11,FALSE))</f>
        <v/>
      </c>
      <c r="CE9" t="str">
        <f>IF(ISBLANK(VLOOKUP(CE2,Water!$D$6:$N$109,11,FALSE)),"",VLOOKUP(CE2,Water!$D$6:$N$109,11,FALSE))</f>
        <v/>
      </c>
      <c r="CF9" t="e">
        <f>IF(ISBLANK(VLOOKUP(CF2,Water!$D$6:$N$109,11,FALSE)),"",VLOOKUP(CF2,Water!$D$6:$N$109,11,FALSE))</f>
        <v>#N/A</v>
      </c>
      <c r="CG9" t="str">
        <f>IF(ISBLANK(VLOOKUP(CG2,Water!$D$6:$N$109,11,FALSE)),"",VLOOKUP(CG2,Water!$D$6:$N$109,11,FALSE))</f>
        <v/>
      </c>
      <c r="CH9" t="str">
        <f>IF(ISBLANK(VLOOKUP(CH2,Water!$D$6:$N$109,11,FALSE)),"",VLOOKUP(CH2,Water!$D$6:$N$109,11,FALSE))</f>
        <v/>
      </c>
      <c r="CI9" t="str">
        <f>IF(ISBLANK(VLOOKUP(CI2,Water!$D$6:$N$109,11,FALSE)),"",VLOOKUP(CI2,Water!$D$6:$N$109,11,FALSE))</f>
        <v/>
      </c>
      <c r="CJ9" t="str">
        <f>IF(ISBLANK(VLOOKUP(CJ2,Water!$D$6:$N$109,11,FALSE)),"",VLOOKUP(CJ2,Water!$D$6:$N$109,11,FALSE))</f>
        <v/>
      </c>
      <c r="CK9" t="str">
        <f>IF(ISBLANK(VLOOKUP(CK2,Water!$D$6:$N$109,11,FALSE)),"",VLOOKUP(CK2,Water!$D$6:$N$109,11,FALSE))</f>
        <v/>
      </c>
      <c r="CL9" t="str">
        <f>IF(ISBLANK(VLOOKUP(CL2,Water!$D$6:$N$109,11,FALSE)),"",VLOOKUP(CL2,Water!$D$6:$N$109,11,FALSE))</f>
        <v/>
      </c>
      <c r="CM9" t="str">
        <f>IF(ISBLANK(VLOOKUP(CM2,Water!$D$6:$N$109,11,FALSE)),"",VLOOKUP(CM2,Water!$D$6:$N$109,11,FALSE))</f>
        <v/>
      </c>
      <c r="CN9" t="str">
        <f>IF(ISBLANK(VLOOKUP(CN2,Water!$D$6:$N$109,11,FALSE)),"",VLOOKUP(CN2,Water!$D$6:$N$109,11,FALSE))</f>
        <v/>
      </c>
      <c r="CO9" t="str">
        <f>IF(ISBLANK(VLOOKUP(CO2,Water!$D$6:$N$109,11,FALSE)),"",VLOOKUP(CO2,Water!$D$6:$N$109,11,FALSE))</f>
        <v/>
      </c>
      <c r="CP9" t="str">
        <f>IF(ISBLANK(VLOOKUP(CP2,Water!$D$6:$N$109,11,FALSE)),"",VLOOKUP(CP2,Water!$D$6:$N$109,11,FALSE))</f>
        <v/>
      </c>
      <c r="CQ9" t="str">
        <f>IF(ISBLANK(VLOOKUP(CQ2,Water!$D$6:$N$109,11,FALSE)),"",VLOOKUP(CQ2,Water!$D$6:$N$109,11,FALSE))</f>
        <v/>
      </c>
      <c r="CR9" t="str">
        <f>IF(ISBLANK(VLOOKUP(CR2,Water!$D$6:$N$109,11,FALSE)),"",VLOOKUP(CR2,Water!$D$6:$N$109,11,FALSE))</f>
        <v/>
      </c>
      <c r="CS9" t="str">
        <f>IF(ISBLANK(VLOOKUP(CS2,Water!$D$6:$N$109,11,FALSE)),"",VLOOKUP(CS2,Water!$D$6:$N$109,11,FALSE))</f>
        <v/>
      </c>
      <c r="CT9" t="e">
        <f>IF(ISBLANK(VLOOKUP(CT2,Water!$D$6:$N$109,11,FALSE)),"",VLOOKUP(CT2,Water!$D$6:$N$109,11,FALSE))</f>
        <v>#N/A</v>
      </c>
      <c r="CU9" t="e">
        <f>IF(ISBLANK(VLOOKUP(CU2,Water!$D$6:$N$109,11,FALSE)),"",VLOOKUP(CU2,Water!$D$6:$N$109,11,FALSE))</f>
        <v>#N/A</v>
      </c>
      <c r="CV9" t="e">
        <f>IF(ISBLANK(VLOOKUP(CV2,Water!$D$6:$N$109,11,FALSE)),"",VLOOKUP(CV2,Water!$D$6:$N$109,11,FALSE))</f>
        <v>#N/A</v>
      </c>
      <c r="CW9" t="e">
        <f>IF(ISBLANK(VLOOKUP(CW2,Water!$D$6:$N$109,11,FALSE)),"",VLOOKUP(CW2,Water!$D$6:$N$109,11,FALSE))</f>
        <v>#N/A</v>
      </c>
      <c r="CX9" t="str">
        <f>IF(ISBLANK(VLOOKUP(CX2,Water!$D$6:$N$109,11,FALSE)),"",VLOOKUP(CX2,Water!$D$6:$N$109,11,FALSE))</f>
        <v/>
      </c>
      <c r="CY9" t="str">
        <f>IF(ISBLANK(VLOOKUP(CY2,Water!$D$6:$N$109,11,FALSE)),"",VLOOKUP(CY2,Water!$D$6:$N$109,11,FALSE))</f>
        <v/>
      </c>
      <c r="CZ9" t="str">
        <f>IF(ISBLANK(VLOOKUP(CZ2,Water!$D$6:$N$109,11,FALSE)),"",VLOOKUP(CZ2,Water!$D$6:$N$109,11,FALSE))</f>
        <v/>
      </c>
      <c r="DA9" t="str">
        <f>IF(ISBLANK(VLOOKUP(DA2,Water!$D$6:$N$109,11,FALSE)),"",VLOOKUP(DA2,Water!$D$6:$N$109,11,FALSE))</f>
        <v/>
      </c>
      <c r="DB9" t="str">
        <f>IF(ISBLANK(VLOOKUP(DB2,Water!$D$6:$N$109,11,FALSE)),"",VLOOKUP(DB2,Water!$D$6:$N$109,11,FALSE))</f>
        <v/>
      </c>
      <c r="DC9" t="str">
        <f>IF(ISBLANK(VLOOKUP(DC2,Water!$D$6:$N$109,11,FALSE)),"",VLOOKUP(DC2,Water!$D$6:$N$109,11,FALSE))</f>
        <v/>
      </c>
      <c r="DD9" t="str">
        <f>IF(ISBLANK(VLOOKUP(DD2,Water!$D$6:$N$109,11,FALSE)),"",VLOOKUP(DD2,Water!$D$6:$N$109,11,FALSE))</f>
        <v/>
      </c>
      <c r="DE9" t="str">
        <f>IF(ISBLANK(VLOOKUP(DE2,Water!$D$6:$N$109,11,FALSE)),"",VLOOKUP(DE2,Water!$D$6:$N$109,11,FALSE))</f>
        <v/>
      </c>
      <c r="DF9" t="str">
        <f>IF(ISBLANK(VLOOKUP(DF2,Water!$D$6:$N$109,11,FALSE)),"",VLOOKUP(DF2,Water!$D$6:$N$109,11,FALSE))</f>
        <v/>
      </c>
      <c r="DG9" t="str">
        <f>IF(ISBLANK(VLOOKUP(DG2,Water!$D$6:$N$109,11,FALSE)),"",VLOOKUP(DG2,Water!$D$6:$N$109,11,FALSE))</f>
        <v/>
      </c>
      <c r="DH9" t="str">
        <f>IF(ISBLANK(VLOOKUP(DH2,Water!$D$6:$N$109,11,FALSE)),"",VLOOKUP(DH2,Water!$D$6:$N$109,11,FALSE))</f>
        <v/>
      </c>
      <c r="DI9" t="str">
        <f>IF(ISBLANK(VLOOKUP(DI2,Water!$D$6:$N$109,11,FALSE)),"",VLOOKUP(DI2,Water!$D$6:$N$109,11,FALSE))</f>
        <v/>
      </c>
      <c r="DJ9" t="str">
        <f>IF(ISBLANK(VLOOKUP(DJ2,Water!$D$6:$N$109,11,FALSE)),"",VLOOKUP(DJ2,Water!$D$6:$N$109,11,FALSE))</f>
        <v/>
      </c>
      <c r="DK9" t="str">
        <f>IF(ISBLANK(VLOOKUP(DK2,Water!$D$6:$N$109,11,FALSE)),"",VLOOKUP(DK2,Water!$D$6:$N$109,11,FALSE))</f>
        <v/>
      </c>
      <c r="DL9" t="str">
        <f>IF(ISBLANK(VLOOKUP(DL2,Water!$D$6:$N$109,11,FALSE)),"",VLOOKUP(DL2,Water!$D$6:$N$109,11,FALSE))</f>
        <v/>
      </c>
      <c r="DM9" t="str">
        <f>IF(ISBLANK(VLOOKUP(DM2,Water!$D$6:$N$109,11,FALSE)),"",VLOOKUP(DM2,Water!$D$6:$N$109,11,FALSE))</f>
        <v/>
      </c>
      <c r="DN9" t="str">
        <f>IF(ISBLANK(VLOOKUP(DN2,Water!$D$6:$N$109,11,FALSE)),"",VLOOKUP(DN2,Water!$D$6:$N$109,11,FALSE))</f>
        <v/>
      </c>
      <c r="DO9" t="str">
        <f>IF(ISBLANK(VLOOKUP(DO2,Water!$D$6:$N$109,11,FALSE)),"",VLOOKUP(DO2,Water!$D$6:$N$109,11,FALSE))</f>
        <v/>
      </c>
      <c r="DP9" t="str">
        <f>IF(ISBLANK(VLOOKUP(DP2,Water!$D$6:$N$109,11,FALSE)),"",VLOOKUP(DP2,Water!$D$6:$N$109,11,FALSE))</f>
        <v/>
      </c>
      <c r="DQ9" t="str">
        <f>IF(ISBLANK(VLOOKUP(DQ2,Water!$D$6:$N$109,11,FALSE)),"",VLOOKUP(DQ2,Water!$D$6:$N$109,11,FALSE))</f>
        <v/>
      </c>
      <c r="DR9" t="str">
        <f>IF(ISBLANK(VLOOKUP(DR2,Water!$D$6:$N$109,11,FALSE)),"",VLOOKUP(DR2,Water!$D$6:$N$109,11,FALSE))</f>
        <v/>
      </c>
      <c r="DS9" t="str">
        <f>IF(ISBLANK(VLOOKUP(DS2,Water!$D$6:$N$109,11,FALSE)),"",VLOOKUP(DS2,Water!$D$6:$N$109,11,FALSE))</f>
        <v/>
      </c>
      <c r="DT9" t="str">
        <f>IF(ISBLANK(VLOOKUP(DT2,Water!$D$6:$N$109,11,FALSE)),"",VLOOKUP(DT2,Water!$D$6:$N$109,11,FALSE))</f>
        <v/>
      </c>
      <c r="DU9" t="str">
        <f>IF(ISBLANK(VLOOKUP(DU2,Water!$D$6:$N$109,11,FALSE)),"",VLOOKUP(DU2,Water!$D$6:$N$109,11,FALSE))</f>
        <v/>
      </c>
      <c r="DV9" t="str">
        <f>IF(ISBLANK(VLOOKUP(DV2,Water!$D$6:$N$109,11,FALSE)),"",VLOOKUP(DV2,Water!$D$6:$N$109,11,FALSE))</f>
        <v/>
      </c>
      <c r="DW9" t="str">
        <f>IF(ISBLANK(VLOOKUP(DW2,Water!$D$6:$N$109,11,FALSE)),"",VLOOKUP(DW2,Water!$D$6:$N$109,11,FALSE))</f>
        <v/>
      </c>
      <c r="DX9" t="str">
        <f>IF(ISBLANK(VLOOKUP(DX2,Water!$D$6:$N$109,11,FALSE)),"",VLOOKUP(DX2,Water!$D$6:$N$109,11,FALSE))</f>
        <v/>
      </c>
      <c r="DY9" t="str">
        <f>IF(ISBLANK(VLOOKUP(DY2,Water!$D$6:$N$109,11,FALSE)),"",VLOOKUP(DY2,Water!$D$6:$N$109,11,FALSE))</f>
        <v/>
      </c>
      <c r="DZ9" t="str">
        <f>IF(ISBLANK(VLOOKUP(DZ2,Water!$D$6:$N$109,11,FALSE)),"",VLOOKUP(DZ2,Water!$D$6:$N$109,11,FALSE))</f>
        <v/>
      </c>
      <c r="EA9" t="str">
        <f>IF(ISBLANK(VLOOKUP(EA2,Water!$D$6:$N$109,11,FALSE)),"",VLOOKUP(EA2,Water!$D$6:$N$109,11,FALSE))</f>
        <v/>
      </c>
      <c r="EB9" t="str">
        <f>IF(ISBLANK(VLOOKUP(EB2,Water!$D$6:$N$109,11,FALSE)),"",VLOOKUP(EB2,Water!$D$6:$N$109,11,FALSE))</f>
        <v/>
      </c>
      <c r="EC9" t="str">
        <f>IF(ISBLANK(VLOOKUP(EC2,Water!$D$6:$N$109,11,FALSE)),"",VLOOKUP(EC2,Water!$D$6:$N$109,11,FALSE))</f>
        <v/>
      </c>
      <c r="ED9" t="str">
        <f>IF(ISBLANK(VLOOKUP(ED2,Water!$D$6:$N$109,11,FALSE)),"",VLOOKUP(ED2,Water!$D$6:$N$109,11,FALSE))</f>
        <v/>
      </c>
      <c r="EE9" t="str">
        <f>IF(ISBLANK(VLOOKUP(EE2,Water!$D$6:$N$109,11,FALSE)),"",VLOOKUP(EE2,Water!$D$6:$N$109,11,FALSE))</f>
        <v/>
      </c>
      <c r="EF9" t="str">
        <f>IF(ISBLANK(VLOOKUP(EF2,Wastewater!$D$6:$L$127,9,FALSE)),"",VLOOKUP(EF2,Wastewater!$D$6:$L$127,9,FALSE))</f>
        <v/>
      </c>
      <c r="EG9" t="str">
        <f>IF(ISBLANK(VLOOKUP(EG2,Wastewater!$D$6:$L$127,9,FALSE)),"",VLOOKUP(EG2,Wastewater!$D$6:$L$127,9,FALSE))</f>
        <v/>
      </c>
      <c r="EH9" t="str">
        <f>IF(ISBLANK(VLOOKUP(EH2,Wastewater!$D$6:$L$127,9,FALSE)),"",VLOOKUP(EH2,Wastewater!$D$6:$L$127,9,FALSE))</f>
        <v/>
      </c>
      <c r="EI9" t="str">
        <f>IF(ISBLANK(VLOOKUP(EI2,Wastewater!$D$6:$L$127,9,FALSE)),"",VLOOKUP(EI2,Wastewater!$D$6:$L$127,9,FALSE))</f>
        <v/>
      </c>
      <c r="EJ9" t="str">
        <f>IF(ISBLANK(VLOOKUP(EJ2,Wastewater!$D$6:$L$127,9,FALSE)),"",VLOOKUP(EJ2,Wastewater!$D$6:$L$127,9,FALSE))</f>
        <v/>
      </c>
      <c r="EK9" t="str">
        <f>IF(ISBLANK(VLOOKUP(EK2,Wastewater!$D$6:$L$127,9,FALSE)),"",VLOOKUP(EK2,Wastewater!$D$6:$L$127,9,FALSE))</f>
        <v/>
      </c>
      <c r="EL9" t="str">
        <f>IF(ISBLANK(VLOOKUP(EL2,Wastewater!$D$6:$L$127,9,FALSE)),"",VLOOKUP(EL2,Wastewater!$D$6:$L$127,9,FALSE))</f>
        <v/>
      </c>
      <c r="EM9" t="e">
        <f>IF(ISBLANK(VLOOKUP(EM2,Wastewater!$D$6:$L$127,9,FALSE)),"",VLOOKUP(EM2,Wastewater!$D$6:$L$127,9,FALSE))</f>
        <v>#N/A</v>
      </c>
      <c r="EN9" t="str">
        <f>IF(ISBLANK(VLOOKUP(EN2,Wastewater!$D$6:$L$127,9,FALSE)),"",VLOOKUP(EN2,Wastewater!$D$6:$L$127,9,FALSE))</f>
        <v/>
      </c>
      <c r="EO9" t="e">
        <f>IF(ISBLANK(VLOOKUP(EO2,Wastewater!$D$6:$L$127,9,FALSE)),"",VLOOKUP(EO2,Wastewater!$D$6:$L$127,9,FALSE))</f>
        <v>#N/A</v>
      </c>
      <c r="EP9" t="e">
        <f>IF(ISBLANK(VLOOKUP(EP2,Wastewater!$D$6:$L$127,9,FALSE)),"",VLOOKUP(EP2,Wastewater!$D$6:$L$127,9,FALSE))</f>
        <v>#N/A</v>
      </c>
      <c r="EQ9" t="e">
        <f>IF(ISBLANK(VLOOKUP(EQ2,Wastewater!$D$6:$L$127,9,FALSE)),"",VLOOKUP(EQ2,Wastewater!$D$6:$L$127,9,FALSE))</f>
        <v>#N/A</v>
      </c>
      <c r="ER9" t="e">
        <f>IF(ISBLANK(VLOOKUP(ER2,Wastewater!$D$6:$L$127,9,FALSE)),"",VLOOKUP(ER2,Wastewater!$D$6:$L$127,9,FALSE))</f>
        <v>#N/A</v>
      </c>
      <c r="ES9" t="e">
        <f>IF(ISBLANK(VLOOKUP(ES2,Wastewater!$D$6:$L$127,9,FALSE)),"",VLOOKUP(ES2,Wastewater!$D$6:$L$127,9,FALSE))</f>
        <v>#N/A</v>
      </c>
      <c r="ET9" t="str">
        <f>IF(ISBLANK(VLOOKUP(ET2,Wastewater!$D$6:$L$127,9,FALSE)),"",VLOOKUP(ET2,Wastewater!$D$6:$L$127,9,FALSE))</f>
        <v/>
      </c>
      <c r="EU9" t="e">
        <f>IF(ISBLANK(VLOOKUP(EU2,Wastewater!$D$6:$L$127,9,FALSE)),"",VLOOKUP(EU2,Wastewater!$D$6:$L$127,9,FALSE))</f>
        <v>#N/A</v>
      </c>
      <c r="EV9" t="str">
        <f>IF(ISBLANK(VLOOKUP(EV2,Wastewater!$D$6:$L$127,9,FALSE)),"",VLOOKUP(EV2,Wastewater!$D$6:$L$127,9,FALSE))</f>
        <v/>
      </c>
      <c r="EW9" t="e">
        <f>IF(ISBLANK(VLOOKUP(EW2,Wastewater!$D$6:$L$127,9,FALSE)),"",VLOOKUP(EW2,Wastewater!$D$6:$L$127,9,FALSE))</f>
        <v>#N/A</v>
      </c>
      <c r="EX9" t="str">
        <f>IF(ISBLANK(VLOOKUP(EX2,Wastewater!$D$6:$L$127,9,FALSE)),"",VLOOKUP(EX2,Wastewater!$D$6:$L$127,9,FALSE))</f>
        <v>Changes in DRC/ORC compared to 2021</v>
      </c>
      <c r="EY9" t="str">
        <f>IF(ISBLANK(VLOOKUP(EY2,Wastewater!$D$6:$L$127,9,FALSE)),"",VLOOKUP(EY2,Wastewater!$D$6:$L$127,9,FALSE))</f>
        <v/>
      </c>
      <c r="EZ9" t="str">
        <f>IF(ISBLANK(VLOOKUP(EZ2,Wastewater!$D$6:$L$127,9,FALSE)),"",VLOOKUP(EZ2,Wastewater!$D$6:$L$127,9,FALSE))</f>
        <v/>
      </c>
      <c r="FA9" t="e">
        <f>IF(ISBLANK(VLOOKUP(FA2,Wastewater!$D$6:$L$127,9,FALSE)),"",VLOOKUP(FA2,Wastewater!$D$6:$L$127,9,FALSE))</f>
        <v>#N/A</v>
      </c>
      <c r="FB9" t="str">
        <f>IF(ISBLANK(VLOOKUP(FB2,Wastewater!$D$6:$L$127,9,FALSE)),"",VLOOKUP(FB2,Wastewater!$D$6:$L$127,9,FALSE))</f>
        <v/>
      </c>
      <c r="FC9" t="e">
        <f>IF(ISBLANK(VLOOKUP(FC2,Wastewater!$D$6:$L$127,9,FALSE)),"",VLOOKUP(FC2,Wastewater!$D$6:$L$127,9,FALSE))</f>
        <v>#N/A</v>
      </c>
      <c r="FD9" t="e">
        <f>IF(ISBLANK(VLOOKUP(FD2,Wastewater!$D$6:$L$127,9,FALSE)),"",VLOOKUP(FD2,Wastewater!$D$6:$L$127,9,FALSE))</f>
        <v>#N/A</v>
      </c>
      <c r="FE9" t="str">
        <f>IF(ISBLANK(VLOOKUP(FE2,Wastewater!$D$6:$L$127,9,FALSE)),"",VLOOKUP(FE2,Wastewater!$D$6:$L$127,9,FALSE))</f>
        <v>Same as last year</v>
      </c>
      <c r="FF9" t="str">
        <f>IF(ISBLANK(VLOOKUP(FF2,Wastewater!$D$6:$L$127,9,FALSE)),"",VLOOKUP(FF2,Wastewater!$D$6:$L$127,9,FALSE))</f>
        <v/>
      </c>
      <c r="FG9" t="str">
        <f>IF(ISBLANK(VLOOKUP(FG2,Wastewater!$D$6:$L$127,9,FALSE)),"",VLOOKUP(FG2,Wastewater!$D$6:$L$127,9,FALSE))</f>
        <v/>
      </c>
      <c r="FH9" t="str">
        <f>IF(ISBLANK(VLOOKUP(FH2,Wastewater!$D$6:$L$127,9,FALSE)),"",VLOOKUP(FH2,Wastewater!$D$6:$L$127,9,FALSE))</f>
        <v/>
      </c>
      <c r="FI9" t="str">
        <f>IF(ISBLANK(VLOOKUP(FI2,Wastewater!$D$6:$L$127,9,FALSE)),"",VLOOKUP(FI2,Wastewater!$D$6:$L$127,9,FALSE))</f>
        <v/>
      </c>
      <c r="FJ9" t="str">
        <f>IF(ISBLANK(VLOOKUP(FJ2,Wastewater!$D$6:$L$127,9,FALSE)),"",VLOOKUP(FJ2,Wastewater!$D$6:$L$127,9,FALSE))</f>
        <v/>
      </c>
      <c r="FK9" t="str">
        <f>IF(ISBLANK(VLOOKUP(FK2,Wastewater!$D$6:$L$127,9,FALSE)),"",VLOOKUP(FK2,Wastewater!$D$6:$L$127,9,FALSE))</f>
        <v/>
      </c>
      <c r="FL9" t="str">
        <f>IF(ISBLANK(VLOOKUP(FL2,Wastewater!$D$6:$L$127,9,FALSE)),"",VLOOKUP(FL2,Wastewater!$D$6:$L$127,9,FALSE))</f>
        <v/>
      </c>
      <c r="FM9" t="str">
        <f>IF(ISBLANK(VLOOKUP(FM2,Wastewater!$D$6:$L$127,9,FALSE)),"",VLOOKUP(FM2,Wastewater!$D$6:$L$127,9,FALSE))</f>
        <v/>
      </c>
      <c r="FN9" t="str">
        <f>IF(ISBLANK(VLOOKUP(FN2,Wastewater!$D$6:$L$127,9,FALSE)),"",VLOOKUP(FN2,Wastewater!$D$6:$L$127,9,FALSE))</f>
        <v/>
      </c>
      <c r="FO9" t="str">
        <f>IF(ISBLANK(VLOOKUP(FO2,Wastewater!$D$6:$L$127,9,FALSE)),"",VLOOKUP(FO2,Wastewater!$D$6:$L$127,9,FALSE))</f>
        <v/>
      </c>
      <c r="FP9" t="str">
        <f>IF(ISBLANK(VLOOKUP(FP2,Wastewater!$D$6:$L$127,9,FALSE)),"",VLOOKUP(FP2,Wastewater!$D$6:$L$127,9,FALSE))</f>
        <v/>
      </c>
      <c r="FQ9" t="str">
        <f>IF(ISBLANK(VLOOKUP(FQ2,Wastewater!$D$6:$L$127,9,FALSE)),"",VLOOKUP(FQ2,Wastewater!$D$6:$L$127,9,FALSE))</f>
        <v/>
      </c>
      <c r="FR9" t="str">
        <f>IF(ISBLANK(VLOOKUP(FR2,Wastewater!$D$6:$L$127,9,FALSE)),"",VLOOKUP(FR2,Wastewater!$D$6:$L$127,9,FALSE))</f>
        <v>Taken from GIS Layer_WWMains_Excluding Pvate, abandoned,removed</v>
      </c>
      <c r="FS9" t="e">
        <f>IF(ISBLANK(VLOOKUP(FS2,Wastewater!$D$6:$L$127,9,FALSE)),"",VLOOKUP(FS2,Wastewater!$D$6:$L$127,9,FALSE))</f>
        <v>#N/A</v>
      </c>
      <c r="FT9" t="str">
        <f>IF(ISBLANK(VLOOKUP(FT2,Wastewater!$D$6:$L$127,9,FALSE)),"",VLOOKUP(FT2,Wastewater!$D$6:$L$127,9,FALSE))</f>
        <v>Taken from GIS Layer_WWMains+SWMains_Excluding Pvate, abandoned,removed</v>
      </c>
      <c r="FU9" t="str">
        <f>IF(ISBLANK(VLOOKUP(FU2,Wastewater!$D$6:$L$127,9,FALSE)),"",VLOOKUP(FU2,Wastewater!$D$6:$L$127,9,FALSE))</f>
        <v/>
      </c>
      <c r="FV9" t="str">
        <f>IF(ISBLANK(VLOOKUP(FV2,Wastewater!$D$6:$L$127,9,FALSE)),"",VLOOKUP(FV2,Wastewater!$D$6:$L$127,9,FALSE))</f>
        <v/>
      </c>
      <c r="FW9" t="str">
        <f>IF(ISBLANK(VLOOKUP(FW2,Wastewater!$D$6:$L$127,9,FALSE)),"",VLOOKUP(FW2,Wastewater!$D$6:$L$127,9,FALSE))</f>
        <v/>
      </c>
      <c r="FX9" t="str">
        <f>IF(ISBLANK(VLOOKUP(FX2,Wastewater!$D$6:$L$127,9,FALSE)),"",VLOOKUP(FX2,Wastewater!$D$6:$L$127,9,FALSE))</f>
        <v/>
      </c>
      <c r="FY9" t="str">
        <f>IF(ISBLANK(VLOOKUP(FY2,Wastewater!$D$6:$L$127,9,FALSE)),"",VLOOKUP(FY2,Wastewater!$D$6:$L$127,9,FALSE))</f>
        <v/>
      </c>
      <c r="FZ9" t="str">
        <f>IF(ISBLANK(VLOOKUP(FZ2,Wastewater!$D$6:$L$127,9,FALSE)),"",VLOOKUP(FZ2,Wastewater!$D$6:$L$127,9,FALSE))</f>
        <v/>
      </c>
      <c r="GA9" t="str">
        <f>IF(ISBLANK(VLOOKUP(GA2,Wastewater!$D$6:$L$127,9,FALSE)),"",VLOOKUP(GA2,Wastewater!$D$6:$L$127,9,FALSE))</f>
        <v/>
      </c>
      <c r="GB9" t="str">
        <f>IF(ISBLANK(VLOOKUP(GB2,Wastewater!$D$6:$L$127,9,FALSE)),"",VLOOKUP(GB2,Wastewater!$D$6:$L$127,9,FALSE))</f>
        <v/>
      </c>
      <c r="GC9" t="str">
        <f>IF(ISBLANK(VLOOKUP(GC2,Wastewater!$D$6:$L$127,9,FALSE)),"",VLOOKUP(GC2,Wastewater!$D$6:$L$127,9,FALSE))</f>
        <v/>
      </c>
      <c r="GD9" t="str">
        <f>IF(ISBLANK(VLOOKUP(GD2,Wastewater!$D$6:$L$127,9,FALSE)),"",VLOOKUP(GD2,Wastewater!$D$6:$L$127,9,FALSE))</f>
        <v/>
      </c>
      <c r="GE9" t="str">
        <f>IF(ISBLANK(VLOOKUP(GE2,Wastewater!$D$6:$L$127,9,FALSE)),"",VLOOKUP(GE2,Wastewater!$D$6:$L$127,9,FALSE))</f>
        <v/>
      </c>
      <c r="GF9" t="str">
        <f>IF(ISBLANK(VLOOKUP(GF2,Wastewater!$D$6:$L$127,9,FALSE)),"",VLOOKUP(GF2,Wastewater!$D$6:$L$127,9,FALSE))</f>
        <v/>
      </c>
      <c r="GG9" t="str">
        <f>IF(ISBLANK(VLOOKUP(GG2,Wastewater!$D$6:$L$127,9,FALSE)),"",VLOOKUP(GG2,Wastewater!$D$6:$L$127,9,FALSE))</f>
        <v/>
      </c>
      <c r="GH9" t="str">
        <f>IF(ISBLANK(VLOOKUP(GH2,Wastewater!$D$6:$L$127,9,FALSE)),"",VLOOKUP(GH2,Wastewater!$D$6:$L$127,9,FALSE))</f>
        <v/>
      </c>
      <c r="GI9" t="str">
        <f>IF(ISBLANK(VLOOKUP(GI2,Wastewater!$D$6:$L$127,9,FALSE)),"",VLOOKUP(GI2,Wastewater!$D$6:$L$127,9,FALSE))</f>
        <v/>
      </c>
      <c r="GJ9" t="str">
        <f>IF(ISBLANK(VLOOKUP(GJ2,Wastewater!$D$6:$L$127,9,FALSE)),"",VLOOKUP(GJ2,Wastewater!$D$6:$L$127,9,FALSE))</f>
        <v/>
      </c>
      <c r="GK9" t="str">
        <f>IF(ISBLANK(VLOOKUP(GK2,Wastewater!$D$6:$L$127,9,FALSE)),"",VLOOKUP(GK2,Wastewater!$D$6:$L$127,9,FALSE))</f>
        <v/>
      </c>
      <c r="GL9" t="str">
        <f>IF(ISBLANK(VLOOKUP(GL2,Wastewater!$D$6:$L$127,9,FALSE)),"",VLOOKUP(GL2,Wastewater!$D$6:$L$127,9,FALSE))</f>
        <v/>
      </c>
      <c r="GM9" t="str">
        <f>IF(ISBLANK(VLOOKUP(GM2,Wastewater!$D$6:$L$127,9,FALSE)),"",VLOOKUP(GM2,Wastewater!$D$6:$L$127,9,FALSE))</f>
        <v xml:space="preserve">Exceedance of effluent quality, flows and ponding </v>
      </c>
      <c r="GN9" t="str">
        <f>IF(ISBLANK(VLOOKUP(GN2,Wastewater!$D$6:$L$127,9,FALSE)),"",VLOOKUP(GN2,Wastewater!$D$6:$L$127,9,FALSE))</f>
        <v/>
      </c>
      <c r="GO9" t="str">
        <f>IF(ISBLANK(VLOOKUP(GO2,Wastewater!$D$6:$L$127,9,FALSE)),"",VLOOKUP(GO2,Wastewater!$D$6:$L$127,9,FALSE))</f>
        <v/>
      </c>
      <c r="GP9" t="str">
        <f>IF(ISBLANK(VLOOKUP(GP2,Wastewater!$D$6:$L$127,9,FALSE)),"",VLOOKUP(GP2,Wastewater!$D$6:$L$127,9,FALSE))</f>
        <v/>
      </c>
      <c r="GQ9" t="str">
        <f>IF(ISBLANK(VLOOKUP(GQ2,Wastewater!$D$6:$L$127,9,FALSE)),"",VLOOKUP(GQ2,Wastewater!$D$6:$L$127,9,FALSE))</f>
        <v/>
      </c>
      <c r="GR9" t="e">
        <f>IF(ISBLANK(VLOOKUP(GR2,Wastewater!$D$6:$L$127,9,FALSE)),"",VLOOKUP(GR2,Wastewater!$D$6:$L$127,9,FALSE))</f>
        <v>#N/A</v>
      </c>
      <c r="GS9" t="e">
        <f>IF(ISBLANK(VLOOKUP(GS2,Wastewater!$D$6:$L$127,9,FALSE)),"",VLOOKUP(GS2,Wastewater!$D$6:$L$127,9,FALSE))</f>
        <v>#N/A</v>
      </c>
      <c r="GT9" t="str">
        <f>IF(ISBLANK(VLOOKUP(GT2,Wastewater!$D$6:$L$127,9,FALSE)),"",VLOOKUP(GT2,Wastewater!$D$6:$L$127,9,FALSE))</f>
        <v/>
      </c>
      <c r="GU9" t="e">
        <f>IF(ISBLANK(VLOOKUP(GU2,Wastewater!$D$6:$L$127,9,FALSE)),"",VLOOKUP(GU2,Wastewater!$D$6:$L$127,9,FALSE))</f>
        <v>#N/A</v>
      </c>
      <c r="GV9" t="e">
        <f>IF(ISBLANK(VLOOKUP(GV2,Wastewater!$D$6:$L$127,9,FALSE)),"",VLOOKUP(GV2,Wastewater!$D$6:$L$127,9,FALSE))</f>
        <v>#N/A</v>
      </c>
      <c r="GW9" t="e">
        <f>IF(ISBLANK(VLOOKUP(GW2,Wastewater!$D$6:$L$127,9,FALSE)),"",VLOOKUP(GW2,Wastewater!$D$6:$L$127,9,FALSE))</f>
        <v>#N/A</v>
      </c>
      <c r="GX9" t="str">
        <f>IF(ISBLANK(VLOOKUP(GX2,Wastewater!$D$6:$L$127,9,FALSE)),"",VLOOKUP(GX2,Wastewater!$D$6:$L$127,9,FALSE))</f>
        <v/>
      </c>
      <c r="GY9" t="str">
        <f>IF(ISBLANK(VLOOKUP(GY2,Wastewater!$D$6:$L$127,9,FALSE)),"",VLOOKUP(GY2,Wastewater!$D$6:$L$127,9,FALSE))</f>
        <v/>
      </c>
      <c r="GZ9" t="str">
        <f>IF(ISBLANK(VLOOKUP(GZ2,Wastewater!$D$6:$L$127,9,FALSE)),"",VLOOKUP(GZ2,Wastewater!$D$6:$L$127,9,FALSE))</f>
        <v/>
      </c>
      <c r="HA9" t="str">
        <f>IF(ISBLANK(VLOOKUP(HA2,Wastewater!$D$6:$L$127,9,FALSE)),"",VLOOKUP(HA2,Wastewater!$D$6:$L$127,9,FALSE))</f>
        <v/>
      </c>
      <c r="HB9" t="str">
        <f>IF(ISBLANK(VLOOKUP(HB2,Wastewater!$D$6:$L$127,9,FALSE)),"",VLOOKUP(HB2,Wastewater!$D$6:$L$127,9,FALSE))</f>
        <v/>
      </c>
      <c r="HC9" t="str">
        <f>IF(ISBLANK(VLOOKUP(HC2,Wastewater!$D$6:$L$127,9,FALSE)),"",VLOOKUP(HC2,Wastewater!$D$6:$L$127,9,FALSE))</f>
        <v/>
      </c>
      <c r="HD9" t="str">
        <f>IF(ISBLANK(VLOOKUP(HD2,Wastewater!$D$6:$L$127,9,FALSE)),"",VLOOKUP(HD2,Wastewater!$D$6:$L$127,9,FALSE))</f>
        <v/>
      </c>
      <c r="HE9" t="str">
        <f>IF(ISBLANK(VLOOKUP(HE2,Wastewater!$D$6:$L$127,9,FALSE)),"",VLOOKUP(HE2,Wastewater!$D$6:$L$127,9,FALSE))</f>
        <v/>
      </c>
      <c r="HF9" t="str">
        <f>IF(ISBLANK(VLOOKUP(HF2,Wastewater!$D$6:$L$127,9,FALSE)),"",VLOOKUP(HF2,Wastewater!$D$6:$L$127,9,FALSE))</f>
        <v/>
      </c>
      <c r="HG9" t="str">
        <f>IF(ISBLANK(VLOOKUP(HG2,Wastewater!$D$6:$L$127,9,FALSE)),"",VLOOKUP(HG2,Wastewater!$D$6:$L$127,9,FALSE))</f>
        <v/>
      </c>
      <c r="HH9" t="str">
        <f>IF(ISBLANK(VLOOKUP(HH2,Wastewater!$D$6:$L$127,9,FALSE)),"",VLOOKUP(HH2,Wastewater!$D$6:$L$127,9,FALSE))</f>
        <v/>
      </c>
      <c r="HI9" t="str">
        <f>IF(ISBLANK(VLOOKUP(HI2,Wastewater!$D$6:$L$127,9,FALSE)),"",VLOOKUP(HI2,Wastewater!$D$6:$L$127,9,FALSE))</f>
        <v/>
      </c>
      <c r="HJ9" t="str">
        <f>IF(ISBLANK(VLOOKUP(HJ2,Wastewater!$D$6:$L$127,9,FALSE)),"",VLOOKUP(HJ2,Wastewater!$D$6:$L$127,9,FALSE))</f>
        <v/>
      </c>
      <c r="HK9" t="str">
        <f>IF(ISBLANK(VLOOKUP(HK2,Wastewater!$D$6:$L$127,9,FALSE)),"",VLOOKUP(HK2,Wastewater!$D$6:$L$127,9,FALSE))</f>
        <v/>
      </c>
      <c r="HL9" t="str">
        <f>IF(ISBLANK(VLOOKUP(HL2,Wastewater!$D$6:$L$127,9,FALSE)),"",VLOOKUP(HL2,Wastewater!$D$6:$L$127,9,FALSE))</f>
        <v/>
      </c>
      <c r="HM9" t="str">
        <f>IF(ISBLANK(VLOOKUP(HM2,Wastewater!$D$6:$L$127,9,FALSE)),"",VLOOKUP(HM2,Wastewater!$D$6:$L$127,9,FALSE))</f>
        <v/>
      </c>
      <c r="HN9" t="str">
        <f>IF(ISBLANK(VLOOKUP(HN2,Wastewater!$D$6:$L$127,9,FALSE)),"",VLOOKUP(HN2,Wastewater!$D$6:$L$127,9,FALSE))</f>
        <v/>
      </c>
      <c r="HO9" t="str">
        <f>IF(ISBLANK(VLOOKUP(HO2,Wastewater!$D$6:$L$127,9,FALSE)),"",VLOOKUP(HO2,Wastewater!$D$6:$L$127,9,FALSE))</f>
        <v/>
      </c>
      <c r="HP9" t="str">
        <f>IF(ISBLANK(VLOOKUP(HP2,Wastewater!$D$6:$L$127,9,FALSE)),"",VLOOKUP(HP2,Wastewater!$D$6:$L$127,9,FALSE))</f>
        <v/>
      </c>
      <c r="HQ9" t="str">
        <f>IF(ISBLANK(VLOOKUP(HQ2,Wastewater!$D$6:$L$127,9,FALSE)),"",VLOOKUP(HQ2,Wastewater!$D$6:$L$127,9,FALSE))</f>
        <v/>
      </c>
      <c r="HR9" t="str">
        <f>IF(ISBLANK(VLOOKUP(HR2,Wastewater!$D$6:$L$127,9,FALSE)),"",VLOOKUP(HR2,Wastewater!$D$6:$L$127,9,FALSE))</f>
        <v/>
      </c>
      <c r="HS9" t="str">
        <f>IF(ISBLANK(VLOOKUP(HS2,Wastewater!$D$6:$L$127,9,FALSE)),"",VLOOKUP(HS2,Wastewater!$D$6:$L$127,9,FALSE))</f>
        <v/>
      </c>
      <c r="HT9" t="str">
        <f>IF(ISBLANK(VLOOKUP(HT2,Wastewater!$D$6:$L$127,9,FALSE)),"",VLOOKUP(HT2,Wastewater!$D$6:$L$127,9,FALSE))</f>
        <v/>
      </c>
      <c r="HU9" t="str">
        <f>IF(ISBLANK(VLOOKUP(HU2,Wastewater!$D$6:$L$127,9,FALSE)),"",VLOOKUP(HU2,Wastewater!$D$6:$L$127,9,FALSE))</f>
        <v/>
      </c>
      <c r="HV9" t="str">
        <f>IF(ISBLANK(VLOOKUP(HV2,Wastewater!$D$6:$L$127,9,FALSE)),"",VLOOKUP(HV2,Wastewater!$D$6:$L$127,9,FALSE))</f>
        <v/>
      </c>
      <c r="HW9" t="str">
        <f>IF(ISBLANK(VLOOKUP(HW2,Wastewater!$D$6:$L$127,9,FALSE)),"",VLOOKUP(HW2,Wastewater!$D$6:$L$127,9,FALSE))</f>
        <v/>
      </c>
      <c r="HX9" t="str">
        <f>IF(ISBLANK(VLOOKUP(HX2,Wastewater!$D$6:$L$127,9,FALSE)),"",VLOOKUP(HX2,Wastewater!$D$6:$L$127,9,FALSE))</f>
        <v/>
      </c>
      <c r="HY9" t="str">
        <f>IF(ISBLANK(VLOOKUP(HY2,Wastewater!$D$6:$L$127,9,FALSE)),"",VLOOKUP(HY2,Wastewater!$D$6:$L$127,9,FALSE))</f>
        <v/>
      </c>
      <c r="HZ9" t="str">
        <f>IF(ISBLANK(VLOOKUP(HZ2,Wastewater!$D$6:$L$127,9,FALSE)),"",VLOOKUP(HZ2,Wastewater!$D$6:$L$127,9,FALSE))</f>
        <v/>
      </c>
      <c r="IA9" t="str">
        <f>IF(ISBLANK(VLOOKUP(IA2,Wastewater!$D$6:$L$127,9,FALSE)),"",VLOOKUP(IA2,Wastewater!$D$6:$L$127,9,FALSE))</f>
        <v/>
      </c>
      <c r="IB9" t="str">
        <f>IF(ISBLANK(VLOOKUP(IB2,Wastewater!$D$6:$L$127,9,FALSE)),"",VLOOKUP(IB2,Wastewater!$D$6:$L$127,9,FALSE))</f>
        <v/>
      </c>
      <c r="IC9" t="str">
        <f>IF(ISBLANK(VLOOKUP(IC2,Wastewater!$D$6:$L$127,9,FALSE)),"",VLOOKUP(IC2,Wastewater!$D$6:$L$127,9,FALSE))</f>
        <v/>
      </c>
      <c r="ID9" t="str">
        <f>IF(ISBLANK(VLOOKUP(ID2,Wastewater!$D$6:$L$127,9,FALSE)),"",VLOOKUP(ID2,Wastewater!$D$6:$L$127,9,FALSE))</f>
        <v/>
      </c>
      <c r="IE9" t="str">
        <f>IF(ISBLANK(VLOOKUP(IE2,Wastewater!$D$6:$L$127,9,FALSE)),"",VLOOKUP(IE2,Wastewater!$D$6:$L$127,9,FALSE))</f>
        <v/>
      </c>
      <c r="IF9" t="str">
        <f>IF(ISBLANK(VLOOKUP(IF2,Wastewater!$D$6:$L$127,9,FALSE)),"",VLOOKUP(IF2,Wastewater!$D$6:$L$127,9,FALSE))</f>
        <v/>
      </c>
      <c r="IG9" t="str">
        <f>IF(ISBLANK(VLOOKUP(IG2,Wastewater!$D$6:$L$127,9,FALSE)),"",VLOOKUP(IG2,Wastewater!$D$6:$L$127,9,FALSE))</f>
        <v/>
      </c>
      <c r="IH9" t="str">
        <f>IF(ISBLANK(VLOOKUP(IH2,Wastewater!$D$6:$L$127,9,FALSE)),"",VLOOKUP(IH2,Wastewater!$D$6:$L$127,9,FALSE))</f>
        <v/>
      </c>
      <c r="II9" t="str">
        <f>IF(ISBLANK(VLOOKUP(II2,Wastewater!$D$6:$L$127,9,FALSE)),"",VLOOKUP(II2,Wastewater!$D$6:$L$127,9,FALSE))</f>
        <v/>
      </c>
      <c r="IJ9" t="str">
        <f>IF(ISBLANK(VLOOKUP(IJ2,Wastewater!$D$6:$L$127,9,FALSE)),"",VLOOKUP(IJ2,Wastewater!$D$6:$L$127,9,FALSE))</f>
        <v/>
      </c>
      <c r="IK9" t="str">
        <f>IF(ISBLANK(VLOOKUP(IK2,Wastewater!$D$6:$L$127,9,FALSE)),"",VLOOKUP(IK2,Wastewater!$D$6:$L$127,9,FALSE))</f>
        <v/>
      </c>
      <c r="IL9" t="str">
        <f>IF(ISBLANK(VLOOKUP(IL2,Wastewater!$D$6:$L$127,9,FALSE)),"",VLOOKUP(IL2,Wastewater!$D$6:$L$127,9,FALSE))</f>
        <v/>
      </c>
      <c r="IM9" t="str">
        <f>IF(ISBLANK(VLOOKUP(IM2,Wastewater!$D$6:$L$127,9,FALSE)),"",VLOOKUP(IM2,Wastewater!$D$6:$L$127,9,FALSE))</f>
        <v/>
      </c>
      <c r="IN9" t="str">
        <f>IF(ISBLANK(VLOOKUP(IN2,Wastewater!$D$6:$L$127,9,FALSE)),"",VLOOKUP(IN2,Wastewater!$D$6:$L$127,9,FALSE))</f>
        <v/>
      </c>
      <c r="IO9" t="str">
        <f>IF(ISBLANK(VLOOKUP(IO2,Wastewater!$D$6:$L$127,9,FALSE)),"",VLOOKUP(IO2,Wastewater!$D$6:$L$127,9,FALSE))</f>
        <v/>
      </c>
      <c r="IP9" t="str">
        <f>IF(ISBLANK(VLOOKUP(IP2,Wastewater!$D$6:$L$127,9,FALSE)),"",VLOOKUP(IP2,Wastewater!$D$6:$L$127,9,FALSE))</f>
        <v/>
      </c>
      <c r="IQ9" t="str">
        <f>IF(ISBLANK(VLOOKUP(IQ2,Wastewater!$D$6:$L$127,9,FALSE)),"",VLOOKUP(IQ2,Wastewater!$D$6:$L$127,9,FALSE))</f>
        <v/>
      </c>
      <c r="IR9" t="str">
        <f>IF(ISBLANK(VLOOKUP(IR2,Wastewater!$D$6:$L$127,9,FALSE)),"",VLOOKUP(IR2,Wastewater!$D$6:$L$127,9,FALSE))</f>
        <v/>
      </c>
      <c r="IS9" t="str">
        <f>IF(ISBLANK(VLOOKUP(IS2,Wastewater!$D$6:$L$127,9,FALSE)),"",VLOOKUP(IS2,Wastewater!$D$6:$L$127,9,FALSE))</f>
        <v/>
      </c>
      <c r="IT9" t="str">
        <f>IF(ISBLANK(VLOOKUP(IT2,Wastewater!$D$6:$L$127,9,FALSE)),"",VLOOKUP(IT2,Wastewater!$D$6:$L$127,9,FALSE))</f>
        <v/>
      </c>
      <c r="IU9" t="str">
        <f>IF(ISBLANK(VLOOKUP(IU2,Wastewater!$D$6:$L$127,9,FALSE)),"",VLOOKUP(IU2,Wastewater!$D$6:$L$127,9,FALSE))</f>
        <v/>
      </c>
      <c r="IV9" t="str">
        <f>IF(ISBLANK(VLOOKUP(IV2,Wastewater!$D$6:$L$127,9,FALSE)),"",VLOOKUP(IV2,Wastewater!$D$6:$L$127,9,FALSE))</f>
        <v/>
      </c>
      <c r="IW9" t="str">
        <f>IF(ISBLANK(VLOOKUP(IW2,Wastewater!$D$6:$L$127,9,FALSE)),"",VLOOKUP(IW2,Wastewater!$D$6:$L$127,9,FALSE))</f>
        <v/>
      </c>
      <c r="IX9" t="str">
        <f>IF(ISBLANK(VLOOKUP(IX2,Wastewater!$D$6:$L$127,9,FALSE)),"",VLOOKUP(IX2,Wastewater!$D$6:$L$127,9,FALSE))</f>
        <v/>
      </c>
      <c r="IY9" t="str">
        <f>IF(ISBLANK(VLOOKUP(IY2,Stormwater!$D$6:$L$80,9,FALSE)),"",VLOOKUP(IY2,Stormwater!$D$6:$L$80,9,FALSE))</f>
        <v/>
      </c>
      <c r="IZ9" t="str">
        <f>IF(ISBLANK(VLOOKUP(IZ2,Stormwater!$D$6:$L$80,9,FALSE)),"",VLOOKUP(IZ2,Stormwater!$D$6:$L$80,9,FALSE))</f>
        <v/>
      </c>
      <c r="JA9" t="str">
        <f>IF(ISBLANK(VLOOKUP(JA2,Stormwater!$D$6:$L$80,9,FALSE)),"",VLOOKUP(JA2,Stormwater!$D$6:$L$80,9,FALSE))</f>
        <v/>
      </c>
      <c r="JB9" t="str">
        <f>IF(ISBLANK(VLOOKUP(JB2,Stormwater!$D$6:$L$80,9,FALSE)),"",VLOOKUP(JB2,Stormwater!$D$6:$L$80,9,FALSE))</f>
        <v/>
      </c>
      <c r="JC9" t="str">
        <f>IF(ISBLANK(VLOOKUP(JC2,Stormwater!$D$6:$L$80,9,FALSE)),"",VLOOKUP(JC2,Stormwater!$D$6:$L$80,9,FALSE))</f>
        <v>GIS</v>
      </c>
      <c r="JD9" t="e">
        <f>IF(ISBLANK(VLOOKUP(JD2,Stormwater!$D$6:$L$80,9,FALSE)),"",VLOOKUP(JD2,Stormwater!$D$6:$L$80,9,FALSE))</f>
        <v>#N/A</v>
      </c>
      <c r="JE9" t="e">
        <f>IF(ISBLANK(VLOOKUP(JE2,Stormwater!$D$6:$L$80,9,FALSE)),"",VLOOKUP(JE2,Stormwater!$D$6:$L$80,9,FALSE))</f>
        <v>#N/A</v>
      </c>
      <c r="JF9" t="e">
        <f>IF(ISBLANK(VLOOKUP(JF2,Stormwater!$D$6:$L$80,9,FALSE)),"",VLOOKUP(JF2,Stormwater!$D$6:$L$80,9,FALSE))</f>
        <v>#N/A</v>
      </c>
      <c r="JG9" t="e">
        <f>IF(ISBLANK(VLOOKUP(JG2,Stormwater!$D$6:$L$80,9,FALSE)),"",VLOOKUP(JG2,Stormwater!$D$6:$L$80,9,FALSE))</f>
        <v>#N/A</v>
      </c>
      <c r="JH9" t="e">
        <f>IF(ISBLANK(VLOOKUP(JH2,Stormwater!$D$6:$L$80,9,FALSE)),"",VLOOKUP(JH2,Stormwater!$D$6:$L$80,9,FALSE))</f>
        <v>#N/A</v>
      </c>
      <c r="JI9" t="str">
        <f>IF(ISBLANK(VLOOKUP(JI2,Stormwater!$D$6:$L$80,9,FALSE)),"",VLOOKUP(JI2,Stormwater!$D$6:$L$80,9,FALSE))</f>
        <v/>
      </c>
      <c r="JJ9" t="e">
        <f>IF(ISBLANK(VLOOKUP(JJ2,Stormwater!$D$6:$L$80,9,FALSE)),"",VLOOKUP(JJ2,Stormwater!$D$6:$L$80,9,FALSE))</f>
        <v>#N/A</v>
      </c>
      <c r="JK9" t="str">
        <f>IF(ISBLANK(VLOOKUP(JK2,Stormwater!$D$6:$L$80,9,FALSE)),"",VLOOKUP(JK2,Stormwater!$D$6:$L$80,9,FALSE))</f>
        <v/>
      </c>
      <c r="JL9" t="e">
        <f>IF(ISBLANK(VLOOKUP(JL2,Stormwater!$D$6:$L$80,9,FALSE)),"",VLOOKUP(JL2,Stormwater!$D$6:$L$80,9,FALSE))</f>
        <v>#N/A</v>
      </c>
      <c r="JM9" t="str">
        <f>IF(ISBLANK(VLOOKUP(JM2,Stormwater!$D$6:$L$80,9,FALSE)),"",VLOOKUP(JM2,Stormwater!$D$6:$L$80,9,FALSE))</f>
        <v>Change in DRC/ORC from 2021</v>
      </c>
      <c r="JN9" t="e">
        <f>IF(ISBLANK(VLOOKUP(JN2,Stormwater!$D$6:$L$80,9,FALSE)),"",VLOOKUP(JN2,Stormwater!$D$6:$L$80,9,FALSE))</f>
        <v>#N/A</v>
      </c>
      <c r="JO9" t="e">
        <f>IF(ISBLANK(VLOOKUP(JO2,Stormwater!$D$6:$L$80,9,FALSE)),"",VLOOKUP(JO2,Stormwater!$D$6:$L$80,9,FALSE))</f>
        <v>#N/A</v>
      </c>
      <c r="JP9" t="str">
        <f>IF(ISBLANK(VLOOKUP(JP2,Stormwater!$D$6:$L$80,9,FALSE)),"",VLOOKUP(JP2,Stormwater!$D$6:$L$80,9,FALSE))</f>
        <v/>
      </c>
      <c r="JQ9" t="str">
        <f>IF(ISBLANK(VLOOKUP(JQ2,Stormwater!$D$6:$L$80,9,FALSE)),"",VLOOKUP(JQ2,Stormwater!$D$6:$L$80,9,FALSE))</f>
        <v/>
      </c>
      <c r="JR9" t="str">
        <f>IF(ISBLANK(VLOOKUP(JR2,Stormwater!$D$6:$L$80,9,FALSE)),"",VLOOKUP(JR2,Stormwater!$D$6:$L$80,9,FALSE))</f>
        <v/>
      </c>
      <c r="JS9" t="str">
        <f>IF(ISBLANK(VLOOKUP(JS2,Stormwater!$D$6:$L$80,9,FALSE)),"",VLOOKUP(JS2,Stormwater!$D$6:$L$80,9,FALSE))</f>
        <v>Assume same as last year</v>
      </c>
      <c r="JT9" t="str">
        <f>IF(ISBLANK(VLOOKUP(JT2,Stormwater!$D$6:$L$80,9,FALSE)),"",VLOOKUP(JT2,Stormwater!$D$6:$L$80,9,FALSE))</f>
        <v/>
      </c>
      <c r="JU9" t="str">
        <f>IF(ISBLANK(VLOOKUP(JU2,Stormwater!$D$6:$L$80,9,FALSE)),"",VLOOKUP(JU2,Stormwater!$D$6:$L$80,9,FALSE))</f>
        <v/>
      </c>
      <c r="JV9" t="str">
        <f>IF(ISBLANK(VLOOKUP(JV2,Stormwater!$D$6:$L$80,9,FALSE)),"",VLOOKUP(JV2,Stormwater!$D$6:$L$80,9,FALSE))</f>
        <v/>
      </c>
      <c r="JW9" t="str">
        <f>IF(ISBLANK(VLOOKUP(JW2,Stormwater!$D$6:$L$80,9,FALSE)),"",VLOOKUP(JW2,Stormwater!$D$6:$L$80,9,FALSE))</f>
        <v/>
      </c>
      <c r="JX9" t="str">
        <f>IF(ISBLANK(VLOOKUP(JX2,Stormwater!$D$6:$L$80,9,FALSE)),"",VLOOKUP(JX2,Stormwater!$D$6:$L$80,9,FALSE))</f>
        <v/>
      </c>
      <c r="JY9" t="str">
        <f>IF(ISBLANK(VLOOKUP(JY2,Stormwater!$D$6:$L$80,9,FALSE)),"",VLOOKUP(JY2,Stormwater!$D$6:$L$80,9,FALSE))</f>
        <v/>
      </c>
      <c r="JZ9" t="str">
        <f>IF(ISBLANK(VLOOKUP(JZ2,Stormwater!$D$6:$L$80,9,FALSE)),"",VLOOKUP(JZ2,Stormwater!$D$6:$L$80,9,FALSE))</f>
        <v/>
      </c>
      <c r="KA9" t="str">
        <f>IF(ISBLANK(VLOOKUP(KA2,Stormwater!$D$6:$L$80,9,FALSE)),"",VLOOKUP(KA2,Stormwater!$D$6:$L$80,9,FALSE))</f>
        <v/>
      </c>
      <c r="KB9" t="str">
        <f>IF(ISBLANK(VLOOKUP(KB2,Stormwater!$D$6:$L$80,9,FALSE)),"",VLOOKUP(KB2,Stormwater!$D$6:$L$80,9,FALSE))</f>
        <v/>
      </c>
      <c r="KC9" t="str">
        <f>IF(ISBLANK(VLOOKUP(KC2,Stormwater!$D$6:$L$80,9,FALSE)),"",VLOOKUP(KC2,Stormwater!$D$6:$L$80,9,FALSE))</f>
        <v/>
      </c>
      <c r="KD9" t="str">
        <f>IF(ISBLANK(VLOOKUP(KD2,Stormwater!$D$6:$L$80,9,FALSE)),"",VLOOKUP(KD2,Stormwater!$D$6:$L$80,9,FALSE))</f>
        <v/>
      </c>
      <c r="KE9" t="str">
        <f>IF(ISBLANK(VLOOKUP(KE2,Stormwater!$D$6:$L$80,9,FALSE)),"",VLOOKUP(KE2,Stormwater!$D$6:$L$80,9,FALSE))</f>
        <v/>
      </c>
      <c r="KF9" t="str">
        <f>IF(ISBLANK(VLOOKUP(KF2,Stormwater!$D$6:$L$80,9,FALSE)),"",VLOOKUP(KF2,Stormwater!$D$6:$L$80,9,FALSE))</f>
        <v/>
      </c>
      <c r="KG9" t="str">
        <f>IF(ISBLANK(VLOOKUP(KG2,Stormwater!$D$6:$L$80,9,FALSE)),"",VLOOKUP(KG2,Stormwater!$D$6:$L$80,9,FALSE))</f>
        <v/>
      </c>
      <c r="KH9" t="str">
        <f>IF(ISBLANK(VLOOKUP(KH2,Stormwater!$D$6:$L$80,9,FALSE)),"",VLOOKUP(KH2,Stormwater!$D$6:$L$80,9,FALSE))</f>
        <v/>
      </c>
      <c r="KI9" t="str">
        <f>IF(ISBLANK(VLOOKUP(KI2,Stormwater!$D$6:$L$80,9,FALSE)),"",VLOOKUP(KI2,Stormwater!$D$6:$L$80,9,FALSE))</f>
        <v/>
      </c>
      <c r="KJ9" t="str">
        <f>IF(ISBLANK(VLOOKUP(KJ2,Stormwater!$D$6:$L$80,9,FALSE)),"",VLOOKUP(KJ2,Stormwater!$D$6:$L$80,9,FALSE))</f>
        <v/>
      </c>
      <c r="KK9" t="str">
        <f>IF(ISBLANK(VLOOKUP(KK2,Stormwater!$D$6:$L$80,9,FALSE)),"",VLOOKUP(KK2,Stormwater!$D$6:$L$80,9,FALSE))</f>
        <v/>
      </c>
      <c r="KL9" t="str">
        <f>IF(ISBLANK(VLOOKUP(KL2,Stormwater!$D$6:$L$80,9,FALSE)),"",VLOOKUP(KL2,Stormwater!$D$6:$L$80,9,FALSE))</f>
        <v/>
      </c>
      <c r="KM9" t="str">
        <f>IF(ISBLANK(VLOOKUP(KM2,Stormwater!$D$6:$L$80,9,FALSE)),"",VLOOKUP(KM2,Stormwater!$D$6:$L$80,9,FALSE))</f>
        <v/>
      </c>
      <c r="KN9" t="str">
        <f>IF(ISBLANK(VLOOKUP(KN2,Stormwater!$D$6:$L$80,9,FALSE)),"",VLOOKUP(KN2,Stormwater!$D$6:$L$80,9,FALSE))</f>
        <v/>
      </c>
      <c r="KO9" t="str">
        <f>IF(ISBLANK(VLOOKUP(KO2,Stormwater!$D$6:$L$80,9,FALSE)),"",VLOOKUP(KO2,Stormwater!$D$6:$L$80,9,FALSE))</f>
        <v/>
      </c>
      <c r="KP9" t="str">
        <f>IF(ISBLANK(VLOOKUP(KP2,Stormwater!$D$6:$L$80,9,FALSE)),"",VLOOKUP(KP2,Stormwater!$D$6:$L$80,9,FALSE))</f>
        <v/>
      </c>
      <c r="KQ9" t="str">
        <f>IF(ISBLANK(VLOOKUP(KQ2,Stormwater!$D$6:$L$80,9,FALSE)),"",VLOOKUP(KQ2,Stormwater!$D$6:$L$80,9,FALSE))</f>
        <v>Assumed same as last year</v>
      </c>
      <c r="KR9" t="str">
        <f>IF(ISBLANK(VLOOKUP(KR2,Stormwater!$D$6:$L$80,9,FALSE)),"",VLOOKUP(KR2,Stormwater!$D$6:$L$80,9,FALSE))</f>
        <v>Assumed same as last year</v>
      </c>
      <c r="KS9" t="str">
        <f>IF(ISBLANK(VLOOKUP(KS2,Stormwater!$D$6:$L$80,9,FALSE)),"",VLOOKUP(KS2,Stormwater!$D$6:$L$80,9,FALSE))</f>
        <v/>
      </c>
      <c r="KT9" t="str">
        <f>IF(ISBLANK(VLOOKUP(KT2,Stormwater!$D$6:$L$80,9,FALSE)),"",VLOOKUP(KT2,Stormwater!$D$6:$L$80,9,FALSE))</f>
        <v/>
      </c>
      <c r="KU9" t="str">
        <f>IF(ISBLANK(VLOOKUP(KU2,Stormwater!$D$6:$L$80,9,FALSE)),"",VLOOKUP(KU2,Stormwater!$D$6:$L$80,9,FALSE))</f>
        <v/>
      </c>
      <c r="KV9" t="str">
        <f>IF(ISBLANK(VLOOKUP(KV2,Stormwater!$D$6:$L$80,9,FALSE)),"",VLOOKUP(KV2,Stormwater!$D$6:$L$80,9,FALSE))</f>
        <v/>
      </c>
      <c r="KW9" t="str">
        <f>IF(ISBLANK(VLOOKUP(KW2,Stormwater!$D$6:$L$80,9,FALSE)),"",VLOOKUP(KW2,Stormwater!$D$6:$L$80,9,FALSE))</f>
        <v/>
      </c>
      <c r="KX9" t="str">
        <f>IF(ISBLANK(VLOOKUP(KX2,Stormwater!$D$6:$L$80,9,FALSE)),"",VLOOKUP(KX2,Stormwater!$D$6:$L$80,9,FALSE))</f>
        <v/>
      </c>
      <c r="KY9" t="str">
        <f>IF(ISBLANK(VLOOKUP(KY2,Stormwater!$D$6:$L$80,9,FALSE)),"",VLOOKUP(KY2,Stormwater!$D$6:$L$80,9,FALSE))</f>
        <v/>
      </c>
      <c r="KZ9" t="str">
        <f>IF(ISBLANK(VLOOKUP(KZ2,Stormwater!$D$6:$L$80,9,FALSE)),"",VLOOKUP(KZ2,Stormwater!$D$6:$L$80,9,FALSE))</f>
        <v/>
      </c>
      <c r="LA9" t="str">
        <f>IF(ISBLANK(VLOOKUP(LA2,Stormwater!$D$6:$L$80,9,FALSE)),"",VLOOKUP(LA2,Stormwater!$D$6:$L$80,9,FALSE))</f>
        <v/>
      </c>
      <c r="LB9" t="str">
        <f>IF(ISBLANK(VLOOKUP(LB2,Stormwater!$D$6:$L$80,9,FALSE)),"",VLOOKUP(LB2,Stormwater!$D$6:$L$80,9,FALSE))</f>
        <v/>
      </c>
      <c r="LC9" t="str">
        <f>IF(ISBLANK(VLOOKUP(LC2,Stormwater!$D$6:$L$80,9,FALSE)),"",VLOOKUP(LC2,Stormwater!$D$6:$L$80,9,FALSE))</f>
        <v/>
      </c>
      <c r="LD9" t="str">
        <f>IF(ISBLANK(VLOOKUP(LD2,Stormwater!$D$6:$L$80,9,FALSE)),"",VLOOKUP(LD2,Stormwater!$D$6:$L$80,9,FALSE))</f>
        <v/>
      </c>
      <c r="LE9" t="str">
        <f>IF(ISBLANK(VLOOKUP(LE2,Stormwater!$D$6:$L$80,9,FALSE)),"",VLOOKUP(LE2,Stormwater!$D$6:$L$80,9,FALSE))</f>
        <v/>
      </c>
      <c r="LF9" t="str">
        <f>IF(ISBLANK(VLOOKUP(LF2,Stormwater!$D$6:$L$80,9,FALSE)),"",VLOOKUP(LF2,Stormwater!$D$6:$L$80,9,FALSE))</f>
        <v/>
      </c>
      <c r="LG9" t="str">
        <f>IF(ISBLANK(VLOOKUP(LG2,Stormwater!$D$6:$L$80,9,FALSE)),"",VLOOKUP(LG2,Stormwater!$D$6:$L$80,9,FALSE))</f>
        <v/>
      </c>
      <c r="LH9" t="str">
        <f>IF(ISBLANK(VLOOKUP(LH2,Stormwater!$D$6:$L$80,9,FALSE)),"",VLOOKUP(LH2,Stormwater!$D$6:$L$80,9,FALSE))</f>
        <v/>
      </c>
      <c r="LI9" t="str">
        <f>IF(ISBLANK(VLOOKUP(LI2,Stormwater!$D$6:$L$80,9,FALSE)),"",VLOOKUP(LI2,Stormwater!$D$6:$L$80,9,FALSE))</f>
        <v/>
      </c>
      <c r="LJ9" t="str">
        <f>IF(ISBLANK(VLOOKUP(LJ2,Stormwater!$D$6:$L$80,9,FALSE)),"",VLOOKUP(LJ2,Stormwater!$D$6:$L$80,9,FALSE))</f>
        <v/>
      </c>
      <c r="LK9" t="str">
        <f>IF(ISBLANK(VLOOKUP(LK2,Stormwater!$D$6:$L$80,9,FALSE)),"",VLOOKUP(LK2,Stormwater!$D$6:$L$80,9,FALSE))</f>
        <v/>
      </c>
      <c r="LL9" t="str">
        <f>IF(ISBLANK(VLOOKUP(LL2,Stormwater!$D$6:$L$80,9,FALSE)),"",VLOOKUP(LL2,Stormwater!$D$6:$L$80,9,FALSE))</f>
        <v/>
      </c>
      <c r="LM9" t="str">
        <f>IF(ISBLANK(VLOOKUP(LM2,Stormwater!$D$6:$L$80,9,FALSE)),"",VLOOKUP(LM2,Stormwater!$D$6:$L$80,9,FALSE))</f>
        <v/>
      </c>
      <c r="LN9" t="str">
        <f>IF(ISBLANK(VLOOKUP(LN2,Stormwater!$D$6:$L$80,9,FALSE)),"",VLOOKUP(LN2,Stormwater!$D$6:$L$80,9,FALSE))</f>
        <v/>
      </c>
      <c r="LO9" t="str">
        <f>IF(ISBLANK(VLOOKUP(LO2,Stormwater!$D$6:$L$80,9,FALSE)),"",VLOOKUP(LO2,Stormwater!$D$6:$L$80,9,FALSE))</f>
        <v/>
      </c>
      <c r="LP9" t="str">
        <f>IF(ISBLANK(VLOOKUP(LP2,Stormwater!$D$6:$L$80,9,FALSE)),"",VLOOKUP(LP2,Stormwater!$D$6:$L$80,9,FALSE))</f>
        <v/>
      </c>
      <c r="LQ9" t="str">
        <f>IF(ISBLANK(VLOOKUP(LQ2,Stormwater!$D$6:$L$80,9,FALSE)),"",VLOOKUP(LQ2,Stormwater!$D$6:$L$80,9,FALSE))</f>
        <v/>
      </c>
      <c r="LR9" t="str">
        <f>IF(ISBLANK(VLOOKUP(LR2,Stormwater!$D$6:$L$80,9,FALSE)),"",VLOOKUP(LR2,Stormwater!$D$6:$L$80,9,FALSE))</f>
        <v/>
      </c>
      <c r="LS9" t="str">
        <f>IF(ISBLANK(VLOOKUP(LS2,Stormwater!$D$6:$L$80,9,FALSE)),"",VLOOKUP(LS2,Stormwater!$D$6:$L$80,9,FALSE))</f>
        <v/>
      </c>
      <c r="LT9" t="str">
        <f>IF(ISBLANK(VLOOKUP(LT2,Stormwater!$D$6:$L$80,9,FALSE)),"",VLOOKUP(LT2,Stormwater!$D$6:$L$80,9,FALSE))</f>
        <v/>
      </c>
      <c r="LU9" t="str">
        <f>IF(ISBLANK(VLOOKUP(LU2,Stormwater!$D$6:$L$80,9,FALSE)),"",VLOOKUP(LU2,Stormwater!$D$6:$L$80,9,FALSE))</f>
        <v/>
      </c>
      <c r="LV9" t="str">
        <f>IF(ISBLANK(VLOOKUP(LV2,Stormwater!$D$6:$L$80,9,FALSE)),"",VLOOKUP(LV2,Stormwater!$D$6:$L$80,9,FALSE))</f>
        <v/>
      </c>
    </row>
  </sheetData>
  <conditionalFormatting sqref="MA3">
    <cfRule type="cellIs" dxfId="0" priority="1" operator="equal">
      <formula>999999999</formula>
    </cfRule>
  </conditionalFormatting>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U19"/>
  <sheetViews>
    <sheetView workbookViewId="0">
      <selection activeCell="Q6" sqref="Q6"/>
    </sheetView>
  </sheetViews>
  <sheetFormatPr defaultRowHeight="14.25"/>
  <cols>
    <col min="3" max="3" width="39.28515625" customWidth="1"/>
  </cols>
  <sheetData>
    <row r="1" spans="1:21">
      <c r="A1" s="95" t="str">
        <f>Wastewater!E$10&amp;" ["&amp;Wastewater!D$10&amp;"]"</f>
        <v>Wastewater treatment plant name [WWA7a]</v>
      </c>
      <c r="B1" s="95" t="str">
        <f>Wastewater!$E$11&amp;" ["&amp;Wastewater!$D$11&amp;"]"</f>
        <v>Volume of wastewater treated at treatment plant [WWA7d]</v>
      </c>
      <c r="C1" s="95" t="str">
        <f>Wastewater!$E$12&amp;" ["&amp;Wastewater!$D$12&amp;"]"</f>
        <v>Proportion of trade waste at treatment plant [WWA7f]</v>
      </c>
      <c r="D1" s="95" t="str">
        <f>Wastewater!$E$13&amp;" ["&amp;Wastewater!$D$13&amp;"]"</f>
        <v>Wastewater Imported for Treatment [WWB6]</v>
      </c>
      <c r="E1" s="95" t="str">
        <f>Wastewater!$E$14&amp;" ["&amp;Wastewater!$D$14&amp;"]"</f>
        <v>Wastewater Exported for Treatment [WWB5]</v>
      </c>
      <c r="F1" s="95" t="str">
        <f>Wastewater!$E$15&amp;" ["&amp;Wastewater!$D$15&amp;"]"</f>
        <v>Number of consents at each treatment plant [WWA7g]</v>
      </c>
      <c r="G1" s="95" t="str">
        <f>Wastewater!$E$16&amp;" ["&amp;Wastewater!$D$16&amp;"]"</f>
        <v>Treatment Plant effluent resource consent expiry date [WWA7h]</v>
      </c>
      <c r="H1" s="95" t="str">
        <f>Wastewater!$E$17&amp;" ["&amp;Wastewater!$D$17&amp;"]"</f>
        <v>Treatment plant effluent consent status [WWA7i]</v>
      </c>
      <c r="I1" s="95" t="str">
        <f>Wastewater!$E$19&amp;" ["&amp;Wastewater!$D$19&amp;"]"</f>
        <v>Treatment Plant sludge production of wet sludge/biosolids [WWA7j-1]</v>
      </c>
      <c r="J1" s="95" t="str">
        <f>Wastewater!$E$20&amp;" ["&amp;Wastewater!$D$20&amp;"]"</f>
        <v>Percentage of dry solids in wastewater sludge/biosolids [WWA7j-2]</v>
      </c>
      <c r="K1" s="95" t="str">
        <f>Wastewater!$E$21&amp;" ["&amp;Wastewater!$D$21&amp;"]"</f>
        <v>Disposal of wastewater sludge in year to on site stockpile [WWA7k-1]</v>
      </c>
      <c r="L1" s="95" t="str">
        <f>Wastewater!$E$22&amp;" ["&amp;Wastewater!$D$22&amp;"]"</f>
        <v>Disposal of wastewater sludge in year to landfill [WWA7k-2]</v>
      </c>
      <c r="M1" s="95" t="str">
        <f>Wastewater!$E$23&amp;" ["&amp;Wastewater!$D$23&amp;"]"</f>
        <v>Disposal of wastewater sludge in year to composting and reuse [WWA7k-3]</v>
      </c>
      <c r="N1" s="95" t="str">
        <f>Wastewater!$E$24&amp;" ["&amp;Wastewater!$D$24&amp;"]"</f>
        <v>Disposal of wastewater sludge in year to other routes [WWA7k-4]</v>
      </c>
      <c r="O1" s="95" t="str">
        <f>Wastewater!$E$25&amp;" ["&amp;Wastewater!$D$25&amp;"]"</f>
        <v>Last year desludged [WWA7k-5]</v>
      </c>
      <c r="P1" s="95" t="str">
        <f>Wastewater!$E$26&amp;" ["&amp;Wastewater!$D$26&amp;"]"</f>
        <v>Treatment plant peak wet to average dry weather flow ratio [WWA7m]</v>
      </c>
      <c r="Q1" s="95" t="str">
        <f>Wastewater!$E$27&amp;" ["&amp;Wastewater!$D$27&amp;"]"</f>
        <v>Wastewater treatment plant process emissions [WWA7n]</v>
      </c>
      <c r="R1" s="95" t="str">
        <f>Wastewater!$E$28&amp;" ["&amp;Wastewater!$D$28&amp;"]"</f>
        <v>Wastewater treatment wetland emissions [WWA7o]</v>
      </c>
      <c r="S1" s="95" t="str">
        <f>Wastewater!$E$29&amp;" ["&amp;Wastewater!$D$29&amp;"]"</f>
        <v>Wastewater effluent disposal emissions [WWA7p]</v>
      </c>
      <c r="T1" s="95" t="str">
        <f>Wastewater!$E$30&amp;" ["&amp;Wastewater!$D$30&amp;"]"</f>
        <v>Wastewater sludge treatment emissions [WWA7q]</v>
      </c>
      <c r="U1" s="95" t="str">
        <f>Wastewater!$E$31&amp;" ["&amp;Wastewater!$D$31&amp;"]"</f>
        <v>Wastewater sludge disposal emissions [WWA7r]</v>
      </c>
    </row>
    <row r="2" spans="1:21">
      <c r="A2" s="95">
        <f>Wastewater!M$10</f>
        <v>0</v>
      </c>
      <c r="B2" s="95" t="str">
        <f>IF(Wastewater!M$11=0,"",Wastewater!M$11)</f>
        <v/>
      </c>
      <c r="C2" s="95" t="str">
        <f>IF(Wastewater!M$12=0," ",Wastewater!M$12)</f>
        <v xml:space="preserve"> </v>
      </c>
      <c r="D2" s="95" t="str">
        <f>IF(Wastewater!$M$13=0," ",Wastewater!$M$13)</f>
        <v xml:space="preserve"> </v>
      </c>
      <c r="E2" s="95" t="str">
        <f>IF(Wastewater!$M$14=0," ",Wastewater!$M$14)</f>
        <v xml:space="preserve"> </v>
      </c>
      <c r="F2" s="95" t="str">
        <f>IF(Wastewater!$M$15=0," ",Wastewater!$M$15)</f>
        <v xml:space="preserve"> </v>
      </c>
      <c r="G2" s="95" t="str">
        <f>IF(Wastewater!$M$16=0," ",Wastewater!$M$16)</f>
        <v xml:space="preserve"> </v>
      </c>
      <c r="H2" s="95" t="str">
        <f>IF(Wastewater!$M$17=0," ",Wastewater!$M$17)</f>
        <v xml:space="preserve"> </v>
      </c>
      <c r="I2" s="95" t="str">
        <f>IF(Wastewater!$M$19=0," ",Wastewater!$M$19)</f>
        <v xml:space="preserve"> </v>
      </c>
      <c r="J2" s="95" t="str">
        <f>IF(Wastewater!$M$20=0," ",Wastewater!$M$20)</f>
        <v xml:space="preserve"> </v>
      </c>
      <c r="K2" s="95" t="str">
        <f>IF(Wastewater!$M$21=0," ",Wastewater!$M$21)</f>
        <v xml:space="preserve"> </v>
      </c>
      <c r="L2" s="95" t="str">
        <f>IF(Wastewater!$M$22=0," ",Wastewater!$M$22)</f>
        <v xml:space="preserve"> </v>
      </c>
      <c r="M2" s="95" t="str">
        <f>IF(Wastewater!$M$23=0," ",Wastewater!$M$23)</f>
        <v xml:space="preserve"> </v>
      </c>
      <c r="N2" s="95" t="str">
        <f>IF(Wastewater!$M$24=0," ",Wastewater!$M$24)</f>
        <v xml:space="preserve"> </v>
      </c>
      <c r="O2" s="95" t="str">
        <f>IF(Wastewater!$M$25=0," ",Wastewater!$M$25)</f>
        <v xml:space="preserve"> </v>
      </c>
      <c r="P2" s="95" t="str">
        <f>IF(Wastewater!$M$26=0," ",Wastewater!$M$26)</f>
        <v xml:space="preserve"> </v>
      </c>
      <c r="Q2" s="95" t="str">
        <f>IF(Wastewater!$M$27=0," ",Wastewater!$M$27)</f>
        <v xml:space="preserve"> </v>
      </c>
      <c r="R2" s="95" t="str">
        <f>IF(Wastewater!$M$28=0," ",Wastewater!$M$28)</f>
        <v xml:space="preserve"> </v>
      </c>
      <c r="S2" s="95" t="str">
        <f>IF(Wastewater!$M$29=0," ",Wastewater!$M$29)</f>
        <v xml:space="preserve"> </v>
      </c>
      <c r="T2" s="95" t="str">
        <f>IF(Wastewater!$M$30=0," ",Wastewater!$M$30)</f>
        <v xml:space="preserve"> </v>
      </c>
      <c r="U2" s="95" t="str">
        <f>IF(Wastewater!$M$31=0," ",Wastewater!$M$31)</f>
        <v xml:space="preserve"> </v>
      </c>
    </row>
    <row r="3" spans="1:21">
      <c r="A3" s="95">
        <f>Wastewater!N10</f>
        <v>0</v>
      </c>
      <c r="B3" s="95" t="str">
        <f>IF(Wastewater!N$11=0,"",Wastewater!N$11)</f>
        <v/>
      </c>
      <c r="C3" s="95" t="str">
        <f>IF(Wastewater!N$12=0," ",Wastewater!N$12)</f>
        <v xml:space="preserve"> </v>
      </c>
      <c r="D3" s="95" t="str">
        <f>IF(Wastewater!$N$13=0," ",Wastewater!$N$13)</f>
        <v xml:space="preserve"> </v>
      </c>
      <c r="E3" s="95" t="str">
        <f>IF(Wastewater!$N$14=0," ",Wastewater!$N$14)</f>
        <v xml:space="preserve"> </v>
      </c>
      <c r="F3" s="95" t="str">
        <f>IF(Wastewater!$N$15=0," ",Wastewater!$N$15)</f>
        <v xml:space="preserve"> </v>
      </c>
      <c r="G3" s="95" t="str">
        <f>IF(Wastewater!$N$16=0," ",Wastewater!$N$16)</f>
        <v xml:space="preserve"> </v>
      </c>
      <c r="H3" s="95" t="str">
        <f>IF(Wastewater!$N$17=0," ",Wastewater!$N$17)</f>
        <v xml:space="preserve"> </v>
      </c>
      <c r="I3" s="95" t="str">
        <f>IF(Wastewater!$N$19=0," ",Wastewater!$N$19)</f>
        <v xml:space="preserve"> </v>
      </c>
      <c r="J3" s="95" t="str">
        <f>IF(Wastewater!$N$20=0," ",Wastewater!$N$20)</f>
        <v xml:space="preserve"> </v>
      </c>
      <c r="K3" s="95" t="str">
        <f>IF(Wastewater!$N$21=0," ",Wastewater!$N$21)</f>
        <v xml:space="preserve"> </v>
      </c>
      <c r="L3" s="95" t="str">
        <f>IF(Wastewater!$N$22=0," ",Wastewater!$N$22)</f>
        <v xml:space="preserve"> </v>
      </c>
      <c r="M3" s="95" t="str">
        <f>IF(Wastewater!$N$23=0," ",Wastewater!$N$23)</f>
        <v xml:space="preserve"> </v>
      </c>
      <c r="N3" s="95" t="str">
        <f>IF(Wastewater!$N$24=0," ",Wastewater!$N$24)</f>
        <v xml:space="preserve"> </v>
      </c>
      <c r="O3" s="95" t="str">
        <f>IF(Wastewater!$N$25=0," ",Wastewater!$N$25)</f>
        <v xml:space="preserve"> </v>
      </c>
      <c r="P3" s="95" t="str">
        <f>IF(Wastewater!$N$26=0," ",Wastewater!$N$26)</f>
        <v xml:space="preserve"> </v>
      </c>
      <c r="Q3" s="95" t="str">
        <f>IF(Wastewater!$N$27=0," ",Wastewater!$N$27)</f>
        <v xml:space="preserve"> </v>
      </c>
      <c r="R3" s="95" t="str">
        <f>IF(Wastewater!$N$28=0," ",Wastewater!$N$28)</f>
        <v xml:space="preserve"> </v>
      </c>
      <c r="S3" s="95" t="str">
        <f>IF(Wastewater!$N$29=0," ",Wastewater!$N$29)</f>
        <v xml:space="preserve"> </v>
      </c>
      <c r="T3" s="95" t="str">
        <f>IF(Wastewater!$N$30=0," ",Wastewater!$N$30)</f>
        <v xml:space="preserve"> </v>
      </c>
      <c r="U3" s="95" t="str">
        <f>IF(Wastewater!$N$31=0," ",Wastewater!$N$31)</f>
        <v xml:space="preserve"> </v>
      </c>
    </row>
    <row r="4" spans="1:21">
      <c r="A4" s="95">
        <f>Wastewater!O10</f>
        <v>0</v>
      </c>
      <c r="B4" s="95" t="str">
        <f>IF(Wastewater!O$11=0,"",Wastewater!O$11)</f>
        <v/>
      </c>
      <c r="C4" s="95" t="str">
        <f>IF(Wastewater!O$12=0," ",Wastewater!O$12)</f>
        <v xml:space="preserve"> </v>
      </c>
      <c r="D4" s="95" t="str">
        <f>IF(Wastewater!$O$13=0," ",Wastewater!$O$13)</f>
        <v xml:space="preserve"> </v>
      </c>
      <c r="E4" s="95" t="str">
        <f>IF(Wastewater!$O$14=0," ",Wastewater!$O$14)</f>
        <v xml:space="preserve"> </v>
      </c>
      <c r="F4" s="95" t="str">
        <f>IF(Wastewater!$O$15=0," ",Wastewater!$O$15)</f>
        <v xml:space="preserve"> </v>
      </c>
      <c r="G4" s="95" t="str">
        <f>IF(Wastewater!$O$16=0," ",Wastewater!$O$16)</f>
        <v xml:space="preserve"> </v>
      </c>
      <c r="H4" s="95" t="str">
        <f>IF(Wastewater!$O$17=0," ",Wastewater!$O$17)</f>
        <v xml:space="preserve"> </v>
      </c>
      <c r="I4" s="95" t="str">
        <f>IF(Wastewater!$O$19=0," ",Wastewater!$O$19)</f>
        <v xml:space="preserve"> </v>
      </c>
      <c r="J4" s="95" t="str">
        <f>IF(Wastewater!$O$20=0," ",Wastewater!$O$20)</f>
        <v xml:space="preserve"> </v>
      </c>
      <c r="K4" s="95" t="str">
        <f>IF(Wastewater!$O$21=0," ",Wastewater!$O$21)</f>
        <v xml:space="preserve"> </v>
      </c>
      <c r="L4" s="95" t="str">
        <f>IF(Wastewater!$O$22=0," ",Wastewater!$O$22)</f>
        <v xml:space="preserve"> </v>
      </c>
      <c r="M4" s="95" t="str">
        <f>IF(Wastewater!$O$23=0," ",Wastewater!$O$23)</f>
        <v xml:space="preserve"> </v>
      </c>
      <c r="N4" s="95" t="str">
        <f>IF(Wastewater!$O$24=0," ",Wastewater!$O$24)</f>
        <v xml:space="preserve"> </v>
      </c>
      <c r="O4" s="95" t="str">
        <f>IF(Wastewater!$O$25=0," ",Wastewater!$O$25)</f>
        <v xml:space="preserve"> </v>
      </c>
      <c r="P4" s="95" t="str">
        <f>IF(Wastewater!$O$26=0," ",Wastewater!$O$26)</f>
        <v xml:space="preserve"> </v>
      </c>
      <c r="Q4" s="95" t="str">
        <f>IF(Wastewater!$O$27=0," ",Wastewater!$O$27)</f>
        <v xml:space="preserve"> </v>
      </c>
      <c r="R4" s="95" t="str">
        <f>IF(Wastewater!$O$28=0," ",Wastewater!$O$28)</f>
        <v xml:space="preserve"> </v>
      </c>
      <c r="S4" s="95" t="str">
        <f>IF(Wastewater!$O$29=0," ",Wastewater!$O$29)</f>
        <v xml:space="preserve"> </v>
      </c>
      <c r="T4" s="95" t="str">
        <f>IF(Wastewater!$O$30=0," ",Wastewater!$O$30)</f>
        <v xml:space="preserve"> </v>
      </c>
      <c r="U4" s="95" t="str">
        <f>IF(Wastewater!$O$31=0," ",Wastewater!$O$31)</f>
        <v xml:space="preserve"> </v>
      </c>
    </row>
    <row r="5" spans="1:21">
      <c r="A5" s="95">
        <f>Wastewater!P10</f>
        <v>0</v>
      </c>
      <c r="B5" s="95" t="str">
        <f>IF(Wastewater!P$11=0,"",Wastewater!P$11)</f>
        <v/>
      </c>
      <c r="C5" s="95" t="str">
        <f>IF(Wastewater!P$12=0," ",Wastewater!P$12)</f>
        <v xml:space="preserve"> </v>
      </c>
      <c r="D5" s="95" t="str">
        <f>IF(Wastewater!$P$13=0," ",Wastewater!$P$13)</f>
        <v xml:space="preserve"> </v>
      </c>
      <c r="E5" s="95" t="str">
        <f>IF(Wastewater!$P$14=0," ",Wastewater!$P$14)</f>
        <v xml:space="preserve"> </v>
      </c>
      <c r="F5" s="95" t="str">
        <f>IF(Wastewater!$P$15=0," ",Wastewater!$P$15)</f>
        <v xml:space="preserve"> </v>
      </c>
      <c r="G5" s="95" t="str">
        <f>IF(Wastewater!$P$16=0," ",Wastewater!$P$16)</f>
        <v xml:space="preserve"> </v>
      </c>
      <c r="H5" s="95" t="str">
        <f>IF(Wastewater!$P$17=0," ",Wastewater!$P$17)</f>
        <v xml:space="preserve"> </v>
      </c>
      <c r="I5" s="95" t="str">
        <f>IF(Wastewater!$P$19=0," ",Wastewater!$P$19)</f>
        <v xml:space="preserve"> </v>
      </c>
      <c r="J5" s="95" t="str">
        <f>IF(Wastewater!$P$20=0," ",Wastewater!$P$20)</f>
        <v xml:space="preserve"> </v>
      </c>
      <c r="K5" s="95" t="str">
        <f>IF(Wastewater!$P$21=0," ",Wastewater!$P$21)</f>
        <v xml:space="preserve"> </v>
      </c>
      <c r="L5" s="95" t="str">
        <f>IF(Wastewater!$P$22=0," ",Wastewater!$P$22)</f>
        <v xml:space="preserve"> </v>
      </c>
      <c r="M5" s="95" t="str">
        <f>IF(Wastewater!$P$23=0," ",Wastewater!$P$23)</f>
        <v xml:space="preserve"> </v>
      </c>
      <c r="N5" s="95" t="str">
        <f>IF(Wastewater!$P$24=0," ",Wastewater!$P$24)</f>
        <v xml:space="preserve"> </v>
      </c>
      <c r="O5" s="95" t="str">
        <f>IF(Wastewater!$P$25=0," ",Wastewater!$P$25)</f>
        <v xml:space="preserve"> </v>
      </c>
      <c r="P5" s="95" t="str">
        <f>IF(Wastewater!$P$26=0," ",Wastewater!$P$26)</f>
        <v xml:space="preserve"> </v>
      </c>
      <c r="Q5" s="95" t="str">
        <f>IF(Wastewater!$P$27=0," ",Wastewater!$P$27)</f>
        <v xml:space="preserve"> </v>
      </c>
      <c r="R5" s="95" t="str">
        <f>IF(Wastewater!$P$28=0," ",Wastewater!$P$28)</f>
        <v xml:space="preserve"> </v>
      </c>
      <c r="S5" s="95" t="str">
        <f>IF(Wastewater!$P$29=0," ",Wastewater!$P$29)</f>
        <v xml:space="preserve"> </v>
      </c>
      <c r="T5" s="95" t="str">
        <f>IF(Wastewater!$P$30=0," ",Wastewater!$P$30)</f>
        <v xml:space="preserve"> </v>
      </c>
      <c r="U5" s="95" t="str">
        <f>IF(Wastewater!$P$31=0," ",Wastewater!$P$31)</f>
        <v xml:space="preserve"> </v>
      </c>
    </row>
    <row r="6" spans="1:21">
      <c r="A6" s="95">
        <f>Wastewater!Q10</f>
        <v>0</v>
      </c>
      <c r="B6" s="95" t="str">
        <f>IF(Wastewater!Q$11=0,"",Wastewater!Q$11)</f>
        <v/>
      </c>
      <c r="C6" s="95" t="str">
        <f>IF(Wastewater!Q$12=0," ",Wastewater!Q$12)</f>
        <v xml:space="preserve"> </v>
      </c>
      <c r="D6" s="95" t="str">
        <f>IF(Wastewater!$Q$13=0," ",Wastewater!$Q$13)</f>
        <v xml:space="preserve"> </v>
      </c>
      <c r="E6" s="95" t="str">
        <f>IF(Wastewater!$Q$14=0," ",Wastewater!$Q$14)</f>
        <v xml:space="preserve"> </v>
      </c>
      <c r="F6" s="95" t="str">
        <f>IF(Wastewater!$Q$15=0," ",Wastewater!$Q$15)</f>
        <v xml:space="preserve"> </v>
      </c>
      <c r="G6" s="95" t="str">
        <f>IF(Wastewater!$Q$16=0," ",Wastewater!$Q$16)</f>
        <v xml:space="preserve"> </v>
      </c>
      <c r="H6" s="95" t="str">
        <f>IF(Wastewater!$Q$17=0," ",Wastewater!$Q$17)</f>
        <v xml:space="preserve"> </v>
      </c>
      <c r="I6" s="95" t="str">
        <f>IF(Wastewater!$Q$19=0," ",Wastewater!$Q$19)</f>
        <v xml:space="preserve"> </v>
      </c>
      <c r="J6" s="95" t="str">
        <f>IF(Wastewater!$Q$20=0," ",Wastewater!$Q$20)</f>
        <v xml:space="preserve"> </v>
      </c>
      <c r="K6" s="95" t="str">
        <f>IF(Wastewater!$Q$21=0," ",Wastewater!$Q$21)</f>
        <v xml:space="preserve"> </v>
      </c>
      <c r="L6" s="95" t="str">
        <f>IF(Wastewater!$Q$22=0," ",Wastewater!$Q$22)</f>
        <v xml:space="preserve"> </v>
      </c>
      <c r="M6" s="95" t="str">
        <f>IF(Wastewater!$Q$23=0," ",Wastewater!$Q$23)</f>
        <v xml:space="preserve"> </v>
      </c>
      <c r="N6" s="95" t="str">
        <f>IF(Wastewater!$Q$24=0," ",Wastewater!$Q$24)</f>
        <v xml:space="preserve"> </v>
      </c>
      <c r="O6" s="95" t="str">
        <f>IF(Wastewater!$Q$25=0," ",Wastewater!$Q$25)</f>
        <v xml:space="preserve"> </v>
      </c>
      <c r="P6" s="95" t="str">
        <f>IF(Wastewater!$Q$26=0," ",Wastewater!$Q$26)</f>
        <v xml:space="preserve"> </v>
      </c>
      <c r="Q6" s="95" t="str">
        <f>IF(Wastewater!$Q$27=0," ",Wastewater!$Q$27)</f>
        <v xml:space="preserve"> </v>
      </c>
      <c r="R6" s="95" t="str">
        <f>IF(Wastewater!$Q$28=0," ",Wastewater!$Q$28)</f>
        <v xml:space="preserve"> </v>
      </c>
      <c r="S6" s="95" t="str">
        <f>IF(Wastewater!$Q$29=0," ",Wastewater!$Q$29)</f>
        <v xml:space="preserve"> </v>
      </c>
      <c r="T6" s="95" t="str">
        <f>IF(Wastewater!$Q$30=0," ",Wastewater!$Q$30)</f>
        <v xml:space="preserve"> </v>
      </c>
      <c r="U6" s="95" t="str">
        <f>IF(Wastewater!$Q$31=0," ",Wastewater!$Q$31)</f>
        <v xml:space="preserve"> </v>
      </c>
    </row>
    <row r="7" spans="1:21">
      <c r="A7" s="95">
        <f>Wastewater!R10</f>
        <v>0</v>
      </c>
      <c r="B7" s="95" t="str">
        <f>IF(Wastewater!R$11=0,"",Wastewater!R$11)</f>
        <v/>
      </c>
      <c r="C7" s="95" t="str">
        <f>IF(Wastewater!R$12=0," ",Wastewater!R$12)</f>
        <v xml:space="preserve"> </v>
      </c>
      <c r="D7" s="95" t="str">
        <f>IF(Wastewater!$R$13=0," ",Wastewater!$R$13)</f>
        <v xml:space="preserve"> </v>
      </c>
      <c r="E7" s="95" t="str">
        <f>IF(Wastewater!$R$14=0," ",Wastewater!$R$14)</f>
        <v xml:space="preserve"> </v>
      </c>
      <c r="F7" s="95" t="str">
        <f>IF(Wastewater!$R$15=0," ",Wastewater!$R$15)</f>
        <v xml:space="preserve"> </v>
      </c>
      <c r="G7" s="95" t="str">
        <f>IF(Wastewater!$R$16=0," ",Wastewater!$R$16)</f>
        <v xml:space="preserve"> </v>
      </c>
      <c r="H7" s="95" t="str">
        <f>IF(Wastewater!$R$17=0," ",Wastewater!$R$17)</f>
        <v xml:space="preserve"> </v>
      </c>
      <c r="I7" s="95" t="str">
        <f>IF(Wastewater!$R$19=0," ",Wastewater!$R$19)</f>
        <v xml:space="preserve"> </v>
      </c>
      <c r="J7" s="95" t="str">
        <f>IF(Wastewater!$R$20=0," ",Wastewater!$R$20)</f>
        <v xml:space="preserve"> </v>
      </c>
      <c r="K7" s="95" t="str">
        <f>IF(Wastewater!$R$21=0," ",Wastewater!$R$21)</f>
        <v xml:space="preserve"> </v>
      </c>
      <c r="L7" s="95" t="str">
        <f>IF(Wastewater!$R$22=0," ",Wastewater!$R$22)</f>
        <v xml:space="preserve"> </v>
      </c>
      <c r="M7" s="95" t="str">
        <f>IF(Wastewater!$R$23=0," ",Wastewater!$R$23)</f>
        <v xml:space="preserve"> </v>
      </c>
      <c r="N7" s="95" t="str">
        <f>IF(Wastewater!$R$24=0," ",Wastewater!$R$24)</f>
        <v xml:space="preserve"> </v>
      </c>
      <c r="O7" s="95" t="str">
        <f>IF(Wastewater!$R$25=0," ",Wastewater!$R$25)</f>
        <v xml:space="preserve"> </v>
      </c>
      <c r="P7" s="95" t="str">
        <f>IF(Wastewater!$R$26=0," ",Wastewater!$R$26)</f>
        <v xml:space="preserve"> </v>
      </c>
      <c r="Q7" s="95" t="str">
        <f>IF(Wastewater!$R$27=0," ",Wastewater!$R$27)</f>
        <v xml:space="preserve"> </v>
      </c>
      <c r="R7" s="95" t="str">
        <f>IF(Wastewater!$R$28=0," ",Wastewater!$R$28)</f>
        <v xml:space="preserve"> </v>
      </c>
      <c r="S7" s="95" t="str">
        <f>IF(Wastewater!$R$29=0," ",Wastewater!$R$29)</f>
        <v xml:space="preserve"> </v>
      </c>
      <c r="T7" s="95" t="str">
        <f>IF(Wastewater!$R$30=0," ",Wastewater!$R$30)</f>
        <v xml:space="preserve"> </v>
      </c>
      <c r="U7" s="95" t="str">
        <f>IF(Wastewater!$R$31=0," ",Wastewater!$R$31)</f>
        <v xml:space="preserve"> </v>
      </c>
    </row>
    <row r="8" spans="1:21">
      <c r="A8" s="95">
        <f>Wastewater!S10</f>
        <v>0</v>
      </c>
      <c r="B8" s="95" t="str">
        <f>IF(Wastewater!S$11=0,"",Wastewater!S$11)</f>
        <v/>
      </c>
      <c r="C8" s="95" t="str">
        <f>IF(Wastewater!S$12=0," ",Wastewater!S$12)</f>
        <v xml:space="preserve"> </v>
      </c>
      <c r="D8" s="95" t="str">
        <f>IF(Wastewater!$S$13=0," ",Wastewater!$S$13)</f>
        <v xml:space="preserve"> </v>
      </c>
      <c r="E8" s="95" t="str">
        <f>IF(Wastewater!$S$14=0," ",Wastewater!$S$14)</f>
        <v xml:space="preserve"> </v>
      </c>
      <c r="F8" s="95" t="str">
        <f>IF(Wastewater!$S$15=0," ",Wastewater!$S$15)</f>
        <v xml:space="preserve"> </v>
      </c>
      <c r="G8" s="95" t="str">
        <f>IF(Wastewater!$S$16=0," ",Wastewater!$S$16)</f>
        <v xml:space="preserve"> </v>
      </c>
      <c r="H8" s="95" t="str">
        <f>IF(Wastewater!$S$17=0," ",Wastewater!$S$17)</f>
        <v xml:space="preserve"> </v>
      </c>
      <c r="I8" s="95" t="str">
        <f>IF(Wastewater!$S$19=0," ",Wastewater!$S$19)</f>
        <v xml:space="preserve"> </v>
      </c>
      <c r="J8" s="95" t="str">
        <f>IF(Wastewater!$S$20=0," ",Wastewater!$S$20)</f>
        <v xml:space="preserve"> </v>
      </c>
      <c r="K8" s="95" t="str">
        <f>IF(Wastewater!$S$21=0," ",Wastewater!$S$21)</f>
        <v xml:space="preserve"> </v>
      </c>
      <c r="L8" s="95" t="str">
        <f>IF(Wastewater!$S$22=0," ",Wastewater!$S$22)</f>
        <v xml:space="preserve"> </v>
      </c>
      <c r="M8" s="95" t="str">
        <f>IF(Wastewater!$S$23=0," ",Wastewater!$S$23)</f>
        <v xml:space="preserve"> </v>
      </c>
      <c r="N8" s="95" t="str">
        <f>IF(Wastewater!$S$24=0," ",Wastewater!$S$24)</f>
        <v xml:space="preserve"> </v>
      </c>
      <c r="O8" s="95" t="str">
        <f>IF(Wastewater!$S$25=0," ",Wastewater!$S$25)</f>
        <v xml:space="preserve"> </v>
      </c>
      <c r="P8" s="95" t="str">
        <f>IF(Wastewater!$S$26=0," ",Wastewater!$S$26)</f>
        <v xml:space="preserve"> </v>
      </c>
      <c r="Q8" s="95" t="str">
        <f>IF(Wastewater!$S$27=0," ",Wastewater!$S$27)</f>
        <v xml:space="preserve"> </v>
      </c>
      <c r="R8" s="95" t="str">
        <f>IF(Wastewater!$S$28=0," ",Wastewater!$S$28)</f>
        <v xml:space="preserve"> </v>
      </c>
      <c r="S8" s="95" t="str">
        <f>IF(Wastewater!$S$29=0," ",Wastewater!$S$29)</f>
        <v xml:space="preserve"> </v>
      </c>
      <c r="T8" s="95" t="str">
        <f>IF(Wastewater!$S$30=0," ",Wastewater!$S$30)</f>
        <v xml:space="preserve"> </v>
      </c>
      <c r="U8" s="95" t="str">
        <f>IF(Wastewater!$S$31=0," ",Wastewater!$S$31)</f>
        <v xml:space="preserve"> </v>
      </c>
    </row>
    <row r="9" spans="1:21">
      <c r="A9" s="95">
        <f>Wastewater!T10</f>
        <v>0</v>
      </c>
      <c r="B9" s="95" t="str">
        <f>IF(Wastewater!T$11=0,"",Wastewater!T$11)</f>
        <v/>
      </c>
      <c r="C9" s="95" t="str">
        <f>IF(Wastewater!T$12=0," ",Wastewater!T$12)</f>
        <v xml:space="preserve"> </v>
      </c>
      <c r="D9" s="95" t="str">
        <f>IF(Wastewater!$T$13=0," ",Wastewater!$T$13)</f>
        <v xml:space="preserve"> </v>
      </c>
      <c r="E9" s="95" t="str">
        <f>IF(Wastewater!$T$14=0," ",Wastewater!$T$14)</f>
        <v xml:space="preserve"> </v>
      </c>
      <c r="F9" s="95" t="str">
        <f>IF(Wastewater!$T$15=0," ",Wastewater!$T$15)</f>
        <v xml:space="preserve"> </v>
      </c>
      <c r="G9" s="95" t="str">
        <f>IF(Wastewater!$T$16=0," ",Wastewater!$T$16)</f>
        <v xml:space="preserve"> </v>
      </c>
      <c r="H9" s="95" t="str">
        <f>IF(Wastewater!$T$17=0," ",Wastewater!$T$17)</f>
        <v xml:space="preserve"> </v>
      </c>
      <c r="I9" s="95" t="str">
        <f>IF(Wastewater!$T$19=0," ",Wastewater!$T$19)</f>
        <v xml:space="preserve"> </v>
      </c>
      <c r="J9" s="95" t="str">
        <f>IF(Wastewater!$T$20=0," ",Wastewater!$T$20)</f>
        <v xml:space="preserve"> </v>
      </c>
      <c r="K9" s="95" t="str">
        <f>IF(Wastewater!$T$21=0," ",Wastewater!$T$21)</f>
        <v xml:space="preserve"> </v>
      </c>
      <c r="L9" s="95" t="str">
        <f>IF(Wastewater!$T$22=0," ",Wastewater!$T$22)</f>
        <v xml:space="preserve"> </v>
      </c>
      <c r="M9" s="95" t="str">
        <f>IF(Wastewater!$T$23=0," ",Wastewater!$T$23)</f>
        <v xml:space="preserve"> </v>
      </c>
      <c r="N9" s="95" t="str">
        <f>IF(Wastewater!$T$24=0," ",Wastewater!$T$24)</f>
        <v xml:space="preserve"> </v>
      </c>
      <c r="O9" s="95" t="str">
        <f>IF(Wastewater!$T$25=0," ",Wastewater!$T$25)</f>
        <v xml:space="preserve"> </v>
      </c>
      <c r="P9" s="95" t="str">
        <f>IF(Wastewater!$T$26=0," ",Wastewater!$T$26)</f>
        <v xml:space="preserve"> </v>
      </c>
      <c r="Q9" s="95" t="str">
        <f>IF(Wastewater!$T$27=0," ",Wastewater!$T$27)</f>
        <v xml:space="preserve"> </v>
      </c>
      <c r="R9" s="95" t="str">
        <f>IF(Wastewater!$T$28=0," ",Wastewater!$T$28)</f>
        <v xml:space="preserve"> </v>
      </c>
      <c r="S9" s="95" t="str">
        <f>IF(Wastewater!$T$29=0," ",Wastewater!$T$29)</f>
        <v xml:space="preserve"> </v>
      </c>
      <c r="T9" s="95" t="str">
        <f>IF(Wastewater!$T$30=0," ",Wastewater!$T$30)</f>
        <v xml:space="preserve"> </v>
      </c>
      <c r="U9" s="95" t="str">
        <f>IF(Wastewater!$T$31=0," ",Wastewater!$T$31)</f>
        <v xml:space="preserve"> </v>
      </c>
    </row>
    <row r="10" spans="1:21">
      <c r="A10" s="95">
        <f>Wastewater!U10</f>
        <v>0</v>
      </c>
      <c r="B10" s="95" t="str">
        <f>IF(Wastewater!U$11=0,"",Wastewater!U$11)</f>
        <v/>
      </c>
      <c r="C10" s="95" t="str">
        <f>IF(Wastewater!U$12=0," ",Wastewater!U$12)</f>
        <v xml:space="preserve"> </v>
      </c>
      <c r="D10" s="95" t="str">
        <f>IF(Wastewater!$U$13=0," ",Wastewater!$U$13)</f>
        <v xml:space="preserve"> </v>
      </c>
      <c r="E10" s="95" t="str">
        <f>IF(Wastewater!$U$14=0," ",Wastewater!$U$14)</f>
        <v xml:space="preserve"> </v>
      </c>
      <c r="F10" s="95" t="str">
        <f>IF(Wastewater!$U$15=0," ",Wastewater!$U$15)</f>
        <v xml:space="preserve"> </v>
      </c>
      <c r="G10" s="95" t="str">
        <f>IF(Wastewater!$U$16=0," ",Wastewater!$U$16)</f>
        <v xml:space="preserve"> </v>
      </c>
      <c r="H10" s="95" t="str">
        <f>IF(Wastewater!$U$17=0," ",Wastewater!$U$17)</f>
        <v xml:space="preserve"> </v>
      </c>
      <c r="I10" s="95" t="str">
        <f>IF(Wastewater!$U$19=0," ",Wastewater!$U$19)</f>
        <v xml:space="preserve"> </v>
      </c>
      <c r="J10" s="95" t="str">
        <f>IF(Wastewater!$U$20=0," ",Wastewater!$U$20)</f>
        <v xml:space="preserve"> </v>
      </c>
      <c r="K10" s="95" t="str">
        <f>IF(Wastewater!$U$21=0," ",Wastewater!$U$21)</f>
        <v xml:space="preserve"> </v>
      </c>
      <c r="L10" s="95" t="str">
        <f>IF(Wastewater!$U$22=0," ",Wastewater!$U$22)</f>
        <v xml:space="preserve"> </v>
      </c>
      <c r="M10" s="95" t="str">
        <f>IF(Wastewater!$U$23=0," ",Wastewater!$U$23)</f>
        <v xml:space="preserve"> </v>
      </c>
      <c r="N10" s="95" t="str">
        <f>IF(Wastewater!$U$24=0," ",Wastewater!$U$24)</f>
        <v xml:space="preserve"> </v>
      </c>
      <c r="O10" s="95" t="str">
        <f>IF(Wastewater!$U$25=0," ",Wastewater!$U$25)</f>
        <v xml:space="preserve"> </v>
      </c>
      <c r="P10" s="95" t="str">
        <f>IF(Wastewater!$U$26=0," ",Wastewater!$U$26)</f>
        <v xml:space="preserve"> </v>
      </c>
      <c r="Q10" s="95" t="str">
        <f>IF(Wastewater!$U$27=0," ",Wastewater!$U$27)</f>
        <v xml:space="preserve"> </v>
      </c>
      <c r="R10" s="95" t="str">
        <f>IF(Wastewater!$U$28=0," ",Wastewater!$U$28)</f>
        <v xml:space="preserve"> </v>
      </c>
      <c r="S10" s="95" t="str">
        <f>IF(Wastewater!$U$29=0," ",Wastewater!$U$29)</f>
        <v xml:space="preserve"> </v>
      </c>
      <c r="T10" s="95" t="str">
        <f>IF(Wastewater!$U$30=0," ",Wastewater!$U$30)</f>
        <v xml:space="preserve"> </v>
      </c>
      <c r="U10" s="95" t="str">
        <f>IF(Wastewater!$U$31=0," ",Wastewater!$U$31)</f>
        <v xml:space="preserve"> </v>
      </c>
    </row>
    <row r="11" spans="1:21">
      <c r="A11" s="95">
        <f>Wastewater!V10</f>
        <v>0</v>
      </c>
      <c r="B11" s="95" t="str">
        <f>IF(Wastewater!V$11=0,"",Wastewater!V$11)</f>
        <v/>
      </c>
      <c r="C11" s="95" t="str">
        <f>IF(Wastewater!V$12=0," ",Wastewater!V$12)</f>
        <v xml:space="preserve"> </v>
      </c>
      <c r="D11" s="95" t="str">
        <f>IF(Wastewater!$V$13=0," ",Wastewater!$V$13)</f>
        <v xml:space="preserve"> </v>
      </c>
      <c r="E11" s="95" t="str">
        <f>IF(Wastewater!$V$14=0," ",Wastewater!$V$14)</f>
        <v xml:space="preserve"> </v>
      </c>
      <c r="F11" s="95" t="str">
        <f>IF(Wastewater!$V$15=0," ",Wastewater!$V$15)</f>
        <v xml:space="preserve"> </v>
      </c>
      <c r="G11" s="95" t="str">
        <f>IF(Wastewater!$V$16=0," ",Wastewater!$V$16)</f>
        <v xml:space="preserve"> </v>
      </c>
      <c r="H11" s="95" t="str">
        <f>IF(Wastewater!$V$17=0," ",Wastewater!$V$17)</f>
        <v xml:space="preserve"> </v>
      </c>
      <c r="I11" s="95" t="str">
        <f>IF(Wastewater!$V$19=0," ",Wastewater!$V$19)</f>
        <v xml:space="preserve"> </v>
      </c>
      <c r="J11" s="95" t="str">
        <f>IF(Wastewater!$V$20=0," ",Wastewater!$V$20)</f>
        <v xml:space="preserve"> </v>
      </c>
      <c r="K11" s="95" t="str">
        <f>IF(Wastewater!$V$21=0," ",Wastewater!$V$21)</f>
        <v xml:space="preserve"> </v>
      </c>
      <c r="L11" s="95" t="str">
        <f>IF(Wastewater!$V$22=0," ",Wastewater!$V$22)</f>
        <v xml:space="preserve"> </v>
      </c>
      <c r="M11" s="95" t="str">
        <f>IF(Wastewater!$V$23=0," ",Wastewater!$V$23)</f>
        <v xml:space="preserve"> </v>
      </c>
      <c r="N11" s="95" t="str">
        <f>IF(Wastewater!$V$24=0," ",Wastewater!$V$24)</f>
        <v xml:space="preserve"> </v>
      </c>
      <c r="O11" s="95" t="str">
        <f>IF(Wastewater!$V$25=0," ",Wastewater!$V$25)</f>
        <v xml:space="preserve"> </v>
      </c>
      <c r="P11" s="95" t="str">
        <f>IF(Wastewater!$V$26=0," ",Wastewater!$V$26)</f>
        <v xml:space="preserve"> </v>
      </c>
      <c r="Q11" s="95" t="str">
        <f>IF(Wastewater!$V$27=0," ",Wastewater!$V$27)</f>
        <v xml:space="preserve"> </v>
      </c>
      <c r="R11" s="95" t="str">
        <f>IF(Wastewater!$V$28=0," ",Wastewater!$V$28)</f>
        <v xml:space="preserve"> </v>
      </c>
      <c r="S11" s="95" t="str">
        <f>IF(Wastewater!$V$29=0," ",Wastewater!$V$29)</f>
        <v xml:space="preserve"> </v>
      </c>
      <c r="T11" s="95" t="str">
        <f>IF(Wastewater!$V$30=0," ",Wastewater!$V$30)</f>
        <v xml:space="preserve"> </v>
      </c>
      <c r="U11" s="95" t="str">
        <f>IF(Wastewater!$V$31=0," ",Wastewater!$V$31)</f>
        <v xml:space="preserve"> </v>
      </c>
    </row>
    <row r="12" spans="1:21">
      <c r="A12" s="95">
        <f>Wastewater!W10</f>
        <v>0</v>
      </c>
      <c r="B12" s="95" t="str">
        <f>IF(Wastewater!W$11=0,"",Wastewater!W$11)</f>
        <v/>
      </c>
      <c r="C12" s="95" t="str">
        <f>IF(Wastewater!W$12=0," ",Wastewater!W$12)</f>
        <v xml:space="preserve"> </v>
      </c>
      <c r="D12" s="95" t="str">
        <f>IF(Wastewater!$W$13=0," ",Wastewater!$W$13)</f>
        <v xml:space="preserve"> </v>
      </c>
      <c r="E12" s="95" t="str">
        <f>IF(Wastewater!$W$14=0," ",Wastewater!$W$14)</f>
        <v xml:space="preserve"> </v>
      </c>
      <c r="F12" s="95" t="str">
        <f>IF(Wastewater!$W$15=0," ",Wastewater!$W$15)</f>
        <v xml:space="preserve"> </v>
      </c>
      <c r="G12" s="95" t="str">
        <f>IF(Wastewater!$W$16=0," ",Wastewater!$W$16)</f>
        <v xml:space="preserve"> </v>
      </c>
      <c r="H12" s="95" t="str">
        <f>IF(Wastewater!$W$17=0," ",Wastewater!$W$17)</f>
        <v xml:space="preserve"> </v>
      </c>
      <c r="I12" s="95" t="str">
        <f>IF(Wastewater!$W$19=0," ",Wastewater!$W$19)</f>
        <v xml:space="preserve"> </v>
      </c>
      <c r="J12" s="95" t="str">
        <f>IF(Wastewater!$W$20=0," ",Wastewater!$W$20)</f>
        <v xml:space="preserve"> </v>
      </c>
      <c r="K12" s="95" t="str">
        <f>IF(Wastewater!$W$21=0," ",Wastewater!$W$21)</f>
        <v xml:space="preserve"> </v>
      </c>
      <c r="L12" s="95" t="str">
        <f>IF(Wastewater!$W$22=0," ",Wastewater!$W$22)</f>
        <v xml:space="preserve"> </v>
      </c>
      <c r="M12" s="95" t="str">
        <f>IF(Wastewater!$W$23=0," ",Wastewater!$W$23)</f>
        <v xml:space="preserve"> </v>
      </c>
      <c r="N12" s="95" t="str">
        <f>IF(Wastewater!$W$24=0," ",Wastewater!$W$24)</f>
        <v xml:space="preserve"> </v>
      </c>
      <c r="O12" s="95" t="str">
        <f>IF(Wastewater!$W$25=0," ",Wastewater!$W$25)</f>
        <v xml:space="preserve"> </v>
      </c>
      <c r="P12" s="95" t="str">
        <f>IF(Wastewater!$W$26=0," ",Wastewater!$W$26)</f>
        <v xml:space="preserve"> </v>
      </c>
      <c r="Q12" s="95" t="str">
        <f>IF(Wastewater!$W$27=0," ",Wastewater!$W$27)</f>
        <v xml:space="preserve"> </v>
      </c>
      <c r="R12" s="95" t="str">
        <f>IF(Wastewater!$W$28=0," ",Wastewater!$W$28)</f>
        <v xml:space="preserve"> </v>
      </c>
      <c r="S12" s="95" t="str">
        <f>IF(Wastewater!$W$29=0," ",Wastewater!$W$29)</f>
        <v xml:space="preserve"> </v>
      </c>
      <c r="T12" s="95" t="str">
        <f>IF(Wastewater!$W$30=0," ",Wastewater!$W$30)</f>
        <v xml:space="preserve"> </v>
      </c>
      <c r="U12" s="95" t="str">
        <f>IF(Wastewater!$W$31=0," ",Wastewater!$W$31)</f>
        <v xml:space="preserve"> </v>
      </c>
    </row>
    <row r="13" spans="1:21">
      <c r="A13" s="95">
        <f>Wastewater!X10</f>
        <v>0</v>
      </c>
      <c r="B13" s="95" t="str">
        <f>IF(Wastewater!X$11=0,"",Wastewater!X$11)</f>
        <v/>
      </c>
      <c r="C13" s="95" t="str">
        <f>IF(Wastewater!X$12=0," ",Wastewater!X$12)</f>
        <v xml:space="preserve"> </v>
      </c>
      <c r="D13" s="95" t="str">
        <f>IF(Wastewater!$X$13=0," ",Wastewater!$X$13)</f>
        <v xml:space="preserve"> </v>
      </c>
      <c r="E13" s="95" t="str">
        <f>IF(Wastewater!$X$14=0," ",Wastewater!$X$14)</f>
        <v xml:space="preserve"> </v>
      </c>
      <c r="F13" s="95" t="str">
        <f>IF(Wastewater!$X$15=0," ",Wastewater!$X$15)</f>
        <v xml:space="preserve"> </v>
      </c>
      <c r="G13" s="95" t="str">
        <f>IF(Wastewater!$X$16=0," ",Wastewater!$X$16)</f>
        <v xml:space="preserve"> </v>
      </c>
      <c r="H13" s="95" t="str">
        <f>IF(Wastewater!$X$17=0," ",Wastewater!$X$17)</f>
        <v xml:space="preserve"> </v>
      </c>
      <c r="I13" s="95" t="str">
        <f>IF(Wastewater!$X$19=0," ",Wastewater!$X$19)</f>
        <v xml:space="preserve"> </v>
      </c>
      <c r="J13" s="95" t="str">
        <f>IF(Wastewater!$X$20=0," ",Wastewater!$X$20)</f>
        <v xml:space="preserve"> </v>
      </c>
      <c r="K13" s="95" t="str">
        <f>IF(Wastewater!$X$21=0," ",Wastewater!$X$21)</f>
        <v xml:space="preserve"> </v>
      </c>
      <c r="L13" s="95" t="str">
        <f>IF(Wastewater!$X$22=0," ",Wastewater!$X$22)</f>
        <v xml:space="preserve"> </v>
      </c>
      <c r="M13" s="95" t="str">
        <f>IF(Wastewater!$X$23=0," ",Wastewater!$X$23)</f>
        <v xml:space="preserve"> </v>
      </c>
      <c r="N13" s="95" t="str">
        <f>IF(Wastewater!$X$24=0," ",Wastewater!$X$24)</f>
        <v xml:space="preserve"> </v>
      </c>
      <c r="O13" s="95" t="str">
        <f>IF(Wastewater!$X$25=0," ",Wastewater!$X$25)</f>
        <v xml:space="preserve"> </v>
      </c>
      <c r="P13" s="95" t="str">
        <f>IF(Wastewater!$X$26=0," ",Wastewater!$X$26)</f>
        <v xml:space="preserve"> </v>
      </c>
      <c r="Q13" s="95" t="str">
        <f>IF(Wastewater!$X$27=0," ",Wastewater!$X$27)</f>
        <v xml:space="preserve"> </v>
      </c>
      <c r="R13" s="95" t="str">
        <f>IF(Wastewater!$X$28=0," ",Wastewater!$X$28)</f>
        <v xml:space="preserve"> </v>
      </c>
      <c r="S13" s="95" t="str">
        <f>IF(Wastewater!$X$29=0," ",Wastewater!$X$29)</f>
        <v xml:space="preserve"> </v>
      </c>
      <c r="T13" s="95" t="str">
        <f>IF(Wastewater!$X$30=0," ",Wastewater!$X$30)</f>
        <v xml:space="preserve"> </v>
      </c>
      <c r="U13" s="95" t="str">
        <f>IF(Wastewater!$X$31=0," ",Wastewater!$X$31)</f>
        <v xml:space="preserve"> </v>
      </c>
    </row>
    <row r="14" spans="1:21">
      <c r="A14" s="95">
        <f>Wastewater!Y10</f>
        <v>0</v>
      </c>
      <c r="B14" s="95" t="str">
        <f>IF(Wastewater!Y$11=0,"",Wastewater!Y$11)</f>
        <v/>
      </c>
      <c r="C14" s="95" t="str">
        <f>IF(Wastewater!Y$12=0," ",Wastewater!Y$12)</f>
        <v xml:space="preserve"> </v>
      </c>
      <c r="D14" s="95" t="str">
        <f>IF(Wastewater!$Y$13=0," ",Wastewater!$Y$13)</f>
        <v xml:space="preserve"> </v>
      </c>
      <c r="E14" s="95" t="str">
        <f>IF(Wastewater!$Y$14=0," ",Wastewater!$Y$14)</f>
        <v xml:space="preserve"> </v>
      </c>
      <c r="F14" s="95" t="str">
        <f>IF(Wastewater!$Y$15=0," ",Wastewater!$Y$15)</f>
        <v xml:space="preserve"> </v>
      </c>
      <c r="G14" s="95" t="str">
        <f>IF(Wastewater!$Y$16=0," ",Wastewater!$Y$16)</f>
        <v xml:space="preserve"> </v>
      </c>
      <c r="H14" s="95" t="str">
        <f>IF(Wastewater!$Y$17=0," ",Wastewater!$Y$17)</f>
        <v xml:space="preserve"> </v>
      </c>
      <c r="I14" s="95" t="str">
        <f>IF(Wastewater!$Y$19=0," ",Wastewater!$Y$19)</f>
        <v xml:space="preserve"> </v>
      </c>
      <c r="J14" s="95" t="str">
        <f>IF(Wastewater!$Y$20=0," ",Wastewater!$Y$20)</f>
        <v xml:space="preserve"> </v>
      </c>
      <c r="K14" s="95" t="str">
        <f>IF(Wastewater!$Y$21=0," ",Wastewater!$Y$21)</f>
        <v xml:space="preserve"> </v>
      </c>
      <c r="L14" s="95" t="str">
        <f>IF(Wastewater!$Y$22=0," ",Wastewater!$Y$22)</f>
        <v xml:space="preserve"> </v>
      </c>
      <c r="M14" s="95" t="str">
        <f>IF(Wastewater!$Y$23=0," ",Wastewater!$Y$23)</f>
        <v xml:space="preserve"> </v>
      </c>
      <c r="N14" s="95" t="str">
        <f>IF(Wastewater!$Y$24=0," ",Wastewater!$Y$24)</f>
        <v xml:space="preserve"> </v>
      </c>
      <c r="O14" s="95" t="str">
        <f>IF(Wastewater!$Y$25=0," ",Wastewater!$Y$25)</f>
        <v xml:space="preserve"> </v>
      </c>
      <c r="P14" s="95" t="str">
        <f>IF(Wastewater!$Y$26=0," ",Wastewater!$Y$26)</f>
        <v xml:space="preserve"> </v>
      </c>
      <c r="Q14" s="95" t="str">
        <f>IF(Wastewater!$Y$27=0," ",Wastewater!$Y$27)</f>
        <v xml:space="preserve"> </v>
      </c>
      <c r="R14" s="95" t="str">
        <f>IF(Wastewater!$Y$28=0," ",Wastewater!$Y$28)</f>
        <v xml:space="preserve"> </v>
      </c>
      <c r="S14" s="95" t="str">
        <f>IF(Wastewater!$Y$29=0," ",Wastewater!$Y$29)</f>
        <v xml:space="preserve"> </v>
      </c>
      <c r="T14" s="95" t="str">
        <f>IF(Wastewater!$Y$30=0," ",Wastewater!$Y$30)</f>
        <v xml:space="preserve"> </v>
      </c>
      <c r="U14" s="95" t="str">
        <f>IF(Wastewater!$Y$31=0," ",Wastewater!$Y$31)</f>
        <v xml:space="preserve"> </v>
      </c>
    </row>
    <row r="15" spans="1:21">
      <c r="A15" s="95">
        <f>Wastewater!Z10</f>
        <v>0</v>
      </c>
      <c r="B15" s="95" t="str">
        <f>IF(Wastewater!Z$11=0,"",Wastewater!Z$11)</f>
        <v/>
      </c>
      <c r="C15" s="95" t="str">
        <f>IF(Wastewater!Z$12=0," ",Wastewater!Z$12)</f>
        <v xml:space="preserve"> </v>
      </c>
      <c r="D15" s="95" t="str">
        <f>IF(Wastewater!$Z$13=0," ",Wastewater!$Z$13)</f>
        <v xml:space="preserve"> </v>
      </c>
      <c r="E15" s="95" t="str">
        <f>IF(Wastewater!$Z$14=0," ",Wastewater!$Z$14)</f>
        <v xml:space="preserve"> </v>
      </c>
      <c r="F15" s="95" t="str">
        <f>IF(Wastewater!$Z$15=0," ",Wastewater!$Z$15)</f>
        <v xml:space="preserve"> </v>
      </c>
      <c r="G15" s="95" t="str">
        <f>IF(Wastewater!$Z$16=0," ",Wastewater!$Z$16)</f>
        <v xml:space="preserve"> </v>
      </c>
      <c r="H15" s="95" t="str">
        <f>IF(Wastewater!$Z$17=0," ",Wastewater!$Z$17)</f>
        <v xml:space="preserve"> </v>
      </c>
      <c r="I15" s="95" t="str">
        <f>IF(Wastewater!$Z$19=0," ",Wastewater!$Z$19)</f>
        <v xml:space="preserve"> </v>
      </c>
      <c r="J15" s="95" t="str">
        <f>IF(Wastewater!$Z$20=0," ",Wastewater!$Z$20)</f>
        <v xml:space="preserve"> </v>
      </c>
      <c r="K15" s="95" t="str">
        <f>IF(Wastewater!$Z$21=0," ",Wastewater!$Z$21)</f>
        <v xml:space="preserve"> </v>
      </c>
      <c r="L15" s="95" t="str">
        <f>IF(Wastewater!$Z$22=0," ",Wastewater!$Z$22)</f>
        <v xml:space="preserve"> </v>
      </c>
      <c r="M15" s="95" t="str">
        <f>IF(Wastewater!$Z$23=0," ",Wastewater!$Z$23)</f>
        <v xml:space="preserve"> </v>
      </c>
      <c r="N15" s="95" t="str">
        <f>IF(Wastewater!$Z$24=0," ",Wastewater!$Z$24)</f>
        <v xml:space="preserve"> </v>
      </c>
      <c r="O15" s="95" t="str">
        <f>IF(Wastewater!$Z$25=0," ",Wastewater!$Z$25)</f>
        <v xml:space="preserve"> </v>
      </c>
      <c r="P15" s="95" t="str">
        <f>IF(Wastewater!$Z$26=0," ",Wastewater!$Z$26)</f>
        <v xml:space="preserve"> </v>
      </c>
      <c r="Q15" s="95" t="str">
        <f>IF(Wastewater!$Z$27=0," ",Wastewater!$Z$27)</f>
        <v xml:space="preserve"> </v>
      </c>
      <c r="R15" s="95" t="str">
        <f>IF(Wastewater!$Z$28=0," ",Wastewater!$Z$28)</f>
        <v xml:space="preserve"> </v>
      </c>
      <c r="S15" s="95" t="str">
        <f>IF(Wastewater!$Z$29=0," ",Wastewater!$Z$29)</f>
        <v xml:space="preserve"> </v>
      </c>
      <c r="T15" s="95" t="str">
        <f>IF(Wastewater!$Z$30=0," ",Wastewater!$Z$30)</f>
        <v xml:space="preserve"> </v>
      </c>
      <c r="U15" s="95" t="str">
        <f>IF(Wastewater!$Z$31=0," ",Wastewater!$Z$31)</f>
        <v xml:space="preserve"> </v>
      </c>
    </row>
    <row r="16" spans="1:21">
      <c r="A16" s="95">
        <f>Wastewater!AA10</f>
        <v>0</v>
      </c>
      <c r="B16" s="95" t="str">
        <f>IF(Wastewater!AA$11=0,"",Wastewater!AA$11)</f>
        <v/>
      </c>
      <c r="C16" s="95" t="str">
        <f>IF(Wastewater!AA$12=0," ",Wastewater!AA$12)</f>
        <v xml:space="preserve"> </v>
      </c>
      <c r="D16" s="95" t="str">
        <f>IF(Wastewater!$AA$13=0," ",Wastewater!$AA$13)</f>
        <v xml:space="preserve"> </v>
      </c>
      <c r="E16" s="95" t="str">
        <f>IF(Wastewater!$AA$14=0," ",Wastewater!$AA$14)</f>
        <v xml:space="preserve"> </v>
      </c>
      <c r="F16" s="95" t="str">
        <f>IF(Wastewater!$AA$15=0," ",Wastewater!$AA$15)</f>
        <v xml:space="preserve"> </v>
      </c>
      <c r="G16" s="95" t="str">
        <f>IF(Wastewater!$AA$16=0," ",Wastewater!$AA$16)</f>
        <v xml:space="preserve"> </v>
      </c>
      <c r="H16" s="95" t="str">
        <f>IF(Wastewater!$AA$17=0," ",Wastewater!$AA$17)</f>
        <v xml:space="preserve"> </v>
      </c>
      <c r="I16" s="95" t="str">
        <f>IF(Wastewater!$AA$19=0," ",Wastewater!$AA$19)</f>
        <v xml:space="preserve"> </v>
      </c>
      <c r="J16" s="95" t="str">
        <f>IF(Wastewater!$AA$20=0," ",Wastewater!$AA$20)</f>
        <v xml:space="preserve"> </v>
      </c>
      <c r="K16" s="95" t="str">
        <f>IF(Wastewater!$AA$21=0," ",Wastewater!$AA$21)</f>
        <v xml:space="preserve"> </v>
      </c>
      <c r="L16" s="95" t="str">
        <f>IF(Wastewater!$AA$22=0," ",Wastewater!$AA$22)</f>
        <v xml:space="preserve"> </v>
      </c>
      <c r="M16" s="95" t="str">
        <f>IF(Wastewater!$AA$23=0," ",Wastewater!$AA$23)</f>
        <v xml:space="preserve"> </v>
      </c>
      <c r="N16" s="95" t="str">
        <f>IF(Wastewater!$AA$24=0," ",Wastewater!$AA$24)</f>
        <v xml:space="preserve"> </v>
      </c>
      <c r="O16" s="95" t="str">
        <f>IF(Wastewater!$AA$25=0," ",Wastewater!$AA$25)</f>
        <v xml:space="preserve"> </v>
      </c>
      <c r="P16" s="95" t="str">
        <f>IF(Wastewater!$AA$26=0," ",Wastewater!$AA$26)</f>
        <v xml:space="preserve"> </v>
      </c>
      <c r="Q16" s="95" t="str">
        <f>IF(Wastewater!$AA$27=0," ",Wastewater!$AA$27)</f>
        <v xml:space="preserve"> </v>
      </c>
      <c r="R16" s="95" t="str">
        <f>IF(Wastewater!$AA$28=0," ",Wastewater!$AA$28)</f>
        <v xml:space="preserve"> </v>
      </c>
      <c r="S16" s="95" t="str">
        <f>IF(Wastewater!$AA$29=0," ",Wastewater!$AA$29)</f>
        <v xml:space="preserve"> </v>
      </c>
      <c r="T16" s="95" t="str">
        <f>IF(Wastewater!$AA$30=0," ",Wastewater!$AA$30)</f>
        <v xml:space="preserve"> </v>
      </c>
      <c r="U16" s="95" t="str">
        <f>IF(Wastewater!$AA$31=0," ",Wastewater!$AA$31)</f>
        <v xml:space="preserve"> </v>
      </c>
    </row>
    <row r="17" spans="1:21">
      <c r="A17" s="95">
        <f>Wastewater!AB10</f>
        <v>0</v>
      </c>
      <c r="B17" s="95" t="str">
        <f>IF(Wastewater!AB$11=0,"",Wastewater!AB$11)</f>
        <v/>
      </c>
      <c r="C17" s="95" t="str">
        <f>IF(Wastewater!AB$12=0," ",Wastewater!AB$12)</f>
        <v xml:space="preserve"> </v>
      </c>
      <c r="D17" s="95" t="str">
        <f>IF(Wastewater!$AB$13=0," ",Wastewater!$AB$13)</f>
        <v xml:space="preserve"> </v>
      </c>
      <c r="E17" s="95" t="str">
        <f>IF(Wastewater!$AB$14=0," ",Wastewater!$AB$14)</f>
        <v xml:space="preserve"> </v>
      </c>
      <c r="F17" s="95" t="str">
        <f>IF(Wastewater!$AB$15=0," ",Wastewater!$AB$15)</f>
        <v xml:space="preserve"> </v>
      </c>
      <c r="G17" s="95" t="str">
        <f>IF(Wastewater!$AB$16=0," ",Wastewater!$AB$16)</f>
        <v xml:space="preserve"> </v>
      </c>
      <c r="H17" s="95" t="str">
        <f>IF(Wastewater!$AB$17=0," ",Wastewater!$AB$17)</f>
        <v xml:space="preserve"> </v>
      </c>
      <c r="I17" s="95" t="str">
        <f>IF(Wastewater!$AB$19=0," ",Wastewater!$AB$19)</f>
        <v xml:space="preserve"> </v>
      </c>
      <c r="J17" s="95" t="str">
        <f>IF(Wastewater!$AB$20=0," ",Wastewater!$AB$20)</f>
        <v xml:space="preserve"> </v>
      </c>
      <c r="K17" s="95" t="str">
        <f>IF(Wastewater!$AB$21=0," ",Wastewater!$AB$21)</f>
        <v xml:space="preserve"> </v>
      </c>
      <c r="L17" s="95" t="str">
        <f>IF(Wastewater!$AB$22=0," ",Wastewater!$AB$22)</f>
        <v xml:space="preserve"> </v>
      </c>
      <c r="M17" s="95" t="str">
        <f>IF(Wastewater!$AB$23=0," ",Wastewater!$AB$23)</f>
        <v xml:space="preserve"> </v>
      </c>
      <c r="N17" s="95" t="str">
        <f>IF(Wastewater!$AB$24=0," ",Wastewater!$AB$24)</f>
        <v xml:space="preserve"> </v>
      </c>
      <c r="O17" s="95" t="str">
        <f>IF(Wastewater!$AB$25=0," ",Wastewater!$AB$25)</f>
        <v xml:space="preserve"> </v>
      </c>
      <c r="P17" s="95" t="str">
        <f>IF(Wastewater!$AB$26=0," ",Wastewater!$AB$26)</f>
        <v xml:space="preserve"> </v>
      </c>
      <c r="Q17" s="95" t="str">
        <f>IF(Wastewater!$AB$27=0," ",Wastewater!$AB$27)</f>
        <v xml:space="preserve"> </v>
      </c>
      <c r="R17" s="95" t="str">
        <f>IF(Wastewater!$AB$28=0," ",Wastewater!$AB$28)</f>
        <v xml:space="preserve"> </v>
      </c>
      <c r="S17" s="95" t="str">
        <f>IF(Wastewater!$AB$29=0," ",Wastewater!$AB$29)</f>
        <v xml:space="preserve"> </v>
      </c>
      <c r="T17" s="95" t="str">
        <f>IF(Wastewater!$AB$30=0," ",Wastewater!$AB$30)</f>
        <v xml:space="preserve"> </v>
      </c>
      <c r="U17" s="95" t="str">
        <f>IF(Wastewater!$AB$31=0," ",Wastewater!$AB$31)</f>
        <v xml:space="preserve"> </v>
      </c>
    </row>
    <row r="18" spans="1:21">
      <c r="A18" s="95">
        <f>Wastewater!AC10</f>
        <v>0</v>
      </c>
      <c r="B18" s="95" t="str">
        <f>IF(Wastewater!AC$11=0,"",Wastewater!AC$11)</f>
        <v/>
      </c>
      <c r="C18" s="95" t="str">
        <f>IF(Wastewater!AC$12=0," ",Wastewater!AC$12)</f>
        <v xml:space="preserve"> </v>
      </c>
      <c r="D18" s="95" t="str">
        <f>IF(Wastewater!$AC$13=0," ",Wastewater!$AC$13)</f>
        <v xml:space="preserve"> </v>
      </c>
      <c r="E18" s="95" t="str">
        <f>IF(Wastewater!$AC$14=0," ",Wastewater!$AC$14)</f>
        <v xml:space="preserve"> </v>
      </c>
      <c r="F18" s="95" t="str">
        <f>IF(Wastewater!$AC$15=0," ",Wastewater!$AC$15)</f>
        <v xml:space="preserve"> </v>
      </c>
      <c r="G18" s="95" t="str">
        <f>IF(Wastewater!$AC$16=0," ",Wastewater!$AC$16)</f>
        <v xml:space="preserve"> </v>
      </c>
      <c r="H18" s="95" t="str">
        <f>IF(Wastewater!$AC$17=0," ",Wastewater!$AC$17)</f>
        <v xml:space="preserve"> </v>
      </c>
      <c r="I18" s="95" t="str">
        <f>IF(Wastewater!$AC$19=0," ",Wastewater!$AC$19)</f>
        <v xml:space="preserve"> </v>
      </c>
      <c r="J18" s="95" t="str">
        <f>IF(Wastewater!$AC$20=0," ",Wastewater!$AC$20)</f>
        <v xml:space="preserve"> </v>
      </c>
      <c r="K18" s="95" t="str">
        <f>IF(Wastewater!$AC$21=0," ",Wastewater!$AC$21)</f>
        <v xml:space="preserve"> </v>
      </c>
      <c r="L18" s="95" t="str">
        <f>IF(Wastewater!$AC$22=0," ",Wastewater!$AC$22)</f>
        <v xml:space="preserve"> </v>
      </c>
      <c r="M18" s="95" t="str">
        <f>IF(Wastewater!$AC$23=0," ",Wastewater!$AC$23)</f>
        <v xml:space="preserve"> </v>
      </c>
      <c r="N18" s="95" t="str">
        <f>IF(Wastewater!$AC$24=0," ",Wastewater!$AC$24)</f>
        <v xml:space="preserve"> </v>
      </c>
      <c r="O18" s="95" t="str">
        <f>IF(Wastewater!$AC$25=0," ",Wastewater!$AC$25)</f>
        <v xml:space="preserve"> </v>
      </c>
      <c r="P18" s="95" t="str">
        <f>IF(Wastewater!$AC$26=0," ",Wastewater!$AC$26)</f>
        <v xml:space="preserve"> </v>
      </c>
      <c r="Q18" s="95" t="str">
        <f>IF(Wastewater!$AC$27=0," ",Wastewater!$AC$27)</f>
        <v xml:space="preserve"> </v>
      </c>
      <c r="R18" s="95" t="str">
        <f>IF(Wastewater!$AC$28=0," ",Wastewater!$AC$28)</f>
        <v xml:space="preserve"> </v>
      </c>
      <c r="S18" s="95" t="str">
        <f>IF(Wastewater!$AC$29=0," ",Wastewater!$AC$29)</f>
        <v xml:space="preserve"> </v>
      </c>
      <c r="T18" s="95" t="str">
        <f>IF(Wastewater!$AC$30=0," ",Wastewater!$AC$30)</f>
        <v xml:space="preserve"> </v>
      </c>
      <c r="U18" s="95" t="str">
        <f>IF(Wastewater!$AC$31=0," ",Wastewater!$AC$31)</f>
        <v xml:space="preserve"> </v>
      </c>
    </row>
    <row r="19" spans="1:21">
      <c r="A19" s="95">
        <f>Wastewater!AD10</f>
        <v>0</v>
      </c>
      <c r="B19" s="95" t="str">
        <f>IF(Wastewater!AD$11=0,"",Wastewater!AD$11)</f>
        <v/>
      </c>
      <c r="C19" s="95" t="str">
        <f>IF(Wastewater!AD$12=0," ",Wastewater!AD$12)</f>
        <v xml:space="preserve"> </v>
      </c>
      <c r="D19" s="95" t="str">
        <f>IF(Wastewater!$AD$13=0," ",Wastewater!$AD$13)</f>
        <v xml:space="preserve"> </v>
      </c>
      <c r="E19" s="95" t="str">
        <f>IF(Wastewater!$AD$14=0," ",Wastewater!$AD$14)</f>
        <v xml:space="preserve"> </v>
      </c>
      <c r="F19" s="95" t="str">
        <f>IF(Wastewater!$AD$15=0," ",Wastewater!$AD$15)</f>
        <v xml:space="preserve"> </v>
      </c>
      <c r="G19" s="95" t="str">
        <f>IF(Wastewater!$AD$16=0," ",Wastewater!$AD$16)</f>
        <v xml:space="preserve"> </v>
      </c>
      <c r="H19" s="95" t="str">
        <f>IF(Wastewater!$AD$17=0," ",Wastewater!$AD$17)</f>
        <v xml:space="preserve"> </v>
      </c>
      <c r="I19" s="95" t="str">
        <f>IF(Wastewater!$AD$19=0," ",Wastewater!$AD$19)</f>
        <v xml:space="preserve"> </v>
      </c>
      <c r="J19" s="95" t="str">
        <f>IF(Wastewater!$AD$20=0," ",Wastewater!$AD$20)</f>
        <v xml:space="preserve"> </v>
      </c>
      <c r="K19" s="95" t="str">
        <f>IF(Wastewater!$AD$21=0," ",Wastewater!$AD$21)</f>
        <v xml:space="preserve"> </v>
      </c>
      <c r="L19" s="95" t="str">
        <f>IF(Wastewater!$AD$22=0," ",Wastewater!$AD$22)</f>
        <v xml:space="preserve"> </v>
      </c>
      <c r="M19" s="95" t="str">
        <f>IF(Wastewater!$AD$23=0," ",Wastewater!$AD$23)</f>
        <v xml:space="preserve"> </v>
      </c>
      <c r="N19" s="95" t="str">
        <f>IF(Wastewater!$AD$24=0," ",Wastewater!$AD$24)</f>
        <v xml:space="preserve"> </v>
      </c>
      <c r="O19" s="95" t="str">
        <f>IF(Wastewater!$AD$25=0," ",Wastewater!$AD$25)</f>
        <v xml:space="preserve"> </v>
      </c>
      <c r="P19" s="95" t="str">
        <f>IF(Wastewater!$AD$26=0," ",Wastewater!$AD$26)</f>
        <v xml:space="preserve"> </v>
      </c>
      <c r="Q19" s="95" t="str">
        <f>IF(Wastewater!$AD$27=0," ",Wastewater!$AD$27)</f>
        <v xml:space="preserve"> </v>
      </c>
      <c r="R19" s="95" t="str">
        <f>IF(Wastewater!$AD$28=0," ",Wastewater!$AD$28)</f>
        <v xml:space="preserve"> </v>
      </c>
      <c r="S19" s="95" t="str">
        <f>IF(Wastewater!$AD$29=0," ",Wastewater!$AD$29)</f>
        <v xml:space="preserve"> </v>
      </c>
      <c r="T19" s="95" t="str">
        <f>IF(Wastewater!$AD$30=0," ",Wastewater!$AD$30)</f>
        <v xml:space="preserve"> </v>
      </c>
      <c r="U19" s="95" t="str">
        <f>IF(Wastewater!$AD$31=0," ",Wastewater!$AD$31)</f>
        <v xml:space="preserve">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T18"/>
  <sheetViews>
    <sheetView workbookViewId="0">
      <selection activeCell="Q6" sqref="Q6"/>
    </sheetView>
  </sheetViews>
  <sheetFormatPr defaultRowHeight="14.25"/>
  <sheetData>
    <row r="1" spans="1:20">
      <c r="A1" t="str">
        <f>Water!O10</f>
        <v>Network 1</v>
      </c>
      <c r="B1" t="str">
        <f>Water!P10</f>
        <v>Network 2</v>
      </c>
      <c r="C1" t="str">
        <f>Water!Q10</f>
        <v>Network 3</v>
      </c>
      <c r="D1" t="str">
        <f>Water!R10</f>
        <v>Network 4</v>
      </c>
      <c r="E1" t="str">
        <f>Water!S10</f>
        <v>Network 5</v>
      </c>
      <c r="F1" t="str">
        <f>Water!T10</f>
        <v>Network 6</v>
      </c>
      <c r="G1" t="str">
        <f>Water!U10</f>
        <v>Network 7</v>
      </c>
      <c r="H1" t="str">
        <f>Water!V10</f>
        <v>Network 8</v>
      </c>
      <c r="I1" t="str">
        <f>Water!W10</f>
        <v>Network 9</v>
      </c>
      <c r="J1" t="str">
        <f>Water!X10</f>
        <v>Network 10</v>
      </c>
      <c r="K1" t="str">
        <f>Water!Y10</f>
        <v>Network 11</v>
      </c>
      <c r="L1" t="str">
        <f>Water!Z10</f>
        <v>Network 12</v>
      </c>
      <c r="M1" t="str">
        <f>Water!AA10</f>
        <v>Network 13</v>
      </c>
      <c r="N1" t="str">
        <f>Water!AB10</f>
        <v>Network 14</v>
      </c>
      <c r="O1" t="str">
        <f>Water!AC10</f>
        <v>Network 15</v>
      </c>
      <c r="P1" t="str">
        <f>Water!AD10</f>
        <v>Network 16</v>
      </c>
      <c r="Q1" t="str">
        <f>Water!AE10</f>
        <v>Network 17</v>
      </c>
      <c r="R1" t="str">
        <f>Water!AF10</f>
        <v>Network 18</v>
      </c>
      <c r="S1" t="str">
        <f>Water!AG10</f>
        <v>Network 19</v>
      </c>
      <c r="T1" t="str">
        <f>Water!AH10</f>
        <v>Network 20</v>
      </c>
    </row>
    <row r="2" spans="1:20">
      <c r="A2">
        <f>Water!O11</f>
        <v>0</v>
      </c>
      <c r="B2">
        <f>Water!P11</f>
        <v>0</v>
      </c>
      <c r="C2">
        <f>Water!Q11</f>
        <v>0</v>
      </c>
      <c r="D2">
        <f>Water!R11</f>
        <v>0</v>
      </c>
      <c r="E2">
        <f>Water!S11</f>
        <v>0</v>
      </c>
      <c r="F2">
        <f>Water!T11</f>
        <v>0</v>
      </c>
      <c r="G2">
        <f>Water!U11</f>
        <v>0</v>
      </c>
      <c r="H2">
        <f>Water!V11</f>
        <v>0</v>
      </c>
      <c r="I2">
        <f>Water!W11</f>
        <v>0</v>
      </c>
      <c r="J2">
        <f>Water!X11</f>
        <v>0</v>
      </c>
      <c r="K2">
        <f>Water!Y11</f>
        <v>0</v>
      </c>
      <c r="L2">
        <f>Water!Z11</f>
        <v>0</v>
      </c>
      <c r="M2">
        <f>Water!AA11</f>
        <v>0</v>
      </c>
      <c r="N2">
        <f>Water!AB11</f>
        <v>0</v>
      </c>
      <c r="O2">
        <f>Water!AC11</f>
        <v>0</v>
      </c>
      <c r="P2">
        <f>Water!AD11</f>
        <v>0</v>
      </c>
      <c r="Q2">
        <f>Water!AE11</f>
        <v>0</v>
      </c>
      <c r="R2">
        <f>Water!AF11</f>
        <v>0</v>
      </c>
      <c r="S2">
        <f>Water!AG11</f>
        <v>0</v>
      </c>
      <c r="T2">
        <f>Water!AH11</f>
        <v>0</v>
      </c>
    </row>
    <row r="3" spans="1:20">
      <c r="A3">
        <f>Water!O12</f>
        <v>0</v>
      </c>
      <c r="B3">
        <f>Water!P12</f>
        <v>0</v>
      </c>
      <c r="C3">
        <f>Water!Q12</f>
        <v>0</v>
      </c>
      <c r="D3">
        <f>Water!R12</f>
        <v>0</v>
      </c>
      <c r="E3">
        <f>Water!S12</f>
        <v>0</v>
      </c>
      <c r="F3">
        <f>Water!T12</f>
        <v>0</v>
      </c>
      <c r="G3">
        <f>Water!U12</f>
        <v>0</v>
      </c>
      <c r="H3">
        <f>Water!V12</f>
        <v>0</v>
      </c>
      <c r="I3">
        <f>Water!W12</f>
        <v>0</v>
      </c>
      <c r="J3">
        <f>Water!X12</f>
        <v>0</v>
      </c>
      <c r="K3">
        <f>Water!Y12</f>
        <v>0</v>
      </c>
      <c r="L3">
        <f>Water!Z12</f>
        <v>0</v>
      </c>
      <c r="M3">
        <f>Water!AA12</f>
        <v>0</v>
      </c>
      <c r="N3">
        <f>Water!AB12</f>
        <v>0</v>
      </c>
      <c r="O3">
        <f>Water!AC12</f>
        <v>0</v>
      </c>
      <c r="P3">
        <f>Water!AD12</f>
        <v>0</v>
      </c>
      <c r="Q3">
        <f>Water!AE12</f>
        <v>0</v>
      </c>
      <c r="R3">
        <f>Water!AF12</f>
        <v>0</v>
      </c>
      <c r="S3">
        <f>Water!AG12</f>
        <v>0</v>
      </c>
      <c r="T3">
        <f>Water!AH12</f>
        <v>0</v>
      </c>
    </row>
    <row r="4" spans="1:20">
      <c r="A4">
        <f>Water!O13</f>
        <v>0</v>
      </c>
      <c r="B4">
        <f>Water!P13</f>
        <v>0</v>
      </c>
      <c r="C4">
        <f>Water!Q13</f>
        <v>0</v>
      </c>
      <c r="D4">
        <f>Water!R13</f>
        <v>0</v>
      </c>
      <c r="E4">
        <f>Water!S13</f>
        <v>0</v>
      </c>
      <c r="F4">
        <f>Water!T13</f>
        <v>0</v>
      </c>
      <c r="G4">
        <f>Water!U13</f>
        <v>0</v>
      </c>
      <c r="H4">
        <f>Water!V13</f>
        <v>0</v>
      </c>
      <c r="I4">
        <f>Water!W13</f>
        <v>0</v>
      </c>
      <c r="J4">
        <f>Water!X13</f>
        <v>0</v>
      </c>
      <c r="K4">
        <f>Water!Y13</f>
        <v>0</v>
      </c>
      <c r="L4">
        <f>Water!Z13</f>
        <v>0</v>
      </c>
      <c r="M4">
        <f>Water!AA13</f>
        <v>0</v>
      </c>
      <c r="N4">
        <f>Water!AB13</f>
        <v>0</v>
      </c>
      <c r="O4">
        <f>Water!AC13</f>
        <v>0</v>
      </c>
      <c r="P4">
        <f>Water!AD13</f>
        <v>0</v>
      </c>
      <c r="Q4">
        <f>Water!AE13</f>
        <v>0</v>
      </c>
      <c r="R4">
        <f>Water!AF13</f>
        <v>0</v>
      </c>
      <c r="S4">
        <f>Water!AG13</f>
        <v>0</v>
      </c>
      <c r="T4">
        <f>Water!AH13</f>
        <v>0</v>
      </c>
    </row>
    <row r="5" spans="1:20">
      <c r="A5">
        <f>Water!O14</f>
        <v>0</v>
      </c>
      <c r="B5">
        <f>Water!P14</f>
        <v>0</v>
      </c>
      <c r="C5">
        <f>Water!Q14</f>
        <v>0</v>
      </c>
      <c r="D5">
        <f>Water!R14</f>
        <v>0</v>
      </c>
      <c r="E5">
        <f>Water!S14</f>
        <v>0</v>
      </c>
      <c r="F5">
        <f>Water!T14</f>
        <v>0</v>
      </c>
      <c r="G5">
        <f>Water!U14</f>
        <v>0</v>
      </c>
      <c r="H5">
        <f>Water!V14</f>
        <v>0</v>
      </c>
      <c r="I5">
        <f>Water!W14</f>
        <v>0</v>
      </c>
      <c r="J5">
        <f>Water!X14</f>
        <v>0</v>
      </c>
      <c r="K5">
        <f>Water!Y14</f>
        <v>0</v>
      </c>
      <c r="L5">
        <f>Water!Z14</f>
        <v>0</v>
      </c>
      <c r="M5">
        <f>Water!AA14</f>
        <v>0</v>
      </c>
      <c r="N5">
        <f>Water!AB14</f>
        <v>0</v>
      </c>
      <c r="O5">
        <f>Water!AC14</f>
        <v>0</v>
      </c>
      <c r="P5">
        <f>Water!AD14</f>
        <v>0</v>
      </c>
      <c r="Q5">
        <f>Water!AE14</f>
        <v>0</v>
      </c>
      <c r="R5">
        <f>Water!AF14</f>
        <v>0</v>
      </c>
      <c r="S5">
        <f>Water!AG14</f>
        <v>0</v>
      </c>
      <c r="T5">
        <f>Water!AH14</f>
        <v>0</v>
      </c>
    </row>
    <row r="6" spans="1:20">
      <c r="A6">
        <f>Water!O15</f>
        <v>0</v>
      </c>
      <c r="B6">
        <f>Water!P15</f>
        <v>0</v>
      </c>
      <c r="C6">
        <f>Water!Q15</f>
        <v>0</v>
      </c>
      <c r="D6">
        <f>Water!R15</f>
        <v>0</v>
      </c>
      <c r="E6">
        <f>Water!S15</f>
        <v>0</v>
      </c>
      <c r="F6">
        <f>Water!T15</f>
        <v>0</v>
      </c>
      <c r="G6">
        <f>Water!U15</f>
        <v>0</v>
      </c>
      <c r="H6">
        <f>Water!V15</f>
        <v>0</v>
      </c>
      <c r="I6">
        <f>Water!W15</f>
        <v>0</v>
      </c>
      <c r="J6">
        <f>Water!X15</f>
        <v>0</v>
      </c>
      <c r="K6">
        <f>Water!Y15</f>
        <v>0</v>
      </c>
      <c r="L6">
        <f>Water!Z15</f>
        <v>0</v>
      </c>
      <c r="M6">
        <f>Water!AA15</f>
        <v>0</v>
      </c>
      <c r="N6">
        <f>Water!AB15</f>
        <v>0</v>
      </c>
      <c r="O6">
        <f>Water!AC15</f>
        <v>0</v>
      </c>
      <c r="P6">
        <f>Water!AD15</f>
        <v>0</v>
      </c>
      <c r="Q6">
        <f>Water!AE15</f>
        <v>0</v>
      </c>
      <c r="R6">
        <f>Water!AF15</f>
        <v>0</v>
      </c>
      <c r="S6">
        <f>Water!AG15</f>
        <v>0</v>
      </c>
      <c r="T6">
        <f>Water!AH15</f>
        <v>0</v>
      </c>
    </row>
    <row r="7" spans="1:20">
      <c r="A7">
        <f>Water!O16</f>
        <v>0</v>
      </c>
      <c r="B7">
        <f>Water!P16</f>
        <v>0</v>
      </c>
      <c r="C7">
        <f>Water!Q16</f>
        <v>0</v>
      </c>
      <c r="D7">
        <f>Water!R16</f>
        <v>0</v>
      </c>
      <c r="E7">
        <f>Water!S16</f>
        <v>0</v>
      </c>
      <c r="F7">
        <f>Water!T16</f>
        <v>0</v>
      </c>
      <c r="G7">
        <f>Water!U16</f>
        <v>0</v>
      </c>
      <c r="H7">
        <f>Water!V16</f>
        <v>0</v>
      </c>
      <c r="I7">
        <f>Water!W16</f>
        <v>0</v>
      </c>
      <c r="J7">
        <f>Water!X16</f>
        <v>0</v>
      </c>
      <c r="K7">
        <f>Water!Y16</f>
        <v>0</v>
      </c>
      <c r="L7">
        <f>Water!Z16</f>
        <v>0</v>
      </c>
      <c r="M7">
        <f>Water!AA16</f>
        <v>0</v>
      </c>
      <c r="N7">
        <f>Water!AB16</f>
        <v>0</v>
      </c>
      <c r="O7">
        <f>Water!AC16</f>
        <v>0</v>
      </c>
      <c r="P7">
        <f>Water!AD16</f>
        <v>0</v>
      </c>
      <c r="Q7">
        <f>Water!AE16</f>
        <v>0</v>
      </c>
      <c r="R7">
        <f>Water!AF16</f>
        <v>0</v>
      </c>
      <c r="S7">
        <f>Water!AG16</f>
        <v>0</v>
      </c>
      <c r="T7">
        <f>Water!AH16</f>
        <v>0</v>
      </c>
    </row>
    <row r="8" spans="1:20">
      <c r="A8">
        <f>Water!O19</f>
        <v>0</v>
      </c>
      <c r="B8">
        <f>Water!P19</f>
        <v>0</v>
      </c>
      <c r="C8">
        <f>Water!Q19</f>
        <v>0</v>
      </c>
      <c r="D8">
        <f>Water!R19</f>
        <v>0</v>
      </c>
      <c r="E8">
        <f>Water!S19</f>
        <v>0</v>
      </c>
      <c r="F8">
        <f>Water!T19</f>
        <v>0</v>
      </c>
      <c r="G8">
        <f>Water!U19</f>
        <v>0</v>
      </c>
      <c r="H8">
        <f>Water!V19</f>
        <v>0</v>
      </c>
      <c r="I8">
        <f>Water!W19</f>
        <v>0</v>
      </c>
      <c r="J8">
        <f>Water!X19</f>
        <v>0</v>
      </c>
      <c r="K8">
        <f>Water!Y19</f>
        <v>0</v>
      </c>
      <c r="L8">
        <f>Water!Z19</f>
        <v>0</v>
      </c>
      <c r="M8">
        <f>Water!AA19</f>
        <v>0</v>
      </c>
      <c r="N8">
        <f>Water!AB19</f>
        <v>0</v>
      </c>
      <c r="O8">
        <f>Water!AC19</f>
        <v>0</v>
      </c>
      <c r="P8">
        <f>Water!AD19</f>
        <v>0</v>
      </c>
      <c r="Q8">
        <f>Water!AE19</f>
        <v>0</v>
      </c>
      <c r="R8">
        <f>Water!AF19</f>
        <v>0</v>
      </c>
      <c r="S8">
        <f>Water!AG19</f>
        <v>0</v>
      </c>
      <c r="T8">
        <f>Water!AH19</f>
        <v>0</v>
      </c>
    </row>
    <row r="9" spans="1:20">
      <c r="A9">
        <f>Water!O20</f>
        <v>0</v>
      </c>
      <c r="B9">
        <f>Water!P20</f>
        <v>0</v>
      </c>
      <c r="C9">
        <f>Water!Q20</f>
        <v>0</v>
      </c>
      <c r="D9">
        <f>Water!R20</f>
        <v>0</v>
      </c>
      <c r="E9">
        <f>Water!S20</f>
        <v>0</v>
      </c>
      <c r="F9">
        <f>Water!T20</f>
        <v>0</v>
      </c>
      <c r="G9">
        <f>Water!U20</f>
        <v>0</v>
      </c>
      <c r="H9">
        <f>Water!V20</f>
        <v>0</v>
      </c>
      <c r="I9">
        <f>Water!W20</f>
        <v>0</v>
      </c>
      <c r="J9">
        <f>Water!X20</f>
        <v>0</v>
      </c>
      <c r="K9">
        <f>Water!Y20</f>
        <v>0</v>
      </c>
      <c r="L9">
        <f>Water!Z20</f>
        <v>0</v>
      </c>
      <c r="M9">
        <f>Water!AA20</f>
        <v>0</v>
      </c>
      <c r="N9">
        <f>Water!AB20</f>
        <v>0</v>
      </c>
      <c r="O9">
        <f>Water!AC20</f>
        <v>0</v>
      </c>
      <c r="P9">
        <f>Water!AD20</f>
        <v>0</v>
      </c>
      <c r="Q9">
        <f>Water!AE20</f>
        <v>0</v>
      </c>
      <c r="R9">
        <f>Water!AF20</f>
        <v>0</v>
      </c>
      <c r="S9">
        <f>Water!AG20</f>
        <v>0</v>
      </c>
      <c r="T9">
        <f>Water!AH20</f>
        <v>0</v>
      </c>
    </row>
    <row r="10" spans="1:20">
      <c r="A10">
        <f>Water!O24</f>
        <v>0</v>
      </c>
      <c r="B10">
        <f>Water!P24</f>
        <v>0</v>
      </c>
      <c r="C10">
        <f>Water!Q24</f>
        <v>0</v>
      </c>
      <c r="D10">
        <f>Water!R24</f>
        <v>0</v>
      </c>
      <c r="E10">
        <f>Water!S24</f>
        <v>0</v>
      </c>
      <c r="F10">
        <f>Water!T24</f>
        <v>0</v>
      </c>
      <c r="G10">
        <f>Water!U24</f>
        <v>0</v>
      </c>
      <c r="H10">
        <f>Water!V24</f>
        <v>0</v>
      </c>
      <c r="I10">
        <f>Water!W24</f>
        <v>0</v>
      </c>
      <c r="J10">
        <f>Water!X24</f>
        <v>0</v>
      </c>
      <c r="K10">
        <f>Water!Y24</f>
        <v>0</v>
      </c>
      <c r="L10">
        <f>Water!Z24</f>
        <v>0</v>
      </c>
      <c r="M10">
        <f>Water!AA24</f>
        <v>0</v>
      </c>
      <c r="N10">
        <f>Water!AB24</f>
        <v>0</v>
      </c>
      <c r="O10">
        <f>Water!AC24</f>
        <v>0</v>
      </c>
      <c r="P10">
        <f>Water!AD24</f>
        <v>0</v>
      </c>
      <c r="Q10">
        <f>Water!AE24</f>
        <v>0</v>
      </c>
      <c r="R10">
        <f>Water!AF24</f>
        <v>0</v>
      </c>
      <c r="S10">
        <f>Water!AG24</f>
        <v>0</v>
      </c>
      <c r="T10">
        <f>Water!AH24</f>
        <v>0</v>
      </c>
    </row>
    <row r="11" spans="1:20">
      <c r="A11">
        <f>Water!O25</f>
        <v>0</v>
      </c>
      <c r="B11">
        <f>Water!P25</f>
        <v>0</v>
      </c>
      <c r="C11">
        <f>Water!Q25</f>
        <v>0</v>
      </c>
      <c r="D11">
        <f>Water!R25</f>
        <v>0</v>
      </c>
      <c r="E11">
        <f>Water!S25</f>
        <v>0</v>
      </c>
      <c r="F11">
        <f>Water!T25</f>
        <v>0</v>
      </c>
      <c r="G11">
        <f>Water!U25</f>
        <v>0</v>
      </c>
      <c r="H11">
        <f>Water!V25</f>
        <v>0</v>
      </c>
      <c r="I11">
        <f>Water!W25</f>
        <v>0</v>
      </c>
      <c r="J11">
        <f>Water!X25</f>
        <v>0</v>
      </c>
      <c r="K11">
        <f>Water!Y25</f>
        <v>0</v>
      </c>
      <c r="L11">
        <f>Water!Z25</f>
        <v>0</v>
      </c>
      <c r="M11">
        <f>Water!AA25</f>
        <v>0</v>
      </c>
      <c r="N11">
        <f>Water!AB25</f>
        <v>0</v>
      </c>
      <c r="O11">
        <f>Water!AC25</f>
        <v>0</v>
      </c>
      <c r="P11">
        <f>Water!AD25</f>
        <v>0</v>
      </c>
      <c r="Q11">
        <f>Water!AE25</f>
        <v>0</v>
      </c>
      <c r="R11">
        <f>Water!AF25</f>
        <v>0</v>
      </c>
      <c r="S11">
        <f>Water!AG25</f>
        <v>0</v>
      </c>
      <c r="T11">
        <f>Water!AH25</f>
        <v>0</v>
      </c>
    </row>
    <row r="12" spans="1:20">
      <c r="A12">
        <f>Water!O26</f>
        <v>0</v>
      </c>
      <c r="B12">
        <f>Water!P26</f>
        <v>0</v>
      </c>
      <c r="C12">
        <f>Water!Q26</f>
        <v>0</v>
      </c>
      <c r="D12">
        <f>Water!R26</f>
        <v>0</v>
      </c>
      <c r="E12">
        <f>Water!S26</f>
        <v>0</v>
      </c>
      <c r="F12">
        <f>Water!T26</f>
        <v>0</v>
      </c>
      <c r="G12">
        <f>Water!U26</f>
        <v>0</v>
      </c>
      <c r="H12">
        <f>Water!V26</f>
        <v>0</v>
      </c>
      <c r="I12">
        <f>Water!W26</f>
        <v>0</v>
      </c>
      <c r="J12">
        <f>Water!X26</f>
        <v>0</v>
      </c>
      <c r="K12">
        <f>Water!Y26</f>
        <v>0</v>
      </c>
      <c r="L12">
        <f>Water!Z26</f>
        <v>0</v>
      </c>
      <c r="M12">
        <f>Water!AA26</f>
        <v>0</v>
      </c>
      <c r="N12">
        <f>Water!AB26</f>
        <v>0</v>
      </c>
      <c r="O12">
        <f>Water!AC26</f>
        <v>0</v>
      </c>
      <c r="P12">
        <f>Water!AD26</f>
        <v>0</v>
      </c>
      <c r="Q12">
        <f>Water!AE26</f>
        <v>0</v>
      </c>
      <c r="R12">
        <f>Water!AF26</f>
        <v>0</v>
      </c>
      <c r="S12">
        <f>Water!AG26</f>
        <v>0</v>
      </c>
      <c r="T12">
        <f>Water!AH26</f>
        <v>0</v>
      </c>
    </row>
    <row r="13" spans="1:20">
      <c r="A13">
        <f>Water!O40</f>
        <v>0</v>
      </c>
      <c r="B13">
        <f>Water!P40</f>
        <v>0</v>
      </c>
      <c r="C13">
        <f>Water!Q40</f>
        <v>0</v>
      </c>
      <c r="D13">
        <f>Water!R40</f>
        <v>0</v>
      </c>
      <c r="E13">
        <f>Water!S40</f>
        <v>0</v>
      </c>
      <c r="F13">
        <f>Water!T40</f>
        <v>0</v>
      </c>
      <c r="G13">
        <f>Water!U40</f>
        <v>0</v>
      </c>
      <c r="H13">
        <f>Water!V40</f>
        <v>0</v>
      </c>
      <c r="I13">
        <f>Water!W40</f>
        <v>0</v>
      </c>
      <c r="J13">
        <f>Water!X40</f>
        <v>0</v>
      </c>
      <c r="K13">
        <f>Water!Y40</f>
        <v>0</v>
      </c>
      <c r="L13">
        <f>Water!Z40</f>
        <v>0</v>
      </c>
      <c r="M13">
        <f>Water!AA40</f>
        <v>0</v>
      </c>
      <c r="N13">
        <f>Water!AB40</f>
        <v>0</v>
      </c>
      <c r="O13">
        <f>Water!AC40</f>
        <v>0</v>
      </c>
      <c r="P13">
        <f>Water!AD40</f>
        <v>0</v>
      </c>
      <c r="Q13">
        <f>Water!AE40</f>
        <v>0</v>
      </c>
      <c r="R13">
        <f>Water!AF40</f>
        <v>0</v>
      </c>
      <c r="S13">
        <f>Water!AG40</f>
        <v>0</v>
      </c>
      <c r="T13">
        <f>Water!AH40</f>
        <v>0</v>
      </c>
    </row>
    <row r="14" spans="1:20">
      <c r="A14">
        <f>Water!O46</f>
        <v>0</v>
      </c>
      <c r="B14">
        <f>Water!P46</f>
        <v>0</v>
      </c>
      <c r="C14">
        <f>Water!Q46</f>
        <v>0</v>
      </c>
      <c r="D14">
        <f>Water!R46</f>
        <v>0</v>
      </c>
      <c r="E14">
        <f>Water!S46</f>
        <v>0</v>
      </c>
      <c r="F14">
        <f>Water!T46</f>
        <v>0</v>
      </c>
      <c r="G14">
        <f>Water!U46</f>
        <v>0</v>
      </c>
      <c r="H14">
        <f>Water!V46</f>
        <v>0</v>
      </c>
      <c r="I14">
        <f>Water!W46</f>
        <v>0</v>
      </c>
      <c r="J14">
        <f>Water!X46</f>
        <v>0</v>
      </c>
      <c r="K14">
        <f>Water!Y46</f>
        <v>0</v>
      </c>
      <c r="L14">
        <f>Water!Z46</f>
        <v>0</v>
      </c>
      <c r="M14">
        <f>Water!AA46</f>
        <v>0</v>
      </c>
      <c r="N14">
        <f>Water!AB46</f>
        <v>0</v>
      </c>
      <c r="O14">
        <f>Water!AC46</f>
        <v>0</v>
      </c>
      <c r="P14">
        <f>Water!AD46</f>
        <v>0</v>
      </c>
      <c r="Q14">
        <f>Water!AE46</f>
        <v>0</v>
      </c>
      <c r="R14">
        <f>Water!AF46</f>
        <v>0</v>
      </c>
      <c r="S14">
        <f>Water!AG46</f>
        <v>0</v>
      </c>
      <c r="T14">
        <f>Water!AH46</f>
        <v>0</v>
      </c>
    </row>
    <row r="15" spans="1:20">
      <c r="A15">
        <f>Water!O47</f>
        <v>0</v>
      </c>
      <c r="B15">
        <f>Water!P47</f>
        <v>0</v>
      </c>
      <c r="C15">
        <f>Water!Q47</f>
        <v>0</v>
      </c>
      <c r="D15">
        <f>Water!R47</f>
        <v>0</v>
      </c>
      <c r="E15">
        <f>Water!S47</f>
        <v>0</v>
      </c>
      <c r="F15">
        <f>Water!T47</f>
        <v>0</v>
      </c>
      <c r="G15">
        <f>Water!U47</f>
        <v>0</v>
      </c>
      <c r="H15">
        <f>Water!V47</f>
        <v>0</v>
      </c>
      <c r="I15">
        <f>Water!W47</f>
        <v>0</v>
      </c>
      <c r="J15">
        <f>Water!X47</f>
        <v>0</v>
      </c>
      <c r="K15">
        <f>Water!Y47</f>
        <v>0</v>
      </c>
      <c r="L15">
        <f>Water!Z47</f>
        <v>0</v>
      </c>
      <c r="M15">
        <f>Water!AA47</f>
        <v>0</v>
      </c>
      <c r="N15">
        <f>Water!AB47</f>
        <v>0</v>
      </c>
      <c r="O15">
        <f>Water!AC47</f>
        <v>0</v>
      </c>
      <c r="P15">
        <f>Water!AD47</f>
        <v>0</v>
      </c>
      <c r="Q15">
        <f>Water!AE47</f>
        <v>0</v>
      </c>
      <c r="R15">
        <f>Water!AF47</f>
        <v>0</v>
      </c>
      <c r="S15">
        <f>Water!AG47</f>
        <v>0</v>
      </c>
      <c r="T15">
        <f>Water!AH47</f>
        <v>0</v>
      </c>
    </row>
    <row r="16" spans="1:20">
      <c r="A16">
        <f>Water!O48</f>
        <v>0</v>
      </c>
      <c r="B16">
        <f>Water!P48</f>
        <v>0</v>
      </c>
      <c r="C16">
        <f>Water!Q48</f>
        <v>0</v>
      </c>
      <c r="D16">
        <f>Water!R48</f>
        <v>0</v>
      </c>
      <c r="E16">
        <f>Water!S48</f>
        <v>0</v>
      </c>
      <c r="F16">
        <f>Water!T48</f>
        <v>0</v>
      </c>
      <c r="G16">
        <f>Water!U48</f>
        <v>0</v>
      </c>
      <c r="H16">
        <f>Water!V48</f>
        <v>0</v>
      </c>
      <c r="I16">
        <f>Water!W48</f>
        <v>0</v>
      </c>
      <c r="J16">
        <f>Water!X48</f>
        <v>0</v>
      </c>
      <c r="K16">
        <f>Water!Y48</f>
        <v>0</v>
      </c>
      <c r="L16">
        <f>Water!Z48</f>
        <v>0</v>
      </c>
      <c r="M16">
        <f>Water!AA48</f>
        <v>0</v>
      </c>
      <c r="N16">
        <f>Water!AB48</f>
        <v>0</v>
      </c>
      <c r="O16">
        <f>Water!AC48</f>
        <v>0</v>
      </c>
      <c r="P16">
        <f>Water!AD48</f>
        <v>0</v>
      </c>
      <c r="Q16">
        <f>Water!AE48</f>
        <v>0</v>
      </c>
      <c r="R16">
        <f>Water!AF48</f>
        <v>0</v>
      </c>
      <c r="S16">
        <f>Water!AG48</f>
        <v>0</v>
      </c>
      <c r="T16">
        <f>Water!AH48</f>
        <v>0</v>
      </c>
    </row>
    <row r="17" spans="1:20">
      <c r="A17">
        <f>Water!O49</f>
        <v>0</v>
      </c>
      <c r="B17">
        <f>Water!P49</f>
        <v>0</v>
      </c>
      <c r="C17">
        <f>Water!Q49</f>
        <v>0</v>
      </c>
      <c r="D17">
        <f>Water!R49</f>
        <v>0</v>
      </c>
      <c r="E17">
        <f>Water!S49</f>
        <v>0</v>
      </c>
      <c r="F17">
        <f>Water!T49</f>
        <v>0</v>
      </c>
      <c r="G17">
        <f>Water!U49</f>
        <v>0</v>
      </c>
      <c r="H17">
        <f>Water!V49</f>
        <v>0</v>
      </c>
      <c r="I17">
        <f>Water!W49</f>
        <v>0</v>
      </c>
      <c r="J17">
        <f>Water!X49</f>
        <v>0</v>
      </c>
      <c r="K17">
        <f>Water!Y49</f>
        <v>0</v>
      </c>
      <c r="L17">
        <f>Water!Z49</f>
        <v>0</v>
      </c>
      <c r="M17">
        <f>Water!AA49</f>
        <v>0</v>
      </c>
      <c r="N17">
        <f>Water!AB49</f>
        <v>0</v>
      </c>
      <c r="O17">
        <f>Water!AC49</f>
        <v>0</v>
      </c>
      <c r="P17">
        <f>Water!AD49</f>
        <v>0</v>
      </c>
      <c r="Q17">
        <f>Water!AE49</f>
        <v>0</v>
      </c>
      <c r="R17">
        <f>Water!AF49</f>
        <v>0</v>
      </c>
      <c r="S17">
        <f>Water!AG49</f>
        <v>0</v>
      </c>
      <c r="T17">
        <f>Water!AH49</f>
        <v>0</v>
      </c>
    </row>
    <row r="18" spans="1:20">
      <c r="A18">
        <f>Water!O50</f>
        <v>0</v>
      </c>
      <c r="B18">
        <f>Water!P50</f>
        <v>0</v>
      </c>
      <c r="C18">
        <f>Water!Q50</f>
        <v>0</v>
      </c>
      <c r="D18">
        <f>Water!R50</f>
        <v>0</v>
      </c>
      <c r="E18">
        <f>Water!S50</f>
        <v>0</v>
      </c>
      <c r="F18">
        <f>Water!T50</f>
        <v>0</v>
      </c>
      <c r="G18">
        <f>Water!U50</f>
        <v>0</v>
      </c>
      <c r="H18">
        <f>Water!V50</f>
        <v>0</v>
      </c>
      <c r="I18">
        <f>Water!W50</f>
        <v>0</v>
      </c>
      <c r="J18">
        <f>Water!X50</f>
        <v>0</v>
      </c>
      <c r="K18">
        <f>Water!Y50</f>
        <v>0</v>
      </c>
      <c r="L18">
        <f>Water!Z50</f>
        <v>0</v>
      </c>
      <c r="M18">
        <f>Water!AA50</f>
        <v>0</v>
      </c>
      <c r="N18">
        <f>Water!AB50</f>
        <v>0</v>
      </c>
      <c r="O18">
        <f>Water!AC50</f>
        <v>0</v>
      </c>
      <c r="P18">
        <f>Water!AD50</f>
        <v>0</v>
      </c>
      <c r="Q18">
        <f>Water!AE50</f>
        <v>0</v>
      </c>
      <c r="R18">
        <f>Water!AF50</f>
        <v>0</v>
      </c>
      <c r="S18">
        <f>Water!AG50</f>
        <v>0</v>
      </c>
      <c r="T18">
        <f>Water!AH50</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dimension ref="A1:R128"/>
  <sheetViews>
    <sheetView topLeftCell="D1" zoomScale="70" zoomScaleNormal="70" workbookViewId="0">
      <selection activeCell="Q6" sqref="Q6"/>
    </sheetView>
  </sheetViews>
  <sheetFormatPr defaultRowHeight="14.25"/>
  <cols>
    <col min="1" max="1" width="9.42578125" bestFit="1" customWidth="1"/>
    <col min="2" max="2" width="23.85546875" bestFit="1" customWidth="1"/>
    <col min="3" max="3" width="9.140625" style="2"/>
    <col min="4" max="4" width="56" style="2" bestFit="1" customWidth="1"/>
    <col min="5" max="5" width="48.42578125" customWidth="1"/>
    <col min="10" max="10" width="35.7109375" bestFit="1" customWidth="1"/>
    <col min="11" max="13" width="35.7109375" customWidth="1"/>
    <col min="14" max="14" width="79.42578125" bestFit="1" customWidth="1"/>
    <col min="15" max="15" width="11.140625" bestFit="1" customWidth="1"/>
    <col min="17" max="17" width="34.28515625" bestFit="1" customWidth="1"/>
  </cols>
  <sheetData>
    <row r="1" spans="1:18">
      <c r="B1" t="s">
        <v>3246</v>
      </c>
      <c r="C1" s="2" t="s">
        <v>3247</v>
      </c>
      <c r="D1" s="2" t="s">
        <v>3248</v>
      </c>
      <c r="E1" t="s">
        <v>3249</v>
      </c>
      <c r="F1" t="s">
        <v>3250</v>
      </c>
      <c r="J1" t="s">
        <v>1016</v>
      </c>
      <c r="N1" t="s">
        <v>3251</v>
      </c>
      <c r="O1" t="s">
        <v>3247</v>
      </c>
      <c r="P1" t="s">
        <v>9</v>
      </c>
      <c r="Q1" t="s">
        <v>3252</v>
      </c>
      <c r="R1" t="s">
        <v>3253</v>
      </c>
    </row>
    <row r="2" spans="1:18">
      <c r="C2" s="8" t="s">
        <v>9</v>
      </c>
      <c r="D2" s="43" t="s">
        <v>11</v>
      </c>
      <c r="J2" t="s">
        <v>3254</v>
      </c>
      <c r="N2" t="s">
        <v>3255</v>
      </c>
      <c r="O2" t="s">
        <v>141</v>
      </c>
      <c r="P2" t="s">
        <v>142</v>
      </c>
      <c r="Q2" t="str">
        <f t="shared" ref="Q2:Q11" si="0">$Q$1&amp;P2</f>
        <v>Associated Taumata Arowai Code: A1</v>
      </c>
      <c r="R2" t="s">
        <v>144</v>
      </c>
    </row>
    <row r="3" spans="1:18">
      <c r="B3" t="s">
        <v>188</v>
      </c>
      <c r="C3" s="7" t="s">
        <v>187</v>
      </c>
      <c r="D3" s="7" t="s">
        <v>3256</v>
      </c>
      <c r="E3" t="s">
        <v>189</v>
      </c>
      <c r="F3" t="s">
        <v>172</v>
      </c>
      <c r="N3" t="s">
        <v>3257</v>
      </c>
      <c r="O3" t="s">
        <v>147</v>
      </c>
      <c r="P3" t="s">
        <v>148</v>
      </c>
      <c r="Q3" t="str">
        <f t="shared" si="0"/>
        <v>Associated Taumata Arowai Code: A2</v>
      </c>
      <c r="R3" t="s">
        <v>144</v>
      </c>
    </row>
    <row r="4" spans="1:18">
      <c r="A4" t="s">
        <v>3258</v>
      </c>
      <c r="C4" s="149" t="s">
        <v>192</v>
      </c>
      <c r="D4" s="149" t="s">
        <v>193</v>
      </c>
      <c r="N4" t="s">
        <v>3259</v>
      </c>
      <c r="O4" t="s">
        <v>153</v>
      </c>
      <c r="P4" t="s">
        <v>154</v>
      </c>
      <c r="Q4" t="str">
        <f t="shared" si="0"/>
        <v>Associated Taumata Arowai Code: A3</v>
      </c>
      <c r="R4" t="s">
        <v>156</v>
      </c>
    </row>
    <row r="5" spans="1:18">
      <c r="B5" t="s">
        <v>178</v>
      </c>
      <c r="C5" s="6" t="s">
        <v>177</v>
      </c>
      <c r="D5" s="6" t="s">
        <v>3260</v>
      </c>
      <c r="E5" t="s">
        <v>3261</v>
      </c>
      <c r="F5" t="s">
        <v>172</v>
      </c>
      <c r="N5" t="s">
        <v>3262</v>
      </c>
      <c r="O5" t="s">
        <v>158</v>
      </c>
      <c r="P5" t="s">
        <v>159</v>
      </c>
      <c r="Q5" t="str">
        <f t="shared" si="0"/>
        <v>Associated Taumata Arowai Code: A4</v>
      </c>
      <c r="R5" t="s">
        <v>144</v>
      </c>
    </row>
    <row r="6" spans="1:18">
      <c r="B6" t="s">
        <v>184</v>
      </c>
      <c r="C6" s="6" t="s">
        <v>183</v>
      </c>
      <c r="D6" s="6" t="s">
        <v>3263</v>
      </c>
      <c r="E6" t="s">
        <v>3264</v>
      </c>
      <c r="F6" t="s">
        <v>172</v>
      </c>
      <c r="N6" t="s">
        <v>3265</v>
      </c>
      <c r="O6" t="s">
        <v>161</v>
      </c>
      <c r="P6" t="s">
        <v>162</v>
      </c>
      <c r="Q6" t="str">
        <f t="shared" si="0"/>
        <v>Associated Taumata Arowai Code: A5</v>
      </c>
      <c r="R6" t="s">
        <v>144</v>
      </c>
    </row>
    <row r="7" spans="1:18">
      <c r="A7" t="s">
        <v>3258</v>
      </c>
      <c r="C7" s="6" t="s">
        <v>194</v>
      </c>
      <c r="D7" s="6" t="s">
        <v>3266</v>
      </c>
      <c r="N7" t="s">
        <v>3267</v>
      </c>
      <c r="P7" t="s">
        <v>170</v>
      </c>
      <c r="Q7" t="str">
        <f t="shared" si="0"/>
        <v>Associated Taumata Arowai Code: A6</v>
      </c>
      <c r="R7" t="s">
        <v>172</v>
      </c>
    </row>
    <row r="8" spans="1:18">
      <c r="B8" t="s">
        <v>198</v>
      </c>
      <c r="C8" s="6" t="s">
        <v>197</v>
      </c>
      <c r="D8" s="6" t="s">
        <v>3268</v>
      </c>
      <c r="E8" t="s">
        <v>3269</v>
      </c>
      <c r="F8" t="s">
        <v>172</v>
      </c>
      <c r="N8" t="s">
        <v>175</v>
      </c>
      <c r="P8" t="s">
        <v>174</v>
      </c>
      <c r="Q8" t="str">
        <f t="shared" si="0"/>
        <v>Associated Taumata Arowai Code: A7</v>
      </c>
      <c r="R8" t="s">
        <v>172</v>
      </c>
    </row>
    <row r="9" spans="1:18">
      <c r="B9" t="s">
        <v>210</v>
      </c>
      <c r="C9" s="41" t="s">
        <v>209</v>
      </c>
      <c r="D9" s="41" t="s">
        <v>3270</v>
      </c>
      <c r="E9" t="s">
        <v>3271</v>
      </c>
      <c r="F9" t="s">
        <v>144</v>
      </c>
      <c r="J9" t="s">
        <v>3272</v>
      </c>
      <c r="N9" t="s">
        <v>3261</v>
      </c>
      <c r="O9" t="s">
        <v>177</v>
      </c>
      <c r="P9" t="s">
        <v>178</v>
      </c>
      <c r="Q9" t="str">
        <f t="shared" si="0"/>
        <v>Associated Taumata Arowai Code: EH1</v>
      </c>
      <c r="R9" t="s">
        <v>172</v>
      </c>
    </row>
    <row r="10" spans="1:18">
      <c r="B10" t="s">
        <v>213</v>
      </c>
      <c r="C10" s="41" t="s">
        <v>212</v>
      </c>
      <c r="D10" s="41" t="s">
        <v>3273</v>
      </c>
      <c r="E10" t="s">
        <v>3274</v>
      </c>
      <c r="F10" t="s">
        <v>144</v>
      </c>
      <c r="N10" t="s">
        <v>3264</v>
      </c>
      <c r="O10" t="s">
        <v>183</v>
      </c>
      <c r="P10" t="s">
        <v>184</v>
      </c>
      <c r="Q10" t="str">
        <f t="shared" si="0"/>
        <v>Associated Taumata Arowai Code: EH2</v>
      </c>
      <c r="R10" t="s">
        <v>172</v>
      </c>
    </row>
    <row r="11" spans="1:18">
      <c r="A11" t="s">
        <v>3275</v>
      </c>
      <c r="C11" s="6" t="s">
        <v>3157</v>
      </c>
      <c r="D11" s="6" t="s">
        <v>3276</v>
      </c>
      <c r="N11" t="s">
        <v>189</v>
      </c>
      <c r="O11" t="s">
        <v>187</v>
      </c>
      <c r="P11" t="s">
        <v>188</v>
      </c>
      <c r="Q11" t="str">
        <f t="shared" si="0"/>
        <v>Associated Taumata Arowai Code: EH3</v>
      </c>
      <c r="R11" t="s">
        <v>172</v>
      </c>
    </row>
    <row r="12" spans="1:18">
      <c r="B12" t="s">
        <v>204</v>
      </c>
      <c r="C12" s="6" t="s">
        <v>203</v>
      </c>
      <c r="D12" s="6" t="s">
        <v>3277</v>
      </c>
      <c r="E12" t="s">
        <v>3278</v>
      </c>
      <c r="F12" t="s">
        <v>172</v>
      </c>
      <c r="N12" s="149" t="s">
        <v>193</v>
      </c>
      <c r="O12" s="149" t="s">
        <v>192</v>
      </c>
    </row>
    <row r="13" spans="1:18">
      <c r="B13" t="s">
        <v>323</v>
      </c>
      <c r="C13" s="149" t="s">
        <v>322</v>
      </c>
      <c r="D13" s="149" t="s">
        <v>3279</v>
      </c>
      <c r="E13" t="s">
        <v>324</v>
      </c>
      <c r="F13" t="s">
        <v>172</v>
      </c>
      <c r="N13" s="6" t="s">
        <v>3266</v>
      </c>
      <c r="O13" s="6" t="s">
        <v>194</v>
      </c>
    </row>
    <row r="14" spans="1:18" ht="14.65" thickBot="1">
      <c r="A14" t="s">
        <v>3275</v>
      </c>
      <c r="C14" s="147" t="s">
        <v>3158</v>
      </c>
      <c r="D14" s="55" t="s">
        <v>3280</v>
      </c>
      <c r="J14" t="s">
        <v>3281</v>
      </c>
      <c r="N14" t="s">
        <v>3269</v>
      </c>
      <c r="O14" t="s">
        <v>197</v>
      </c>
      <c r="P14" t="s">
        <v>198</v>
      </c>
      <c r="Q14" t="str">
        <f t="shared" ref="Q14:Q27" si="1">$Q$1&amp;P14</f>
        <v>Associated Taumata Arowai Code: EH5</v>
      </c>
      <c r="R14" t="s">
        <v>172</v>
      </c>
    </row>
    <row r="15" spans="1:18">
      <c r="B15" t="s">
        <v>326</v>
      </c>
      <c r="C15" s="162"/>
      <c r="D15" s="163" t="s">
        <v>3282</v>
      </c>
      <c r="E15" t="s">
        <v>3283</v>
      </c>
      <c r="F15" t="s">
        <v>144</v>
      </c>
      <c r="N15" t="s">
        <v>3271</v>
      </c>
      <c r="O15" t="s">
        <v>209</v>
      </c>
      <c r="P15" t="s">
        <v>210</v>
      </c>
      <c r="Q15" t="str">
        <f t="shared" si="1"/>
        <v>Associated Taumata Arowai Code: EH6</v>
      </c>
      <c r="R15" t="s">
        <v>144</v>
      </c>
    </row>
    <row r="16" spans="1:18">
      <c r="A16" t="s">
        <v>3282</v>
      </c>
      <c r="B16" t="s">
        <v>142</v>
      </c>
      <c r="C16" s="162"/>
      <c r="D16" s="163" t="s">
        <v>3282</v>
      </c>
      <c r="E16" t="s">
        <v>3255</v>
      </c>
      <c r="F16" t="s">
        <v>144</v>
      </c>
      <c r="N16" t="s">
        <v>3274</v>
      </c>
      <c r="O16" t="s">
        <v>212</v>
      </c>
      <c r="P16" t="s">
        <v>213</v>
      </c>
      <c r="Q16" t="str">
        <f t="shared" si="1"/>
        <v>Associated Taumata Arowai Code: EH7</v>
      </c>
      <c r="R16" t="s">
        <v>144</v>
      </c>
    </row>
    <row r="17" spans="1:18">
      <c r="A17" t="s">
        <v>3282</v>
      </c>
      <c r="B17" t="s">
        <v>170</v>
      </c>
      <c r="C17" s="162"/>
      <c r="D17" s="163" t="s">
        <v>3282</v>
      </c>
      <c r="E17" t="s">
        <v>3267</v>
      </c>
      <c r="F17" t="s">
        <v>144</v>
      </c>
      <c r="N17" t="s">
        <v>3278</v>
      </c>
      <c r="O17" t="s">
        <v>203</v>
      </c>
      <c r="P17" t="s">
        <v>204</v>
      </c>
      <c r="Q17" t="str">
        <f t="shared" si="1"/>
        <v>Associated Taumata Arowai Code: EH8</v>
      </c>
      <c r="R17" t="s">
        <v>172</v>
      </c>
    </row>
    <row r="18" spans="1:18">
      <c r="A18" t="s">
        <v>3282</v>
      </c>
      <c r="B18" t="s">
        <v>174</v>
      </c>
      <c r="C18" s="162"/>
      <c r="D18" s="163" t="s">
        <v>3282</v>
      </c>
      <c r="E18" t="s">
        <v>175</v>
      </c>
      <c r="F18" t="s">
        <v>144</v>
      </c>
      <c r="J18" t="s">
        <v>3284</v>
      </c>
      <c r="N18" t="s">
        <v>219</v>
      </c>
      <c r="P18" t="s">
        <v>218</v>
      </c>
      <c r="Q18" t="str">
        <f t="shared" si="1"/>
        <v>Associated Taumata Arowai Code: EH9</v>
      </c>
      <c r="R18" t="s">
        <v>144</v>
      </c>
    </row>
    <row r="19" spans="1:18">
      <c r="A19" t="s">
        <v>3282</v>
      </c>
      <c r="B19" t="s">
        <v>218</v>
      </c>
      <c r="C19" s="162"/>
      <c r="D19" s="163" t="s">
        <v>3282</v>
      </c>
      <c r="E19" t="s">
        <v>219</v>
      </c>
      <c r="F19" t="s">
        <v>144</v>
      </c>
      <c r="N19" t="s">
        <v>3285</v>
      </c>
      <c r="P19" t="s">
        <v>223</v>
      </c>
      <c r="Q19" t="str">
        <f t="shared" si="1"/>
        <v>Associated Taumata Arowai Code: EH10</v>
      </c>
      <c r="R19" t="s">
        <v>172</v>
      </c>
    </row>
    <row r="20" spans="1:18">
      <c r="A20" t="s">
        <v>3282</v>
      </c>
      <c r="B20" t="s">
        <v>223</v>
      </c>
      <c r="C20" s="162"/>
      <c r="D20" s="163" t="s">
        <v>3282</v>
      </c>
      <c r="E20" t="s">
        <v>3285</v>
      </c>
      <c r="F20" t="s">
        <v>172</v>
      </c>
      <c r="N20" t="s">
        <v>227</v>
      </c>
      <c r="P20" t="s">
        <v>226</v>
      </c>
      <c r="Q20" t="str">
        <f t="shared" si="1"/>
        <v>Associated Taumata Arowai Code: EH11</v>
      </c>
      <c r="R20" t="s">
        <v>172</v>
      </c>
    </row>
    <row r="21" spans="1:18">
      <c r="B21" t="s">
        <v>226</v>
      </c>
      <c r="C21" s="162"/>
      <c r="D21" s="163" t="s">
        <v>3282</v>
      </c>
      <c r="E21" t="s">
        <v>227</v>
      </c>
      <c r="F21" t="s">
        <v>172</v>
      </c>
      <c r="N21" t="s">
        <v>230</v>
      </c>
      <c r="P21" t="s">
        <v>229</v>
      </c>
      <c r="Q21" t="str">
        <f t="shared" si="1"/>
        <v>Associated Taumata Arowai Code: EH12</v>
      </c>
      <c r="R21" t="s">
        <v>172</v>
      </c>
    </row>
    <row r="22" spans="1:18">
      <c r="B22" t="s">
        <v>229</v>
      </c>
      <c r="C22" s="162"/>
      <c r="D22" s="163" t="s">
        <v>3282</v>
      </c>
      <c r="E22" t="s">
        <v>230</v>
      </c>
      <c r="F22" t="s">
        <v>172</v>
      </c>
      <c r="J22" s="164" t="s">
        <v>3286</v>
      </c>
      <c r="K22" s="164"/>
      <c r="L22" s="164"/>
      <c r="M22" s="164"/>
      <c r="N22" t="s">
        <v>235</v>
      </c>
      <c r="O22" t="s">
        <v>233</v>
      </c>
      <c r="P22" t="s">
        <v>234</v>
      </c>
      <c r="Q22" t="str">
        <f t="shared" si="1"/>
        <v>Associated Taumata Arowai Code: R1</v>
      </c>
      <c r="R22" t="s">
        <v>144</v>
      </c>
    </row>
    <row r="23" spans="1:18">
      <c r="B23" t="s">
        <v>162</v>
      </c>
      <c r="C23" s="7" t="s">
        <v>161</v>
      </c>
      <c r="D23" s="7" t="s">
        <v>3287</v>
      </c>
      <c r="E23" t="s">
        <v>3265</v>
      </c>
      <c r="N23" t="s">
        <v>239</v>
      </c>
      <c r="O23" t="s">
        <v>237</v>
      </c>
      <c r="P23" t="s">
        <v>238</v>
      </c>
      <c r="Q23" t="str">
        <f t="shared" si="1"/>
        <v>Associated Taumata Arowai Code: R3</v>
      </c>
      <c r="R23" t="s">
        <v>144</v>
      </c>
    </row>
    <row r="24" spans="1:18">
      <c r="A24" t="s">
        <v>3275</v>
      </c>
      <c r="C24" s="6" t="s">
        <v>3159</v>
      </c>
      <c r="D24" s="6" t="s">
        <v>3288</v>
      </c>
      <c r="N24" t="s">
        <v>242</v>
      </c>
      <c r="O24" t="s">
        <v>240</v>
      </c>
      <c r="P24" t="s">
        <v>241</v>
      </c>
      <c r="Q24" t="str">
        <f t="shared" si="1"/>
        <v>Associated Taumata Arowai Code: R2</v>
      </c>
      <c r="R24" t="s">
        <v>144</v>
      </c>
    </row>
    <row r="25" spans="1:18">
      <c r="A25" t="s">
        <v>3275</v>
      </c>
      <c r="C25" s="6" t="s">
        <v>3160</v>
      </c>
      <c r="D25" s="6" t="s">
        <v>3289</v>
      </c>
      <c r="N25" t="s">
        <v>245</v>
      </c>
      <c r="O25" t="s">
        <v>243</v>
      </c>
      <c r="P25" t="s">
        <v>244</v>
      </c>
      <c r="Q25" t="str">
        <f t="shared" si="1"/>
        <v>Associated Taumata Arowai Code: R4</v>
      </c>
      <c r="R25" t="s">
        <v>144</v>
      </c>
    </row>
    <row r="26" spans="1:18">
      <c r="A26" t="s">
        <v>3275</v>
      </c>
      <c r="C26" s="6" t="s">
        <v>3161</v>
      </c>
      <c r="D26" s="41" t="s">
        <v>3290</v>
      </c>
      <c r="F26" t="s">
        <v>144</v>
      </c>
      <c r="J26" t="s">
        <v>3291</v>
      </c>
      <c r="N26" t="s">
        <v>3292</v>
      </c>
      <c r="O26" t="s">
        <v>247</v>
      </c>
      <c r="P26" t="s">
        <v>248</v>
      </c>
      <c r="Q26" t="str">
        <f t="shared" si="1"/>
        <v>Associated Taumata Arowai Code: R5</v>
      </c>
      <c r="R26" t="s">
        <v>144</v>
      </c>
    </row>
    <row r="27" spans="1:18">
      <c r="A27" t="s">
        <v>3275</v>
      </c>
      <c r="C27" s="6" t="s">
        <v>3162</v>
      </c>
      <c r="D27" s="41" t="s">
        <v>3293</v>
      </c>
      <c r="N27" t="s">
        <v>3294</v>
      </c>
      <c r="O27" t="s">
        <v>253</v>
      </c>
      <c r="P27" t="s">
        <v>254</v>
      </c>
      <c r="Q27" t="str">
        <f t="shared" si="1"/>
        <v>Associated Taumata Arowai Code: R6</v>
      </c>
      <c r="R27" t="s">
        <v>144</v>
      </c>
    </row>
    <row r="28" spans="1:18">
      <c r="A28" t="s">
        <v>3275</v>
      </c>
      <c r="C28" s="6" t="s">
        <v>3163</v>
      </c>
      <c r="D28" s="41" t="s">
        <v>3295</v>
      </c>
      <c r="N28" s="7" t="s">
        <v>3296</v>
      </c>
      <c r="O28" s="7" t="s">
        <v>256</v>
      </c>
      <c r="P28" s="128"/>
    </row>
    <row r="29" spans="1:18">
      <c r="B29" t="s">
        <v>266</v>
      </c>
      <c r="C29" s="6" t="s">
        <v>265</v>
      </c>
      <c r="D29" s="41" t="s">
        <v>3297</v>
      </c>
      <c r="E29" t="s">
        <v>3298</v>
      </c>
      <c r="F29" t="s">
        <v>144</v>
      </c>
      <c r="N29" s="6" t="s">
        <v>3299</v>
      </c>
      <c r="O29" s="6" t="s">
        <v>258</v>
      </c>
      <c r="P29" s="125"/>
    </row>
    <row r="30" spans="1:18">
      <c r="B30" t="s">
        <v>266</v>
      </c>
      <c r="C30" s="6" t="s">
        <v>3164</v>
      </c>
      <c r="D30" s="41" t="s">
        <v>3300</v>
      </c>
      <c r="J30" t="s">
        <v>603</v>
      </c>
      <c r="N30" t="s">
        <v>3301</v>
      </c>
      <c r="O30" t="s">
        <v>262</v>
      </c>
      <c r="P30" t="s">
        <v>263</v>
      </c>
      <c r="Q30" t="str">
        <f t="shared" ref="Q30:Q51" si="2">$Q$1&amp;P30</f>
        <v>Associated Taumata Arowai Code: R7</v>
      </c>
      <c r="R30" t="s">
        <v>144</v>
      </c>
    </row>
    <row r="31" spans="1:18">
      <c r="B31" t="s">
        <v>263</v>
      </c>
      <c r="C31" s="6" t="s">
        <v>262</v>
      </c>
      <c r="D31" s="41" t="s">
        <v>3302</v>
      </c>
      <c r="E31" t="s">
        <v>3301</v>
      </c>
      <c r="F31" t="s">
        <v>144</v>
      </c>
      <c r="N31" t="s">
        <v>3298</v>
      </c>
      <c r="O31" t="s">
        <v>265</v>
      </c>
      <c r="P31" t="s">
        <v>266</v>
      </c>
      <c r="Q31" t="str">
        <f t="shared" si="2"/>
        <v>Associated Taumata Arowai Code: R8</v>
      </c>
      <c r="R31" t="s">
        <v>144</v>
      </c>
    </row>
    <row r="32" spans="1:18">
      <c r="A32" t="s">
        <v>3303</v>
      </c>
      <c r="C32" s="6" t="s">
        <v>3165</v>
      </c>
      <c r="D32" s="6" t="s">
        <v>3304</v>
      </c>
      <c r="N32" t="s">
        <v>270</v>
      </c>
      <c r="O32" t="s">
        <v>268</v>
      </c>
      <c r="P32" t="s">
        <v>269</v>
      </c>
      <c r="Q32" t="str">
        <f t="shared" si="2"/>
        <v>Associated Taumata Arowai Code: R9</v>
      </c>
      <c r="R32" t="s">
        <v>144</v>
      </c>
    </row>
    <row r="33" spans="1:18" ht="14.65" thickBot="1">
      <c r="B33" t="s">
        <v>269</v>
      </c>
      <c r="C33" s="55" t="s">
        <v>268</v>
      </c>
      <c r="D33" s="55" t="s">
        <v>3305</v>
      </c>
      <c r="E33" t="s">
        <v>270</v>
      </c>
      <c r="F33" t="s">
        <v>144</v>
      </c>
      <c r="N33" t="s">
        <v>3306</v>
      </c>
      <c r="O33" t="s">
        <v>273</v>
      </c>
      <c r="P33" t="s">
        <v>274</v>
      </c>
      <c r="Q33" t="str">
        <f t="shared" si="2"/>
        <v>Associated Taumata Arowai Code: R10</v>
      </c>
      <c r="R33" t="s">
        <v>144</v>
      </c>
    </row>
    <row r="34" spans="1:18">
      <c r="B34" t="s">
        <v>148</v>
      </c>
      <c r="C34" s="7" t="s">
        <v>147</v>
      </c>
      <c r="D34" s="7" t="s">
        <v>3307</v>
      </c>
      <c r="E34" t="s">
        <v>3257</v>
      </c>
      <c r="N34" t="s">
        <v>3308</v>
      </c>
      <c r="O34" t="s">
        <v>277</v>
      </c>
      <c r="P34" t="s">
        <v>278</v>
      </c>
      <c r="Q34" t="str">
        <f t="shared" si="2"/>
        <v>Associated Taumata Arowai Code: R11</v>
      </c>
      <c r="R34" t="s">
        <v>144</v>
      </c>
    </row>
    <row r="35" spans="1:18">
      <c r="A35" t="s">
        <v>3275</v>
      </c>
      <c r="C35" s="6" t="s">
        <v>3166</v>
      </c>
      <c r="D35" s="6" t="s">
        <v>3309</v>
      </c>
      <c r="J35" t="s">
        <v>281</v>
      </c>
      <c r="N35" t="s">
        <v>284</v>
      </c>
      <c r="O35" t="s">
        <v>282</v>
      </c>
      <c r="P35" t="s">
        <v>283</v>
      </c>
      <c r="Q35" t="str">
        <f t="shared" si="2"/>
        <v>Associated Taumata Arowai Code: R12</v>
      </c>
      <c r="R35" t="s">
        <v>172</v>
      </c>
    </row>
    <row r="36" spans="1:18">
      <c r="B36" t="s">
        <v>159</v>
      </c>
      <c r="C36" s="6" t="s">
        <v>158</v>
      </c>
      <c r="D36" s="6" t="s">
        <v>3310</v>
      </c>
      <c r="E36" t="s">
        <v>3262</v>
      </c>
      <c r="N36" t="s">
        <v>3311</v>
      </c>
      <c r="P36" t="s">
        <v>289</v>
      </c>
      <c r="Q36" t="str">
        <f t="shared" si="2"/>
        <v>Associated Taumata Arowai Code: R13</v>
      </c>
      <c r="R36" t="s">
        <v>144</v>
      </c>
    </row>
    <row r="37" spans="1:18">
      <c r="A37" t="s">
        <v>3275</v>
      </c>
      <c r="C37" s="6" t="s">
        <v>3167</v>
      </c>
      <c r="D37" s="6" t="s">
        <v>3312</v>
      </c>
      <c r="J37" t="s">
        <v>293</v>
      </c>
      <c r="N37" t="s">
        <v>296</v>
      </c>
      <c r="O37" t="s">
        <v>294</v>
      </c>
      <c r="P37" t="s">
        <v>295</v>
      </c>
      <c r="Q37" t="str">
        <f t="shared" si="2"/>
        <v>Associated Taumata Arowai Code: R14</v>
      </c>
      <c r="R37" t="s">
        <v>144</v>
      </c>
    </row>
    <row r="38" spans="1:18">
      <c r="B38" t="s">
        <v>154</v>
      </c>
      <c r="C38" s="6" t="s">
        <v>153</v>
      </c>
      <c r="D38" s="6" t="s">
        <v>3313</v>
      </c>
      <c r="E38" t="s">
        <v>3259</v>
      </c>
      <c r="N38" t="s">
        <v>3314</v>
      </c>
      <c r="P38" t="s">
        <v>298</v>
      </c>
      <c r="Q38" t="str">
        <f t="shared" si="2"/>
        <v>Associated Taumata Arowai Code: R15</v>
      </c>
      <c r="R38" t="s">
        <v>144</v>
      </c>
    </row>
    <row r="39" spans="1:18">
      <c r="A39" t="s">
        <v>3275</v>
      </c>
      <c r="C39" s="6" t="s">
        <v>3168</v>
      </c>
      <c r="D39" s="6" t="s">
        <v>3315</v>
      </c>
      <c r="J39" t="s">
        <v>3316</v>
      </c>
      <c r="N39" t="s">
        <v>3317</v>
      </c>
      <c r="P39" t="s">
        <v>302</v>
      </c>
      <c r="Q39" t="str">
        <f t="shared" si="2"/>
        <v>Associated Taumata Arowai Code: R16</v>
      </c>
      <c r="R39" t="s">
        <v>144</v>
      </c>
    </row>
    <row r="40" spans="1:18">
      <c r="A40" t="s">
        <v>3275</v>
      </c>
      <c r="C40" s="6" t="s">
        <v>3169</v>
      </c>
      <c r="D40" s="6" t="s">
        <v>3318</v>
      </c>
      <c r="N40" t="s">
        <v>3319</v>
      </c>
      <c r="O40" t="s">
        <v>304</v>
      </c>
      <c r="P40" t="s">
        <v>305</v>
      </c>
      <c r="Q40" t="str">
        <f t="shared" si="2"/>
        <v>Associated Taumata Arowai Code: R17</v>
      </c>
      <c r="R40" t="s">
        <v>144</v>
      </c>
    </row>
    <row r="41" spans="1:18">
      <c r="B41" t="s">
        <v>330</v>
      </c>
      <c r="C41" s="6" t="s">
        <v>329</v>
      </c>
      <c r="D41" s="6" t="s">
        <v>3320</v>
      </c>
      <c r="E41" t="s">
        <v>3321</v>
      </c>
      <c r="F41" t="s">
        <v>144</v>
      </c>
      <c r="J41" t="s">
        <v>3322</v>
      </c>
      <c r="N41" t="s">
        <v>3323</v>
      </c>
      <c r="O41" t="s">
        <v>308</v>
      </c>
      <c r="P41" t="s">
        <v>309</v>
      </c>
      <c r="Q41" t="str">
        <f t="shared" si="2"/>
        <v>Associated Taumata Arowai Code: RE1</v>
      </c>
      <c r="R41" t="s">
        <v>172</v>
      </c>
    </row>
    <row r="42" spans="1:18">
      <c r="B42" t="s">
        <v>334</v>
      </c>
      <c r="C42" s="6" t="s">
        <v>333</v>
      </c>
      <c r="D42" s="6" t="s">
        <v>3324</v>
      </c>
      <c r="E42" t="s">
        <v>3325</v>
      </c>
      <c r="F42" t="s">
        <v>144</v>
      </c>
      <c r="N42" t="s">
        <v>3326</v>
      </c>
      <c r="O42" t="s">
        <v>311</v>
      </c>
      <c r="P42" t="s">
        <v>312</v>
      </c>
      <c r="Q42" t="str">
        <f t="shared" si="2"/>
        <v>Associated Taumata Arowai Code: RE2</v>
      </c>
      <c r="R42" t="s">
        <v>172</v>
      </c>
    </row>
    <row r="43" spans="1:18">
      <c r="A43" t="s">
        <v>3275</v>
      </c>
      <c r="C43" s="6" t="s">
        <v>3170</v>
      </c>
      <c r="D43" s="6" t="s">
        <v>3327</v>
      </c>
      <c r="N43" t="s">
        <v>3328</v>
      </c>
      <c r="O43" t="s">
        <v>317</v>
      </c>
      <c r="P43" t="s">
        <v>318</v>
      </c>
      <c r="Q43" t="str">
        <f t="shared" si="2"/>
        <v>Associated Taumata Arowai Code: RE3</v>
      </c>
      <c r="R43" t="s">
        <v>172</v>
      </c>
    </row>
    <row r="44" spans="1:18">
      <c r="A44" t="s">
        <v>3275</v>
      </c>
      <c r="C44" s="6" t="s">
        <v>3171</v>
      </c>
      <c r="D44" s="6" t="s">
        <v>3329</v>
      </c>
      <c r="J44" t="s">
        <v>321</v>
      </c>
      <c r="N44" t="s">
        <v>324</v>
      </c>
      <c r="O44" t="s">
        <v>322</v>
      </c>
      <c r="P44" t="s">
        <v>323</v>
      </c>
      <c r="Q44" t="str">
        <f t="shared" si="2"/>
        <v>Associated Taumata Arowai Code: RE4</v>
      </c>
      <c r="R44" t="s">
        <v>172</v>
      </c>
    </row>
    <row r="45" spans="1:18">
      <c r="A45" t="s">
        <v>3275</v>
      </c>
      <c r="C45" s="6" t="s">
        <v>3172</v>
      </c>
      <c r="D45" s="150" t="s">
        <v>3330</v>
      </c>
      <c r="N45" t="s">
        <v>3283</v>
      </c>
      <c r="P45" t="s">
        <v>326</v>
      </c>
      <c r="Q45" t="str">
        <f t="shared" si="2"/>
        <v>Associated Taumata Arowai Code: RE5</v>
      </c>
      <c r="R45" t="s">
        <v>144</v>
      </c>
    </row>
    <row r="46" spans="1:18">
      <c r="A46" t="s">
        <v>3331</v>
      </c>
      <c r="C46" s="6" t="s">
        <v>3173</v>
      </c>
      <c r="D46" s="41" t="s">
        <v>3332</v>
      </c>
      <c r="N46" t="s">
        <v>3321</v>
      </c>
      <c r="O46" t="s">
        <v>329</v>
      </c>
      <c r="P46" t="s">
        <v>330</v>
      </c>
      <c r="Q46" t="str">
        <f t="shared" si="2"/>
        <v>Associated Taumata Arowai Code: RE6</v>
      </c>
      <c r="R46" t="s">
        <v>144</v>
      </c>
    </row>
    <row r="47" spans="1:18" ht="14.65" thickBot="1">
      <c r="B47" t="s">
        <v>274</v>
      </c>
      <c r="C47" s="55" t="s">
        <v>273</v>
      </c>
      <c r="D47" s="58" t="s">
        <v>3333</v>
      </c>
      <c r="E47" t="s">
        <v>3306</v>
      </c>
      <c r="F47" t="s">
        <v>144</v>
      </c>
      <c r="N47" t="s">
        <v>3325</v>
      </c>
      <c r="O47" t="s">
        <v>333</v>
      </c>
      <c r="P47" t="s">
        <v>334</v>
      </c>
      <c r="Q47" t="str">
        <f t="shared" si="2"/>
        <v>Associated Taumata Arowai Code: RE7</v>
      </c>
      <c r="R47" t="s">
        <v>144</v>
      </c>
    </row>
    <row r="48" spans="1:18">
      <c r="A48" t="s">
        <v>3282</v>
      </c>
      <c r="B48" t="s">
        <v>278</v>
      </c>
      <c r="C48" s="163"/>
      <c r="D48" s="165" t="s">
        <v>3282</v>
      </c>
      <c r="E48" t="s">
        <v>3308</v>
      </c>
      <c r="F48" t="s">
        <v>144</v>
      </c>
      <c r="J48" t="s">
        <v>3334</v>
      </c>
      <c r="N48" t="s">
        <v>3335</v>
      </c>
      <c r="O48" t="s">
        <v>337</v>
      </c>
      <c r="P48" t="s">
        <v>338</v>
      </c>
      <c r="Q48" t="str">
        <f t="shared" si="2"/>
        <v>Associated Taumata Arowai Code: RE8</v>
      </c>
      <c r="R48" t="s">
        <v>144</v>
      </c>
    </row>
    <row r="49" spans="1:18">
      <c r="B49" t="s">
        <v>309</v>
      </c>
      <c r="C49" s="7" t="s">
        <v>308</v>
      </c>
      <c r="D49" s="7" t="s">
        <v>3336</v>
      </c>
      <c r="E49" t="s">
        <v>3323</v>
      </c>
      <c r="F49" t="s">
        <v>172</v>
      </c>
      <c r="N49" t="s">
        <v>3337</v>
      </c>
      <c r="O49" t="s">
        <v>342</v>
      </c>
      <c r="P49" t="s">
        <v>343</v>
      </c>
      <c r="Q49" t="str">
        <f t="shared" si="2"/>
        <v>Associated Taumata Arowai Code: RE9</v>
      </c>
      <c r="R49" t="s">
        <v>144</v>
      </c>
    </row>
    <row r="50" spans="1:18">
      <c r="A50" t="s">
        <v>3258</v>
      </c>
      <c r="C50" s="6" t="s">
        <v>3174</v>
      </c>
      <c r="D50" s="41" t="s">
        <v>3338</v>
      </c>
      <c r="N50" t="s">
        <v>3339</v>
      </c>
      <c r="O50" t="s">
        <v>346</v>
      </c>
      <c r="P50" t="s">
        <v>347</v>
      </c>
      <c r="Q50" t="str">
        <f t="shared" si="2"/>
        <v>Associated Taumata Arowai Code: RE10</v>
      </c>
      <c r="R50" t="s">
        <v>144</v>
      </c>
    </row>
    <row r="51" spans="1:18">
      <c r="A51" t="s">
        <v>3275</v>
      </c>
      <c r="C51" s="6" t="s">
        <v>3175</v>
      </c>
      <c r="D51" s="6" t="s">
        <v>3340</v>
      </c>
      <c r="J51" t="s">
        <v>349</v>
      </c>
      <c r="N51" t="s">
        <v>3341</v>
      </c>
      <c r="P51" t="s">
        <v>351</v>
      </c>
      <c r="Q51" t="str">
        <f t="shared" si="2"/>
        <v>Associated Taumata Arowai Code: RL1</v>
      </c>
      <c r="R51" t="s">
        <v>144</v>
      </c>
    </row>
    <row r="52" spans="1:18">
      <c r="B52" t="s">
        <v>312</v>
      </c>
      <c r="C52" s="6" t="s">
        <v>311</v>
      </c>
      <c r="D52" s="6" t="s">
        <v>3340</v>
      </c>
      <c r="E52" t="s">
        <v>3326</v>
      </c>
      <c r="F52" t="s">
        <v>172</v>
      </c>
      <c r="J52" t="s">
        <v>353</v>
      </c>
      <c r="N52" t="s">
        <v>3342</v>
      </c>
      <c r="R52" t="s">
        <v>144</v>
      </c>
    </row>
    <row r="53" spans="1:18">
      <c r="A53" t="s">
        <v>3343</v>
      </c>
      <c r="C53" s="6" t="s">
        <v>315</v>
      </c>
      <c r="D53" s="6" t="s">
        <v>3340</v>
      </c>
      <c r="N53" t="s">
        <v>3344</v>
      </c>
      <c r="R53" t="s">
        <v>144</v>
      </c>
    </row>
    <row r="54" spans="1:18">
      <c r="A54" t="s">
        <v>3275</v>
      </c>
      <c r="C54" s="6" t="s">
        <v>3176</v>
      </c>
      <c r="D54" s="6" t="s">
        <v>3345</v>
      </c>
      <c r="N54" t="s">
        <v>3346</v>
      </c>
    </row>
    <row r="55" spans="1:18">
      <c r="A55" t="s">
        <v>3347</v>
      </c>
      <c r="C55" s="6" t="s">
        <v>3177</v>
      </c>
      <c r="D55" s="6" t="s">
        <v>3345</v>
      </c>
      <c r="J55" t="s">
        <v>361</v>
      </c>
      <c r="N55" s="56" t="s">
        <v>3348</v>
      </c>
      <c r="O55" s="7" t="s">
        <v>374</v>
      </c>
      <c r="R55" t="s">
        <v>144</v>
      </c>
    </row>
    <row r="56" spans="1:18">
      <c r="B56" t="s">
        <v>318</v>
      </c>
      <c r="C56" s="6" t="s">
        <v>317</v>
      </c>
      <c r="D56" s="6" t="s">
        <v>3349</v>
      </c>
      <c r="E56" t="s">
        <v>3328</v>
      </c>
      <c r="F56" t="s">
        <v>172</v>
      </c>
      <c r="N56" s="41" t="s">
        <v>363</v>
      </c>
      <c r="O56" s="6" t="s">
        <v>362</v>
      </c>
      <c r="R56" t="s">
        <v>144</v>
      </c>
    </row>
    <row r="57" spans="1:18" ht="14.65" thickBot="1">
      <c r="B57" t="s">
        <v>283</v>
      </c>
      <c r="C57" s="55" t="s">
        <v>282</v>
      </c>
      <c r="D57" s="55" t="s">
        <v>284</v>
      </c>
      <c r="E57" t="s">
        <v>284</v>
      </c>
      <c r="F57" t="s">
        <v>172</v>
      </c>
      <c r="N57" s="41" t="s">
        <v>365</v>
      </c>
      <c r="O57" s="6" t="s">
        <v>364</v>
      </c>
      <c r="R57" t="s">
        <v>144</v>
      </c>
    </row>
    <row r="58" spans="1:18">
      <c r="B58" t="s">
        <v>289</v>
      </c>
      <c r="C58" s="163"/>
      <c r="D58" s="163" t="s">
        <v>3282</v>
      </c>
      <c r="E58" t="s">
        <v>3311</v>
      </c>
      <c r="F58" t="s">
        <v>144</v>
      </c>
      <c r="N58" s="41" t="s">
        <v>367</v>
      </c>
      <c r="O58" s="6" t="s">
        <v>366</v>
      </c>
      <c r="R58" t="s">
        <v>144</v>
      </c>
    </row>
    <row r="59" spans="1:18">
      <c r="A59" t="s">
        <v>3350</v>
      </c>
      <c r="B59" t="s">
        <v>338</v>
      </c>
      <c r="C59" s="7" t="s">
        <v>337</v>
      </c>
      <c r="D59" s="7" t="s">
        <v>3351</v>
      </c>
      <c r="E59" t="s">
        <v>3335</v>
      </c>
      <c r="F59" t="s">
        <v>144</v>
      </c>
      <c r="N59" s="41" t="s">
        <v>369</v>
      </c>
      <c r="O59" s="6" t="s">
        <v>368</v>
      </c>
      <c r="R59" t="s">
        <v>144</v>
      </c>
    </row>
    <row r="60" spans="1:18">
      <c r="A60" t="s">
        <v>3350</v>
      </c>
      <c r="B60" t="s">
        <v>343</v>
      </c>
      <c r="C60" s="6" t="s">
        <v>342</v>
      </c>
      <c r="D60" s="6" t="s">
        <v>3352</v>
      </c>
      <c r="E60" t="s">
        <v>3337</v>
      </c>
      <c r="F60" t="s">
        <v>144</v>
      </c>
      <c r="N60" s="41" t="s">
        <v>371</v>
      </c>
      <c r="O60" s="6" t="s">
        <v>370</v>
      </c>
      <c r="R60" t="s">
        <v>144</v>
      </c>
    </row>
    <row r="61" spans="1:18" ht="14.65" thickBot="1">
      <c r="A61" t="s">
        <v>3350</v>
      </c>
      <c r="B61" t="s">
        <v>347</v>
      </c>
      <c r="C61" s="146" t="s">
        <v>346</v>
      </c>
      <c r="D61" s="146" t="s">
        <v>3353</v>
      </c>
      <c r="E61" t="s">
        <v>3339</v>
      </c>
      <c r="F61" t="s">
        <v>144</v>
      </c>
      <c r="N61" s="149" t="s">
        <v>373</v>
      </c>
      <c r="O61" s="155" t="s">
        <v>372</v>
      </c>
      <c r="R61" t="s">
        <v>144</v>
      </c>
    </row>
    <row r="62" spans="1:18" ht="14.65" thickBot="1">
      <c r="A62" t="s">
        <v>3354</v>
      </c>
      <c r="C62" s="7" t="s">
        <v>256</v>
      </c>
      <c r="D62" s="7" t="s">
        <v>3296</v>
      </c>
      <c r="N62" s="58" t="s">
        <v>3355</v>
      </c>
      <c r="O62" s="55" t="s">
        <v>376</v>
      </c>
      <c r="R62" t="s">
        <v>144</v>
      </c>
    </row>
    <row r="63" spans="1:18">
      <c r="A63" t="s">
        <v>3275</v>
      </c>
      <c r="C63" s="6" t="s">
        <v>258</v>
      </c>
      <c r="D63" s="6" t="s">
        <v>3299</v>
      </c>
      <c r="J63" t="s">
        <v>378</v>
      </c>
      <c r="N63" s="7" t="s">
        <v>3356</v>
      </c>
      <c r="O63" s="7" t="s">
        <v>3178</v>
      </c>
      <c r="R63" t="s">
        <v>144</v>
      </c>
    </row>
    <row r="64" spans="1:18">
      <c r="B64" t="s">
        <v>248</v>
      </c>
      <c r="C64" s="6" t="s">
        <v>247</v>
      </c>
      <c r="D64" s="6" t="s">
        <v>3357</v>
      </c>
      <c r="E64" t="s">
        <v>3292</v>
      </c>
      <c r="F64" t="s">
        <v>144</v>
      </c>
      <c r="N64" s="6" t="s">
        <v>3358</v>
      </c>
      <c r="O64" s="6" t="s">
        <v>379</v>
      </c>
      <c r="R64" t="s">
        <v>144</v>
      </c>
    </row>
    <row r="65" spans="1:18" ht="14.65" thickBot="1">
      <c r="B65" t="s">
        <v>254</v>
      </c>
      <c r="C65" s="55" t="s">
        <v>253</v>
      </c>
      <c r="D65" s="55" t="s">
        <v>3359</v>
      </c>
      <c r="E65" t="s">
        <v>3294</v>
      </c>
      <c r="F65" t="s">
        <v>144</v>
      </c>
      <c r="N65" s="6" t="s">
        <v>3360</v>
      </c>
      <c r="O65" s="41" t="s">
        <v>384</v>
      </c>
      <c r="R65" t="s">
        <v>144</v>
      </c>
    </row>
    <row r="66" spans="1:18">
      <c r="A66" t="s">
        <v>3361</v>
      </c>
      <c r="C66" s="7" t="s">
        <v>374</v>
      </c>
      <c r="D66" s="56" t="s">
        <v>3348</v>
      </c>
      <c r="N66" s="6" t="s">
        <v>3362</v>
      </c>
      <c r="O66" s="6" t="s">
        <v>387</v>
      </c>
      <c r="R66" t="s">
        <v>144</v>
      </c>
    </row>
    <row r="67" spans="1:18">
      <c r="A67" t="s">
        <v>3361</v>
      </c>
      <c r="C67" s="6" t="s">
        <v>362</v>
      </c>
      <c r="D67" s="41" t="s">
        <v>363</v>
      </c>
      <c r="N67" s="6" t="s">
        <v>3363</v>
      </c>
      <c r="O67" s="6" t="s">
        <v>390</v>
      </c>
      <c r="R67" t="s">
        <v>144</v>
      </c>
    </row>
    <row r="68" spans="1:18">
      <c r="A68" t="s">
        <v>3361</v>
      </c>
      <c r="C68" s="6" t="s">
        <v>364</v>
      </c>
      <c r="D68" s="41" t="s">
        <v>365</v>
      </c>
      <c r="N68" s="6" t="s">
        <v>3364</v>
      </c>
      <c r="O68" s="6" t="s">
        <v>392</v>
      </c>
      <c r="R68" t="s">
        <v>144</v>
      </c>
    </row>
    <row r="69" spans="1:18">
      <c r="A69" t="s">
        <v>3361</v>
      </c>
      <c r="C69" s="6" t="s">
        <v>366</v>
      </c>
      <c r="D69" s="41" t="s">
        <v>367</v>
      </c>
      <c r="N69" s="6" t="s">
        <v>3365</v>
      </c>
      <c r="O69" s="6" t="s">
        <v>394</v>
      </c>
      <c r="R69" t="s">
        <v>144</v>
      </c>
    </row>
    <row r="70" spans="1:18" ht="14.65" thickBot="1">
      <c r="A70" t="s">
        <v>3361</v>
      </c>
      <c r="C70" s="6" t="s">
        <v>368</v>
      </c>
      <c r="D70" s="41" t="s">
        <v>369</v>
      </c>
      <c r="N70" s="55" t="s">
        <v>3366</v>
      </c>
      <c r="O70" s="55" t="s">
        <v>396</v>
      </c>
      <c r="R70" t="s">
        <v>144</v>
      </c>
    </row>
    <row r="71" spans="1:18">
      <c r="A71" t="s">
        <v>3361</v>
      </c>
      <c r="C71" s="6" t="s">
        <v>370</v>
      </c>
      <c r="D71" s="41" t="s">
        <v>371</v>
      </c>
      <c r="J71" t="s">
        <v>399</v>
      </c>
      <c r="N71" s="7" t="s">
        <v>3367</v>
      </c>
      <c r="O71" s="7" t="s">
        <v>400</v>
      </c>
      <c r="R71" t="s">
        <v>144</v>
      </c>
    </row>
    <row r="72" spans="1:18">
      <c r="A72" t="s">
        <v>3361</v>
      </c>
      <c r="C72" s="155" t="s">
        <v>372</v>
      </c>
      <c r="D72" s="149" t="s">
        <v>373</v>
      </c>
      <c r="N72" s="6" t="s">
        <v>3368</v>
      </c>
      <c r="O72" s="6" t="s">
        <v>403</v>
      </c>
      <c r="R72" t="s">
        <v>144</v>
      </c>
    </row>
    <row r="73" spans="1:18" ht="14.65" thickBot="1">
      <c r="A73" t="s">
        <v>3361</v>
      </c>
      <c r="C73" s="55" t="s">
        <v>376</v>
      </c>
      <c r="D73" s="58" t="s">
        <v>3355</v>
      </c>
      <c r="N73" s="6" t="s">
        <v>3369</v>
      </c>
      <c r="O73" s="6" t="s">
        <v>406</v>
      </c>
      <c r="R73" t="s">
        <v>144</v>
      </c>
    </row>
    <row r="74" spans="1:18">
      <c r="A74" t="s">
        <v>3361</v>
      </c>
      <c r="C74" s="7" t="s">
        <v>3178</v>
      </c>
      <c r="D74" s="7" t="s">
        <v>3356</v>
      </c>
      <c r="N74" s="6" t="s">
        <v>3370</v>
      </c>
      <c r="O74" s="6" t="s">
        <v>408</v>
      </c>
      <c r="R74" t="s">
        <v>144</v>
      </c>
    </row>
    <row r="75" spans="1:18">
      <c r="A75" t="s">
        <v>3361</v>
      </c>
      <c r="C75" s="6" t="s">
        <v>379</v>
      </c>
      <c r="D75" s="6" t="s">
        <v>3358</v>
      </c>
      <c r="N75" s="6" t="s">
        <v>3371</v>
      </c>
      <c r="O75" s="6" t="s">
        <v>410</v>
      </c>
      <c r="R75" t="s">
        <v>144</v>
      </c>
    </row>
    <row r="76" spans="1:18" ht="14.65" thickBot="1">
      <c r="A76" t="s">
        <v>3361</v>
      </c>
      <c r="C76" s="41" t="s">
        <v>384</v>
      </c>
      <c r="D76" s="6" t="s">
        <v>3360</v>
      </c>
      <c r="N76" s="146" t="s">
        <v>3372</v>
      </c>
      <c r="O76" s="146" t="s">
        <v>413</v>
      </c>
      <c r="R76" t="s">
        <v>144</v>
      </c>
    </row>
    <row r="77" spans="1:18" ht="14.65" thickBot="1">
      <c r="A77" t="s">
        <v>3361</v>
      </c>
      <c r="C77" s="6" t="s">
        <v>387</v>
      </c>
      <c r="D77" s="6" t="s">
        <v>3362</v>
      </c>
      <c r="J77" t="s">
        <v>417</v>
      </c>
      <c r="N77" s="61" t="s">
        <v>3373</v>
      </c>
      <c r="O77" s="61" t="s">
        <v>418</v>
      </c>
      <c r="R77" t="s">
        <v>144</v>
      </c>
    </row>
    <row r="78" spans="1:18">
      <c r="A78" t="s">
        <v>3361</v>
      </c>
      <c r="C78" s="6" t="s">
        <v>390</v>
      </c>
      <c r="D78" s="6" t="s">
        <v>3363</v>
      </c>
      <c r="J78" t="s">
        <v>421</v>
      </c>
      <c r="N78" s="64" t="s">
        <v>3374</v>
      </c>
      <c r="O78" s="63" t="s">
        <v>422</v>
      </c>
      <c r="R78" t="s">
        <v>144</v>
      </c>
    </row>
    <row r="79" spans="1:18">
      <c r="A79" t="s">
        <v>3361</v>
      </c>
      <c r="C79" s="6" t="s">
        <v>392</v>
      </c>
      <c r="D79" s="6" t="s">
        <v>3364</v>
      </c>
      <c r="N79" s="41" t="s">
        <v>3375</v>
      </c>
      <c r="O79" s="6" t="s">
        <v>424</v>
      </c>
      <c r="R79" t="s">
        <v>144</v>
      </c>
    </row>
    <row r="80" spans="1:18">
      <c r="A80" t="s">
        <v>3361</v>
      </c>
      <c r="C80" s="6" t="s">
        <v>394</v>
      </c>
      <c r="D80" s="6" t="s">
        <v>3365</v>
      </c>
      <c r="N80" s="41" t="s">
        <v>3376</v>
      </c>
      <c r="O80" s="41" t="s">
        <v>426</v>
      </c>
      <c r="R80" t="s">
        <v>144</v>
      </c>
    </row>
    <row r="81" spans="1:18" ht="14.65" thickBot="1">
      <c r="A81" t="s">
        <v>3361</v>
      </c>
      <c r="C81" s="55" t="s">
        <v>396</v>
      </c>
      <c r="D81" s="55" t="s">
        <v>3366</v>
      </c>
      <c r="N81" s="41" t="s">
        <v>3377</v>
      </c>
      <c r="O81" s="41" t="s">
        <v>429</v>
      </c>
      <c r="R81" t="s">
        <v>144</v>
      </c>
    </row>
    <row r="82" spans="1:18">
      <c r="B82" t="s">
        <v>234</v>
      </c>
      <c r="C82" s="7" t="s">
        <v>233</v>
      </c>
      <c r="D82" s="7" t="s">
        <v>3378</v>
      </c>
      <c r="E82" t="s">
        <v>235</v>
      </c>
      <c r="F82" t="s">
        <v>144</v>
      </c>
      <c r="N82" s="6" t="s">
        <v>3379</v>
      </c>
      <c r="O82" s="6" t="s">
        <v>431</v>
      </c>
      <c r="R82" t="s">
        <v>144</v>
      </c>
    </row>
    <row r="83" spans="1:18">
      <c r="B83" t="s">
        <v>238</v>
      </c>
      <c r="C83" s="149" t="s">
        <v>237</v>
      </c>
      <c r="D83" s="149" t="s">
        <v>3380</v>
      </c>
      <c r="E83" t="s">
        <v>239</v>
      </c>
      <c r="F83" t="s">
        <v>144</v>
      </c>
      <c r="N83" s="149" t="s">
        <v>3381</v>
      </c>
      <c r="O83" s="149" t="s">
        <v>433</v>
      </c>
      <c r="R83" t="s">
        <v>144</v>
      </c>
    </row>
    <row r="84" spans="1:18">
      <c r="B84" t="s">
        <v>241</v>
      </c>
      <c r="C84" s="6" t="s">
        <v>240</v>
      </c>
      <c r="D84" s="6" t="s">
        <v>3382</v>
      </c>
      <c r="E84" t="s">
        <v>242</v>
      </c>
      <c r="F84" t="s">
        <v>144</v>
      </c>
      <c r="N84" s="6" t="s">
        <v>3383</v>
      </c>
      <c r="O84" s="6" t="s">
        <v>435</v>
      </c>
      <c r="R84" t="s">
        <v>144</v>
      </c>
    </row>
    <row r="85" spans="1:18" ht="14.65" thickBot="1">
      <c r="B85" t="s">
        <v>244</v>
      </c>
      <c r="C85" s="146" t="s">
        <v>243</v>
      </c>
      <c r="D85" s="146" t="s">
        <v>3384</v>
      </c>
      <c r="E85" t="s">
        <v>245</v>
      </c>
      <c r="F85" t="s">
        <v>144</v>
      </c>
      <c r="N85" s="6" t="s">
        <v>3385</v>
      </c>
      <c r="O85" s="6" t="s">
        <v>437</v>
      </c>
      <c r="R85" t="s">
        <v>144</v>
      </c>
    </row>
    <row r="86" spans="1:18" ht="14.65" thickBot="1">
      <c r="A86" t="s">
        <v>3386</v>
      </c>
      <c r="B86" t="s">
        <v>295</v>
      </c>
      <c r="C86" s="55" t="s">
        <v>294</v>
      </c>
      <c r="D86" s="61" t="s">
        <v>3387</v>
      </c>
      <c r="E86" t="s">
        <v>296</v>
      </c>
      <c r="F86" t="s">
        <v>144</v>
      </c>
      <c r="N86" s="6" t="s">
        <v>3388</v>
      </c>
      <c r="O86" s="6" t="s">
        <v>439</v>
      </c>
      <c r="R86" t="s">
        <v>144</v>
      </c>
    </row>
    <row r="87" spans="1:18">
      <c r="A87" t="s">
        <v>3282</v>
      </c>
      <c r="B87" t="s">
        <v>298</v>
      </c>
      <c r="C87" s="163"/>
      <c r="D87" s="163" t="s">
        <v>3282</v>
      </c>
      <c r="E87" t="s">
        <v>3314</v>
      </c>
      <c r="F87" t="s">
        <v>144</v>
      </c>
      <c r="N87" s="6" t="s">
        <v>3389</v>
      </c>
      <c r="O87" s="6" t="s">
        <v>441</v>
      </c>
      <c r="R87" t="s">
        <v>144</v>
      </c>
    </row>
    <row r="88" spans="1:18">
      <c r="B88" t="s">
        <v>302</v>
      </c>
      <c r="C88" s="163"/>
      <c r="D88" s="163" t="s">
        <v>3282</v>
      </c>
      <c r="E88" t="s">
        <v>3317</v>
      </c>
      <c r="F88" t="s">
        <v>144</v>
      </c>
      <c r="N88" s="6" t="s">
        <v>3390</v>
      </c>
      <c r="O88" s="6" t="s">
        <v>443</v>
      </c>
      <c r="R88" t="s">
        <v>144</v>
      </c>
    </row>
    <row r="89" spans="1:18">
      <c r="B89" t="s">
        <v>305</v>
      </c>
      <c r="C89" s="7" t="s">
        <v>304</v>
      </c>
      <c r="D89" s="56" t="s">
        <v>306</v>
      </c>
      <c r="E89" t="s">
        <v>3319</v>
      </c>
      <c r="F89" t="s">
        <v>144</v>
      </c>
      <c r="N89" s="6" t="s">
        <v>3391</v>
      </c>
      <c r="O89" s="6" t="s">
        <v>445</v>
      </c>
      <c r="R89" t="s">
        <v>144</v>
      </c>
    </row>
    <row r="90" spans="1:18" ht="14.65" thickBot="1">
      <c r="A90" t="s">
        <v>3275</v>
      </c>
      <c r="C90" s="55" t="s">
        <v>3179</v>
      </c>
      <c r="D90" s="58" t="s">
        <v>3392</v>
      </c>
      <c r="N90" s="6" t="s">
        <v>3393</v>
      </c>
      <c r="O90" s="6" t="s">
        <v>447</v>
      </c>
      <c r="R90" t="s">
        <v>144</v>
      </c>
    </row>
    <row r="91" spans="1:18">
      <c r="A91" t="s">
        <v>3275</v>
      </c>
      <c r="C91" s="103" t="s">
        <v>3180</v>
      </c>
      <c r="D91" s="103" t="s">
        <v>3394</v>
      </c>
      <c r="N91" s="6" t="s">
        <v>3395</v>
      </c>
      <c r="O91" s="6" t="s">
        <v>449</v>
      </c>
      <c r="R91" t="s">
        <v>144</v>
      </c>
    </row>
    <row r="92" spans="1:18">
      <c r="A92" t="s">
        <v>3275</v>
      </c>
      <c r="C92" s="41" t="s">
        <v>3181</v>
      </c>
      <c r="D92" s="41" t="s">
        <v>3396</v>
      </c>
      <c r="N92" s="41" t="s">
        <v>3397</v>
      </c>
      <c r="O92" s="6" t="s">
        <v>451</v>
      </c>
      <c r="R92" t="s">
        <v>144</v>
      </c>
    </row>
    <row r="93" spans="1:18" ht="14.65" thickBot="1">
      <c r="A93" t="s">
        <v>3275</v>
      </c>
      <c r="C93" s="55" t="s">
        <v>3182</v>
      </c>
      <c r="D93" s="55" t="s">
        <v>3398</v>
      </c>
      <c r="N93" s="41" t="s">
        <v>454</v>
      </c>
      <c r="O93" s="6" t="s">
        <v>453</v>
      </c>
      <c r="R93" t="s">
        <v>144</v>
      </c>
    </row>
    <row r="94" spans="1:18">
      <c r="A94" t="s">
        <v>3282</v>
      </c>
      <c r="B94" t="s">
        <v>351</v>
      </c>
      <c r="C94" s="163"/>
      <c r="D94" s="163" t="s">
        <v>3282</v>
      </c>
      <c r="E94" t="s">
        <v>3341</v>
      </c>
      <c r="F94" t="s">
        <v>144</v>
      </c>
      <c r="N94" s="41" t="s">
        <v>457</v>
      </c>
      <c r="O94" s="6" t="s">
        <v>456</v>
      </c>
      <c r="R94" t="s">
        <v>144</v>
      </c>
    </row>
    <row r="95" spans="1:18">
      <c r="A95" t="s">
        <v>3361</v>
      </c>
      <c r="C95" s="7" t="s">
        <v>400</v>
      </c>
      <c r="D95" s="7" t="s">
        <v>3367</v>
      </c>
      <c r="N95" s="41" t="s">
        <v>459</v>
      </c>
      <c r="O95" s="6" t="s">
        <v>458</v>
      </c>
      <c r="R95" t="s">
        <v>144</v>
      </c>
    </row>
    <row r="96" spans="1:18">
      <c r="A96" t="s">
        <v>3361</v>
      </c>
      <c r="C96" s="6" t="s">
        <v>403</v>
      </c>
      <c r="D96" s="6" t="s">
        <v>3368</v>
      </c>
      <c r="N96" s="6" t="s">
        <v>3399</v>
      </c>
      <c r="O96" s="6" t="s">
        <v>460</v>
      </c>
      <c r="R96" t="s">
        <v>144</v>
      </c>
    </row>
    <row r="97" spans="1:18">
      <c r="A97" t="s">
        <v>3361</v>
      </c>
      <c r="C97" s="6" t="s">
        <v>406</v>
      </c>
      <c r="D97" s="6" t="s">
        <v>3369</v>
      </c>
      <c r="N97" s="41" t="s">
        <v>463</v>
      </c>
      <c r="O97" s="6" t="s">
        <v>462</v>
      </c>
      <c r="R97" t="s">
        <v>144</v>
      </c>
    </row>
    <row r="98" spans="1:18">
      <c r="A98" t="s">
        <v>3361</v>
      </c>
      <c r="C98" s="6" t="s">
        <v>408</v>
      </c>
      <c r="D98" s="6" t="s">
        <v>3370</v>
      </c>
      <c r="N98" s="41" t="s">
        <v>465</v>
      </c>
      <c r="O98" s="6" t="s">
        <v>464</v>
      </c>
      <c r="R98" t="s">
        <v>144</v>
      </c>
    </row>
    <row r="99" spans="1:18">
      <c r="A99" t="s">
        <v>3361</v>
      </c>
      <c r="C99" s="6" t="s">
        <v>410</v>
      </c>
      <c r="D99" s="6" t="s">
        <v>3371</v>
      </c>
      <c r="N99" s="41" t="s">
        <v>467</v>
      </c>
      <c r="O99" s="6" t="s">
        <v>466</v>
      </c>
      <c r="R99" t="s">
        <v>144</v>
      </c>
    </row>
    <row r="100" spans="1:18" ht="14.65" thickBot="1">
      <c r="A100" t="s">
        <v>3361</v>
      </c>
      <c r="C100" s="146" t="s">
        <v>413</v>
      </c>
      <c r="D100" s="146" t="s">
        <v>3372</v>
      </c>
      <c r="N100" s="55" t="s">
        <v>3400</v>
      </c>
      <c r="O100" s="55" t="s">
        <v>468</v>
      </c>
      <c r="R100" t="s">
        <v>144</v>
      </c>
    </row>
    <row r="101" spans="1:18">
      <c r="A101" t="s">
        <v>3361</v>
      </c>
      <c r="C101" s="63" t="s">
        <v>422</v>
      </c>
      <c r="D101" s="64" t="s">
        <v>3374</v>
      </c>
      <c r="J101" t="s">
        <v>470</v>
      </c>
      <c r="N101" s="64" t="s">
        <v>3401</v>
      </c>
      <c r="O101" s="63" t="s">
        <v>471</v>
      </c>
      <c r="R101" t="s">
        <v>144</v>
      </c>
    </row>
    <row r="102" spans="1:18">
      <c r="A102" t="s">
        <v>3361</v>
      </c>
      <c r="C102" s="6" t="s">
        <v>424</v>
      </c>
      <c r="D102" s="41" t="s">
        <v>3375</v>
      </c>
      <c r="N102" s="6" t="s">
        <v>475</v>
      </c>
      <c r="O102" s="6" t="s">
        <v>474</v>
      </c>
      <c r="R102" t="s">
        <v>144</v>
      </c>
    </row>
    <row r="103" spans="1:18">
      <c r="A103" t="s">
        <v>3361</v>
      </c>
      <c r="C103" s="41" t="s">
        <v>426</v>
      </c>
      <c r="D103" s="41" t="s">
        <v>3376</v>
      </c>
      <c r="N103" s="6" t="s">
        <v>477</v>
      </c>
      <c r="O103" s="6" t="s">
        <v>476</v>
      </c>
      <c r="R103" t="s">
        <v>144</v>
      </c>
    </row>
    <row r="104" spans="1:18" ht="14.65" thickBot="1">
      <c r="A104" t="s">
        <v>3361</v>
      </c>
      <c r="C104" s="41" t="s">
        <v>429</v>
      </c>
      <c r="D104" s="41" t="s">
        <v>3377</v>
      </c>
      <c r="N104" s="55" t="s">
        <v>3402</v>
      </c>
      <c r="O104" s="55" t="s">
        <v>478</v>
      </c>
      <c r="R104" t="s">
        <v>144</v>
      </c>
    </row>
    <row r="105" spans="1:18">
      <c r="A105" t="s">
        <v>3361</v>
      </c>
      <c r="C105" s="6" t="s">
        <v>431</v>
      </c>
      <c r="D105" s="6" t="s">
        <v>3379</v>
      </c>
    </row>
    <row r="106" spans="1:18">
      <c r="A106" t="s">
        <v>3361</v>
      </c>
      <c r="C106" s="149" t="s">
        <v>433</v>
      </c>
      <c r="D106" s="149" t="s">
        <v>3381</v>
      </c>
    </row>
    <row r="107" spans="1:18">
      <c r="A107" t="s">
        <v>3361</v>
      </c>
      <c r="C107" s="6" t="s">
        <v>435</v>
      </c>
      <c r="D107" s="6" t="s">
        <v>3383</v>
      </c>
    </row>
    <row r="108" spans="1:18">
      <c r="A108" t="s">
        <v>3361</v>
      </c>
      <c r="C108" s="6" t="s">
        <v>437</v>
      </c>
      <c r="D108" s="6" t="s">
        <v>3385</v>
      </c>
    </row>
    <row r="109" spans="1:18">
      <c r="A109" t="s">
        <v>3361</v>
      </c>
      <c r="C109" s="6" t="s">
        <v>439</v>
      </c>
      <c r="D109" s="6" t="s">
        <v>3388</v>
      </c>
    </row>
    <row r="110" spans="1:18">
      <c r="A110" t="s">
        <v>3361</v>
      </c>
      <c r="C110" s="6" t="s">
        <v>441</v>
      </c>
      <c r="D110" s="6" t="s">
        <v>3389</v>
      </c>
    </row>
    <row r="111" spans="1:18">
      <c r="A111" t="s">
        <v>3361</v>
      </c>
      <c r="C111" s="6" t="s">
        <v>443</v>
      </c>
      <c r="D111" s="6" t="s">
        <v>3390</v>
      </c>
    </row>
    <row r="112" spans="1:18">
      <c r="A112" t="s">
        <v>3361</v>
      </c>
      <c r="C112" s="6" t="s">
        <v>445</v>
      </c>
      <c r="D112" s="6" t="s">
        <v>3391</v>
      </c>
    </row>
    <row r="113" spans="1:4">
      <c r="A113" t="s">
        <v>3361</v>
      </c>
      <c r="C113" s="6" t="s">
        <v>447</v>
      </c>
      <c r="D113" s="6" t="s">
        <v>3393</v>
      </c>
    </row>
    <row r="114" spans="1:4">
      <c r="A114" t="s">
        <v>3361</v>
      </c>
      <c r="C114" s="6" t="s">
        <v>449</v>
      </c>
      <c r="D114" s="6" t="s">
        <v>3395</v>
      </c>
    </row>
    <row r="115" spans="1:4">
      <c r="A115" t="s">
        <v>3361</v>
      </c>
      <c r="C115" s="6" t="s">
        <v>451</v>
      </c>
      <c r="D115" s="41" t="s">
        <v>3397</v>
      </c>
    </row>
    <row r="116" spans="1:4">
      <c r="A116" t="s">
        <v>3361</v>
      </c>
      <c r="C116" s="6" t="s">
        <v>453</v>
      </c>
      <c r="D116" s="41" t="s">
        <v>454</v>
      </c>
    </row>
    <row r="117" spans="1:4">
      <c r="A117" t="s">
        <v>3361</v>
      </c>
      <c r="C117" s="6" t="s">
        <v>456</v>
      </c>
      <c r="D117" s="41" t="s">
        <v>457</v>
      </c>
    </row>
    <row r="118" spans="1:4">
      <c r="A118" t="s">
        <v>3361</v>
      </c>
      <c r="C118" s="6" t="s">
        <v>458</v>
      </c>
      <c r="D118" s="41" t="s">
        <v>459</v>
      </c>
    </row>
    <row r="119" spans="1:4">
      <c r="A119" t="s">
        <v>3361</v>
      </c>
      <c r="C119" s="6" t="s">
        <v>460</v>
      </c>
      <c r="D119" s="6" t="s">
        <v>3399</v>
      </c>
    </row>
    <row r="120" spans="1:4">
      <c r="A120" t="s">
        <v>3361</v>
      </c>
      <c r="C120" s="6" t="s">
        <v>462</v>
      </c>
      <c r="D120" s="41" t="s">
        <v>463</v>
      </c>
    </row>
    <row r="121" spans="1:4">
      <c r="A121" t="s">
        <v>3361</v>
      </c>
      <c r="C121" s="6" t="s">
        <v>464</v>
      </c>
      <c r="D121" s="41" t="s">
        <v>465</v>
      </c>
    </row>
    <row r="122" spans="1:4">
      <c r="A122" t="s">
        <v>3361</v>
      </c>
      <c r="C122" s="6" t="s">
        <v>466</v>
      </c>
      <c r="D122" s="41" t="s">
        <v>467</v>
      </c>
    </row>
    <row r="123" spans="1:4" ht="14.65" thickBot="1">
      <c r="A123" t="s">
        <v>3361</v>
      </c>
      <c r="C123" s="55" t="s">
        <v>468</v>
      </c>
      <c r="D123" s="55" t="s">
        <v>3400</v>
      </c>
    </row>
    <row r="124" spans="1:4">
      <c r="A124" t="s">
        <v>3361</v>
      </c>
      <c r="C124" s="63" t="s">
        <v>471</v>
      </c>
      <c r="D124" s="64" t="s">
        <v>3401</v>
      </c>
    </row>
    <row r="125" spans="1:4">
      <c r="A125" t="s">
        <v>3361</v>
      </c>
      <c r="C125" s="6" t="s">
        <v>474</v>
      </c>
      <c r="D125" s="6" t="s">
        <v>475</v>
      </c>
    </row>
    <row r="126" spans="1:4">
      <c r="A126" t="s">
        <v>3361</v>
      </c>
      <c r="C126" s="6" t="s">
        <v>476</v>
      </c>
      <c r="D126" s="6" t="s">
        <v>477</v>
      </c>
    </row>
    <row r="127" spans="1:4" ht="14.65" thickBot="1">
      <c r="A127" t="s">
        <v>3361</v>
      </c>
      <c r="C127" s="55" t="s">
        <v>478</v>
      </c>
      <c r="D127" s="55" t="s">
        <v>3402</v>
      </c>
    </row>
    <row r="128" spans="1:4" ht="14.65" thickBot="1">
      <c r="A128" t="s">
        <v>3361</v>
      </c>
      <c r="C128" s="61" t="s">
        <v>418</v>
      </c>
      <c r="D128" s="61" t="s">
        <v>3373</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0198d35-6e79-412e-af07-385c610b0dbf" xsi:nil="true"/>
    <lcf76f155ced4ddcb4097134ff3c332f xmlns="01f4603a-42fe-4985-8cca-739ca1084ef3">
      <Terms xmlns="http://schemas.microsoft.com/office/infopath/2007/PartnerControls"/>
    </lcf76f155ced4ddcb4097134ff3c332f>
    <Comment xmlns="01f4603a-42fe-4985-8cca-739ca1084ef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E51DAACCCE2CF4EB98C1FA1234C9435" ma:contentTypeVersion="14" ma:contentTypeDescription="Create a new document." ma:contentTypeScope="" ma:versionID="17cfe3e9e2a3b9f6a40cd59f6ff5e6e5">
  <xsd:schema xmlns:xsd="http://www.w3.org/2001/XMLSchema" xmlns:xs="http://www.w3.org/2001/XMLSchema" xmlns:p="http://schemas.microsoft.com/office/2006/metadata/properties" xmlns:ns2="01f4603a-42fe-4985-8cca-739ca1084ef3" xmlns:ns3="a0198d35-6e79-412e-af07-385c610b0dbf" targetNamespace="http://schemas.microsoft.com/office/2006/metadata/properties" ma:root="true" ma:fieldsID="4cf18fccbebb29ab7937b2bcdeb07a37" ns2:_="" ns3:_="">
    <xsd:import namespace="01f4603a-42fe-4985-8cca-739ca1084ef3"/>
    <xsd:import namespace="a0198d35-6e79-412e-af07-385c610b0db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Comme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f4603a-42fe-4985-8cca-739ca1084e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9239441-07b5-4d94-bfb0-12e00d9df285"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Comment" ma:index="21" nillable="true" ma:displayName="Comment" ma:format="Dropdown" ma:internalName="Comment">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0198d35-6e79-412e-af07-385c610b0db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10eb9bec-99cc-4ad4-88dd-529ce187b41f}" ma:internalName="TaxCatchAll" ma:showField="CatchAllData" ma:web="a0198d35-6e79-412e-af07-385c610b0d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D016876-EED7-4C3C-9EEF-9A33097CBCDF}"/>
</file>

<file path=customXml/itemProps2.xml><?xml version="1.0" encoding="utf-8"?>
<ds:datastoreItem xmlns:ds="http://schemas.openxmlformats.org/officeDocument/2006/customXml" ds:itemID="{E9FF0902-F5DE-4F38-B1EA-135063FBF14E}"/>
</file>

<file path=customXml/itemProps3.xml><?xml version="1.0" encoding="utf-8"?>
<ds:datastoreItem xmlns:ds="http://schemas.openxmlformats.org/officeDocument/2006/customXml" ds:itemID="{34160056-2259-4000-B7E9-D14B38697A47}"/>
</file>

<file path=docProps/app.xml><?xml version="1.0" encoding="utf-8"?>
<Properties xmlns="http://schemas.openxmlformats.org/officeDocument/2006/extended-properties" xmlns:vt="http://schemas.openxmlformats.org/officeDocument/2006/docPropsVTypes">
  <Application>Microsoft Excel Online</Application>
  <Manager/>
  <Company>Hewlett-Packard Company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Lesley Smith</dc:creator>
  <cp:keywords/>
  <dc:description/>
  <cp:lastModifiedBy>Andrew Strahan</cp:lastModifiedBy>
  <cp:revision/>
  <dcterms:created xsi:type="dcterms:W3CDTF">2018-07-03T08:50:08Z</dcterms:created>
  <dcterms:modified xsi:type="dcterms:W3CDTF">2024-02-19T00:29:58Z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0x010100AE51DAACCCE2CF4EB98C1FA1234C9435</vt:lpwstr>
  </property>
  <property fmtid="{D5CDD505-2E9C-101B-9397-08002B2CF9AE}" pid="3" name="Order">
    <vt:r8>4054500</vt:r8>
  </property>
  <property fmtid="{D5CDD505-2E9C-101B-9397-08002B2CF9AE}" pid="4" name="MediaServiceImageTags">
    <vt:lpwstr/>
  </property>
</Properties>
</file>